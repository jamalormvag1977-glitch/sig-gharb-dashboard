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CHIKI JAMAL\Desktop\"/>
    </mc:Choice>
  </mc:AlternateContent>
  <xr:revisionPtr revIDLastSave="0" documentId="8_{B7AE08A5-1B44-4961-9507-4B142497A3E7}" xr6:coauthVersionLast="36" xr6:coauthVersionMax="36" xr10:uidLastSave="{00000000-0000-0000-0000-000000000000}"/>
  <bookViews>
    <workbookView xWindow="0" yWindow="0" windowWidth="19200" windowHeight="6810" activeTab="2" xr2:uid="{B12EC596-42FE-4C83-8992-FFC5FA75CD5E}"/>
  </bookViews>
  <sheets>
    <sheet name="Sidi Kacem" sheetId="1" r:id="rId1"/>
    <sheet name="Kénitra" sheetId="2" r:id="rId2"/>
    <sheet name="Sidi Slimane" sheetId="3" r:id="rId3"/>
  </sheets>
  <definedNames>
    <definedName name="_xlnm._FilterDatabase" localSheetId="0" hidden="1">'Sidi Kacem'!$A$3:$F$57</definedName>
    <definedName name="_xlnm._FilterDatabase" localSheetId="2" hidden="1">'Sidi Slimane'!$A$3:$E$8</definedName>
    <definedName name="_xlnm.Print_Area" localSheetId="2">'Sidi Slimane'!$A$1:$F$16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9" i="3" l="1"/>
  <c r="F18" i="2"/>
</calcChain>
</file>

<file path=xl/sharedStrings.xml><?xml version="1.0" encoding="utf-8"?>
<sst xmlns="http://schemas.openxmlformats.org/spreadsheetml/2006/main" count="324" uniqueCount="122">
  <si>
    <t xml:space="preserve">PROVINCE SIDI KACEM </t>
  </si>
  <si>
    <t xml:space="preserve">Commune </t>
  </si>
  <si>
    <t>Rubrique</t>
  </si>
  <si>
    <t>Inititulé Rubrique</t>
  </si>
  <si>
    <t>Intitulé du projet</t>
  </si>
  <si>
    <t xml:space="preserve">Consistance </t>
  </si>
  <si>
    <t xml:space="preserve">Coût global </t>
  </si>
  <si>
    <t>KHENICHET</t>
  </si>
  <si>
    <t>50-23</t>
  </si>
  <si>
    <t>Entretien et réparation du réseau d'assainissement et de drainage</t>
  </si>
  <si>
    <t>Travaux de curage des canaux en terre</t>
  </si>
  <si>
    <t>Curage des collecteurs d'assainissement du secteur EST2</t>
  </si>
  <si>
    <t>40-21</t>
  </si>
  <si>
    <t>Travaux de pistes</t>
  </si>
  <si>
    <t>Travaux de réhabilitation des pistes agricoles</t>
  </si>
  <si>
    <t>Entretien des pistes agricoles Douar Nouagra et Douar ouled Salem</t>
  </si>
  <si>
    <t>Curage des prises sur l’oued, bâche d’aspiration et bassin de régulation.</t>
  </si>
  <si>
    <t>Curage de la chambre des joints de démontage des siphonnes  de la station de pompage EST2.</t>
  </si>
  <si>
    <t>50-21</t>
  </si>
  <si>
    <t>Entretien et réparation des stations de pompage</t>
  </si>
  <si>
    <t>Prestation de maintenance des débitmètres et leurs équipements annexes installés au niveau des station de pompage</t>
  </si>
  <si>
    <t>Changement trois débitmètre Ø 600mm inondés de la station de pompage EST 2 et deux capteurs VEGASON 62</t>
  </si>
  <si>
    <t>BIR TALEB</t>
  </si>
  <si>
    <t>Curage du canal d'assainisement Tihli Aval</t>
  </si>
  <si>
    <t>Curage des collecteurs d'assainissement du secteur P11/1</t>
  </si>
  <si>
    <t>Curage des prises sur l’oued de la station de pompage P11/1.</t>
  </si>
  <si>
    <t>Changement trois débitmètre Ø 400mm inondés de la station de pompage P11/1</t>
  </si>
  <si>
    <t>Prestations de maintenance et de réparation mécanique des pompes et des groupes motopompes submersibles des stations de pompage.</t>
  </si>
  <si>
    <t>Démontage et expertise des roues des  pompes principaux et pompes a vide de la station P11/1
Changement des roulements, tresses et organes d’effectués de la station P11/1</t>
  </si>
  <si>
    <t>Stabilisation Berge oued </t>
  </si>
  <si>
    <t>Pose de  gabions et recouvrement du talus par matelas Reno des stations de pompage P11/1.</t>
  </si>
  <si>
    <t>Génie civile des locaux des stations de pompage.</t>
  </si>
  <si>
    <t>Expertise d’état et d’étanchéité des locaux pompes.
Renforcement d’étanchéité des locaux pompe sous niveau des oueds des stations de pompage P11/1.
Entretien des supports en béton des conduites d’aspiration.</t>
  </si>
  <si>
    <t>CHEBANAT</t>
  </si>
  <si>
    <t>Curage des collecteurs d'assainissement des secteur SH5 et SH6.</t>
  </si>
  <si>
    <t>Travaux de curage des canaux révetus</t>
  </si>
  <si>
    <t>Curage du canal principal d'irrigation beht partie aval 1.</t>
  </si>
  <si>
    <t>ZIRARA</t>
  </si>
  <si>
    <t>Curage du canal principal d'irrigation beht partie aval 2.</t>
  </si>
  <si>
    <t>DAR LAASLOUJI</t>
  </si>
  <si>
    <t>Curage des collecteurs d'assainissement des secteurs P8-1 et P8-2</t>
  </si>
  <si>
    <t>Entretien des pistes agricoles</t>
  </si>
  <si>
    <t>HOUAFATE</t>
  </si>
  <si>
    <t xml:space="preserve"> 20-11</t>
  </si>
  <si>
    <t>Travaux de réhabilitation des équipements</t>
  </si>
  <si>
    <t>Travaux de réhabilitation des canaux portés d'irrigation</t>
  </si>
  <si>
    <t>Fourniture et de pose de canaux porté et accessoires du réseau S3 du secteur S13</t>
  </si>
  <si>
    <t>Fourniture et de pose de canaux porté et accessoires du réseau T2S1 du secteur S13</t>
  </si>
  <si>
    <t>Curage des prises sur l’oued de la station de pompage S17 et S13.
Nettoyage des grilles de préfiltration des boues colmaté de la station de pompage S17 et S13.
Curage de la bâche d’aspiration de la station S17 et S13.</t>
  </si>
  <si>
    <t>Changement trois débitmètre Ø 600mm inondés de la station de pompage S13.</t>
  </si>
  <si>
    <t>Prestations de maintenance des moteurs électriques des stations de pompage.</t>
  </si>
  <si>
    <t>Révision des trois moteurs électriques 200 KW principaux de la station S13. 
Révision des deux moteurs électriques 5,5 KW groupes vide de la station S13.</t>
  </si>
  <si>
    <t xml:space="preserve">Démontage et expertise des roues des  pompes principaux et pompes a vide de la station S13.
Changement des roulements, tresses et organes d’effectués de la station S13. </t>
  </si>
  <si>
    <t>Pose de  gabions et recouvrement du talus par matelas Reno des stations de pompage S13.</t>
  </si>
  <si>
    <t>Mur clôture des stations de pompage.</t>
  </si>
  <si>
    <t>Stabilisation du sol et reconstruction des murs clôture (270m) cote oued de la station S17.</t>
  </si>
  <si>
    <t>Expertise d’état et d’étanchéité des locaux pompes, commande, puissance des stations de pompage S17 et S13.
Renforcement d’étanchéité des locaux pompe sous niveau des oueds des stations de pompage S17 et S13.</t>
  </si>
  <si>
    <t>NOUIRAT</t>
  </si>
  <si>
    <t>Curage des collecteurs d'assainissement des secteurs EST1 et N5</t>
  </si>
  <si>
    <t xml:space="preserve">Travaux de réhabilitation des ouvrages de génie civil </t>
  </si>
  <si>
    <t>Réhabilitation de l'ouvrage( genie civil ,gabiollannage,clapet anti retour et buse) de l'ouvrage de débouche SE1</t>
  </si>
  <si>
    <t>Curage des prises sur l’oued de la station de pompage E1.
Nettoyage des grilles de préfiltration des boues colmaté de la station de pompage E1.
Curage de la bâche d’aspiration de la station E1.</t>
  </si>
  <si>
    <t>Changement du débitmètre Ø 1200mm inondé de la station de pompage E1.</t>
  </si>
  <si>
    <t xml:space="preserve">Révision des deux moteurs électriques principaux de la station E1. </t>
  </si>
  <si>
    <t xml:space="preserve">Démontage et expertise des cinq pompes principaux et pompes a vide de la station E1.
Changement des roulements, tresses et organes d’effectués de la station E1. </t>
  </si>
  <si>
    <t>Expertise d’état et d’étanchéité des locaux pompes, commande, puissance de la station de pompage E1.
Renforcement d’étanchéité des locaux pompe sous niveau des oueds de la station de pompage E1.</t>
  </si>
  <si>
    <t>RMILAT</t>
  </si>
  <si>
    <t>Curage des collecteurs d'assainissement des secteurs P7</t>
  </si>
  <si>
    <t>SAFSAF</t>
  </si>
  <si>
    <t>Curage des collecteurs d'assainissement des secteurs S7, S9 et S11</t>
  </si>
  <si>
    <t>Fourniture et  pose de canaux porté et accessoires du réseau S4 du secteur S11</t>
  </si>
  <si>
    <t>Recalage des canaux portés du réseau T5S5 du secteur S9</t>
  </si>
  <si>
    <t>Recalage des canaux portés du réseau T7S5 du secteur S9</t>
  </si>
  <si>
    <t>Recalage des canaux portés du réseau T2S5 du secteur S9</t>
  </si>
  <si>
    <t xml:space="preserve">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 </t>
  </si>
  <si>
    <t>Changements Sept des débitmètres Ø 600mm inondé des deux stations de pompage S11 et S9.</t>
  </si>
  <si>
    <t>Pose de murs en gabions et recouvrement du talus par matelas Reno des stations de pompage S11, S9, 7D et 7B .</t>
  </si>
  <si>
    <t>SIDI AZZOUZ</t>
  </si>
  <si>
    <t>SIDI EL KAMEL</t>
  </si>
  <si>
    <t>Fourniture et de pose de canaux porté et accessoires du réseau SR4 du secteur S3R</t>
  </si>
  <si>
    <t>Fourniture et de pose de canaux porté et accessoires du réseau SR6 du secteur S1RIZ</t>
  </si>
  <si>
    <t>Recalage des canaux portés du réseau SR4 du secteur S3R</t>
  </si>
  <si>
    <t>Réhabilitation des murs de soutènements des ouvrages de franchissements du canal d'assainissement CS3 secteur S3 et de l’ouvrage de franchissement du canal primaire d’irrigation du secteur S1R au niveau de la route provinciale P4234</t>
  </si>
  <si>
    <t>Changement de quatre débitmètres Ø 500mm et trois Ø 800mm inondé des stations de pompage 1R, 3R et 5R.</t>
  </si>
  <si>
    <t>Stabilisation et reconstruction des murs clôture cote oued des stations de pompage 7A, 3R et 1R.</t>
  </si>
  <si>
    <t>Total</t>
  </si>
  <si>
    <t>PROVINCE KENITRA</t>
  </si>
  <si>
    <t xml:space="preserve">Intitule du projet </t>
  </si>
  <si>
    <t xml:space="preserve">consistance </t>
  </si>
  <si>
    <t>Cout en MDH</t>
  </si>
  <si>
    <t>Bni malek</t>
  </si>
  <si>
    <t>Curage des emissaires et colatures secondaire au niveau des secteurs MDA ET N9</t>
  </si>
  <si>
    <t>Entretien des pistes agricoles des secteurs MDA et N3</t>
  </si>
  <si>
    <t xml:space="preserve"> station de pompage MDA secteur MDA</t>
  </si>
  <si>
    <t>Rétablissement des bornes affaissées des secteurs N2 et N3</t>
  </si>
  <si>
    <t>SOUK TLET</t>
  </si>
  <si>
    <t>curage des emissaires et colatures secondaire au niveau des secteurs N2,N3 ET N4,</t>
  </si>
  <si>
    <t>Entretien des pistes des secteurs N2,N3,N4 et C4R,</t>
  </si>
  <si>
    <t>Sidi Med Lahmar</t>
  </si>
  <si>
    <t>Curage des emissaires et colatures secondaires secteurs N1</t>
  </si>
  <si>
    <t>Entretien des pistes agricoles des secteurs N9 et N1</t>
  </si>
  <si>
    <t>Mograne</t>
  </si>
  <si>
    <t>Curage des canaux d'assainissement Hors secteur équipé ghoufera et laison beht sebou ,</t>
  </si>
  <si>
    <t>Entretien des pistes agricoles des secteurs SEBOU1,SEBOU2? BEHT3 et BEHT4</t>
  </si>
  <si>
    <t>Sidi allal tazi</t>
  </si>
  <si>
    <t>Curage du canaL d'assainissement CK,</t>
  </si>
  <si>
    <t>AMEUR SAFLIA</t>
  </si>
  <si>
    <t>Curage des canaux d'assainissement amontTtiflt Sebou,</t>
  </si>
  <si>
    <t>Oulad SLAMA</t>
  </si>
  <si>
    <t>Curage des canaux d'assainissement debouche Tiflt aval,</t>
  </si>
  <si>
    <t>BHARA Oulad AYAD</t>
  </si>
  <si>
    <t>Curage des canaux d'assainissement canal nador bas et haut segmet,</t>
  </si>
  <si>
    <t xml:space="preserve">                          TOTAL</t>
  </si>
  <si>
    <t xml:space="preserve">PROVINCE SIDI SLIMANE </t>
  </si>
  <si>
    <t xml:space="preserve">Consisitance </t>
  </si>
  <si>
    <t>OULED HCEINE</t>
  </si>
  <si>
    <t>Curage des collecteurs d'assainissement du secteur EST4.</t>
  </si>
  <si>
    <t>Curage du canal d'assainissement Tihli central.</t>
  </si>
  <si>
    <t>Travaux de réparation des équipements hydromécaniques et éléctriques et entretien de la partie génie civil des stations de pompage.</t>
  </si>
  <si>
    <t>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</si>
  <si>
    <t>Travaux de curage des prises des stations de pompage.</t>
  </si>
  <si>
    <t>Curage des siphones des station de pompage EST2 et P11/2.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</si>
</sst>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 _€_-;\-* #,##0.00\ _€_-;_-* &quot;-&quot;??\ _€_-;_-@_-"/>
    <numFmt numFmtId="164" formatCode="&quot; &quot;#,##0.00&quot;    &quot;;&quot;-&quot;#,##0.00&quot;    &quot;;&quot; -&quot;00&quot;    &quot;;&quot; &quot;@&quot; &quot;"/>
    <numFmt numFmtId="165" formatCode="_-* #,##0\ _€_-;\-* #,##0\ _€_-;_-* &quot;-&quot;??\ _€_-;_-@_-"/>
    <numFmt numFmtId="166" formatCode="_-* #,##0.00\ _D_H_-;\-* #,##0.00\ _D_H_-;_-* &quot;-&quot;??\ _D_H_-;_-@_-"/>
  </numFmts>
  <fonts count="19" x14ac:knownFonts="1">
    <font>
      <sz val="11"/>
      <color theme="1"/>
      <name val="Calibri"/>
      <family val="2"/>
      <scheme val="minor"/>
    </font>
    <font>
      <sz val="11"/>
      <color theme="1"/>
      <name val="Calibri"/>
      <family val="2"/>
      <scheme val="minor"/>
    </font>
    <font>
      <sz val="11"/>
      <color rgb="FF000000"/>
      <name val="Calibri"/>
      <family val="2"/>
    </font>
    <font>
      <b/>
      <sz val="26"/>
      <color rgb="FF000000"/>
      <name val="Taffy"/>
      <family val="4"/>
    </font>
    <font>
      <sz val="14"/>
      <color rgb="FF000000"/>
      <name val="Taffy"/>
      <family val="4"/>
    </font>
    <font>
      <b/>
      <sz val="14"/>
      <color theme="1"/>
      <name val="Taffy"/>
      <family val="4"/>
    </font>
    <font>
      <b/>
      <sz val="14"/>
      <color rgb="FF000000"/>
      <name val="Taffy"/>
      <family val="4"/>
    </font>
    <font>
      <sz val="12"/>
      <color rgb="FF000000"/>
      <name val="Taffy"/>
      <family val="4"/>
    </font>
    <font>
      <b/>
      <sz val="14"/>
      <color rgb="FFC00000"/>
      <name val="Taffy"/>
      <family val="4"/>
    </font>
    <font>
      <b/>
      <sz val="24"/>
      <color theme="1"/>
      <name val="Taffy"/>
      <family val="4"/>
    </font>
    <font>
      <sz val="11"/>
      <color theme="1"/>
      <name val="Taffy"/>
      <family val="4"/>
    </font>
    <font>
      <b/>
      <sz val="12"/>
      <color theme="1"/>
      <name val="Taffy"/>
      <family val="4"/>
    </font>
    <font>
      <sz val="11"/>
      <name val="Taffy"/>
      <family val="4"/>
    </font>
    <font>
      <b/>
      <sz val="11"/>
      <color rgb="FFC00000"/>
      <name val="Taffy"/>
      <family val="4"/>
    </font>
    <font>
      <sz val="11"/>
      <color rgb="FFC00000"/>
      <name val="Taffy"/>
      <family val="4"/>
    </font>
    <font>
      <b/>
      <sz val="28"/>
      <color theme="1"/>
      <name val="Taffy"/>
      <family val="4"/>
    </font>
    <font>
      <b/>
      <u/>
      <sz val="14"/>
      <color theme="1"/>
      <name val="Taffy"/>
      <family val="4"/>
    </font>
    <font>
      <sz val="14"/>
      <color theme="1"/>
      <name val="Taffy"/>
      <family val="4"/>
    </font>
    <font>
      <b/>
      <sz val="16"/>
      <color rgb="FFC00000"/>
      <name val="Taffy"/>
      <family val="4"/>
    </font>
  </fonts>
  <fills count="14">
    <fill>
      <patternFill patternType="none"/>
    </fill>
    <fill>
      <patternFill patternType="gray125"/>
    </fill>
    <fill>
      <patternFill patternType="solid">
        <fgColor theme="4" tint="0.79998168889431442"/>
        <bgColor indexed="64"/>
      </patternFill>
    </fill>
    <fill>
      <patternFill patternType="solid">
        <fgColor theme="0"/>
        <bgColor rgb="FFDDEBF7"/>
      </patternFill>
    </fill>
    <fill>
      <patternFill patternType="solid">
        <fgColor theme="0"/>
        <bgColor indexed="64"/>
      </patternFill>
    </fill>
    <fill>
      <patternFill patternType="solid">
        <fgColor theme="0"/>
        <bgColor rgb="FFFFFF00"/>
      </patternFill>
    </fill>
    <fill>
      <patternFill patternType="solid">
        <fgColor theme="0"/>
        <bgColor rgb="FFA9D08E"/>
      </patternFill>
    </fill>
    <fill>
      <patternFill patternType="solid">
        <fgColor theme="0"/>
        <bgColor rgb="FFFCE4D6"/>
      </patternFill>
    </fill>
    <fill>
      <patternFill patternType="solid">
        <fgColor theme="0"/>
        <bgColor rgb="FFD9E1F2"/>
      </patternFill>
    </fill>
    <fill>
      <patternFill patternType="solid">
        <fgColor theme="0"/>
        <bgColor rgb="FFFFE699"/>
      </patternFill>
    </fill>
    <fill>
      <patternFill patternType="solid">
        <fgColor theme="0"/>
        <bgColor rgb="FFD6DCE4"/>
      </patternFill>
    </fill>
    <fill>
      <patternFill patternType="solid">
        <fgColor theme="0"/>
        <bgColor rgb="FFC6E0B4"/>
      </patternFill>
    </fill>
    <fill>
      <patternFill patternType="solid">
        <fgColor theme="0"/>
        <bgColor rgb="FFF8CBAD"/>
      </patternFill>
    </fill>
    <fill>
      <patternFill patternType="solid">
        <fgColor theme="0"/>
        <bgColor rgb="FFD9D9D9"/>
      </patternFill>
    </fill>
  </fills>
  <borders count="9">
    <border>
      <left/>
      <right/>
      <top/>
      <bottom/>
      <diagonal/>
    </border>
    <border>
      <left style="medium">
        <color rgb="FF000000"/>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2" fillId="0" borderId="0"/>
    <xf numFmtId="43" fontId="1" fillId="0" borderId="0" applyFont="0" applyFill="0" applyBorder="0" applyAlignment="0" applyProtection="0"/>
  </cellStyleXfs>
  <cellXfs count="114">
    <xf numFmtId="0" fontId="0" fillId="0" borderId="0" xfId="0"/>
    <xf numFmtId="0" fontId="3" fillId="0" borderId="1" xfId="1" applyFont="1" applyFill="1" applyBorder="1" applyAlignment="1">
      <alignment horizontal="center" vertical="center"/>
    </xf>
    <xf numFmtId="0" fontId="3" fillId="0" borderId="0" xfId="1" applyFont="1" applyFill="1" applyBorder="1" applyAlignment="1">
      <alignment horizontal="center" vertical="center"/>
    </xf>
    <xf numFmtId="0" fontId="3" fillId="0" borderId="0" xfId="1" applyFont="1" applyFill="1" applyBorder="1" applyAlignment="1">
      <alignment horizontal="center" vertical="center" wrapText="1"/>
    </xf>
    <xf numFmtId="0" fontId="4" fillId="0" borderId="0" xfId="1" applyFont="1"/>
    <xf numFmtId="0" fontId="4" fillId="0" borderId="0" xfId="1" applyFont="1" applyAlignment="1">
      <alignment horizontal="left" wrapText="1"/>
    </xf>
    <xf numFmtId="0" fontId="4" fillId="0" borderId="0" xfId="1" applyFont="1" applyAlignment="1">
      <alignment vertical="center" wrapText="1"/>
    </xf>
    <xf numFmtId="0" fontId="4" fillId="0" borderId="0" xfId="1" applyFont="1" applyAlignment="1">
      <alignment horizontal="center" vertical="center" wrapText="1"/>
    </xf>
    <xf numFmtId="0" fontId="4" fillId="0" borderId="0" xfId="1" applyFont="1" applyAlignment="1">
      <alignment horizontal="center" vertical="center"/>
    </xf>
    <xf numFmtId="0" fontId="5" fillId="2" borderId="2" xfId="0" applyFont="1" applyFill="1" applyBorder="1" applyAlignment="1">
      <alignment horizontal="center" vertical="center"/>
    </xf>
    <xf numFmtId="0" fontId="5" fillId="2" borderId="2" xfId="0" applyFont="1" applyFill="1" applyBorder="1" applyAlignment="1">
      <alignment horizontal="center" vertical="center" wrapText="1"/>
    </xf>
    <xf numFmtId="0" fontId="6" fillId="3" borderId="3" xfId="1" applyFont="1" applyFill="1" applyBorder="1" applyAlignment="1">
      <alignment horizontal="center" vertical="center"/>
    </xf>
    <xf numFmtId="0" fontId="7" fillId="3" borderId="3" xfId="1" applyFont="1" applyFill="1" applyBorder="1" applyAlignment="1">
      <alignment horizontal="center" vertical="center"/>
    </xf>
    <xf numFmtId="0" fontId="4" fillId="3" borderId="3" xfId="1" applyFont="1" applyFill="1" applyBorder="1" applyAlignment="1">
      <alignment horizontal="left" vertical="center" wrapText="1"/>
    </xf>
    <xf numFmtId="0" fontId="4" fillId="3" borderId="3" xfId="1" applyFont="1" applyFill="1" applyBorder="1" applyAlignment="1">
      <alignment vertical="center" wrapText="1"/>
    </xf>
    <xf numFmtId="164" fontId="4" fillId="3" borderId="3" xfId="1" applyNumberFormat="1" applyFont="1" applyFill="1" applyBorder="1" applyAlignment="1">
      <alignment horizontal="center" vertical="center"/>
    </xf>
    <xf numFmtId="0" fontId="4" fillId="4" borderId="0" xfId="1" applyFont="1" applyFill="1"/>
    <xf numFmtId="0" fontId="4" fillId="3" borderId="3" xfId="1" applyFont="1" applyFill="1" applyBorder="1" applyAlignment="1">
      <alignment horizontal="left" vertical="center"/>
    </xf>
    <xf numFmtId="0" fontId="6" fillId="5" borderId="3" xfId="1" applyFont="1" applyFill="1" applyBorder="1" applyAlignment="1">
      <alignment horizontal="center" vertical="center"/>
    </xf>
    <xf numFmtId="0" fontId="4" fillId="5" borderId="3" xfId="1" applyFont="1" applyFill="1" applyBorder="1" applyAlignment="1">
      <alignment horizontal="left" vertical="center" wrapText="1"/>
    </xf>
    <xf numFmtId="0" fontId="4" fillId="5" borderId="3" xfId="1" applyFont="1" applyFill="1" applyBorder="1" applyAlignment="1">
      <alignment vertical="center" wrapText="1"/>
    </xf>
    <xf numFmtId="164" fontId="4" fillId="5" borderId="3" xfId="1" applyNumberFormat="1" applyFont="1" applyFill="1" applyBorder="1" applyAlignment="1">
      <alignment horizontal="center" vertical="center"/>
    </xf>
    <xf numFmtId="0" fontId="4" fillId="5" borderId="3" xfId="1" applyFont="1" applyFill="1" applyBorder="1" applyAlignment="1">
      <alignment horizontal="left" vertical="center" wrapText="1"/>
    </xf>
    <xf numFmtId="0" fontId="7" fillId="5" borderId="3" xfId="1" applyFont="1" applyFill="1" applyBorder="1" applyAlignment="1">
      <alignment horizontal="center" vertical="center"/>
    </xf>
    <xf numFmtId="0" fontId="4" fillId="5" borderId="3" xfId="1" applyFont="1" applyFill="1" applyBorder="1" applyAlignment="1">
      <alignment horizontal="left" vertical="center"/>
    </xf>
    <xf numFmtId="0" fontId="6" fillId="6" borderId="3" xfId="1" applyFont="1" applyFill="1" applyBorder="1" applyAlignment="1">
      <alignment horizontal="center" vertical="center"/>
    </xf>
    <xf numFmtId="0" fontId="4" fillId="6" borderId="3" xfId="1" applyFont="1" applyFill="1" applyBorder="1" applyAlignment="1">
      <alignment vertical="center" wrapText="1"/>
    </xf>
    <xf numFmtId="164" fontId="4" fillId="6" borderId="3" xfId="1" applyNumberFormat="1" applyFont="1" applyFill="1" applyBorder="1" applyAlignment="1">
      <alignment horizontal="center" vertical="center"/>
    </xf>
    <xf numFmtId="0" fontId="6" fillId="7" borderId="3" xfId="1" applyFont="1" applyFill="1" applyBorder="1" applyAlignment="1">
      <alignment horizontal="center" vertical="center"/>
    </xf>
    <xf numFmtId="0" fontId="4" fillId="7" borderId="3" xfId="1" applyFont="1" applyFill="1" applyBorder="1" applyAlignment="1">
      <alignment vertical="center" wrapText="1"/>
    </xf>
    <xf numFmtId="164" fontId="4" fillId="7" borderId="3" xfId="1" applyNumberFormat="1" applyFont="1" applyFill="1" applyBorder="1" applyAlignment="1">
      <alignment horizontal="center" vertical="center"/>
    </xf>
    <xf numFmtId="0" fontId="6" fillId="8" borderId="3" xfId="1" applyFont="1" applyFill="1" applyBorder="1" applyAlignment="1">
      <alignment horizontal="center" vertical="center"/>
    </xf>
    <xf numFmtId="0" fontId="4" fillId="8" borderId="3" xfId="1" applyFont="1" applyFill="1" applyBorder="1" applyAlignment="1">
      <alignment vertical="center" wrapText="1"/>
    </xf>
    <xf numFmtId="164" fontId="4" fillId="8" borderId="3" xfId="1" applyNumberFormat="1" applyFont="1" applyFill="1" applyBorder="1" applyAlignment="1">
      <alignment horizontal="center" vertical="center"/>
    </xf>
    <xf numFmtId="0" fontId="7" fillId="8" borderId="3" xfId="1" applyFont="1" applyFill="1" applyBorder="1" applyAlignment="1">
      <alignment horizontal="center" vertical="center"/>
    </xf>
    <xf numFmtId="0" fontId="4" fillId="8" borderId="3" xfId="1" applyFont="1" applyFill="1" applyBorder="1" applyAlignment="1">
      <alignment horizontal="left" vertical="center"/>
    </xf>
    <xf numFmtId="0" fontId="4" fillId="8" borderId="3" xfId="1" applyFont="1" applyFill="1" applyBorder="1" applyAlignment="1">
      <alignment horizontal="left" vertical="center" wrapText="1"/>
    </xf>
    <xf numFmtId="0" fontId="6" fillId="9" borderId="3" xfId="1" applyFont="1" applyFill="1" applyBorder="1" applyAlignment="1">
      <alignment horizontal="center" vertical="center"/>
    </xf>
    <xf numFmtId="16" fontId="7" fillId="9" borderId="3" xfId="1" applyNumberFormat="1" applyFont="1" applyFill="1" applyBorder="1" applyAlignment="1">
      <alignment horizontal="center" vertical="center"/>
    </xf>
    <xf numFmtId="0" fontId="4" fillId="9" borderId="3" xfId="1" applyFont="1" applyFill="1" applyBorder="1" applyAlignment="1">
      <alignment horizontal="left" vertical="center"/>
    </xf>
    <xf numFmtId="0" fontId="4" fillId="9" borderId="3" xfId="1" applyFont="1" applyFill="1" applyBorder="1" applyAlignment="1">
      <alignment horizontal="left" vertical="center" wrapText="1"/>
    </xf>
    <xf numFmtId="0" fontId="4" fillId="9" borderId="3" xfId="1" applyFont="1" applyFill="1" applyBorder="1" applyAlignment="1">
      <alignment vertical="center" wrapText="1"/>
    </xf>
    <xf numFmtId="164" fontId="4" fillId="9" borderId="3" xfId="1" applyNumberFormat="1" applyFont="1" applyFill="1" applyBorder="1" applyAlignment="1">
      <alignment horizontal="center" vertical="center"/>
    </xf>
    <xf numFmtId="0" fontId="7" fillId="9" borderId="3" xfId="1" applyFont="1" applyFill="1" applyBorder="1" applyAlignment="1">
      <alignment horizontal="center" vertical="center"/>
    </xf>
    <xf numFmtId="0" fontId="4" fillId="9" borderId="3" xfId="1" applyFont="1" applyFill="1" applyBorder="1" applyAlignment="1">
      <alignment horizontal="left" vertical="center" wrapText="1"/>
    </xf>
    <xf numFmtId="0" fontId="6" fillId="10" borderId="3" xfId="1" applyFont="1" applyFill="1" applyBorder="1" applyAlignment="1">
      <alignment horizontal="center" vertical="center"/>
    </xf>
    <xf numFmtId="0" fontId="4" fillId="10" borderId="3" xfId="1" applyFont="1" applyFill="1" applyBorder="1" applyAlignment="1">
      <alignment vertical="center" wrapText="1"/>
    </xf>
    <xf numFmtId="164" fontId="4" fillId="10" borderId="3" xfId="1" applyNumberFormat="1" applyFont="1" applyFill="1" applyBorder="1" applyAlignment="1">
      <alignment horizontal="center" vertical="center"/>
    </xf>
    <xf numFmtId="0" fontId="4" fillId="10" borderId="3" xfId="1" applyFont="1" applyFill="1" applyBorder="1" applyAlignment="1">
      <alignment horizontal="left" vertical="center" wrapText="1"/>
    </xf>
    <xf numFmtId="0" fontId="6" fillId="11" borderId="3" xfId="1" applyFont="1" applyFill="1" applyBorder="1" applyAlignment="1">
      <alignment horizontal="center" vertical="center"/>
    </xf>
    <xf numFmtId="0" fontId="4" fillId="11" borderId="3" xfId="1" applyFont="1" applyFill="1" applyBorder="1" applyAlignment="1">
      <alignment vertical="center" wrapText="1"/>
    </xf>
    <xf numFmtId="164" fontId="4" fillId="11" borderId="3" xfId="1" applyNumberFormat="1" applyFont="1" applyFill="1" applyBorder="1" applyAlignment="1">
      <alignment horizontal="center" vertical="center"/>
    </xf>
    <xf numFmtId="0" fontId="4" fillId="11" borderId="3" xfId="1" applyFont="1" applyFill="1" applyBorder="1" applyAlignment="1">
      <alignment horizontal="left" vertical="center" wrapText="1"/>
    </xf>
    <xf numFmtId="0" fontId="6" fillId="12" borderId="3" xfId="1" applyFont="1" applyFill="1" applyBorder="1" applyAlignment="1">
      <alignment horizontal="center" vertical="center"/>
    </xf>
    <xf numFmtId="0" fontId="4" fillId="12" borderId="3" xfId="1" applyFont="1" applyFill="1" applyBorder="1" applyAlignment="1">
      <alignment vertical="center" wrapText="1"/>
    </xf>
    <xf numFmtId="164" fontId="4" fillId="12" borderId="3" xfId="1" applyNumberFormat="1" applyFont="1" applyFill="1" applyBorder="1" applyAlignment="1">
      <alignment horizontal="center" vertical="center"/>
    </xf>
    <xf numFmtId="0" fontId="4" fillId="12" borderId="3" xfId="1" applyFont="1" applyFill="1" applyBorder="1" applyAlignment="1">
      <alignment horizontal="left" vertical="center" wrapText="1"/>
    </xf>
    <xf numFmtId="0" fontId="7" fillId="12" borderId="3" xfId="1" applyFont="1" applyFill="1" applyBorder="1" applyAlignment="1">
      <alignment horizontal="center" vertical="center"/>
    </xf>
    <xf numFmtId="0" fontId="4" fillId="12" borderId="3" xfId="1" applyFont="1" applyFill="1" applyBorder="1" applyAlignment="1">
      <alignment horizontal="left" vertical="center"/>
    </xf>
    <xf numFmtId="0" fontId="4" fillId="12" borderId="3" xfId="1" applyFont="1" applyFill="1" applyBorder="1" applyAlignment="1">
      <alignment horizontal="left" vertical="center" wrapText="1"/>
    </xf>
    <xf numFmtId="0" fontId="6" fillId="5" borderId="3" xfId="1" applyFont="1" applyFill="1" applyBorder="1" applyAlignment="1">
      <alignment horizontal="center" vertical="center"/>
    </xf>
    <xf numFmtId="0" fontId="4" fillId="5" borderId="3" xfId="1" applyFont="1" applyFill="1" applyBorder="1" applyAlignment="1">
      <alignment horizontal="center" vertical="center"/>
    </xf>
    <xf numFmtId="0" fontId="6" fillId="13" borderId="3" xfId="1" applyFont="1" applyFill="1" applyBorder="1" applyAlignment="1">
      <alignment horizontal="center" vertical="center"/>
    </xf>
    <xf numFmtId="0" fontId="4" fillId="13" borderId="3" xfId="1" applyFont="1" applyFill="1" applyBorder="1" applyAlignment="1">
      <alignment horizontal="left" vertical="center" wrapText="1"/>
    </xf>
    <xf numFmtId="0" fontId="4" fillId="13" borderId="3" xfId="1" applyFont="1" applyFill="1" applyBorder="1" applyAlignment="1">
      <alignment vertical="center" wrapText="1"/>
    </xf>
    <xf numFmtId="164" fontId="4" fillId="13" borderId="3" xfId="1" applyNumberFormat="1" applyFont="1" applyFill="1" applyBorder="1" applyAlignment="1">
      <alignment horizontal="center" vertical="center"/>
    </xf>
    <xf numFmtId="0" fontId="7" fillId="13" borderId="3" xfId="1" applyFont="1" applyFill="1" applyBorder="1" applyAlignment="1">
      <alignment horizontal="center" vertical="center"/>
    </xf>
    <xf numFmtId="0" fontId="4" fillId="13" borderId="3" xfId="1" applyFont="1" applyFill="1" applyBorder="1" applyAlignment="1">
      <alignment horizontal="left" vertical="center"/>
    </xf>
    <xf numFmtId="0" fontId="4" fillId="13" borderId="3" xfId="1" applyFont="1" applyFill="1" applyBorder="1" applyAlignment="1">
      <alignment horizontal="left" vertical="center" wrapText="1"/>
    </xf>
    <xf numFmtId="3" fontId="4" fillId="13" borderId="3" xfId="1" applyNumberFormat="1" applyFont="1" applyFill="1" applyBorder="1" applyAlignment="1">
      <alignment horizontal="center" vertical="center"/>
    </xf>
    <xf numFmtId="0" fontId="8" fillId="5" borderId="3" xfId="1" applyFont="1" applyFill="1" applyBorder="1" applyAlignment="1">
      <alignment horizontal="center" vertical="center"/>
    </xf>
    <xf numFmtId="164" fontId="8" fillId="5" borderId="3" xfId="1" applyNumberFormat="1" applyFont="1" applyFill="1" applyBorder="1" applyAlignment="1">
      <alignment horizontal="center" vertical="center"/>
    </xf>
    <xf numFmtId="0" fontId="9" fillId="0" borderId="0" xfId="0" applyFont="1" applyAlignment="1">
      <alignment horizontal="center" vertical="center"/>
    </xf>
    <xf numFmtId="0" fontId="10" fillId="0" borderId="0" xfId="0" applyFont="1"/>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wrapText="1"/>
    </xf>
    <xf numFmtId="0" fontId="12" fillId="4" borderId="2" xfId="0" applyFont="1" applyFill="1" applyBorder="1" applyAlignment="1">
      <alignment horizontal="center" vertical="center"/>
    </xf>
    <xf numFmtId="0" fontId="12" fillId="4" borderId="2" xfId="0" applyFont="1" applyFill="1" applyBorder="1" applyAlignment="1">
      <alignment horizontal="center" vertical="center"/>
    </xf>
    <xf numFmtId="0" fontId="12" fillId="4" borderId="2" xfId="0" applyFont="1" applyFill="1" applyBorder="1" applyAlignment="1">
      <alignment horizontal="left" vertical="center" wrapText="1"/>
    </xf>
    <xf numFmtId="0" fontId="12" fillId="4" borderId="2" xfId="0" applyFont="1" applyFill="1" applyBorder="1" applyAlignment="1">
      <alignment vertical="center" wrapText="1"/>
    </xf>
    <xf numFmtId="165" fontId="12" fillId="4" borderId="2" xfId="2" applyNumberFormat="1" applyFont="1" applyFill="1" applyBorder="1" applyAlignment="1">
      <alignment vertical="center"/>
    </xf>
    <xf numFmtId="0" fontId="10" fillId="4" borderId="0" xfId="0" applyFont="1" applyFill="1" applyBorder="1"/>
    <xf numFmtId="43" fontId="12" fillId="4" borderId="0" xfId="2" applyFont="1" applyFill="1" applyBorder="1" applyAlignment="1">
      <alignment horizontal="center" vertical="center"/>
    </xf>
    <xf numFmtId="0" fontId="12" fillId="4" borderId="2" xfId="0" applyFont="1" applyFill="1" applyBorder="1" applyAlignment="1">
      <alignment vertical="center"/>
    </xf>
    <xf numFmtId="0" fontId="10" fillId="4" borderId="2" xfId="0" applyFont="1" applyFill="1" applyBorder="1" applyAlignment="1">
      <alignment horizontal="center" vertical="center"/>
    </xf>
    <xf numFmtId="0" fontId="10" fillId="4" borderId="2" xfId="0" applyFont="1" applyFill="1" applyBorder="1" applyAlignment="1">
      <alignment horizontal="center" vertical="center"/>
    </xf>
    <xf numFmtId="0" fontId="10" fillId="4" borderId="2" xfId="0" applyFont="1" applyFill="1" applyBorder="1" applyAlignment="1">
      <alignment horizontal="left" vertical="center" wrapText="1"/>
    </xf>
    <xf numFmtId="0" fontId="10" fillId="4" borderId="2" xfId="0" applyFont="1" applyFill="1" applyBorder="1" applyAlignment="1">
      <alignment vertical="center" wrapText="1"/>
    </xf>
    <xf numFmtId="165" fontId="10" fillId="4" borderId="2" xfId="2" applyNumberFormat="1" applyFont="1" applyFill="1" applyBorder="1" applyAlignment="1">
      <alignment vertical="center"/>
    </xf>
    <xf numFmtId="43" fontId="10" fillId="4" borderId="0" xfId="2" applyFont="1" applyFill="1" applyBorder="1" applyAlignment="1">
      <alignment horizontal="center" vertical="center"/>
    </xf>
    <xf numFmtId="0" fontId="10" fillId="4" borderId="2" xfId="0" applyFont="1" applyFill="1" applyBorder="1" applyAlignment="1">
      <alignment horizontal="center" vertical="center" wrapText="1"/>
    </xf>
    <xf numFmtId="0" fontId="10" fillId="4" borderId="2" xfId="0" applyFont="1" applyFill="1" applyBorder="1" applyAlignment="1">
      <alignment horizontal="center" vertical="center" wrapText="1"/>
    </xf>
    <xf numFmtId="0" fontId="10" fillId="4" borderId="2" xfId="0" applyFont="1" applyFill="1" applyBorder="1" applyAlignment="1">
      <alignment vertical="center"/>
    </xf>
    <xf numFmtId="0" fontId="13" fillId="4" borderId="2" xfId="0" applyFont="1" applyFill="1" applyBorder="1" applyAlignment="1">
      <alignment horizontal="center" vertical="center"/>
    </xf>
    <xf numFmtId="165" fontId="13" fillId="4" borderId="2" xfId="0" applyNumberFormat="1" applyFont="1" applyFill="1" applyBorder="1" applyAlignment="1">
      <alignment horizontal="center" vertical="center"/>
    </xf>
    <xf numFmtId="0" fontId="14" fillId="0" borderId="0" xfId="0" applyFont="1" applyAlignment="1">
      <alignment horizontal="center" vertical="center"/>
    </xf>
    <xf numFmtId="0" fontId="14" fillId="4" borderId="0" xfId="0" applyFont="1" applyFill="1" applyBorder="1" applyAlignment="1">
      <alignment horizontal="center" vertical="center"/>
    </xf>
    <xf numFmtId="43" fontId="14" fillId="4" borderId="0" xfId="0" applyNumberFormat="1" applyFont="1" applyFill="1" applyBorder="1" applyAlignment="1">
      <alignment horizontal="center" vertical="center"/>
    </xf>
    <xf numFmtId="0" fontId="10" fillId="0" borderId="0" xfId="0" applyFont="1" applyAlignment="1">
      <alignment wrapText="1"/>
    </xf>
    <xf numFmtId="0" fontId="15" fillId="0" borderId="0" xfId="0" applyFont="1" applyAlignment="1">
      <alignment horizontal="center" vertical="center"/>
    </xf>
    <xf numFmtId="0" fontId="16" fillId="0" borderId="0" xfId="0" applyFont="1"/>
    <xf numFmtId="0" fontId="10" fillId="0" borderId="0" xfId="0" applyFont="1" applyAlignment="1">
      <alignment horizontal="center"/>
    </xf>
    <xf numFmtId="0" fontId="5" fillId="4" borderId="2" xfId="0" applyFont="1" applyFill="1" applyBorder="1" applyAlignment="1">
      <alignment horizontal="center" vertical="center"/>
    </xf>
    <xf numFmtId="0" fontId="17" fillId="4" borderId="4" xfId="0" applyFont="1" applyFill="1" applyBorder="1" applyAlignment="1">
      <alignment horizontal="center" vertical="center"/>
    </xf>
    <xf numFmtId="0" fontId="17" fillId="4" borderId="2" xfId="0" applyFont="1" applyFill="1" applyBorder="1" applyAlignment="1">
      <alignment horizontal="left" vertical="center" wrapText="1"/>
    </xf>
    <xf numFmtId="166" fontId="17" fillId="4" borderId="2" xfId="0" applyNumberFormat="1" applyFont="1" applyFill="1" applyBorder="1" applyAlignment="1">
      <alignment horizontal="center" vertical="center"/>
    </xf>
    <xf numFmtId="0" fontId="17" fillId="4" borderId="5" xfId="0" applyFont="1" applyFill="1" applyBorder="1" applyAlignment="1">
      <alignment horizontal="center" vertical="center"/>
    </xf>
    <xf numFmtId="0" fontId="17" fillId="4" borderId="2" xfId="0" applyFont="1" applyFill="1" applyBorder="1" applyAlignment="1">
      <alignment horizontal="center" vertical="center"/>
    </xf>
    <xf numFmtId="166" fontId="17" fillId="4" borderId="2" xfId="0" applyNumberFormat="1" applyFont="1" applyFill="1" applyBorder="1" applyAlignment="1">
      <alignment horizontal="left" vertical="center" wrapText="1"/>
    </xf>
    <xf numFmtId="166" fontId="17" fillId="4" borderId="2" xfId="0" applyNumberFormat="1" applyFont="1" applyFill="1" applyBorder="1" applyAlignment="1">
      <alignment vertical="center" wrapText="1"/>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18" fillId="4" borderId="8" xfId="0" applyFont="1" applyFill="1" applyBorder="1" applyAlignment="1">
      <alignment horizontal="center" vertical="center"/>
    </xf>
    <xf numFmtId="166" fontId="18" fillId="4" borderId="2" xfId="0" applyNumberFormat="1" applyFont="1" applyFill="1" applyBorder="1" applyAlignment="1">
      <alignment vertical="center"/>
    </xf>
  </cellXfs>
  <cellStyles count="3">
    <cellStyle name="Milliers 2" xfId="2" xr:uid="{F1178968-93C6-4334-8516-0664834808BE}"/>
    <cellStyle name="Normal" xfId="0" builtinId="0"/>
    <cellStyle name="Normal 2" xfId="1" xr:uid="{26B19AB6-6A59-49EA-B5AF-D6DBA75B952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80174-93C5-479B-8D2A-650DF1DD70B2}">
  <dimension ref="A1:F57"/>
  <sheetViews>
    <sheetView zoomScale="70" zoomScaleNormal="70" workbookViewId="0">
      <selection activeCell="D5" sqref="D5:F5"/>
    </sheetView>
  </sheetViews>
  <sheetFormatPr baseColWidth="10" defaultColWidth="10.7265625" defaultRowHeight="19" x14ac:dyDescent="0.5"/>
  <cols>
    <col min="1" max="1" width="22.26953125" style="4" bestFit="1" customWidth="1"/>
    <col min="2" max="2" width="15.81640625" style="4" customWidth="1"/>
    <col min="3" max="3" width="75.26953125" style="5" customWidth="1"/>
    <col min="4" max="4" width="82.1796875" style="6" customWidth="1"/>
    <col min="5" max="5" width="190.81640625" style="6" bestFit="1" customWidth="1"/>
    <col min="6" max="6" width="25.26953125" style="8" customWidth="1"/>
    <col min="7" max="7" width="10.81640625" style="4" customWidth="1"/>
    <col min="8" max="16384" width="10.7265625" style="4"/>
  </cols>
  <sheetData>
    <row r="1" spans="1:6" ht="34.5" x14ac:dyDescent="0.5">
      <c r="A1" s="1" t="s">
        <v>0</v>
      </c>
      <c r="B1" s="2"/>
      <c r="C1" s="3"/>
      <c r="D1" s="2"/>
      <c r="E1" s="2"/>
      <c r="F1" s="2"/>
    </row>
    <row r="2" spans="1:6" x14ac:dyDescent="0.5">
      <c r="E2" s="7"/>
    </row>
    <row r="3" spans="1:6" ht="51.75" customHeight="1" x14ac:dyDescent="0.5">
      <c r="A3" s="9" t="s">
        <v>1</v>
      </c>
      <c r="B3" s="9" t="s">
        <v>2</v>
      </c>
      <c r="C3" s="10" t="s">
        <v>3</v>
      </c>
      <c r="D3" s="10" t="s">
        <v>4</v>
      </c>
      <c r="E3" s="10" t="s">
        <v>5</v>
      </c>
      <c r="F3" s="10" t="s">
        <v>6</v>
      </c>
    </row>
    <row r="4" spans="1:6" s="16" customFormat="1" ht="31.5" customHeight="1" x14ac:dyDescent="0.5">
      <c r="A4" s="11" t="s">
        <v>7</v>
      </c>
      <c r="B4" s="12" t="s">
        <v>8</v>
      </c>
      <c r="C4" s="13" t="s">
        <v>9</v>
      </c>
      <c r="D4" s="14" t="s">
        <v>10</v>
      </c>
      <c r="E4" s="14" t="s">
        <v>11</v>
      </c>
      <c r="F4" s="15">
        <v>2091568</v>
      </c>
    </row>
    <row r="5" spans="1:6" s="16" customFormat="1" x14ac:dyDescent="0.5">
      <c r="A5" s="11"/>
      <c r="B5" s="12" t="s">
        <v>12</v>
      </c>
      <c r="C5" s="17" t="s">
        <v>13</v>
      </c>
      <c r="D5" s="14" t="s">
        <v>14</v>
      </c>
      <c r="E5" s="14" t="s">
        <v>15</v>
      </c>
      <c r="F5" s="15">
        <v>78000</v>
      </c>
    </row>
    <row r="6" spans="1:6" s="16" customFormat="1" ht="35.25" customHeight="1" x14ac:dyDescent="0.5">
      <c r="A6" s="11"/>
      <c r="B6" s="12" t="s">
        <v>8</v>
      </c>
      <c r="C6" s="13" t="s">
        <v>9</v>
      </c>
      <c r="D6" s="14" t="s">
        <v>16</v>
      </c>
      <c r="E6" s="14" t="s">
        <v>17</v>
      </c>
      <c r="F6" s="15">
        <v>126000</v>
      </c>
    </row>
    <row r="7" spans="1:6" s="16" customFormat="1" ht="38" x14ac:dyDescent="0.5">
      <c r="A7" s="11"/>
      <c r="B7" s="12" t="s">
        <v>18</v>
      </c>
      <c r="C7" s="17" t="s">
        <v>19</v>
      </c>
      <c r="D7" s="14" t="s">
        <v>20</v>
      </c>
      <c r="E7" s="14" t="s">
        <v>21</v>
      </c>
      <c r="F7" s="15">
        <v>165500</v>
      </c>
    </row>
    <row r="8" spans="1:6" s="16" customFormat="1" ht="30.75" customHeight="1" x14ac:dyDescent="0.5">
      <c r="A8" s="18" t="s">
        <v>22</v>
      </c>
      <c r="B8" s="12" t="s">
        <v>8</v>
      </c>
      <c r="C8" s="13" t="s">
        <v>9</v>
      </c>
      <c r="D8" s="19" t="s">
        <v>10</v>
      </c>
      <c r="E8" s="20" t="s">
        <v>23</v>
      </c>
      <c r="F8" s="21">
        <v>1000000</v>
      </c>
    </row>
    <row r="9" spans="1:6" s="16" customFormat="1" ht="28.5" customHeight="1" x14ac:dyDescent="0.5">
      <c r="A9" s="18"/>
      <c r="B9" s="12" t="s">
        <v>8</v>
      </c>
      <c r="C9" s="13" t="s">
        <v>9</v>
      </c>
      <c r="D9" s="19"/>
      <c r="E9" s="20" t="s">
        <v>24</v>
      </c>
      <c r="F9" s="21">
        <v>846731</v>
      </c>
    </row>
    <row r="10" spans="1:6" s="16" customFormat="1" ht="32.25" customHeight="1" x14ac:dyDescent="0.5">
      <c r="A10" s="18"/>
      <c r="B10" s="12" t="s">
        <v>8</v>
      </c>
      <c r="C10" s="13" t="s">
        <v>9</v>
      </c>
      <c r="D10" s="22" t="s">
        <v>16</v>
      </c>
      <c r="E10" s="20" t="s">
        <v>25</v>
      </c>
      <c r="F10" s="21">
        <v>200000</v>
      </c>
    </row>
    <row r="11" spans="1:6" s="16" customFormat="1" ht="38" x14ac:dyDescent="0.5">
      <c r="A11" s="18"/>
      <c r="B11" s="12" t="s">
        <v>18</v>
      </c>
      <c r="C11" s="17" t="s">
        <v>19</v>
      </c>
      <c r="D11" s="22" t="s">
        <v>20</v>
      </c>
      <c r="E11" s="20" t="s">
        <v>26</v>
      </c>
      <c r="F11" s="21">
        <v>141900</v>
      </c>
    </row>
    <row r="12" spans="1:6" s="16" customFormat="1" ht="38" x14ac:dyDescent="0.5">
      <c r="A12" s="18"/>
      <c r="B12" s="12" t="s">
        <v>18</v>
      </c>
      <c r="C12" s="17" t="s">
        <v>19</v>
      </c>
      <c r="D12" s="22" t="s">
        <v>27</v>
      </c>
      <c r="E12" s="20" t="s">
        <v>28</v>
      </c>
      <c r="F12" s="21">
        <v>26700</v>
      </c>
    </row>
    <row r="13" spans="1:6" s="16" customFormat="1" x14ac:dyDescent="0.5">
      <c r="A13" s="18"/>
      <c r="B13" s="23" t="s">
        <v>18</v>
      </c>
      <c r="C13" s="24" t="s">
        <v>19</v>
      </c>
      <c r="D13" s="22" t="s">
        <v>29</v>
      </c>
      <c r="E13" s="20" t="s">
        <v>30</v>
      </c>
      <c r="F13" s="21">
        <v>480000</v>
      </c>
    </row>
    <row r="14" spans="1:6" s="16" customFormat="1" ht="63" customHeight="1" x14ac:dyDescent="0.5">
      <c r="A14" s="18"/>
      <c r="B14" s="23" t="s">
        <v>18</v>
      </c>
      <c r="C14" s="24" t="s">
        <v>19</v>
      </c>
      <c r="D14" s="22" t="s">
        <v>31</v>
      </c>
      <c r="E14" s="20" t="s">
        <v>32</v>
      </c>
      <c r="F14" s="21">
        <v>300000</v>
      </c>
    </row>
    <row r="15" spans="1:6" s="16" customFormat="1" ht="32.25" customHeight="1" x14ac:dyDescent="0.5">
      <c r="A15" s="25" t="s">
        <v>33</v>
      </c>
      <c r="B15" s="12" t="s">
        <v>8</v>
      </c>
      <c r="C15" s="13" t="s">
        <v>9</v>
      </c>
      <c r="D15" s="26" t="s">
        <v>10</v>
      </c>
      <c r="E15" s="26" t="s">
        <v>34</v>
      </c>
      <c r="F15" s="27">
        <v>1000000</v>
      </c>
    </row>
    <row r="16" spans="1:6" s="16" customFormat="1" ht="32.25" customHeight="1" x14ac:dyDescent="0.5">
      <c r="A16" s="25"/>
      <c r="B16" s="12" t="s">
        <v>8</v>
      </c>
      <c r="C16" s="13" t="s">
        <v>9</v>
      </c>
      <c r="D16" s="26" t="s">
        <v>35</v>
      </c>
      <c r="E16" s="26" t="s">
        <v>36</v>
      </c>
      <c r="F16" s="27">
        <v>739200</v>
      </c>
    </row>
    <row r="17" spans="1:6" s="16" customFormat="1" ht="32.25" customHeight="1" x14ac:dyDescent="0.5">
      <c r="A17" s="28" t="s">
        <v>37</v>
      </c>
      <c r="B17" s="12" t="s">
        <v>8</v>
      </c>
      <c r="C17" s="13" t="s">
        <v>9</v>
      </c>
      <c r="D17" s="29" t="s">
        <v>35</v>
      </c>
      <c r="E17" s="29" t="s">
        <v>38</v>
      </c>
      <c r="F17" s="30">
        <v>1276800</v>
      </c>
    </row>
    <row r="18" spans="1:6" s="16" customFormat="1" ht="32.25" customHeight="1" x14ac:dyDescent="0.5">
      <c r="A18" s="31" t="s">
        <v>39</v>
      </c>
      <c r="B18" s="12" t="s">
        <v>8</v>
      </c>
      <c r="C18" s="13" t="s">
        <v>9</v>
      </c>
      <c r="D18" s="32" t="s">
        <v>10</v>
      </c>
      <c r="E18" s="32" t="s">
        <v>40</v>
      </c>
      <c r="F18" s="33">
        <v>5796360</v>
      </c>
    </row>
    <row r="19" spans="1:6" s="16" customFormat="1" x14ac:dyDescent="0.5">
      <c r="A19" s="31"/>
      <c r="B19" s="34" t="s">
        <v>12</v>
      </c>
      <c r="C19" s="35" t="s">
        <v>13</v>
      </c>
      <c r="D19" s="36" t="s">
        <v>41</v>
      </c>
      <c r="E19" s="32" t="s">
        <v>41</v>
      </c>
      <c r="F19" s="33">
        <v>340000</v>
      </c>
    </row>
    <row r="20" spans="1:6" s="16" customFormat="1" x14ac:dyDescent="0.5">
      <c r="A20" s="37" t="s">
        <v>42</v>
      </c>
      <c r="B20" s="38" t="s">
        <v>43</v>
      </c>
      <c r="C20" s="39" t="s">
        <v>44</v>
      </c>
      <c r="D20" s="40" t="s">
        <v>45</v>
      </c>
      <c r="E20" s="41" t="s">
        <v>46</v>
      </c>
      <c r="F20" s="42">
        <v>397934</v>
      </c>
    </row>
    <row r="21" spans="1:6" s="16" customFormat="1" x14ac:dyDescent="0.5">
      <c r="A21" s="37"/>
      <c r="B21" s="43" t="s">
        <v>43</v>
      </c>
      <c r="C21" s="39" t="s">
        <v>44</v>
      </c>
      <c r="D21" s="40"/>
      <c r="E21" s="41" t="s">
        <v>47</v>
      </c>
      <c r="F21" s="42">
        <v>207575</v>
      </c>
    </row>
    <row r="22" spans="1:6" s="16" customFormat="1" x14ac:dyDescent="0.5">
      <c r="A22" s="37"/>
      <c r="B22" s="34" t="s">
        <v>12</v>
      </c>
      <c r="C22" s="35" t="s">
        <v>13</v>
      </c>
      <c r="D22" s="44" t="s">
        <v>41</v>
      </c>
      <c r="E22" s="41" t="s">
        <v>41</v>
      </c>
      <c r="F22" s="42">
        <v>2200000</v>
      </c>
    </row>
    <row r="23" spans="1:6" s="16" customFormat="1" ht="57" x14ac:dyDescent="0.5">
      <c r="A23" s="37"/>
      <c r="B23" s="12" t="s">
        <v>8</v>
      </c>
      <c r="C23" s="13" t="s">
        <v>9</v>
      </c>
      <c r="D23" s="41" t="s">
        <v>16</v>
      </c>
      <c r="E23" s="41" t="s">
        <v>48</v>
      </c>
      <c r="F23" s="42">
        <v>300000</v>
      </c>
    </row>
    <row r="24" spans="1:6" s="16" customFormat="1" ht="38" x14ac:dyDescent="0.5">
      <c r="A24" s="37"/>
      <c r="B24" s="12" t="s">
        <v>18</v>
      </c>
      <c r="C24" s="17" t="s">
        <v>19</v>
      </c>
      <c r="D24" s="41" t="s">
        <v>20</v>
      </c>
      <c r="E24" s="41" t="s">
        <v>49</v>
      </c>
      <c r="F24" s="42">
        <v>250000</v>
      </c>
    </row>
    <row r="25" spans="1:6" s="16" customFormat="1" ht="38" x14ac:dyDescent="0.5">
      <c r="A25" s="37"/>
      <c r="B25" s="12" t="s">
        <v>18</v>
      </c>
      <c r="C25" s="17" t="s">
        <v>19</v>
      </c>
      <c r="D25" s="41" t="s">
        <v>50</v>
      </c>
      <c r="E25" s="41" t="s">
        <v>51</v>
      </c>
      <c r="F25" s="42">
        <v>25000</v>
      </c>
    </row>
    <row r="26" spans="1:6" s="16" customFormat="1" ht="38" x14ac:dyDescent="0.5">
      <c r="A26" s="37"/>
      <c r="B26" s="12" t="s">
        <v>18</v>
      </c>
      <c r="C26" s="17" t="s">
        <v>19</v>
      </c>
      <c r="D26" s="41" t="s">
        <v>27</v>
      </c>
      <c r="E26" s="41" t="s">
        <v>52</v>
      </c>
      <c r="F26" s="42">
        <v>38000</v>
      </c>
    </row>
    <row r="27" spans="1:6" s="16" customFormat="1" x14ac:dyDescent="0.5">
      <c r="A27" s="37"/>
      <c r="B27" s="43" t="s">
        <v>18</v>
      </c>
      <c r="C27" s="39" t="s">
        <v>19</v>
      </c>
      <c r="D27" s="41" t="s">
        <v>29</v>
      </c>
      <c r="E27" s="41" t="s">
        <v>53</v>
      </c>
      <c r="F27" s="42">
        <v>10560000</v>
      </c>
    </row>
    <row r="28" spans="1:6" s="16" customFormat="1" x14ac:dyDescent="0.5">
      <c r="A28" s="37"/>
      <c r="B28" s="23" t="s">
        <v>18</v>
      </c>
      <c r="C28" s="24" t="s">
        <v>19</v>
      </c>
      <c r="D28" s="41" t="s">
        <v>54</v>
      </c>
      <c r="E28" s="41" t="s">
        <v>55</v>
      </c>
      <c r="F28" s="42">
        <v>144000</v>
      </c>
    </row>
    <row r="29" spans="1:6" s="16" customFormat="1" ht="38" x14ac:dyDescent="0.5">
      <c r="A29" s="37"/>
      <c r="B29" s="23" t="s">
        <v>18</v>
      </c>
      <c r="C29" s="24" t="s">
        <v>19</v>
      </c>
      <c r="D29" s="41" t="s">
        <v>31</v>
      </c>
      <c r="E29" s="41" t="s">
        <v>56</v>
      </c>
      <c r="F29" s="42">
        <v>800000</v>
      </c>
    </row>
    <row r="30" spans="1:6" s="16" customFormat="1" x14ac:dyDescent="0.5">
      <c r="A30" s="45" t="s">
        <v>57</v>
      </c>
      <c r="B30" s="12" t="s">
        <v>8</v>
      </c>
      <c r="C30" s="13" t="s">
        <v>9</v>
      </c>
      <c r="D30" s="46" t="s">
        <v>10</v>
      </c>
      <c r="E30" s="46" t="s">
        <v>58</v>
      </c>
      <c r="F30" s="47">
        <v>1733306</v>
      </c>
    </row>
    <row r="31" spans="1:6" s="16" customFormat="1" x14ac:dyDescent="0.5">
      <c r="A31" s="45"/>
      <c r="B31" s="34" t="s">
        <v>12</v>
      </c>
      <c r="C31" s="35" t="s">
        <v>13</v>
      </c>
      <c r="D31" s="48" t="s">
        <v>41</v>
      </c>
      <c r="E31" s="46" t="s">
        <v>41</v>
      </c>
      <c r="F31" s="47">
        <v>670000</v>
      </c>
    </row>
    <row r="32" spans="1:6" s="16" customFormat="1" x14ac:dyDescent="0.5">
      <c r="A32" s="45"/>
      <c r="B32" s="38" t="s">
        <v>43</v>
      </c>
      <c r="C32" s="39" t="s">
        <v>44</v>
      </c>
      <c r="D32" s="46" t="s">
        <v>59</v>
      </c>
      <c r="E32" s="46" t="s">
        <v>60</v>
      </c>
      <c r="F32" s="47">
        <v>2500000</v>
      </c>
    </row>
    <row r="33" spans="1:6" s="16" customFormat="1" ht="57" x14ac:dyDescent="0.5">
      <c r="A33" s="45"/>
      <c r="B33" s="12" t="s">
        <v>8</v>
      </c>
      <c r="C33" s="13" t="s">
        <v>9</v>
      </c>
      <c r="D33" s="46" t="s">
        <v>16</v>
      </c>
      <c r="E33" s="46" t="s">
        <v>61</v>
      </c>
      <c r="F33" s="47">
        <v>800000</v>
      </c>
    </row>
    <row r="34" spans="1:6" s="16" customFormat="1" ht="38" x14ac:dyDescent="0.5">
      <c r="A34" s="45"/>
      <c r="B34" s="12" t="s">
        <v>18</v>
      </c>
      <c r="C34" s="17" t="s">
        <v>19</v>
      </c>
      <c r="D34" s="46" t="s">
        <v>20</v>
      </c>
      <c r="E34" s="46" t="s">
        <v>62</v>
      </c>
      <c r="F34" s="47">
        <v>195000</v>
      </c>
    </row>
    <row r="35" spans="1:6" s="16" customFormat="1" ht="38" x14ac:dyDescent="0.5">
      <c r="A35" s="45"/>
      <c r="B35" s="12" t="s">
        <v>18</v>
      </c>
      <c r="C35" s="17" t="s">
        <v>19</v>
      </c>
      <c r="D35" s="46" t="s">
        <v>50</v>
      </c>
      <c r="E35" s="46" t="s">
        <v>63</v>
      </c>
      <c r="F35" s="47">
        <v>50000</v>
      </c>
    </row>
    <row r="36" spans="1:6" s="16" customFormat="1" ht="38" x14ac:dyDescent="0.5">
      <c r="A36" s="45"/>
      <c r="B36" s="12" t="s">
        <v>18</v>
      </c>
      <c r="C36" s="17" t="s">
        <v>19</v>
      </c>
      <c r="D36" s="46" t="s">
        <v>27</v>
      </c>
      <c r="E36" s="46" t="s">
        <v>64</v>
      </c>
      <c r="F36" s="47">
        <v>245000</v>
      </c>
    </row>
    <row r="37" spans="1:6" s="16" customFormat="1" ht="38" x14ac:dyDescent="0.5">
      <c r="A37" s="45"/>
      <c r="B37" s="23" t="s">
        <v>18</v>
      </c>
      <c r="C37" s="24" t="s">
        <v>19</v>
      </c>
      <c r="D37" s="46" t="s">
        <v>31</v>
      </c>
      <c r="E37" s="46" t="s">
        <v>65</v>
      </c>
      <c r="F37" s="47">
        <v>1000000</v>
      </c>
    </row>
    <row r="38" spans="1:6" s="16" customFormat="1" x14ac:dyDescent="0.5">
      <c r="A38" s="49" t="s">
        <v>66</v>
      </c>
      <c r="B38" s="12" t="s">
        <v>8</v>
      </c>
      <c r="C38" s="13" t="s">
        <v>9</v>
      </c>
      <c r="D38" s="50" t="s">
        <v>10</v>
      </c>
      <c r="E38" s="50" t="s">
        <v>67</v>
      </c>
      <c r="F38" s="51">
        <v>5024032</v>
      </c>
    </row>
    <row r="39" spans="1:6" s="16" customFormat="1" x14ac:dyDescent="0.5">
      <c r="A39" s="49"/>
      <c r="B39" s="34" t="s">
        <v>12</v>
      </c>
      <c r="C39" s="35" t="s">
        <v>13</v>
      </c>
      <c r="D39" s="52" t="s">
        <v>41</v>
      </c>
      <c r="E39" s="50" t="s">
        <v>41</v>
      </c>
      <c r="F39" s="51">
        <v>400000</v>
      </c>
    </row>
    <row r="40" spans="1:6" s="16" customFormat="1" x14ac:dyDescent="0.5">
      <c r="A40" s="53" t="s">
        <v>68</v>
      </c>
      <c r="B40" s="12" t="s">
        <v>8</v>
      </c>
      <c r="C40" s="13" t="s">
        <v>9</v>
      </c>
      <c r="D40" s="54" t="s">
        <v>10</v>
      </c>
      <c r="E40" s="54" t="s">
        <v>69</v>
      </c>
      <c r="F40" s="55">
        <v>6000000</v>
      </c>
    </row>
    <row r="41" spans="1:6" s="16" customFormat="1" x14ac:dyDescent="0.5">
      <c r="A41" s="53"/>
      <c r="B41" s="38" t="s">
        <v>43</v>
      </c>
      <c r="C41" s="39" t="s">
        <v>44</v>
      </c>
      <c r="D41" s="56" t="s">
        <v>45</v>
      </c>
      <c r="E41" s="54" t="s">
        <v>70</v>
      </c>
      <c r="F41" s="55">
        <v>232266</v>
      </c>
    </row>
    <row r="42" spans="1:6" s="16" customFormat="1" x14ac:dyDescent="0.5">
      <c r="A42" s="53"/>
      <c r="B42" s="57" t="s">
        <v>43</v>
      </c>
      <c r="C42" s="58" t="s">
        <v>44</v>
      </c>
      <c r="D42" s="56"/>
      <c r="E42" s="54" t="s">
        <v>71</v>
      </c>
      <c r="F42" s="55">
        <v>1055025</v>
      </c>
    </row>
    <row r="43" spans="1:6" s="16" customFormat="1" x14ac:dyDescent="0.5">
      <c r="A43" s="53"/>
      <c r="B43" s="57" t="s">
        <v>43</v>
      </c>
      <c r="C43" s="58" t="s">
        <v>44</v>
      </c>
      <c r="D43" s="56"/>
      <c r="E43" s="54" t="s">
        <v>72</v>
      </c>
      <c r="F43" s="55">
        <v>1004535</v>
      </c>
    </row>
    <row r="44" spans="1:6" s="16" customFormat="1" x14ac:dyDescent="0.5">
      <c r="A44" s="53"/>
      <c r="B44" s="57" t="s">
        <v>43</v>
      </c>
      <c r="C44" s="58" t="s">
        <v>44</v>
      </c>
      <c r="D44" s="56"/>
      <c r="E44" s="54" t="s">
        <v>73</v>
      </c>
      <c r="F44" s="55">
        <v>793830</v>
      </c>
    </row>
    <row r="45" spans="1:6" s="16" customFormat="1" x14ac:dyDescent="0.5">
      <c r="A45" s="53"/>
      <c r="B45" s="34" t="s">
        <v>12</v>
      </c>
      <c r="C45" s="35" t="s">
        <v>13</v>
      </c>
      <c r="D45" s="59" t="s">
        <v>41</v>
      </c>
      <c r="E45" s="54" t="s">
        <v>41</v>
      </c>
      <c r="F45" s="55">
        <v>2000000</v>
      </c>
    </row>
    <row r="46" spans="1:6" s="16" customFormat="1" ht="76" x14ac:dyDescent="0.5">
      <c r="A46" s="53"/>
      <c r="B46" s="12" t="s">
        <v>8</v>
      </c>
      <c r="C46" s="13" t="s">
        <v>9</v>
      </c>
      <c r="D46" s="54" t="s">
        <v>16</v>
      </c>
      <c r="E46" s="54" t="s">
        <v>74</v>
      </c>
      <c r="F46" s="55">
        <v>200000</v>
      </c>
    </row>
    <row r="47" spans="1:6" s="16" customFormat="1" ht="38" x14ac:dyDescent="0.5">
      <c r="A47" s="53"/>
      <c r="B47" s="12" t="s">
        <v>18</v>
      </c>
      <c r="C47" s="17" t="s">
        <v>19</v>
      </c>
      <c r="D47" s="54" t="s">
        <v>20</v>
      </c>
      <c r="E47" s="54" t="s">
        <v>75</v>
      </c>
      <c r="F47" s="55">
        <v>580000</v>
      </c>
    </row>
    <row r="48" spans="1:6" s="16" customFormat="1" x14ac:dyDescent="0.5">
      <c r="A48" s="53"/>
      <c r="B48" s="57" t="s">
        <v>18</v>
      </c>
      <c r="C48" s="58" t="s">
        <v>19</v>
      </c>
      <c r="D48" s="54" t="s">
        <v>29</v>
      </c>
      <c r="E48" s="54" t="s">
        <v>76</v>
      </c>
      <c r="F48" s="55">
        <v>4000000</v>
      </c>
    </row>
    <row r="49" spans="1:6" s="16" customFormat="1" x14ac:dyDescent="0.5">
      <c r="A49" s="60" t="s">
        <v>77</v>
      </c>
      <c r="B49" s="34" t="s">
        <v>12</v>
      </c>
      <c r="C49" s="35" t="s">
        <v>13</v>
      </c>
      <c r="D49" s="22" t="s">
        <v>41</v>
      </c>
      <c r="E49" s="20" t="s">
        <v>41</v>
      </c>
      <c r="F49" s="61">
        <v>655000</v>
      </c>
    </row>
    <row r="50" spans="1:6" s="16" customFormat="1" x14ac:dyDescent="0.5">
      <c r="A50" s="62" t="s">
        <v>78</v>
      </c>
      <c r="B50" s="38" t="s">
        <v>43</v>
      </c>
      <c r="C50" s="39" t="s">
        <v>44</v>
      </c>
      <c r="D50" s="63" t="s">
        <v>45</v>
      </c>
      <c r="E50" s="64" t="s">
        <v>79</v>
      </c>
      <c r="F50" s="65">
        <v>5182920</v>
      </c>
    </row>
    <row r="51" spans="1:6" s="16" customFormat="1" x14ac:dyDescent="0.5">
      <c r="A51" s="62"/>
      <c r="B51" s="66" t="s">
        <v>43</v>
      </c>
      <c r="C51" s="67" t="s">
        <v>44</v>
      </c>
      <c r="D51" s="63"/>
      <c r="E51" s="64" t="s">
        <v>80</v>
      </c>
      <c r="F51" s="65">
        <v>152818</v>
      </c>
    </row>
    <row r="52" spans="1:6" s="16" customFormat="1" x14ac:dyDescent="0.5">
      <c r="A52" s="62"/>
      <c r="B52" s="66" t="s">
        <v>43</v>
      </c>
      <c r="C52" s="67" t="s">
        <v>44</v>
      </c>
      <c r="D52" s="63"/>
      <c r="E52" s="64" t="s">
        <v>81</v>
      </c>
      <c r="F52" s="65">
        <v>1418000</v>
      </c>
    </row>
    <row r="53" spans="1:6" s="16" customFormat="1" ht="38" x14ac:dyDescent="0.5">
      <c r="A53" s="62"/>
      <c r="B53" s="38" t="s">
        <v>43</v>
      </c>
      <c r="C53" s="39" t="s">
        <v>44</v>
      </c>
      <c r="D53" s="64" t="s">
        <v>59</v>
      </c>
      <c r="E53" s="64" t="s">
        <v>82</v>
      </c>
      <c r="F53" s="65">
        <v>800000</v>
      </c>
    </row>
    <row r="54" spans="1:6" s="16" customFormat="1" x14ac:dyDescent="0.5">
      <c r="A54" s="62"/>
      <c r="B54" s="34" t="s">
        <v>12</v>
      </c>
      <c r="C54" s="35" t="s">
        <v>13</v>
      </c>
      <c r="D54" s="68" t="s">
        <v>41</v>
      </c>
      <c r="E54" s="64" t="s">
        <v>41</v>
      </c>
      <c r="F54" s="69">
        <v>3700000</v>
      </c>
    </row>
    <row r="55" spans="1:6" s="16" customFormat="1" ht="38" x14ac:dyDescent="0.5">
      <c r="A55" s="62"/>
      <c r="B55" s="12" t="s">
        <v>18</v>
      </c>
      <c r="C55" s="17" t="s">
        <v>19</v>
      </c>
      <c r="D55" s="64" t="s">
        <v>20</v>
      </c>
      <c r="E55" s="64" t="s">
        <v>83</v>
      </c>
      <c r="F55" s="65">
        <v>705000</v>
      </c>
    </row>
    <row r="56" spans="1:6" s="16" customFormat="1" x14ac:dyDescent="0.5">
      <c r="A56" s="62"/>
      <c r="B56" s="23" t="s">
        <v>18</v>
      </c>
      <c r="C56" s="24" t="s">
        <v>19</v>
      </c>
      <c r="D56" s="64" t="s">
        <v>54</v>
      </c>
      <c r="E56" s="64" t="s">
        <v>84</v>
      </c>
      <c r="F56" s="65">
        <v>372000</v>
      </c>
    </row>
    <row r="57" spans="1:6" s="16" customFormat="1" ht="30.75" customHeight="1" x14ac:dyDescent="0.5">
      <c r="A57" s="70" t="s">
        <v>85</v>
      </c>
      <c r="B57" s="70"/>
      <c r="C57" s="70"/>
      <c r="D57" s="70"/>
      <c r="E57" s="70"/>
      <c r="F57" s="71">
        <v>71000000</v>
      </c>
    </row>
  </sheetData>
  <autoFilter ref="A3:F57" xr:uid="{00000000-0009-0000-0000-000000000000}"/>
  <mergeCells count="15">
    <mergeCell ref="A50:A56"/>
    <mergeCell ref="D50:D52"/>
    <mergeCell ref="A57:E57"/>
    <mergeCell ref="A20:A29"/>
    <mergeCell ref="D20:D21"/>
    <mergeCell ref="A30:A37"/>
    <mergeCell ref="A38:A39"/>
    <mergeCell ref="A40:A48"/>
    <mergeCell ref="D41:D44"/>
    <mergeCell ref="A1:F1"/>
    <mergeCell ref="A4:A7"/>
    <mergeCell ref="A8:A14"/>
    <mergeCell ref="D8:D9"/>
    <mergeCell ref="A15:A16"/>
    <mergeCell ref="A18:A19"/>
  </mergeCells>
  <pageMargins left="0" right="0" top="0" bottom="0" header="0" footer="0"/>
  <pageSetup paperSize="9" scale="60" fitToWidth="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0F639-A642-49DA-AAA0-09F89748182C}">
  <dimension ref="A1:L21"/>
  <sheetViews>
    <sheetView workbookViewId="0">
      <selection activeCell="D5" sqref="D5:F5"/>
    </sheetView>
  </sheetViews>
  <sheetFormatPr baseColWidth="10" defaultColWidth="9.1796875" defaultRowHeight="15" x14ac:dyDescent="0.4"/>
  <cols>
    <col min="1" max="1" width="19" style="73" bestFit="1" customWidth="1"/>
    <col min="2" max="2" width="10.453125" style="73" bestFit="1" customWidth="1"/>
    <col min="3" max="3" width="48.26953125" style="98" customWidth="1"/>
    <col min="4" max="4" width="55.54296875" style="73" customWidth="1"/>
    <col min="5" max="5" width="57.1796875" style="73" customWidth="1"/>
    <col min="6" max="6" width="16" style="73" customWidth="1"/>
    <col min="7" max="16384" width="9.1796875" style="73"/>
  </cols>
  <sheetData>
    <row r="1" spans="1:12" ht="32" x14ac:dyDescent="0.4">
      <c r="A1" s="72" t="s">
        <v>86</v>
      </c>
      <c r="B1" s="72"/>
      <c r="C1" s="72"/>
      <c r="D1" s="72"/>
      <c r="E1" s="72"/>
      <c r="F1" s="72"/>
    </row>
    <row r="3" spans="1:12" ht="26.25" customHeight="1" x14ac:dyDescent="0.4">
      <c r="A3" s="74" t="s">
        <v>1</v>
      </c>
      <c r="B3" s="74" t="s">
        <v>2</v>
      </c>
      <c r="C3" s="75" t="s">
        <v>3</v>
      </c>
      <c r="D3" s="74" t="s">
        <v>87</v>
      </c>
      <c r="E3" s="74" t="s">
        <v>88</v>
      </c>
      <c r="F3" s="75" t="s">
        <v>89</v>
      </c>
    </row>
    <row r="4" spans="1:12" ht="36" customHeight="1" x14ac:dyDescent="0.4">
      <c r="A4" s="76" t="s">
        <v>90</v>
      </c>
      <c r="B4" s="77" t="s">
        <v>8</v>
      </c>
      <c r="C4" s="78" t="s">
        <v>9</v>
      </c>
      <c r="D4" s="79" t="s">
        <v>10</v>
      </c>
      <c r="E4" s="79" t="s">
        <v>91</v>
      </c>
      <c r="F4" s="80">
        <v>10000000</v>
      </c>
      <c r="H4" s="81"/>
      <c r="I4" s="82"/>
      <c r="J4" s="81"/>
      <c r="K4" s="81"/>
      <c r="L4" s="81"/>
    </row>
    <row r="5" spans="1:12" ht="28.5" customHeight="1" x14ac:dyDescent="0.4">
      <c r="A5" s="76"/>
      <c r="B5" s="77" t="s">
        <v>12</v>
      </c>
      <c r="C5" s="78" t="s">
        <v>13</v>
      </c>
      <c r="D5" s="79" t="s">
        <v>14</v>
      </c>
      <c r="E5" s="79" t="s">
        <v>92</v>
      </c>
      <c r="F5" s="80">
        <v>2000000</v>
      </c>
      <c r="H5" s="81"/>
      <c r="I5" s="82"/>
      <c r="J5" s="81"/>
      <c r="K5" s="81"/>
      <c r="L5" s="81"/>
    </row>
    <row r="6" spans="1:12" ht="49.5" customHeight="1" x14ac:dyDescent="0.4">
      <c r="A6" s="76"/>
      <c r="B6" s="77" t="s">
        <v>18</v>
      </c>
      <c r="C6" s="78" t="s">
        <v>19</v>
      </c>
      <c r="D6" s="79" t="s">
        <v>27</v>
      </c>
      <c r="E6" s="83" t="s">
        <v>93</v>
      </c>
      <c r="F6" s="80">
        <v>300000</v>
      </c>
      <c r="H6" s="81"/>
      <c r="I6" s="82"/>
      <c r="J6" s="81"/>
      <c r="K6" s="81"/>
      <c r="L6" s="81"/>
    </row>
    <row r="7" spans="1:12" ht="19.5" customHeight="1" x14ac:dyDescent="0.4">
      <c r="A7" s="76"/>
      <c r="B7" s="77" t="s">
        <v>43</v>
      </c>
      <c r="C7" s="78" t="s">
        <v>44</v>
      </c>
      <c r="D7" s="79" t="s">
        <v>59</v>
      </c>
      <c r="E7" s="79" t="s">
        <v>94</v>
      </c>
      <c r="F7" s="80">
        <v>100000</v>
      </c>
      <c r="H7" s="81"/>
      <c r="I7" s="82"/>
      <c r="J7" s="81"/>
      <c r="K7" s="81"/>
      <c r="L7" s="81"/>
    </row>
    <row r="8" spans="1:12" ht="30" x14ac:dyDescent="0.4">
      <c r="A8" s="84" t="s">
        <v>95</v>
      </c>
      <c r="B8" s="85" t="s">
        <v>8</v>
      </c>
      <c r="C8" s="78" t="s">
        <v>9</v>
      </c>
      <c r="D8" s="86" t="s">
        <v>10</v>
      </c>
      <c r="E8" s="87" t="s">
        <v>96</v>
      </c>
      <c r="F8" s="88">
        <v>3000000</v>
      </c>
      <c r="H8" s="81"/>
      <c r="I8" s="89"/>
      <c r="J8" s="81"/>
      <c r="K8" s="81"/>
      <c r="L8" s="81"/>
    </row>
    <row r="9" spans="1:12" x14ac:dyDescent="0.4">
      <c r="A9" s="84"/>
      <c r="B9" s="85" t="s">
        <v>12</v>
      </c>
      <c r="C9" s="86" t="s">
        <v>13</v>
      </c>
      <c r="D9" s="86" t="s">
        <v>14</v>
      </c>
      <c r="E9" s="87" t="s">
        <v>97</v>
      </c>
      <c r="F9" s="88">
        <v>5000000</v>
      </c>
      <c r="H9" s="81"/>
      <c r="I9" s="89"/>
      <c r="J9" s="81"/>
      <c r="K9" s="81"/>
      <c r="L9" s="81"/>
    </row>
    <row r="10" spans="1:12" ht="30" x14ac:dyDescent="0.4">
      <c r="A10" s="90" t="s">
        <v>98</v>
      </c>
      <c r="B10" s="91" t="s">
        <v>8</v>
      </c>
      <c r="C10" s="78" t="s">
        <v>9</v>
      </c>
      <c r="D10" s="86" t="s">
        <v>10</v>
      </c>
      <c r="E10" s="87" t="s">
        <v>99</v>
      </c>
      <c r="F10" s="88">
        <v>3000000</v>
      </c>
      <c r="H10" s="81"/>
      <c r="I10" s="89"/>
      <c r="J10" s="81"/>
      <c r="K10" s="81"/>
      <c r="L10" s="81"/>
    </row>
    <row r="11" spans="1:12" x14ac:dyDescent="0.4">
      <c r="A11" s="90"/>
      <c r="B11" s="91" t="s">
        <v>12</v>
      </c>
      <c r="C11" s="86" t="s">
        <v>13</v>
      </c>
      <c r="D11" s="92" t="s">
        <v>14</v>
      </c>
      <c r="E11" s="87" t="s">
        <v>100</v>
      </c>
      <c r="F11" s="88">
        <v>3000000</v>
      </c>
      <c r="H11" s="81"/>
      <c r="I11" s="89"/>
      <c r="J11" s="81"/>
      <c r="K11" s="81"/>
      <c r="L11" s="81"/>
    </row>
    <row r="12" spans="1:12" ht="30" x14ac:dyDescent="0.4">
      <c r="A12" s="84" t="s">
        <v>101</v>
      </c>
      <c r="B12" s="85" t="s">
        <v>8</v>
      </c>
      <c r="C12" s="78" t="s">
        <v>9</v>
      </c>
      <c r="D12" s="86" t="s">
        <v>10</v>
      </c>
      <c r="E12" s="87" t="s">
        <v>102</v>
      </c>
      <c r="F12" s="88">
        <v>6000000</v>
      </c>
      <c r="H12" s="81"/>
      <c r="I12" s="89"/>
      <c r="J12" s="81"/>
      <c r="K12" s="81"/>
      <c r="L12" s="81"/>
    </row>
    <row r="13" spans="1:12" ht="30" x14ac:dyDescent="0.4">
      <c r="A13" s="84"/>
      <c r="B13" s="85" t="s">
        <v>12</v>
      </c>
      <c r="C13" s="86" t="s">
        <v>13</v>
      </c>
      <c r="D13" s="87" t="s">
        <v>14</v>
      </c>
      <c r="E13" s="87" t="s">
        <v>103</v>
      </c>
      <c r="F13" s="88">
        <v>6000000</v>
      </c>
      <c r="H13" s="81"/>
      <c r="I13" s="89"/>
      <c r="J13" s="81"/>
      <c r="K13" s="81"/>
      <c r="L13" s="81"/>
    </row>
    <row r="14" spans="1:12" ht="35.25" customHeight="1" x14ac:dyDescent="0.4">
      <c r="A14" s="85" t="s">
        <v>104</v>
      </c>
      <c r="B14" s="85" t="s">
        <v>8</v>
      </c>
      <c r="C14" s="86" t="s">
        <v>9</v>
      </c>
      <c r="D14" s="87" t="s">
        <v>10</v>
      </c>
      <c r="E14" s="87" t="s">
        <v>105</v>
      </c>
      <c r="F14" s="88">
        <v>3000000</v>
      </c>
      <c r="H14" s="81"/>
      <c r="I14" s="89"/>
      <c r="J14" s="81"/>
      <c r="K14" s="81"/>
      <c r="L14" s="81"/>
    </row>
    <row r="15" spans="1:12" ht="30" x14ac:dyDescent="0.4">
      <c r="A15" s="77" t="s">
        <v>106</v>
      </c>
      <c r="B15" s="77" t="s">
        <v>8</v>
      </c>
      <c r="C15" s="78" t="s">
        <v>9</v>
      </c>
      <c r="D15" s="79" t="s">
        <v>10</v>
      </c>
      <c r="E15" s="79" t="s">
        <v>107</v>
      </c>
      <c r="F15" s="80">
        <v>1000000</v>
      </c>
      <c r="H15" s="81"/>
      <c r="I15" s="82"/>
      <c r="J15" s="81"/>
      <c r="K15" s="81"/>
      <c r="L15" s="81"/>
    </row>
    <row r="16" spans="1:12" ht="30" x14ac:dyDescent="0.4">
      <c r="A16" s="85" t="s">
        <v>108</v>
      </c>
      <c r="B16" s="85" t="s">
        <v>8</v>
      </c>
      <c r="C16" s="86" t="s">
        <v>9</v>
      </c>
      <c r="D16" s="87" t="s">
        <v>10</v>
      </c>
      <c r="E16" s="87" t="s">
        <v>109</v>
      </c>
      <c r="F16" s="88">
        <v>1000000</v>
      </c>
      <c r="H16" s="81"/>
      <c r="I16" s="89"/>
      <c r="J16" s="81"/>
      <c r="K16" s="81"/>
      <c r="L16" s="81"/>
    </row>
    <row r="17" spans="1:12" ht="30" x14ac:dyDescent="0.4">
      <c r="A17" s="91" t="s">
        <v>110</v>
      </c>
      <c r="B17" s="91" t="s">
        <v>8</v>
      </c>
      <c r="C17" s="86" t="s">
        <v>9</v>
      </c>
      <c r="D17" s="87" t="s">
        <v>10</v>
      </c>
      <c r="E17" s="87" t="s">
        <v>111</v>
      </c>
      <c r="F17" s="88">
        <v>6600000</v>
      </c>
      <c r="H17" s="81"/>
      <c r="I17" s="89"/>
      <c r="J17" s="81"/>
      <c r="K17" s="81"/>
      <c r="L17" s="81"/>
    </row>
    <row r="18" spans="1:12" s="95" customFormat="1" ht="30" customHeight="1" x14ac:dyDescent="0.35">
      <c r="A18" s="93" t="s">
        <v>112</v>
      </c>
      <c r="B18" s="93"/>
      <c r="C18" s="93"/>
      <c r="D18" s="93"/>
      <c r="E18" s="93"/>
      <c r="F18" s="94">
        <f>SUM(F4:F17)</f>
        <v>50000000</v>
      </c>
      <c r="H18" s="96"/>
      <c r="I18" s="97"/>
      <c r="J18" s="96"/>
      <c r="K18" s="96"/>
      <c r="L18" s="96"/>
    </row>
    <row r="19" spans="1:12" x14ac:dyDescent="0.4">
      <c r="H19" s="81"/>
      <c r="I19" s="81"/>
      <c r="J19" s="81"/>
      <c r="K19" s="81"/>
      <c r="L19" s="81"/>
    </row>
    <row r="20" spans="1:12" x14ac:dyDescent="0.4">
      <c r="H20" s="81"/>
      <c r="I20" s="81"/>
      <c r="J20" s="81"/>
      <c r="K20" s="81"/>
      <c r="L20" s="81"/>
    </row>
    <row r="21" spans="1:12" x14ac:dyDescent="0.4">
      <c r="H21" s="81"/>
      <c r="I21" s="81"/>
      <c r="J21" s="81"/>
      <c r="K21" s="81"/>
      <c r="L21" s="81"/>
    </row>
  </sheetData>
  <mergeCells count="6">
    <mergeCell ref="A1:F1"/>
    <mergeCell ref="A4:A7"/>
    <mergeCell ref="A8:A9"/>
    <mergeCell ref="A10:A11"/>
    <mergeCell ref="A12:A13"/>
    <mergeCell ref="A18:E18"/>
  </mergeCells>
  <pageMargins left="0" right="0" top="0.15748031496062992" bottom="0.74803149606299213" header="0.31496062992125984" footer="0.31496062992125984"/>
  <pageSetup paperSize="9" scale="7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FBC64-E4B8-4BED-9443-5AF22D3ECC29}">
  <sheetPr>
    <pageSetUpPr fitToPage="1"/>
  </sheetPr>
  <dimension ref="A1:F9"/>
  <sheetViews>
    <sheetView tabSelected="1" view="pageBreakPreview" zoomScale="75" zoomScaleNormal="75" zoomScaleSheetLayoutView="75" workbookViewId="0">
      <selection activeCell="D5" sqref="D5:F5"/>
    </sheetView>
  </sheetViews>
  <sheetFormatPr baseColWidth="10" defaultColWidth="11.453125" defaultRowHeight="15" x14ac:dyDescent="0.4"/>
  <cols>
    <col min="1" max="1" width="23" style="73" customWidth="1"/>
    <col min="2" max="2" width="16.1796875" style="73" customWidth="1"/>
    <col min="3" max="3" width="42.26953125" style="73" customWidth="1"/>
    <col min="4" max="4" width="52.54296875" style="73" customWidth="1"/>
    <col min="5" max="5" width="119.54296875" style="101" customWidth="1"/>
    <col min="6" max="6" width="31.54296875" style="73" customWidth="1"/>
    <col min="7" max="7" width="14.7265625" style="73" bestFit="1" customWidth="1"/>
    <col min="8" max="16384" width="11.453125" style="73"/>
  </cols>
  <sheetData>
    <row r="1" spans="1:6" ht="43.5" customHeight="1" x14ac:dyDescent="0.4">
      <c r="A1" s="99" t="s">
        <v>113</v>
      </c>
      <c r="B1" s="99"/>
      <c r="C1" s="99"/>
      <c r="D1" s="99"/>
      <c r="E1" s="99"/>
      <c r="F1" s="99"/>
    </row>
    <row r="2" spans="1:6" ht="33" customHeight="1" x14ac:dyDescent="0.5">
      <c r="A2" s="100"/>
      <c r="B2" s="100"/>
      <c r="C2" s="100"/>
    </row>
    <row r="3" spans="1:6" ht="47.25" customHeight="1" x14ac:dyDescent="0.4">
      <c r="A3" s="9" t="s">
        <v>1</v>
      </c>
      <c r="B3" s="9" t="s">
        <v>2</v>
      </c>
      <c r="C3" s="9" t="s">
        <v>3</v>
      </c>
      <c r="D3" s="9" t="s">
        <v>4</v>
      </c>
      <c r="E3" s="9" t="s">
        <v>114</v>
      </c>
      <c r="F3" s="10" t="s">
        <v>6</v>
      </c>
    </row>
    <row r="4" spans="1:6" ht="45" customHeight="1" x14ac:dyDescent="0.4">
      <c r="A4" s="102" t="s">
        <v>115</v>
      </c>
      <c r="B4" s="103" t="s">
        <v>8</v>
      </c>
      <c r="C4" s="104" t="s">
        <v>9</v>
      </c>
      <c r="D4" s="104" t="s">
        <v>10</v>
      </c>
      <c r="E4" s="104" t="s">
        <v>116</v>
      </c>
      <c r="F4" s="105">
        <v>1805475</v>
      </c>
    </row>
    <row r="5" spans="1:6" ht="50.25" customHeight="1" x14ac:dyDescent="0.4">
      <c r="A5" s="102"/>
      <c r="B5" s="106"/>
      <c r="C5" s="104" t="s">
        <v>9</v>
      </c>
      <c r="D5" s="104" t="s">
        <v>10</v>
      </c>
      <c r="E5" s="104" t="s">
        <v>117</v>
      </c>
      <c r="F5" s="105">
        <v>2587200.0000000005</v>
      </c>
    </row>
    <row r="6" spans="1:6" ht="35.25" customHeight="1" x14ac:dyDescent="0.4">
      <c r="A6" s="102"/>
      <c r="B6" s="107" t="s">
        <v>12</v>
      </c>
      <c r="C6" s="108" t="s">
        <v>13</v>
      </c>
      <c r="D6" s="108" t="s">
        <v>14</v>
      </c>
      <c r="E6" s="104" t="s">
        <v>41</v>
      </c>
      <c r="F6" s="105">
        <v>3500000</v>
      </c>
    </row>
    <row r="7" spans="1:6" ht="205.5" customHeight="1" x14ac:dyDescent="0.4">
      <c r="A7" s="102"/>
      <c r="B7" s="107" t="s">
        <v>18</v>
      </c>
      <c r="C7" s="104" t="s">
        <v>19</v>
      </c>
      <c r="D7" s="109" t="s">
        <v>118</v>
      </c>
      <c r="E7" s="104" t="s">
        <v>119</v>
      </c>
      <c r="F7" s="105">
        <v>870000</v>
      </c>
    </row>
    <row r="8" spans="1:6" ht="44.25" customHeight="1" x14ac:dyDescent="0.4">
      <c r="A8" s="102"/>
      <c r="B8" s="107" t="s">
        <v>8</v>
      </c>
      <c r="C8" s="104" t="s">
        <v>9</v>
      </c>
      <c r="D8" s="108" t="s">
        <v>120</v>
      </c>
      <c r="E8" s="104" t="s">
        <v>121</v>
      </c>
      <c r="F8" s="105">
        <v>500000</v>
      </c>
    </row>
    <row r="9" spans="1:6" ht="31.5" customHeight="1" x14ac:dyDescent="0.4">
      <c r="A9" s="110" t="s">
        <v>85</v>
      </c>
      <c r="B9" s="111"/>
      <c r="C9" s="111"/>
      <c r="D9" s="111"/>
      <c r="E9" s="112"/>
      <c r="F9" s="113">
        <f>SUM(F4:F8)</f>
        <v>9262675</v>
      </c>
    </row>
  </sheetData>
  <autoFilter ref="A3:E8" xr:uid="{00000000-0009-0000-0000-000004000000}"/>
  <mergeCells count="4">
    <mergeCell ref="A1:F1"/>
    <mergeCell ref="A4:A8"/>
    <mergeCell ref="B4:B5"/>
    <mergeCell ref="A9:E9"/>
  </mergeCells>
  <pageMargins left="0.23622047244094491" right="0.23622047244094491" top="0.35433070866141736" bottom="0.55118110236220474" header="0.31496062992125984" footer="0.31496062992125984"/>
  <pageSetup paperSize="9" scale="5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1</vt:i4>
      </vt:variant>
    </vt:vector>
  </HeadingPairs>
  <TitlesOfParts>
    <vt:vector size="4" baseType="lpstr">
      <vt:lpstr>Sidi Kacem</vt:lpstr>
      <vt:lpstr>Kénitra</vt:lpstr>
      <vt:lpstr>Sidi Slimane</vt:lpstr>
      <vt:lpstr>'Sidi Slimane'!Zone_d_impression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CHIKI JAMAL</dc:creator>
  <cp:lastModifiedBy>CHIKI JAMAL</cp:lastModifiedBy>
  <dcterms:created xsi:type="dcterms:W3CDTF">2026-06-02T23:42:32Z</dcterms:created>
  <dcterms:modified xsi:type="dcterms:W3CDTF">2026-06-02T23:42:52Z</dcterms:modified>
</cp:coreProperties>
</file>