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iste Projets" sheetId="1" state="visible" r:id="rId1"/>
    <sheet xmlns:r="http://schemas.openxmlformats.org/officeDocument/2006/relationships" name="Guide" sheetId="2" state="visible" r:id="rId2"/>
    <sheet xmlns:r="http://schemas.openxmlformats.org/officeDocument/2006/relationships" name="S23" sheetId="3" state="visible" r:id="rId3"/>
    <sheet xmlns:r="http://schemas.openxmlformats.org/officeDocument/2006/relationships" name="S24" sheetId="4" state="visible" r:id="rId4"/>
    <sheet xmlns:r="http://schemas.openxmlformats.org/officeDocument/2006/relationships" name="S25" sheetId="5" state="visible" r:id="rId5"/>
    <sheet xmlns:r="http://schemas.openxmlformats.org/officeDocument/2006/relationships" name="S26" sheetId="6" state="visible" r:id="rId6"/>
    <sheet xmlns:r="http://schemas.openxmlformats.org/officeDocument/2006/relationships" name="S27" sheetId="7" state="visible" r:id="rId7"/>
    <sheet xmlns:r="http://schemas.openxmlformats.org/officeDocument/2006/relationships" name="S28" sheetId="8" state="visible" r:id="rId8"/>
    <sheet xmlns:r="http://schemas.openxmlformats.org/officeDocument/2006/relationships" name="S29" sheetId="9" state="visible" r:id="rId9"/>
    <sheet xmlns:r="http://schemas.openxmlformats.org/officeDocument/2006/relationships" name="S30" sheetId="10" state="visible" r:id="rId10"/>
    <sheet xmlns:r="http://schemas.openxmlformats.org/officeDocument/2006/relationships" name="S31" sheetId="11" state="visible" r:id="rId11"/>
    <sheet xmlns:r="http://schemas.openxmlformats.org/officeDocument/2006/relationships" name="S32" sheetId="12" state="visible" r:id="rId12"/>
    <sheet xmlns:r="http://schemas.openxmlformats.org/officeDocument/2006/relationships" name="S33" sheetId="13" state="visible" r:id="rId13"/>
    <sheet xmlns:r="http://schemas.openxmlformats.org/officeDocument/2006/relationships" name="S34" sheetId="14" state="visible" r:id="rId14"/>
    <sheet xmlns:r="http://schemas.openxmlformats.org/officeDocument/2006/relationships" name="S35" sheetId="15" state="visible" r:id="rId15"/>
    <sheet xmlns:r="http://schemas.openxmlformats.org/officeDocument/2006/relationships" name="S36" sheetId="16" state="visible" r:id="rId16"/>
    <sheet xmlns:r="http://schemas.openxmlformats.org/officeDocument/2006/relationships" name="S37" sheetId="17" state="visible" r:id="rId17"/>
    <sheet xmlns:r="http://schemas.openxmlformats.org/officeDocument/2006/relationships" name="S38" sheetId="18" state="visible" r:id="rId18"/>
    <sheet xmlns:r="http://schemas.openxmlformats.org/officeDocument/2006/relationships" name="S39" sheetId="19" state="visible" r:id="rId19"/>
    <sheet xmlns:r="http://schemas.openxmlformats.org/officeDocument/2006/relationships" name="S40" sheetId="20" state="visible" r:id="rId20"/>
    <sheet xmlns:r="http://schemas.openxmlformats.org/officeDocument/2006/relationships" name="S41" sheetId="21" state="visible" r:id="rId21"/>
    <sheet xmlns:r="http://schemas.openxmlformats.org/officeDocument/2006/relationships" name="S42" sheetId="22" state="visible" r:id="rId22"/>
    <sheet xmlns:r="http://schemas.openxmlformats.org/officeDocument/2006/relationships" name="S43" sheetId="23" state="visible" r:id="rId23"/>
    <sheet xmlns:r="http://schemas.openxmlformats.org/officeDocument/2006/relationships" name="S44" sheetId="24" state="visible" r:id="rId24"/>
    <sheet xmlns:r="http://schemas.openxmlformats.org/officeDocument/2006/relationships" name="S45" sheetId="25" state="visible" r:id="rId25"/>
    <sheet xmlns:r="http://schemas.openxmlformats.org/officeDocument/2006/relationships" name="S46" sheetId="26" state="visible" r:id="rId26"/>
    <sheet xmlns:r="http://schemas.openxmlformats.org/officeDocument/2006/relationships" name="S47" sheetId="27" state="visible" r:id="rId27"/>
    <sheet xmlns:r="http://schemas.openxmlformats.org/officeDocument/2006/relationships" name="S48" sheetId="28" state="visible" r:id="rId28"/>
    <sheet xmlns:r="http://schemas.openxmlformats.org/officeDocument/2006/relationships" name="S49" sheetId="29" state="visible" r:id="rId29"/>
    <sheet xmlns:r="http://schemas.openxmlformats.org/officeDocument/2006/relationships" name="S50" sheetId="30" state="visible" r:id="rId30"/>
    <sheet xmlns:r="http://schemas.openxmlformats.org/officeDocument/2006/relationships" name="S51" sheetId="31" state="visible" r:id="rId31"/>
    <sheet xmlns:r="http://schemas.openxmlformats.org/officeDocument/2006/relationships" name="S52" sheetId="32" state="visible" r:id="rId32"/>
    <sheet xmlns:r="http://schemas.openxmlformats.org/officeDocument/2006/relationships" name="Récapitulatif" sheetId="33" state="visible" r:id="rId33"/>
  </sheets>
  <definedNames/>
  <calcPr calcId="124519" fullCalcOnLoad="1"/>
</workbook>
</file>

<file path=xl/styles.xml><?xml version="1.0" encoding="utf-8"?>
<styleSheet xmlns="http://schemas.openxmlformats.org/spreadsheetml/2006/main">
  <numFmts count="3">
    <numFmt numFmtId="164" formatCode="YYYY-MM-DD"/>
    <numFmt numFmtId="165" formatCode="#,##0.0"/>
    <numFmt numFmtId="166" formatCode="0.0%"/>
  </numFmts>
  <fonts count="17">
    <font>
      <name val="Calibri"/>
      <family val="2"/>
      <color theme="1"/>
      <sz val="11"/>
      <scheme val="minor"/>
    </font>
    <font>
      <name val="Noto Sans CJK SC"/>
      <color rgb="001B2A4A"/>
      <sz val="16"/>
    </font>
    <font>
      <name val="Noto Sans CJK SC"/>
      <b val="1"/>
      <color rgb="008C8A84"/>
      <sz val="9"/>
    </font>
    <font>
      <name val="Noto Sans CJK SC"/>
      <b val="1"/>
      <color rgb="001B7D46"/>
      <sz val="9"/>
    </font>
    <font>
      <name val="Noto Sans CJK SC"/>
      <color rgb="00FFFFFF"/>
      <sz val="11"/>
    </font>
    <font>
      <name val="Noto Sans CJK SC"/>
      <color rgb="0037352F"/>
      <sz val="11"/>
    </font>
    <font>
      <name val="Noto Sans CJK SC"/>
      <color rgb="00C76E7E"/>
      <sz val="11"/>
    </font>
    <font>
      <name val="Noto Sans CJK SC"/>
      <color rgb="001B7D46"/>
      <sz val="11"/>
    </font>
    <font>
      <name val="Noto Sans CJK SC"/>
      <color rgb="00D4A017"/>
      <sz val="11"/>
    </font>
    <font>
      <name val="Noto Sans CJK SC"/>
      <color rgb="005BB58A"/>
      <sz val="11"/>
    </font>
    <font>
      <name val="Noto Sans CJK SC"/>
      <color rgb="001B2A4A"/>
      <sz val="11"/>
    </font>
    <font>
      <name val="Noto Sans CJK SC"/>
      <color rgb="001B2A4A"/>
      <sz val="10"/>
    </font>
    <font>
      <name val="Noto Sans CJK SC"/>
      <color rgb="000000FF"/>
      <sz val="11"/>
    </font>
    <font>
      <name val="Noto Sans CJK SC"/>
      <b val="1"/>
      <color rgb="00D4820A"/>
      <sz val="9"/>
    </font>
    <font>
      <name val="Noto Sans CJK SC"/>
      <b val="1"/>
      <color rgb="00C0392B"/>
      <sz val="9"/>
    </font>
    <font>
      <name val="Noto Sans CJK SC"/>
      <color rgb="00008000"/>
      <sz val="11"/>
    </font>
    <font>
      <name val="Noto Sans CJK SC"/>
      <color rgb="001B2A4A"/>
      <sz val="22"/>
    </font>
  </fonts>
  <fills count="16">
    <fill>
      <patternFill/>
    </fill>
    <fill>
      <patternFill patternType="gray125"/>
    </fill>
    <fill>
      <patternFill patternType="solid">
        <fgColor rgb="001B2A4A"/>
      </patternFill>
    </fill>
    <fill>
      <patternFill patternType="solid">
        <fgColor rgb="00FFFFFF"/>
      </patternFill>
    </fill>
    <fill>
      <patternFill patternType="solid">
        <fgColor rgb="00FFF0F3"/>
      </patternFill>
    </fill>
    <fill>
      <patternFill patternType="solid">
        <fgColor rgb="00F7F7F5"/>
      </patternFill>
    </fill>
    <fill>
      <patternFill patternType="solid">
        <fgColor rgb="00FFF8DC"/>
      </patternFill>
    </fill>
    <fill>
      <patternFill patternType="solid">
        <fgColor rgb="00F0FFF4"/>
      </patternFill>
    </fill>
    <fill>
      <patternFill patternType="solid">
        <fgColor rgb="00D6E4F0"/>
      </patternFill>
    </fill>
    <fill>
      <patternFill patternType="solid">
        <fgColor rgb="00FFFFCC"/>
      </patternFill>
    </fill>
    <fill>
      <patternFill patternType="solid">
        <fgColor rgb="00E8F5E9"/>
      </patternFill>
    </fill>
    <fill>
      <patternFill patternType="solid">
        <fgColor rgb="00FEF9E7"/>
      </patternFill>
    </fill>
    <fill>
      <patternFill patternType="solid">
        <fgColor rgb="00FDEDEC"/>
      </patternFill>
    </fill>
    <fill>
      <patternFill patternType="solid">
        <fgColor rgb="001B7D46"/>
      </patternFill>
    </fill>
    <fill>
      <patternFill patternType="solid">
        <fgColor rgb="00B8650A"/>
      </patternFill>
    </fill>
    <fill>
      <patternFill patternType="solid">
        <fgColor rgb="00A0322B"/>
      </patternFill>
    </fill>
  </fills>
  <borders count="3">
    <border>
      <left/>
      <right/>
      <top/>
      <bottom/>
      <diagonal/>
    </border>
    <border>
      <bottom style="thin">
        <color rgb="00E9E9E8"/>
      </bottom>
    </border>
    <border>
      <top style="medium">
        <color rgb="00E9E9E8"/>
      </top>
    </border>
  </borders>
  <cellStyleXfs count="1">
    <xf numFmtId="0" fontId="0" fillId="0" borderId="0"/>
  </cellStyleXfs>
  <cellXfs count="62">
    <xf numFmtId="0" fontId="0" fillId="0" borderId="0" pivotButton="0" quotePrefix="0" xfId="0"/>
    <xf numFmtId="0" fontId="1" fillId="0" borderId="0" applyAlignment="1" pivotButton="0" quotePrefix="0" xfId="0">
      <alignment horizontal="left" vertical="center"/>
    </xf>
    <xf numFmtId="0" fontId="2" fillId="0" borderId="0" pivotButton="0" quotePrefix="0" xfId="0"/>
    <xf numFmtId="0" fontId="3" fillId="0" borderId="0" pivotButton="0" quotePrefix="0" xfId="0"/>
    <xf numFmtId="0" fontId="4" fillId="2" borderId="1" applyAlignment="1" pivotButton="0" quotePrefix="0" xfId="0">
      <alignment horizontal="center" vertical="center" wrapText="1"/>
    </xf>
    <xf numFmtId="0" fontId="5" fillId="3" borderId="0" pivotButton="0" quotePrefix="0" xfId="0"/>
    <xf numFmtId="0" fontId="6" fillId="4" borderId="0" pivotButton="0" quotePrefix="0" xfId="0"/>
    <xf numFmtId="3" fontId="5" fillId="3" borderId="0" pivotButton="0" quotePrefix="0" xfId="0"/>
    <xf numFmtId="0" fontId="7" fillId="3" borderId="0" pivotButton="0" quotePrefix="0" xfId="0"/>
    <xf numFmtId="3" fontId="7" fillId="3" borderId="0" pivotButton="0" quotePrefix="0" xfId="0"/>
    <xf numFmtId="0" fontId="5" fillId="5" borderId="0" pivotButton="0" quotePrefix="0" xfId="0"/>
    <xf numFmtId="3" fontId="5" fillId="5" borderId="0" pivotButton="0" quotePrefix="0" xfId="0"/>
    <xf numFmtId="0" fontId="7" fillId="5" borderId="0" pivotButton="0" quotePrefix="0" xfId="0"/>
    <xf numFmtId="3" fontId="7" fillId="5" borderId="0" pivotButton="0" quotePrefix="0" xfId="0"/>
    <xf numFmtId="0" fontId="8" fillId="6" borderId="0" pivotButton="0" quotePrefix="0" xfId="0"/>
    <xf numFmtId="0" fontId="9" fillId="7" borderId="0" pivotButton="0" quotePrefix="0" xfId="0"/>
    <xf numFmtId="0" fontId="10" fillId="8" borderId="2" pivotButton="0" quotePrefix="0" xfId="0"/>
    <xf numFmtId="3" fontId="10" fillId="8" borderId="2" pivotButton="0" quotePrefix="0" xfId="0"/>
    <xf numFmtId="0" fontId="10" fillId="0" borderId="0" pivotButton="0" quotePrefix="0" xfId="0"/>
    <xf numFmtId="0" fontId="5" fillId="0" borderId="0" applyAlignment="1" pivotButton="0" quotePrefix="0" xfId="0">
      <alignment vertical="center" wrapText="1"/>
    </xf>
    <xf numFmtId="0" fontId="11" fillId="0" borderId="0" pivotButton="0" quotePrefix="0" xfId="0"/>
    <xf numFmtId="164" fontId="12" fillId="9" borderId="0" applyProtection="1" pivotButton="0" quotePrefix="0" xfId="0">
      <protection locked="0" hidden="0"/>
    </xf>
    <xf numFmtId="0" fontId="2" fillId="0" borderId="0" applyAlignment="1" pivotButton="0" quotePrefix="0" xfId="0">
      <alignment horizontal="center"/>
    </xf>
    <xf numFmtId="0" fontId="3" fillId="10" borderId="0" applyAlignment="1" pivotButton="0" quotePrefix="0" xfId="0">
      <alignment horizontal="center"/>
    </xf>
    <xf numFmtId="0" fontId="13" fillId="11" borderId="0" applyAlignment="1" pivotButton="0" quotePrefix="0" xfId="0">
      <alignment horizontal="center"/>
    </xf>
    <xf numFmtId="0" fontId="14" fillId="12" borderId="0" applyAlignment="1" pivotButton="0" quotePrefix="0" xfId="0">
      <alignment horizontal="center"/>
    </xf>
    <xf numFmtId="0" fontId="4" fillId="13" borderId="1" applyAlignment="1" pivotButton="0" quotePrefix="0" xfId="0">
      <alignment horizontal="center" vertical="center" wrapText="1"/>
    </xf>
    <xf numFmtId="0" fontId="4" fillId="14" borderId="1" applyAlignment="1" pivotButton="0" quotePrefix="0" xfId="0">
      <alignment horizontal="center" vertical="center" wrapText="1"/>
    </xf>
    <xf numFmtId="0" fontId="4" fillId="15" borderId="1" applyAlignment="1" pivotButton="0" quotePrefix="0" xfId="0">
      <alignment horizontal="center" vertical="center" wrapText="1"/>
    </xf>
    <xf numFmtId="165" fontId="12" fillId="9" borderId="0" applyProtection="1" pivotButton="0" quotePrefix="0" xfId="0">
      <protection locked="0" hidden="0"/>
    </xf>
    <xf numFmtId="165" fontId="5" fillId="3" borderId="0" pivotButton="0" quotePrefix="0" xfId="0"/>
    <xf numFmtId="166" fontId="5" fillId="3" borderId="0" pivotButton="0" quotePrefix="0" xfId="0"/>
    <xf numFmtId="3" fontId="12" fillId="9" borderId="0" applyProtection="1" pivotButton="0" quotePrefix="0" xfId="0">
      <protection locked="0" hidden="0"/>
    </xf>
    <xf numFmtId="166" fontId="12" fillId="9" borderId="0" applyProtection="1" pivotButton="0" quotePrefix="0" xfId="0">
      <protection locked="0" hidden="0"/>
    </xf>
    <xf numFmtId="0" fontId="12" fillId="9" borderId="0" applyProtection="1" pivotButton="0" quotePrefix="0" xfId="0">
      <protection locked="0" hidden="0"/>
    </xf>
    <xf numFmtId="165" fontId="5" fillId="5" borderId="0" pivotButton="0" quotePrefix="0" xfId="0"/>
    <xf numFmtId="166" fontId="5" fillId="5" borderId="0" pivotButton="0" quotePrefix="0" xfId="0"/>
    <xf numFmtId="165" fontId="10" fillId="8" borderId="2" pivotButton="0" quotePrefix="0" xfId="0"/>
    <xf numFmtId="166" fontId="10" fillId="8" borderId="2" pivotButton="0" quotePrefix="0" xfId="0"/>
    <xf numFmtId="165" fontId="15" fillId="3" borderId="0" pivotButton="0" quotePrefix="0" xfId="0"/>
    <xf numFmtId="166" fontId="15" fillId="3" borderId="0" pivotButton="0" quotePrefix="0" xfId="0"/>
    <xf numFmtId="165" fontId="15" fillId="5" borderId="0" pivotButton="0" quotePrefix="0" xfId="0"/>
    <xf numFmtId="166" fontId="15" fillId="5" borderId="0" pivotButton="0" quotePrefix="0" xfId="0"/>
    <xf numFmtId="0" fontId="5" fillId="0" borderId="0" pivotButton="0" quotePrefix="0" xfId="0"/>
    <xf numFmtId="0" fontId="15" fillId="0" borderId="0" applyAlignment="1" pivotButton="0" quotePrefix="0" xfId="0">
      <alignment horizontal="right" vertical="center"/>
    </xf>
    <xf numFmtId="3" fontId="15" fillId="0" borderId="0" applyAlignment="1" pivotButton="0" quotePrefix="0" xfId="0">
      <alignment horizontal="right" vertical="center"/>
    </xf>
    <xf numFmtId="166" fontId="15" fillId="0" borderId="0" applyAlignment="1" pivotButton="0" quotePrefix="0" xfId="0">
      <alignment horizontal="right" vertical="center"/>
    </xf>
    <xf numFmtId="3" fontId="15" fillId="3" borderId="0" pivotButton="0" quotePrefix="0" xfId="0"/>
    <xf numFmtId="3" fontId="15" fillId="5" borderId="0" pivotButton="0" quotePrefix="0" xfId="0"/>
    <xf numFmtId="164" fontId="12" fillId="9" borderId="0" applyProtection="1" pivotButton="0" quotePrefix="0" xfId="0">
      <protection locked="0" hidden="0"/>
    </xf>
    <xf numFmtId="0" fontId="0" fillId="0" borderId="0" applyProtection="1" pivotButton="0" quotePrefix="0" xfId="0">
      <protection locked="0" hidden="0"/>
    </xf>
    <xf numFmtId="165" fontId="12" fillId="9" borderId="0" applyProtection="1" pivotButton="0" quotePrefix="0" xfId="0">
      <protection locked="0" hidden="0"/>
    </xf>
    <xf numFmtId="165" fontId="15" fillId="3" borderId="0" pivotButton="0" quotePrefix="0" xfId="0"/>
    <xf numFmtId="166" fontId="5" fillId="3" borderId="0" pivotButton="0" quotePrefix="0" xfId="0"/>
    <xf numFmtId="166" fontId="15" fillId="3" borderId="0" pivotButton="0" quotePrefix="0" xfId="0"/>
    <xf numFmtId="166" fontId="12" fillId="9" borderId="0" applyProtection="1" pivotButton="0" quotePrefix="0" xfId="0">
      <protection locked="0" hidden="0"/>
    </xf>
    <xf numFmtId="165" fontId="15" fillId="5" borderId="0" pivotButton="0" quotePrefix="0" xfId="0"/>
    <xf numFmtId="166" fontId="5" fillId="5" borderId="0" pivotButton="0" quotePrefix="0" xfId="0"/>
    <xf numFmtId="166" fontId="15" fillId="5" borderId="0" pivotButton="0" quotePrefix="0" xfId="0"/>
    <xf numFmtId="165" fontId="10" fillId="8" borderId="2" pivotButton="0" quotePrefix="0" xfId="0"/>
    <xf numFmtId="166" fontId="10" fillId="8" borderId="2" pivotButton="0" quotePrefix="0" xfId="0"/>
    <xf numFmtId="166" fontId="15" fillId="0" borderId="0" applyAlignment="1" pivotButton="0" quotePrefix="0" xfId="0">
      <alignment horizontal="right" vertical="center"/>
    </xf>
  </cellXfs>
  <cellStyles count="1">
    <cellStyle name="Normal" xfId="0" builtinId="0" hidden="0"/>
  </cellStyles>
  <dxfs count="3">
    <dxf>
      <font>
        <color rgb="001B7D46"/>
      </font>
      <fill>
        <patternFill>
          <bgColor rgb="00E8F5E9"/>
        </patternFill>
      </fill>
    </dxf>
    <dxf>
      <font>
        <color rgb="00C0392B"/>
      </font>
      <fill>
        <patternFill>
          <bgColor rgb="00FDEDEC"/>
        </patternFill>
      </fill>
    </dxf>
    <dxf>
      <font>
        <color rgb="00D4820A"/>
      </font>
      <fill>
        <patternFill>
          <bgColor rgb="00FEF9E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styles" Target="styles.xml" Id="rId34"/><Relationship Type="http://schemas.openxmlformats.org/officeDocument/2006/relationships/theme" Target="theme/theme1.xml" Id="rId3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B2A4A"/>
    <outlinePr summaryBelow="1" summaryRight="1"/>
    <pageSetUpPr/>
  </sheetPr>
  <dimension ref="B2:K77"/>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5" customWidth="1" min="2" max="2"/>
    <col width="14" customWidth="1" min="3" max="3"/>
    <col width="18" customWidth="1" min="4" max="4"/>
    <col width="9" customWidth="1" min="5" max="5"/>
    <col width="32" customWidth="1" min="6" max="6"/>
    <col width="28" customWidth="1" min="7" max="7"/>
    <col width="34" customWidth="1" min="8" max="8"/>
    <col width="14" customWidth="1" min="9" max="9"/>
    <col width="8" customWidth="1" min="10" max="10"/>
    <col width="12" customWidth="1" min="11" max="11"/>
  </cols>
  <sheetData>
    <row r="1" ht="15" customHeight="1"/>
    <row r="2" ht="32" customHeight="1">
      <c r="B2" s="1" t="inlineStr">
        <is>
          <t>Liste Référentielle des Projets - Indicateurs Physiques (Juin–Décembre 2026)</t>
        </is>
      </c>
    </row>
    <row r="3" ht="8" customHeight="1">
      <c r="B3" s="2" t="inlineStr">
        <is>
          <t>Identification</t>
        </is>
      </c>
      <c r="J3" s="3" t="inlineStr">
        <is>
          <t>Indicateurs Physiques</t>
        </is>
      </c>
    </row>
    <row r="4" ht="28" customHeight="1">
      <c r="B4" s="4" t="inlineStr">
        <is>
          <t>N°</t>
        </is>
      </c>
      <c r="C4" s="4" t="inlineStr">
        <is>
          <t>Province</t>
        </is>
      </c>
      <c r="D4" s="4" t="inlineStr">
        <is>
          <t>Commune</t>
        </is>
      </c>
      <c r="E4" s="4" t="inlineStr">
        <is>
          <t>Rubrique</t>
        </is>
      </c>
      <c r="F4" s="4" t="inlineStr">
        <is>
          <t>Intitulé Rubrique</t>
        </is>
      </c>
      <c r="G4" s="4" t="inlineStr">
        <is>
          <t>Projet</t>
        </is>
      </c>
      <c r="H4" s="4" t="inlineStr">
        <is>
          <t>Consistance</t>
        </is>
      </c>
      <c r="I4" s="4" t="inlineStr">
        <is>
          <t>Coût Total (DH)</t>
        </is>
      </c>
      <c r="J4" s="4" t="inlineStr">
        <is>
          <t>Unité</t>
        </is>
      </c>
      <c r="K4" s="4" t="inlineStr">
        <is>
          <t>Qté Prévue</t>
        </is>
      </c>
    </row>
    <row r="5" ht="22" customHeight="1">
      <c r="B5" s="5" t="n">
        <v>1</v>
      </c>
      <c r="C5" s="6" t="inlineStr">
        <is>
          <t>Sidi Kacem</t>
        </is>
      </c>
      <c r="D5" s="5" t="inlineStr">
        <is>
          <t>KHENICHET</t>
        </is>
      </c>
      <c r="E5" s="5" t="inlineStr">
        <is>
          <t>50-23</t>
        </is>
      </c>
      <c r="F5" s="5" t="inlineStr">
        <is>
          <t>Entretien et réparation du réseau d'assainissement et de drainage</t>
        </is>
      </c>
      <c r="G5" s="5" t="inlineStr">
        <is>
          <t>Travaux de curage des canaux en terre</t>
        </is>
      </c>
      <c r="H5" s="5" t="inlineStr">
        <is>
          <t>Curage des collecteurs d'assainissement du secteur EST2</t>
        </is>
      </c>
      <c r="I5" s="7" t="n">
        <v>2091568</v>
      </c>
      <c r="J5" s="8" t="inlineStr">
        <is>
          <t>ml</t>
        </is>
      </c>
      <c r="K5" s="9" t="n">
        <v>1046</v>
      </c>
    </row>
    <row r="6" ht="22" customHeight="1">
      <c r="B6" s="10" t="n">
        <v>2</v>
      </c>
      <c r="C6" s="6" t="inlineStr">
        <is>
          <t>Sidi Kacem</t>
        </is>
      </c>
      <c r="D6" s="10" t="inlineStr">
        <is>
          <t>KHENICHET</t>
        </is>
      </c>
      <c r="E6" s="10" t="inlineStr">
        <is>
          <t>40-21</t>
        </is>
      </c>
      <c r="F6" s="10" t="inlineStr">
        <is>
          <t>Travaux de pistes</t>
        </is>
      </c>
      <c r="G6" s="10" t="inlineStr">
        <is>
          <t>Travaux de réhabilitation des pistes agricoles</t>
        </is>
      </c>
      <c r="H6" s="10" t="inlineStr">
        <is>
          <t>Entretien des pistes agricoles Douar Nouagra et Douar ouled Salem</t>
        </is>
      </c>
      <c r="I6" s="11" t="n">
        <v>78000</v>
      </c>
      <c r="J6" s="12" t="inlineStr">
        <is>
          <t>km</t>
        </is>
      </c>
      <c r="K6" s="13" t="n">
        <v>1</v>
      </c>
    </row>
    <row r="7" ht="22" customHeight="1">
      <c r="B7" s="5" t="n">
        <v>3</v>
      </c>
      <c r="C7" s="6" t="inlineStr">
        <is>
          <t>Sidi Kacem</t>
        </is>
      </c>
      <c r="D7" s="5" t="inlineStr">
        <is>
          <t>KHENICHET</t>
        </is>
      </c>
      <c r="E7" s="5" t="inlineStr">
        <is>
          <t>50-23</t>
        </is>
      </c>
      <c r="F7" s="5" t="inlineStr">
        <is>
          <t>Entretien et réparation du réseau d'assainissement et de drainage</t>
        </is>
      </c>
      <c r="G7" s="5" t="inlineStr">
        <is>
          <t>Curage des prises sur l’oued, bâche d’aspiration et bassin de régulation.</t>
        </is>
      </c>
      <c r="H7" s="5" t="inlineStr">
        <is>
          <t>Curage de la chambre des joints de démontage des siphonnes  de la station de pompage EST2.</t>
        </is>
      </c>
      <c r="I7" s="7" t="n">
        <v>126000</v>
      </c>
      <c r="J7" s="8" t="inlineStr">
        <is>
          <t>ml</t>
        </is>
      </c>
      <c r="K7" s="9" t="n">
        <v>42</v>
      </c>
    </row>
    <row r="8" ht="22" customHeight="1">
      <c r="B8" s="10" t="n">
        <v>4</v>
      </c>
      <c r="C8" s="6" t="inlineStr">
        <is>
          <t>Sidi Kacem</t>
        </is>
      </c>
      <c r="D8" s="10" t="inlineStr">
        <is>
          <t>KHENICHET</t>
        </is>
      </c>
      <c r="E8" s="10" t="inlineStr">
        <is>
          <t>50-21</t>
        </is>
      </c>
      <c r="F8" s="10" t="inlineStr">
        <is>
          <t>Entretien et réparation des stations de pompage</t>
        </is>
      </c>
      <c r="G8" s="10" t="inlineStr">
        <is>
          <t>Prestation de maintenance des débitmètres et leurs équipements annexes installés au niveau des station de pompage</t>
        </is>
      </c>
      <c r="H8" s="10" t="inlineStr">
        <is>
          <t>Changement trois débitmètre Ø 600mm inondés de la station de pompage EST 2 et deux capteurs VEGASON 62</t>
        </is>
      </c>
      <c r="I8" s="11" t="n">
        <v>165500</v>
      </c>
      <c r="J8" s="12" t="inlineStr">
        <is>
          <t>U</t>
        </is>
      </c>
      <c r="K8" s="13" t="n">
        <v>3</v>
      </c>
    </row>
    <row r="9" ht="22" customHeight="1">
      <c r="B9" s="5" t="n">
        <v>5</v>
      </c>
      <c r="C9" s="6" t="inlineStr">
        <is>
          <t>Sidi Kacem</t>
        </is>
      </c>
      <c r="D9" s="5" t="inlineStr">
        <is>
          <t>BIR TALEB</t>
        </is>
      </c>
      <c r="E9" s="5" t="inlineStr">
        <is>
          <t>50-23</t>
        </is>
      </c>
      <c r="F9" s="5" t="inlineStr">
        <is>
          <t>Entretien et réparation du réseau d'assainissement et de drainage</t>
        </is>
      </c>
      <c r="G9" s="5" t="inlineStr">
        <is>
          <t>Travaux de curage des canaux en terre</t>
        </is>
      </c>
      <c r="H9" s="5" t="inlineStr">
        <is>
          <t>Curage du canal d'assainisement Tihli Aval</t>
        </is>
      </c>
      <c r="I9" s="7" t="n">
        <v>1000000</v>
      </c>
      <c r="J9" s="8" t="inlineStr">
        <is>
          <t>ml</t>
        </is>
      </c>
      <c r="K9" s="9" t="n">
        <v>500</v>
      </c>
    </row>
    <row r="10" ht="22" customHeight="1">
      <c r="B10" s="10" t="n">
        <v>6</v>
      </c>
      <c r="C10" s="6" t="inlineStr">
        <is>
          <t>Sidi Kacem</t>
        </is>
      </c>
      <c r="D10" s="10" t="inlineStr">
        <is>
          <t>BIR TALEB</t>
        </is>
      </c>
      <c r="E10" s="10" t="inlineStr">
        <is>
          <t>50-23</t>
        </is>
      </c>
      <c r="F10" s="10" t="inlineStr">
        <is>
          <t>Entretien et réparation du réseau d'assainissement et de drainage</t>
        </is>
      </c>
      <c r="G10" s="10" t="inlineStr"/>
      <c r="H10" s="10" t="inlineStr">
        <is>
          <t>Curage des collecteurs d'assainissement du secteur P11/1</t>
        </is>
      </c>
      <c r="I10" s="11" t="n">
        <v>846731</v>
      </c>
      <c r="J10" s="12" t="inlineStr">
        <is>
          <t>ml</t>
        </is>
      </c>
      <c r="K10" s="13" t="n">
        <v>423</v>
      </c>
    </row>
    <row r="11" ht="22" customHeight="1">
      <c r="B11" s="5" t="n">
        <v>7</v>
      </c>
      <c r="C11" s="6" t="inlineStr">
        <is>
          <t>Sidi Kacem</t>
        </is>
      </c>
      <c r="D11" s="5" t="inlineStr">
        <is>
          <t>BIR TALEB</t>
        </is>
      </c>
      <c r="E11" s="5" t="inlineStr">
        <is>
          <t>50-23</t>
        </is>
      </c>
      <c r="F11" s="5" t="inlineStr">
        <is>
          <t>Entretien et réparation du réseau d'assainissement et de drainage</t>
        </is>
      </c>
      <c r="G11" s="5" t="inlineStr">
        <is>
          <t>Curage des prises sur l’oued, bâche d’aspiration et bassin de régulation.</t>
        </is>
      </c>
      <c r="H11" s="5" t="inlineStr">
        <is>
          <t>Curage des prises sur l’oued de la station de pompage P11/1.</t>
        </is>
      </c>
      <c r="I11" s="7" t="n">
        <v>200000</v>
      </c>
      <c r="J11" s="8" t="inlineStr">
        <is>
          <t>ml</t>
        </is>
      </c>
      <c r="K11" s="9" t="n">
        <v>67</v>
      </c>
    </row>
    <row r="12" ht="22" customHeight="1">
      <c r="B12" s="10" t="n">
        <v>8</v>
      </c>
      <c r="C12" s="6" t="inlineStr">
        <is>
          <t>Sidi Kacem</t>
        </is>
      </c>
      <c r="D12" s="10" t="inlineStr">
        <is>
          <t>BIR TALEB</t>
        </is>
      </c>
      <c r="E12" s="10" t="inlineStr">
        <is>
          <t>50-21</t>
        </is>
      </c>
      <c r="F12" s="10" t="inlineStr">
        <is>
          <t>Entretien et réparation des stations de pompage</t>
        </is>
      </c>
      <c r="G12" s="10" t="inlineStr">
        <is>
          <t>Prestation de maintenance des débitmètres et leurs équipements annexes installés au niveau des station de pompage</t>
        </is>
      </c>
      <c r="H12" s="10" t="inlineStr">
        <is>
          <t>Changement trois débitmètre Ø 400mm inondés de la station de pompage P11/1</t>
        </is>
      </c>
      <c r="I12" s="11" t="n">
        <v>141900</v>
      </c>
      <c r="J12" s="12" t="inlineStr">
        <is>
          <t>U</t>
        </is>
      </c>
      <c r="K12" s="13" t="n">
        <v>3</v>
      </c>
    </row>
    <row r="13" ht="22" customHeight="1">
      <c r="B13" s="5" t="n">
        <v>9</v>
      </c>
      <c r="C13" s="6" t="inlineStr">
        <is>
          <t>Sidi Kacem</t>
        </is>
      </c>
      <c r="D13" s="5" t="inlineStr">
        <is>
          <t>BIR TALEB</t>
        </is>
      </c>
      <c r="E13" s="5" t="inlineStr">
        <is>
          <t>50-21</t>
        </is>
      </c>
      <c r="F13" s="5" t="inlineStr">
        <is>
          <t>Entretien et réparation des stations de pompage</t>
        </is>
      </c>
      <c r="G13" s="5" t="inlineStr">
        <is>
          <t>Prestations de maintenance et de réparation mécanique des pompes et des groupes motopompes submersibles des stations de pompage.</t>
        </is>
      </c>
      <c r="H13" s="5" t="inlineStr">
        <is>
          <t>Démontage et expertise des roues des  pompes principaux et pompes a vide de la station P11/1
Changement des roulements, tresses et organes d’effectués de la station P11/1</t>
        </is>
      </c>
      <c r="I13" s="7" t="n">
        <v>26700</v>
      </c>
      <c r="J13" s="8" t="inlineStr">
        <is>
          <t>U</t>
        </is>
      </c>
      <c r="K13" s="9" t="n">
        <v>1</v>
      </c>
    </row>
    <row r="14" ht="22" customHeight="1">
      <c r="B14" s="10" t="n">
        <v>10</v>
      </c>
      <c r="C14" s="6" t="inlineStr">
        <is>
          <t>Sidi Kacem</t>
        </is>
      </c>
      <c r="D14" s="10" t="inlineStr">
        <is>
          <t>BIR TALEB</t>
        </is>
      </c>
      <c r="E14" s="10" t="inlineStr">
        <is>
          <t>50-21</t>
        </is>
      </c>
      <c r="F14" s="10" t="inlineStr">
        <is>
          <t>Entretien et réparation des stations de pompage</t>
        </is>
      </c>
      <c r="G14" s="10" t="inlineStr">
        <is>
          <t>Stabilisation Berge oued</t>
        </is>
      </c>
      <c r="H14" s="10" t="inlineStr">
        <is>
          <t>Pose de  gabions et recouvrement du talus par matelas Reno des stations de pompage P11/1.</t>
        </is>
      </c>
      <c r="I14" s="11" t="n">
        <v>480000</v>
      </c>
      <c r="J14" s="12" t="inlineStr">
        <is>
          <t>m³</t>
        </is>
      </c>
      <c r="K14" s="13" t="n">
        <v>320</v>
      </c>
    </row>
    <row r="15" ht="22" customHeight="1">
      <c r="B15" s="5" t="n">
        <v>11</v>
      </c>
      <c r="C15" s="6" t="inlineStr">
        <is>
          <t>Sidi Kacem</t>
        </is>
      </c>
      <c r="D15" s="5" t="inlineStr">
        <is>
          <t>BIR TALEB</t>
        </is>
      </c>
      <c r="E15" s="5" t="inlineStr">
        <is>
          <t>50-21</t>
        </is>
      </c>
      <c r="F15" s="5" t="inlineStr">
        <is>
          <t>Entretien et réparation des stations de pompage</t>
        </is>
      </c>
      <c r="G15" s="5" t="inlineStr">
        <is>
          <t>Génie civile des locaux des stations de pompage.</t>
        </is>
      </c>
      <c r="H15" s="5" t="inlineStr">
        <is>
          <t>Expertise d’état et d’étanchéité des locaux pompes.
Renforcement d’étanchéité des locaux pompe sous niveau des oueds des stations de pompage P11/1.
Entretien des supports en béton des conduites d’aspiration.</t>
        </is>
      </c>
      <c r="I15" s="7" t="n">
        <v>300000</v>
      </c>
      <c r="J15" s="8" t="inlineStr">
        <is>
          <t>U</t>
        </is>
      </c>
      <c r="K15" s="9" t="n">
        <v>1</v>
      </c>
    </row>
    <row r="16" ht="22" customHeight="1">
      <c r="B16" s="10" t="n">
        <v>12</v>
      </c>
      <c r="C16" s="6" t="inlineStr">
        <is>
          <t>Sidi Kacem</t>
        </is>
      </c>
      <c r="D16" s="10" t="inlineStr">
        <is>
          <t>CHEBANAT</t>
        </is>
      </c>
      <c r="E16" s="10" t="inlineStr">
        <is>
          <t>50-23</t>
        </is>
      </c>
      <c r="F16" s="10" t="inlineStr">
        <is>
          <t>Entretien et réparation du réseau d'assainissement et de drainage</t>
        </is>
      </c>
      <c r="G16" s="10" t="inlineStr">
        <is>
          <t>Travaux de curage des canaux en terre</t>
        </is>
      </c>
      <c r="H16" s="10" t="inlineStr">
        <is>
          <t>Curage des collecteurs d'assainissement des secteur SH5 et SH6.</t>
        </is>
      </c>
      <c r="I16" s="11" t="n">
        <v>1000000</v>
      </c>
      <c r="J16" s="12" t="inlineStr">
        <is>
          <t>ml</t>
        </is>
      </c>
      <c r="K16" s="13" t="n">
        <v>500</v>
      </c>
    </row>
    <row r="17" ht="22" customHeight="1">
      <c r="B17" s="5" t="n">
        <v>13</v>
      </c>
      <c r="C17" s="6" t="inlineStr">
        <is>
          <t>Sidi Kacem</t>
        </is>
      </c>
      <c r="D17" s="5" t="inlineStr">
        <is>
          <t>CHEBANAT</t>
        </is>
      </c>
      <c r="E17" s="5" t="inlineStr">
        <is>
          <t>50-23</t>
        </is>
      </c>
      <c r="F17" s="5" t="inlineStr">
        <is>
          <t>Entretien et réparation du réseau d'assainissement et de drainage</t>
        </is>
      </c>
      <c r="G17" s="5" t="inlineStr">
        <is>
          <t>Travaux de curage des canaux révetus</t>
        </is>
      </c>
      <c r="H17" s="5" t="inlineStr">
        <is>
          <t>Curage du canal principal d'irrigation beht partie aval 1.</t>
        </is>
      </c>
      <c r="I17" s="7" t="n">
        <v>739200</v>
      </c>
      <c r="J17" s="8" t="inlineStr">
        <is>
          <t>ml</t>
        </is>
      </c>
      <c r="K17" s="9" t="n">
        <v>370</v>
      </c>
    </row>
    <row r="18" ht="22" customHeight="1">
      <c r="B18" s="10" t="n">
        <v>14</v>
      </c>
      <c r="C18" s="6" t="inlineStr">
        <is>
          <t>Sidi Kacem</t>
        </is>
      </c>
      <c r="D18" s="10" t="inlineStr">
        <is>
          <t>ZIRARA</t>
        </is>
      </c>
      <c r="E18" s="10" t="inlineStr">
        <is>
          <t>50-23</t>
        </is>
      </c>
      <c r="F18" s="10" t="inlineStr">
        <is>
          <t>Entretien et réparation du réseau d'assainissement et de drainage</t>
        </is>
      </c>
      <c r="G18" s="10" t="inlineStr">
        <is>
          <t>Travaux de curage des canaux révetus</t>
        </is>
      </c>
      <c r="H18" s="10" t="inlineStr">
        <is>
          <t>Curage du canal principal d'irrigation beht partie aval 2.</t>
        </is>
      </c>
      <c r="I18" s="11" t="n">
        <v>1276800</v>
      </c>
      <c r="J18" s="12" t="inlineStr">
        <is>
          <t>ml</t>
        </is>
      </c>
      <c r="K18" s="13" t="n">
        <v>638</v>
      </c>
    </row>
    <row r="19" ht="22" customHeight="1">
      <c r="B19" s="5" t="n">
        <v>15</v>
      </c>
      <c r="C19" s="6" t="inlineStr">
        <is>
          <t>Sidi Kacem</t>
        </is>
      </c>
      <c r="D19" s="5" t="inlineStr">
        <is>
          <t>DAR LAASLOUJI</t>
        </is>
      </c>
      <c r="E19" s="5" t="inlineStr">
        <is>
          <t>50-23</t>
        </is>
      </c>
      <c r="F19" s="5" t="inlineStr">
        <is>
          <t>Entretien et réparation du réseau d'assainissement et de drainage</t>
        </is>
      </c>
      <c r="G19" s="5" t="inlineStr">
        <is>
          <t>Travaux de curage des canaux en terre</t>
        </is>
      </c>
      <c r="H19" s="5" t="inlineStr">
        <is>
          <t>Curage des collecteurs d'assainissement des secteurs P8-1 et P8-2</t>
        </is>
      </c>
      <c r="I19" s="7" t="n">
        <v>5796360</v>
      </c>
      <c r="J19" s="8" t="inlineStr">
        <is>
          <t>ml</t>
        </is>
      </c>
      <c r="K19" s="9" t="n">
        <v>2898</v>
      </c>
    </row>
    <row r="20" ht="22" customHeight="1">
      <c r="B20" s="10" t="n">
        <v>16</v>
      </c>
      <c r="C20" s="6" t="inlineStr">
        <is>
          <t>Sidi Kacem</t>
        </is>
      </c>
      <c r="D20" s="10" t="inlineStr">
        <is>
          <t>DAR LAASLOUJI</t>
        </is>
      </c>
      <c r="E20" s="10" t="inlineStr">
        <is>
          <t>40-21</t>
        </is>
      </c>
      <c r="F20" s="10" t="inlineStr">
        <is>
          <t>Travaux de pistes</t>
        </is>
      </c>
      <c r="G20" s="10" t="inlineStr">
        <is>
          <t>Entretien des pistes agricoles</t>
        </is>
      </c>
      <c r="H20" s="10" t="inlineStr">
        <is>
          <t>Entretien des pistes agricoles</t>
        </is>
      </c>
      <c r="I20" s="11" t="n">
        <v>340000</v>
      </c>
      <c r="J20" s="12" t="inlineStr">
        <is>
          <t>km</t>
        </is>
      </c>
      <c r="K20" s="13" t="n">
        <v>1</v>
      </c>
    </row>
    <row r="21" ht="22" customHeight="1">
      <c r="B21" s="5" t="n">
        <v>17</v>
      </c>
      <c r="C21" s="6" t="inlineStr">
        <is>
          <t>Sidi Kacem</t>
        </is>
      </c>
      <c r="D21" s="5" t="inlineStr">
        <is>
          <t>HOUAFATE</t>
        </is>
      </c>
      <c r="E21" s="5" t="inlineStr">
        <is>
          <t>20-11</t>
        </is>
      </c>
      <c r="F21" s="5" t="inlineStr">
        <is>
          <t>Travaux de réhabilitation des équipements</t>
        </is>
      </c>
      <c r="G21" s="5" t="inlineStr">
        <is>
          <t>Travaux de réhabilitation des canaux portés d'irrigation</t>
        </is>
      </c>
      <c r="H21" s="5" t="inlineStr">
        <is>
          <t>Fourniture et de pose de canaux porté et accessoires du réseau S3 du secteur S13</t>
        </is>
      </c>
      <c r="I21" s="7" t="n">
        <v>397934</v>
      </c>
      <c r="J21" s="8" t="inlineStr">
        <is>
          <t>ml</t>
        </is>
      </c>
      <c r="K21" s="9" t="n">
        <v>133</v>
      </c>
    </row>
    <row r="22" ht="22" customHeight="1">
      <c r="B22" s="10" t="n">
        <v>18</v>
      </c>
      <c r="C22" s="6" t="inlineStr">
        <is>
          <t>Sidi Kacem</t>
        </is>
      </c>
      <c r="D22" s="10" t="inlineStr">
        <is>
          <t>HOUAFATE</t>
        </is>
      </c>
      <c r="E22" s="10" t="inlineStr">
        <is>
          <t>20-11</t>
        </is>
      </c>
      <c r="F22" s="10" t="inlineStr">
        <is>
          <t>Travaux de réhabilitation des équipements</t>
        </is>
      </c>
      <c r="G22" s="10" t="inlineStr"/>
      <c r="H22" s="10" t="inlineStr">
        <is>
          <t>Fourniture et de pose de canaux porté et accessoires du réseau T2S1 du secteur S13</t>
        </is>
      </c>
      <c r="I22" s="11" t="n">
        <v>207575</v>
      </c>
      <c r="J22" s="12" t="inlineStr">
        <is>
          <t>ml</t>
        </is>
      </c>
      <c r="K22" s="13" t="n">
        <v>69</v>
      </c>
    </row>
    <row r="23" ht="22" customHeight="1">
      <c r="B23" s="5" t="n">
        <v>19</v>
      </c>
      <c r="C23" s="6" t="inlineStr">
        <is>
          <t>Sidi Kacem</t>
        </is>
      </c>
      <c r="D23" s="5" t="inlineStr">
        <is>
          <t>HOUAFATE</t>
        </is>
      </c>
      <c r="E23" s="5" t="inlineStr">
        <is>
          <t>40-21</t>
        </is>
      </c>
      <c r="F23" s="5" t="inlineStr">
        <is>
          <t>Travaux de pistes</t>
        </is>
      </c>
      <c r="G23" s="5" t="inlineStr">
        <is>
          <t>Entretien des pistes agricoles</t>
        </is>
      </c>
      <c r="H23" s="5" t="inlineStr">
        <is>
          <t>Entretien des pistes agricoles</t>
        </is>
      </c>
      <c r="I23" s="7" t="n">
        <v>2200000</v>
      </c>
      <c r="J23" s="8" t="inlineStr">
        <is>
          <t>km</t>
        </is>
      </c>
      <c r="K23" s="9" t="n">
        <v>4</v>
      </c>
    </row>
    <row r="24" ht="22" customHeight="1">
      <c r="B24" s="10" t="n">
        <v>20</v>
      </c>
      <c r="C24" s="6" t="inlineStr">
        <is>
          <t>Sidi Kacem</t>
        </is>
      </c>
      <c r="D24" s="10" t="inlineStr">
        <is>
          <t>HOUAFATE</t>
        </is>
      </c>
      <c r="E24" s="10" t="inlineStr">
        <is>
          <t>50-23</t>
        </is>
      </c>
      <c r="F24" s="10" t="inlineStr">
        <is>
          <t>Entretien et réparation du réseau d'assainissement et de drainage</t>
        </is>
      </c>
      <c r="G24" s="10" t="inlineStr">
        <is>
          <t>Curage des prises sur l’oued, bâche d’aspiration et bassin de régulation.</t>
        </is>
      </c>
      <c r="H24" s="10" t="inlineStr">
        <is>
          <t>Curage des prises sur l’oued de la station de pompage S17 et S13.
Nettoyage des grilles de préfiltration des boues colmaté de la station de pompage S17 et S13.
Curage de la bâche d’aspiration de la station S17 et S13.</t>
        </is>
      </c>
      <c r="I24" s="11" t="n">
        <v>300000</v>
      </c>
      <c r="J24" s="12" t="inlineStr">
        <is>
          <t>ml</t>
        </is>
      </c>
      <c r="K24" s="13" t="n">
        <v>100</v>
      </c>
    </row>
    <row r="25" ht="22" customHeight="1">
      <c r="B25" s="5" t="n">
        <v>21</v>
      </c>
      <c r="C25" s="6" t="inlineStr">
        <is>
          <t>Sidi Kacem</t>
        </is>
      </c>
      <c r="D25" s="5" t="inlineStr">
        <is>
          <t>HOUAFATE</t>
        </is>
      </c>
      <c r="E25" s="5" t="inlineStr">
        <is>
          <t>50-21</t>
        </is>
      </c>
      <c r="F25" s="5" t="inlineStr">
        <is>
          <t>Entretien et réparation des stations de pompage</t>
        </is>
      </c>
      <c r="G25" s="5" t="inlineStr">
        <is>
          <t>Prestation de maintenance des débitmètres et leurs équipements annexes installés au niveau des station de pompage</t>
        </is>
      </c>
      <c r="H25" s="5" t="inlineStr">
        <is>
          <t>Changement trois débitmètre Ø 600mm inondés de la station de pompage S13.</t>
        </is>
      </c>
      <c r="I25" s="7" t="n">
        <v>250000</v>
      </c>
      <c r="J25" s="8" t="inlineStr">
        <is>
          <t>U</t>
        </is>
      </c>
      <c r="K25" s="9" t="n">
        <v>3</v>
      </c>
    </row>
    <row r="26" ht="22" customHeight="1">
      <c r="B26" s="10" t="n">
        <v>22</v>
      </c>
      <c r="C26" s="6" t="inlineStr">
        <is>
          <t>Sidi Kacem</t>
        </is>
      </c>
      <c r="D26" s="10" t="inlineStr">
        <is>
          <t>HOUAFATE</t>
        </is>
      </c>
      <c r="E26" s="10" t="inlineStr">
        <is>
          <t>50-21</t>
        </is>
      </c>
      <c r="F26" s="10" t="inlineStr">
        <is>
          <t>Entretien et réparation des stations de pompage</t>
        </is>
      </c>
      <c r="G26" s="10" t="inlineStr">
        <is>
          <t>Prestations de maintenance des moteurs électriques des stations de pompage.</t>
        </is>
      </c>
      <c r="H26" s="10" t="inlineStr">
        <is>
          <t>Révision des trois moteurs électriques 200 KW principaux de la station S13. 
Révision des deux moteurs électriques 5,5 KW groupes vide de la station S13.</t>
        </is>
      </c>
      <c r="I26" s="11" t="n">
        <v>25000</v>
      </c>
      <c r="J26" s="12" t="inlineStr">
        <is>
          <t>U</t>
        </is>
      </c>
      <c r="K26" s="13" t="n">
        <v>3</v>
      </c>
    </row>
    <row r="27" ht="22" customHeight="1">
      <c r="B27" s="5" t="n">
        <v>23</v>
      </c>
      <c r="C27" s="6" t="inlineStr">
        <is>
          <t>Sidi Kacem</t>
        </is>
      </c>
      <c r="D27" s="5" t="inlineStr">
        <is>
          <t>HOUAFATE</t>
        </is>
      </c>
      <c r="E27" s="5" t="inlineStr">
        <is>
          <t>50-21</t>
        </is>
      </c>
      <c r="F27" s="5" t="inlineStr">
        <is>
          <t>Entretien et réparation des stations de pompage</t>
        </is>
      </c>
      <c r="G27" s="5" t="inlineStr">
        <is>
          <t>Prestations de maintenance et de réparation mécanique des pompes et des groupes motopompes submersibles des stations de pompage.</t>
        </is>
      </c>
      <c r="H27" s="5" t="inlineStr">
        <is>
          <t>Démontage et expertise des roues des  pompes principaux et pompes a vide de la station S13.
Changement des roulements, tresses et organes d’effectués de la station S13.</t>
        </is>
      </c>
      <c r="I27" s="7" t="n">
        <v>38000</v>
      </c>
      <c r="J27" s="8" t="inlineStr">
        <is>
          <t>U</t>
        </is>
      </c>
      <c r="K27" s="9" t="n">
        <v>1</v>
      </c>
    </row>
    <row r="28" ht="22" customHeight="1">
      <c r="B28" s="10" t="n">
        <v>24</v>
      </c>
      <c r="C28" s="6" t="inlineStr">
        <is>
          <t>Sidi Kacem</t>
        </is>
      </c>
      <c r="D28" s="10" t="inlineStr">
        <is>
          <t>HOUAFATE</t>
        </is>
      </c>
      <c r="E28" s="10" t="inlineStr">
        <is>
          <t>50-21</t>
        </is>
      </c>
      <c r="F28" s="10" t="inlineStr">
        <is>
          <t>Entretien et réparation des stations de pompage</t>
        </is>
      </c>
      <c r="G28" s="10" t="inlineStr">
        <is>
          <t>Stabilisation Berge oued</t>
        </is>
      </c>
      <c r="H28" s="10" t="inlineStr">
        <is>
          <t>Pose de  gabions et recouvrement du talus par matelas Reno des stations de pompage S13.</t>
        </is>
      </c>
      <c r="I28" s="11" t="n">
        <v>10560000</v>
      </c>
      <c r="J28" s="12" t="inlineStr">
        <is>
          <t>m³</t>
        </is>
      </c>
      <c r="K28" s="13" t="n">
        <v>7040</v>
      </c>
    </row>
    <row r="29" ht="22" customHeight="1">
      <c r="B29" s="5" t="n">
        <v>25</v>
      </c>
      <c r="C29" s="6" t="inlineStr">
        <is>
          <t>Sidi Kacem</t>
        </is>
      </c>
      <c r="D29" s="5" t="inlineStr">
        <is>
          <t>HOUAFATE</t>
        </is>
      </c>
      <c r="E29" s="5" t="inlineStr">
        <is>
          <t>50-21</t>
        </is>
      </c>
      <c r="F29" s="5" t="inlineStr">
        <is>
          <t>Entretien et réparation des stations de pompage</t>
        </is>
      </c>
      <c r="G29" s="5" t="inlineStr">
        <is>
          <t>Mur clôture des stations de pompage.</t>
        </is>
      </c>
      <c r="H29" s="5" t="inlineStr">
        <is>
          <t>Stabilisation du sol et reconstruction des murs clôture (270m) cote oued de la station S17.</t>
        </is>
      </c>
      <c r="I29" s="7" t="n">
        <v>144000</v>
      </c>
      <c r="J29" s="8" t="inlineStr">
        <is>
          <t>ml</t>
        </is>
      </c>
      <c r="K29" s="9" t="n">
        <v>270</v>
      </c>
    </row>
    <row r="30" ht="22" customHeight="1">
      <c r="B30" s="10" t="n">
        <v>26</v>
      </c>
      <c r="C30" s="6" t="inlineStr">
        <is>
          <t>Sidi Kacem</t>
        </is>
      </c>
      <c r="D30" s="10" t="inlineStr">
        <is>
          <t>HOUAFATE</t>
        </is>
      </c>
      <c r="E30" s="10" t="inlineStr">
        <is>
          <t>50-21</t>
        </is>
      </c>
      <c r="F30" s="10" t="inlineStr">
        <is>
          <t>Entretien et réparation des stations de pompage</t>
        </is>
      </c>
      <c r="G30" s="10" t="inlineStr">
        <is>
          <t>Génie civile des locaux des stations de pompage.</t>
        </is>
      </c>
      <c r="H30" s="10" t="inlineStr">
        <is>
          <t>Expertise d’état et d’étanchéité des locaux pompes, commande, puissance des stations de pompage S17 et S13.
Renforcement d’étanchéité des locaux pompe sous niveau des oueds des stations de pompage S17 et S13.</t>
        </is>
      </c>
      <c r="I30" s="11" t="n">
        <v>800000</v>
      </c>
      <c r="J30" s="12" t="inlineStr">
        <is>
          <t>U</t>
        </is>
      </c>
      <c r="K30" s="13" t="n">
        <v>1</v>
      </c>
    </row>
    <row r="31" ht="22" customHeight="1">
      <c r="B31" s="5" t="n">
        <v>27</v>
      </c>
      <c r="C31" s="6" t="inlineStr">
        <is>
          <t>Sidi Kacem</t>
        </is>
      </c>
      <c r="D31" s="5" t="inlineStr">
        <is>
          <t>NOUIRAT</t>
        </is>
      </c>
      <c r="E31" s="5" t="inlineStr">
        <is>
          <t>50-23</t>
        </is>
      </c>
      <c r="F31" s="5" t="inlineStr">
        <is>
          <t>Entretien et réparation du réseau d'assainissement et de drainage</t>
        </is>
      </c>
      <c r="G31" s="5" t="inlineStr">
        <is>
          <t>Travaux de curage des canaux en terre</t>
        </is>
      </c>
      <c r="H31" s="5" t="inlineStr">
        <is>
          <t>Curage des collecteurs d'assainissement des secteurs EST1 et N5</t>
        </is>
      </c>
      <c r="I31" s="7" t="n">
        <v>1733306</v>
      </c>
      <c r="J31" s="8" t="inlineStr">
        <is>
          <t>ml</t>
        </is>
      </c>
      <c r="K31" s="9" t="n">
        <v>867</v>
      </c>
    </row>
    <row r="32" ht="22" customHeight="1">
      <c r="B32" s="10" t="n">
        <v>28</v>
      </c>
      <c r="C32" s="6" t="inlineStr">
        <is>
          <t>Sidi Kacem</t>
        </is>
      </c>
      <c r="D32" s="10" t="inlineStr">
        <is>
          <t>NOUIRAT</t>
        </is>
      </c>
      <c r="E32" s="10" t="inlineStr">
        <is>
          <t>40-21</t>
        </is>
      </c>
      <c r="F32" s="10" t="inlineStr">
        <is>
          <t>Travaux de pistes</t>
        </is>
      </c>
      <c r="G32" s="10" t="inlineStr">
        <is>
          <t>Entretien des pistes agricoles</t>
        </is>
      </c>
      <c r="H32" s="10" t="inlineStr">
        <is>
          <t>Entretien des pistes agricoles</t>
        </is>
      </c>
      <c r="I32" s="11" t="n">
        <v>670000</v>
      </c>
      <c r="J32" s="12" t="inlineStr">
        <is>
          <t>km</t>
        </is>
      </c>
      <c r="K32" s="13" t="n">
        <v>1</v>
      </c>
    </row>
    <row r="33" ht="22" customHeight="1">
      <c r="B33" s="5" t="n">
        <v>29</v>
      </c>
      <c r="C33" s="6" t="inlineStr">
        <is>
          <t>Sidi Kacem</t>
        </is>
      </c>
      <c r="D33" s="5" t="inlineStr">
        <is>
          <t>NOUIRAT</t>
        </is>
      </c>
      <c r="E33" s="5" t="inlineStr">
        <is>
          <t>20-11</t>
        </is>
      </c>
      <c r="F33" s="5" t="inlineStr">
        <is>
          <t>Travaux de réhabilitation des équipements</t>
        </is>
      </c>
      <c r="G33" s="5" t="inlineStr">
        <is>
          <t>Travaux de réhabilitation des ouvrages de génie civil</t>
        </is>
      </c>
      <c r="H33" s="5" t="inlineStr">
        <is>
          <t>Réhabilitation de l'ouvrage( genie civil ,gabiollannage,clapet anti retour et buse) de l'ouvrage de débouche SE1</t>
        </is>
      </c>
      <c r="I33" s="7" t="n">
        <v>2500000</v>
      </c>
      <c r="J33" s="8" t="inlineStr">
        <is>
          <t>U</t>
        </is>
      </c>
      <c r="K33" s="9" t="n">
        <v>5</v>
      </c>
    </row>
    <row r="34" ht="22" customHeight="1">
      <c r="B34" s="10" t="n">
        <v>30</v>
      </c>
      <c r="C34" s="6" t="inlineStr">
        <is>
          <t>Sidi Kacem</t>
        </is>
      </c>
      <c r="D34" s="10" t="inlineStr">
        <is>
          <t>NOUIRAT</t>
        </is>
      </c>
      <c r="E34" s="10" t="inlineStr">
        <is>
          <t>50-23</t>
        </is>
      </c>
      <c r="F34" s="10" t="inlineStr">
        <is>
          <t>Entretien et réparation du réseau d'assainissement et de drainage</t>
        </is>
      </c>
      <c r="G34" s="10" t="inlineStr">
        <is>
          <t>Curage des prises sur l’oued, bâche d’aspiration et bassin de régulation.</t>
        </is>
      </c>
      <c r="H34" s="10" t="inlineStr">
        <is>
          <t>Curage des prises sur l’oued de la station de pompage E1.
Nettoyage des grilles de préfiltration des boues colmaté de la station de pompage E1.
Curage de la bâche d’aspiration de la station E1.</t>
        </is>
      </c>
      <c r="I34" s="11" t="n">
        <v>800000</v>
      </c>
      <c r="J34" s="12" t="inlineStr">
        <is>
          <t>ml</t>
        </is>
      </c>
      <c r="K34" s="13" t="n">
        <v>267</v>
      </c>
    </row>
    <row r="35" ht="22" customHeight="1">
      <c r="B35" s="5" t="n">
        <v>31</v>
      </c>
      <c r="C35" s="6" t="inlineStr">
        <is>
          <t>Sidi Kacem</t>
        </is>
      </c>
      <c r="D35" s="5" t="inlineStr">
        <is>
          <t>NOUIRAT</t>
        </is>
      </c>
      <c r="E35" s="5" t="inlineStr">
        <is>
          <t>50-21</t>
        </is>
      </c>
      <c r="F35" s="5" t="inlineStr">
        <is>
          <t>Entretien et réparation des stations de pompage</t>
        </is>
      </c>
      <c r="G35" s="5" t="inlineStr">
        <is>
          <t>Prestation de maintenance des débitmètres et leurs équipements annexes installés au niveau des station de pompage</t>
        </is>
      </c>
      <c r="H35" s="5" t="inlineStr">
        <is>
          <t>Changement du débitmètre Ø 1200mm inondé de la station de pompage E1.</t>
        </is>
      </c>
      <c r="I35" s="7" t="n">
        <v>195000</v>
      </c>
      <c r="J35" s="8" t="inlineStr">
        <is>
          <t>U</t>
        </is>
      </c>
      <c r="K35" s="9" t="n">
        <v>2</v>
      </c>
    </row>
    <row r="36" ht="22" customHeight="1">
      <c r="B36" s="10" t="n">
        <v>32</v>
      </c>
      <c r="C36" s="6" t="inlineStr">
        <is>
          <t>Sidi Kacem</t>
        </is>
      </c>
      <c r="D36" s="10" t="inlineStr">
        <is>
          <t>NOUIRAT</t>
        </is>
      </c>
      <c r="E36" s="10" t="inlineStr">
        <is>
          <t>50-21</t>
        </is>
      </c>
      <c r="F36" s="10" t="inlineStr">
        <is>
          <t>Entretien et réparation des stations de pompage</t>
        </is>
      </c>
      <c r="G36" s="10" t="inlineStr">
        <is>
          <t>Prestations de maintenance des moteurs électriques des stations de pompage.</t>
        </is>
      </c>
      <c r="H36" s="10" t="inlineStr">
        <is>
          <t>Révision des deux moteurs électriques principaux de la station E1.</t>
        </is>
      </c>
      <c r="I36" s="11" t="n">
        <v>50000</v>
      </c>
      <c r="J36" s="12" t="inlineStr">
        <is>
          <t>U</t>
        </is>
      </c>
      <c r="K36" s="13" t="n">
        <v>2</v>
      </c>
    </row>
    <row r="37" ht="22" customHeight="1">
      <c r="B37" s="5" t="n">
        <v>33</v>
      </c>
      <c r="C37" s="6" t="inlineStr">
        <is>
          <t>Sidi Kacem</t>
        </is>
      </c>
      <c r="D37" s="5" t="inlineStr">
        <is>
          <t>NOUIRAT</t>
        </is>
      </c>
      <c r="E37" s="5" t="inlineStr">
        <is>
          <t>50-21</t>
        </is>
      </c>
      <c r="F37" s="5" t="inlineStr">
        <is>
          <t>Entretien et réparation des stations de pompage</t>
        </is>
      </c>
      <c r="G37" s="5" t="inlineStr">
        <is>
          <t>Prestations de maintenance et de réparation mécanique des pompes et des groupes motopompes submersibles des stations de pompage.</t>
        </is>
      </c>
      <c r="H37" s="5" t="inlineStr">
        <is>
          <t>Démontage et expertise des cinq pompes principaux et pompes a vide de la station E1.
Changement des roulements, tresses et organes d’effectués de la station E1.</t>
        </is>
      </c>
      <c r="I37" s="7" t="n">
        <v>245000</v>
      </c>
      <c r="J37" s="8" t="inlineStr">
        <is>
          <t>U</t>
        </is>
      </c>
      <c r="K37" s="9" t="n">
        <v>5</v>
      </c>
    </row>
    <row r="38" ht="22" customHeight="1">
      <c r="B38" s="10" t="n">
        <v>34</v>
      </c>
      <c r="C38" s="6" t="inlineStr">
        <is>
          <t>Sidi Kacem</t>
        </is>
      </c>
      <c r="D38" s="10" t="inlineStr">
        <is>
          <t>NOUIRAT</t>
        </is>
      </c>
      <c r="E38" s="10" t="inlineStr">
        <is>
          <t>50-21</t>
        </is>
      </c>
      <c r="F38" s="10" t="inlineStr">
        <is>
          <t>Entretien et réparation des stations de pompage</t>
        </is>
      </c>
      <c r="G38" s="10" t="inlineStr">
        <is>
          <t>Génie civile des locaux des stations de pompage.</t>
        </is>
      </c>
      <c r="H38" s="10" t="inlineStr">
        <is>
          <t>Expertise d’état et d’étanchéité des locaux pompes, commande, puissance de la station de pompage E1.
Renforcement d’étanchéité des locaux pompe sous niveau des oueds de la station de pompage E1.</t>
        </is>
      </c>
      <c r="I38" s="11" t="n">
        <v>1000000</v>
      </c>
      <c r="J38" s="12" t="inlineStr">
        <is>
          <t>U</t>
        </is>
      </c>
      <c r="K38" s="13" t="n">
        <v>1</v>
      </c>
    </row>
    <row r="39" ht="22" customHeight="1">
      <c r="B39" s="5" t="n">
        <v>35</v>
      </c>
      <c r="C39" s="6" t="inlineStr">
        <is>
          <t>Sidi Kacem</t>
        </is>
      </c>
      <c r="D39" s="5" t="inlineStr">
        <is>
          <t>RMILAT</t>
        </is>
      </c>
      <c r="E39" s="5" t="inlineStr">
        <is>
          <t>50-23</t>
        </is>
      </c>
      <c r="F39" s="5" t="inlineStr">
        <is>
          <t>Entretien et réparation du réseau d'assainissement et de drainage</t>
        </is>
      </c>
      <c r="G39" s="5" t="inlineStr">
        <is>
          <t>Travaux de curage des canaux en terre</t>
        </is>
      </c>
      <c r="H39" s="5" t="inlineStr">
        <is>
          <t>Curage des collecteurs d'assainissement des secteurs P7</t>
        </is>
      </c>
      <c r="I39" s="7" t="n">
        <v>5024032</v>
      </c>
      <c r="J39" s="8" t="inlineStr">
        <is>
          <t>ml</t>
        </is>
      </c>
      <c r="K39" s="9" t="n">
        <v>2512</v>
      </c>
    </row>
    <row r="40" ht="22" customHeight="1">
      <c r="B40" s="10" t="n">
        <v>36</v>
      </c>
      <c r="C40" s="6" t="inlineStr">
        <is>
          <t>Sidi Kacem</t>
        </is>
      </c>
      <c r="D40" s="10" t="inlineStr">
        <is>
          <t>RMILAT</t>
        </is>
      </c>
      <c r="E40" s="10" t="inlineStr">
        <is>
          <t>40-21</t>
        </is>
      </c>
      <c r="F40" s="10" t="inlineStr">
        <is>
          <t>Travaux de pistes</t>
        </is>
      </c>
      <c r="G40" s="10" t="inlineStr">
        <is>
          <t>Entretien des pistes agricoles</t>
        </is>
      </c>
      <c r="H40" s="10" t="inlineStr">
        <is>
          <t>Entretien des pistes agricoles</t>
        </is>
      </c>
      <c r="I40" s="11" t="n">
        <v>400000</v>
      </c>
      <c r="J40" s="12" t="inlineStr">
        <is>
          <t>km</t>
        </is>
      </c>
      <c r="K40" s="13" t="n">
        <v>1</v>
      </c>
    </row>
    <row r="41" ht="22" customHeight="1">
      <c r="B41" s="5" t="n">
        <v>37</v>
      </c>
      <c r="C41" s="6" t="inlineStr">
        <is>
          <t>Sidi Kacem</t>
        </is>
      </c>
      <c r="D41" s="5" t="inlineStr">
        <is>
          <t>SAFSAF</t>
        </is>
      </c>
      <c r="E41" s="5" t="inlineStr">
        <is>
          <t>50-23</t>
        </is>
      </c>
      <c r="F41" s="5" t="inlineStr">
        <is>
          <t>Entretien et réparation du réseau d'assainissement et de drainage</t>
        </is>
      </c>
      <c r="G41" s="5" t="inlineStr">
        <is>
          <t>Travaux de curage des canaux en terre</t>
        </is>
      </c>
      <c r="H41" s="5" t="inlineStr">
        <is>
          <t>Curage des collecteurs d'assainissement des secteurs S7, S9 et S11</t>
        </is>
      </c>
      <c r="I41" s="7" t="n">
        <v>6000000</v>
      </c>
      <c r="J41" s="8" t="inlineStr">
        <is>
          <t>ml</t>
        </is>
      </c>
      <c r="K41" s="9" t="n">
        <v>3000</v>
      </c>
    </row>
    <row r="42" ht="22" customHeight="1">
      <c r="B42" s="10" t="n">
        <v>38</v>
      </c>
      <c r="C42" s="6" t="inlineStr">
        <is>
          <t>Sidi Kacem</t>
        </is>
      </c>
      <c r="D42" s="10" t="inlineStr">
        <is>
          <t>SAFSAF</t>
        </is>
      </c>
      <c r="E42" s="10" t="inlineStr">
        <is>
          <t>20-11</t>
        </is>
      </c>
      <c r="F42" s="10" t="inlineStr">
        <is>
          <t>Travaux de réhabilitation des équipements</t>
        </is>
      </c>
      <c r="G42" s="10" t="inlineStr">
        <is>
          <t>Travaux de réhabilitation des canaux portés d'irrigation</t>
        </is>
      </c>
      <c r="H42" s="10" t="inlineStr">
        <is>
          <t>Fourniture et  pose de canaux porté et accessoires du réseau S4 du secteur S11</t>
        </is>
      </c>
      <c r="I42" s="11" t="n">
        <v>232266</v>
      </c>
      <c r="J42" s="12" t="inlineStr">
        <is>
          <t>ml</t>
        </is>
      </c>
      <c r="K42" s="13" t="n">
        <v>77</v>
      </c>
    </row>
    <row r="43" ht="22" customHeight="1">
      <c r="B43" s="5" t="n">
        <v>39</v>
      </c>
      <c r="C43" s="6" t="inlineStr">
        <is>
          <t>Sidi Kacem</t>
        </is>
      </c>
      <c r="D43" s="5" t="inlineStr">
        <is>
          <t>SAFSAF</t>
        </is>
      </c>
      <c r="E43" s="5" t="inlineStr">
        <is>
          <t>20-11</t>
        </is>
      </c>
      <c r="F43" s="5" t="inlineStr">
        <is>
          <t>Travaux de réhabilitation des équipements</t>
        </is>
      </c>
      <c r="G43" s="5" t="inlineStr"/>
      <c r="H43" s="5" t="inlineStr">
        <is>
          <t>Recalage des canaux portés du réseau T5S5 du secteur S9</t>
        </is>
      </c>
      <c r="I43" s="7" t="n">
        <v>1055025</v>
      </c>
      <c r="J43" s="8" t="inlineStr">
        <is>
          <t>ml</t>
        </is>
      </c>
      <c r="K43" s="9" t="n">
        <v>352</v>
      </c>
    </row>
    <row r="44" ht="22" customHeight="1">
      <c r="B44" s="10" t="n">
        <v>40</v>
      </c>
      <c r="C44" s="6" t="inlineStr">
        <is>
          <t>Sidi Kacem</t>
        </is>
      </c>
      <c r="D44" s="10" t="inlineStr">
        <is>
          <t>SAFSAF</t>
        </is>
      </c>
      <c r="E44" s="10" t="inlineStr">
        <is>
          <t>20-11</t>
        </is>
      </c>
      <c r="F44" s="10" t="inlineStr">
        <is>
          <t>Travaux de réhabilitation des équipements</t>
        </is>
      </c>
      <c r="G44" s="10" t="inlineStr"/>
      <c r="H44" s="10" t="inlineStr">
        <is>
          <t>Recalage des canaux portés du réseau T7S5 du secteur S9</t>
        </is>
      </c>
      <c r="I44" s="11" t="n">
        <v>1004535</v>
      </c>
      <c r="J44" s="12" t="inlineStr">
        <is>
          <t>ml</t>
        </is>
      </c>
      <c r="K44" s="13" t="n">
        <v>335</v>
      </c>
    </row>
    <row r="45" ht="22" customHeight="1">
      <c r="B45" s="5" t="n">
        <v>41</v>
      </c>
      <c r="C45" s="6" t="inlineStr">
        <is>
          <t>Sidi Kacem</t>
        </is>
      </c>
      <c r="D45" s="5" t="inlineStr">
        <is>
          <t>SAFSAF</t>
        </is>
      </c>
      <c r="E45" s="5" t="inlineStr">
        <is>
          <t>20-11</t>
        </is>
      </c>
      <c r="F45" s="5" t="inlineStr">
        <is>
          <t>Travaux de réhabilitation des équipements</t>
        </is>
      </c>
      <c r="G45" s="5" t="inlineStr"/>
      <c r="H45" s="5" t="inlineStr">
        <is>
          <t>Recalage des canaux portés du réseau T2S5 du secteur S9</t>
        </is>
      </c>
      <c r="I45" s="7" t="n">
        <v>793830</v>
      </c>
      <c r="J45" s="8" t="inlineStr">
        <is>
          <t>ml</t>
        </is>
      </c>
      <c r="K45" s="9" t="n">
        <v>265</v>
      </c>
    </row>
    <row r="46" ht="22" customHeight="1">
      <c r="B46" s="10" t="n">
        <v>42</v>
      </c>
      <c r="C46" s="6" t="inlineStr">
        <is>
          <t>Sidi Kacem</t>
        </is>
      </c>
      <c r="D46" s="10" t="inlineStr">
        <is>
          <t>SAFSAF</t>
        </is>
      </c>
      <c r="E46" s="10" t="inlineStr">
        <is>
          <t>40-21</t>
        </is>
      </c>
      <c r="F46" s="10" t="inlineStr">
        <is>
          <t>Travaux de pistes</t>
        </is>
      </c>
      <c r="G46" s="10" t="inlineStr">
        <is>
          <t>Entretien des pistes agricoles</t>
        </is>
      </c>
      <c r="H46" s="10" t="inlineStr">
        <is>
          <t>Entretien des pistes agricoles</t>
        </is>
      </c>
      <c r="I46" s="11" t="n">
        <v>2000000</v>
      </c>
      <c r="J46" s="12" t="inlineStr">
        <is>
          <t>km</t>
        </is>
      </c>
      <c r="K46" s="13" t="n">
        <v>4</v>
      </c>
    </row>
    <row r="47" ht="22" customHeight="1">
      <c r="B47" s="5" t="n">
        <v>43</v>
      </c>
      <c r="C47" s="6" t="inlineStr">
        <is>
          <t>Sidi Kacem</t>
        </is>
      </c>
      <c r="D47" s="5" t="inlineStr">
        <is>
          <t>SAFSAF</t>
        </is>
      </c>
      <c r="E47" s="5" t="inlineStr">
        <is>
          <t>50-23</t>
        </is>
      </c>
      <c r="F47" s="5" t="inlineStr">
        <is>
          <t>Entretien et réparation du réseau d'assainissement et de drainage</t>
        </is>
      </c>
      <c r="G47" s="5" t="inlineStr">
        <is>
          <t>Curage des prises sur l’oued, bâche d’aspiration et bassin de régulation.</t>
        </is>
      </c>
      <c r="H47" s="5" t="inlineStr">
        <is>
          <t>Curage des prises sur l’oued des stations de pompage S11, S9, 7D et 7B.
Nettoyage des grilles de préfiltration des boues colmaté des stations de pompage S11, S9, 7D et 7B.
Nettoyage des crépines des boues colmaté de station pompage 7D.
Curage des dalots et bâche d’aspiration des stations de pompage S11, S9, 7B.</t>
        </is>
      </c>
      <c r="I47" s="7" t="n">
        <v>200000</v>
      </c>
      <c r="J47" s="8" t="inlineStr">
        <is>
          <t>ml</t>
        </is>
      </c>
      <c r="K47" s="9" t="n">
        <v>67</v>
      </c>
    </row>
    <row r="48" ht="22" customHeight="1">
      <c r="B48" s="10" t="n">
        <v>44</v>
      </c>
      <c r="C48" s="6" t="inlineStr">
        <is>
          <t>Sidi Kacem</t>
        </is>
      </c>
      <c r="D48" s="10" t="inlineStr">
        <is>
          <t>SAFSAF</t>
        </is>
      </c>
      <c r="E48" s="10" t="inlineStr">
        <is>
          <t>50-21</t>
        </is>
      </c>
      <c r="F48" s="10" t="inlineStr">
        <is>
          <t>Entretien et réparation des stations de pompage</t>
        </is>
      </c>
      <c r="G48" s="10" t="inlineStr">
        <is>
          <t>Prestation de maintenance des débitmètres et leurs équipements annexes installés au niveau des station de pompage</t>
        </is>
      </c>
      <c r="H48" s="10" t="inlineStr">
        <is>
          <t>Changements Sept des débitmètres Ø 600mm inondé des deux stations de pompage S11 et S9.</t>
        </is>
      </c>
      <c r="I48" s="11" t="n">
        <v>580000</v>
      </c>
      <c r="J48" s="12" t="inlineStr">
        <is>
          <t>U</t>
        </is>
      </c>
      <c r="K48" s="13" t="n">
        <v>7</v>
      </c>
    </row>
    <row r="49" ht="22" customHeight="1">
      <c r="B49" s="5" t="n">
        <v>45</v>
      </c>
      <c r="C49" s="6" t="inlineStr">
        <is>
          <t>Sidi Kacem</t>
        </is>
      </c>
      <c r="D49" s="5" t="inlineStr">
        <is>
          <t>SAFSAF</t>
        </is>
      </c>
      <c r="E49" s="5" t="inlineStr">
        <is>
          <t>50-21</t>
        </is>
      </c>
      <c r="F49" s="5" t="inlineStr">
        <is>
          <t>Entretien et réparation des stations de pompage</t>
        </is>
      </c>
      <c r="G49" s="5" t="inlineStr">
        <is>
          <t>Stabilisation Berge oued</t>
        </is>
      </c>
      <c r="H49" s="5" t="inlineStr">
        <is>
          <t>Pose de murs en gabions et recouvrement du talus par matelas Reno des stations de pompage S11, S9, 7D et 7B .</t>
        </is>
      </c>
      <c r="I49" s="7" t="n">
        <v>4000000</v>
      </c>
      <c r="J49" s="8" t="inlineStr">
        <is>
          <t>m³</t>
        </is>
      </c>
      <c r="K49" s="9" t="n">
        <v>2667</v>
      </c>
    </row>
    <row r="50" ht="22" customHeight="1">
      <c r="B50" s="10" t="n">
        <v>46</v>
      </c>
      <c r="C50" s="6" t="inlineStr">
        <is>
          <t>Sidi Kacem</t>
        </is>
      </c>
      <c r="D50" s="10" t="inlineStr">
        <is>
          <t>SIDI AZZOUZ</t>
        </is>
      </c>
      <c r="E50" s="10" t="inlineStr">
        <is>
          <t>40-21</t>
        </is>
      </c>
      <c r="F50" s="10" t="inlineStr">
        <is>
          <t>Travaux de pistes</t>
        </is>
      </c>
      <c r="G50" s="10" t="inlineStr">
        <is>
          <t>Entretien des pistes agricoles</t>
        </is>
      </c>
      <c r="H50" s="10" t="inlineStr">
        <is>
          <t>Entretien des pistes agricoles</t>
        </is>
      </c>
      <c r="I50" s="11" t="n">
        <v>655000</v>
      </c>
      <c r="J50" s="12" t="inlineStr">
        <is>
          <t>km</t>
        </is>
      </c>
      <c r="K50" s="13" t="n">
        <v>1</v>
      </c>
    </row>
    <row r="51" ht="22" customHeight="1">
      <c r="B51" s="5" t="n">
        <v>47</v>
      </c>
      <c r="C51" s="6" t="inlineStr">
        <is>
          <t>Sidi Kacem</t>
        </is>
      </c>
      <c r="D51" s="5" t="inlineStr">
        <is>
          <t>SIDI EL KAMEL</t>
        </is>
      </c>
      <c r="E51" s="5" t="inlineStr">
        <is>
          <t>20-11</t>
        </is>
      </c>
      <c r="F51" s="5" t="inlineStr">
        <is>
          <t>Travaux de réhabilitation des équipements</t>
        </is>
      </c>
      <c r="G51" s="5" t="inlineStr">
        <is>
          <t>Travaux de réhabilitation des canaux portés d'irrigation</t>
        </is>
      </c>
      <c r="H51" s="5" t="inlineStr">
        <is>
          <t>Fourniture et de pose de canaux porté et accessoires du réseau SR4 du secteur S3R</t>
        </is>
      </c>
      <c r="I51" s="7" t="n">
        <v>5182920</v>
      </c>
      <c r="J51" s="8" t="inlineStr">
        <is>
          <t>ml</t>
        </is>
      </c>
      <c r="K51" s="9" t="n">
        <v>1728</v>
      </c>
    </row>
    <row r="52" ht="22" customHeight="1">
      <c r="B52" s="10" t="n">
        <v>48</v>
      </c>
      <c r="C52" s="6" t="inlineStr">
        <is>
          <t>Sidi Kacem</t>
        </is>
      </c>
      <c r="D52" s="10" t="inlineStr">
        <is>
          <t>SIDI EL KAMEL</t>
        </is>
      </c>
      <c r="E52" s="10" t="inlineStr">
        <is>
          <t>20-11</t>
        </is>
      </c>
      <c r="F52" s="10" t="inlineStr">
        <is>
          <t>Travaux de réhabilitation des équipements</t>
        </is>
      </c>
      <c r="G52" s="10" t="inlineStr"/>
      <c r="H52" s="10" t="inlineStr">
        <is>
          <t>Fourniture et de pose de canaux porté et accessoires du réseau SR6 du secteur S1RIZ</t>
        </is>
      </c>
      <c r="I52" s="11" t="n">
        <v>152818</v>
      </c>
      <c r="J52" s="12" t="inlineStr">
        <is>
          <t>ml</t>
        </is>
      </c>
      <c r="K52" s="13" t="n">
        <v>51</v>
      </c>
    </row>
    <row r="53" ht="22" customHeight="1">
      <c r="B53" s="5" t="n">
        <v>49</v>
      </c>
      <c r="C53" s="6" t="inlineStr">
        <is>
          <t>Sidi Kacem</t>
        </is>
      </c>
      <c r="D53" s="5" t="inlineStr">
        <is>
          <t>SIDI EL KAMEL</t>
        </is>
      </c>
      <c r="E53" s="5" t="inlineStr">
        <is>
          <t>20-11</t>
        </is>
      </c>
      <c r="F53" s="5" t="inlineStr">
        <is>
          <t>Travaux de réhabilitation des équipements</t>
        </is>
      </c>
      <c r="G53" s="5" t="inlineStr"/>
      <c r="H53" s="5" t="inlineStr">
        <is>
          <t>Recalage des canaux portés du réseau SR4 du secteur S3R</t>
        </is>
      </c>
      <c r="I53" s="7" t="n">
        <v>1418000</v>
      </c>
      <c r="J53" s="8" t="inlineStr">
        <is>
          <t>ml</t>
        </is>
      </c>
      <c r="K53" s="9" t="n">
        <v>473</v>
      </c>
    </row>
    <row r="54" ht="22" customHeight="1">
      <c r="B54" s="10" t="n">
        <v>50</v>
      </c>
      <c r="C54" s="6" t="inlineStr">
        <is>
          <t>Sidi Kacem</t>
        </is>
      </c>
      <c r="D54" s="10" t="inlineStr">
        <is>
          <t>SIDI EL KAMEL</t>
        </is>
      </c>
      <c r="E54" s="10" t="inlineStr">
        <is>
          <t>20-11</t>
        </is>
      </c>
      <c r="F54" s="10" t="inlineStr">
        <is>
          <t>Travaux de réhabilitation des équipements</t>
        </is>
      </c>
      <c r="G54" s="10" t="inlineStr">
        <is>
          <t>Travaux de réhabilitation des ouvrages de génie civil</t>
        </is>
      </c>
      <c r="H54" s="10" t="inlineStr">
        <is>
          <t>Réhabilitation des murs de soutènements des ouvrages de franchissements du canal d'assainissement CS3 secteur S3 et de l’ouvrage de franchissement du canal primaire d’irrigation du secteur S1R au niveau de la route provinciale P4234</t>
        </is>
      </c>
      <c r="I54" s="11" t="n">
        <v>800000</v>
      </c>
      <c r="J54" s="12" t="inlineStr">
        <is>
          <t>ml</t>
        </is>
      </c>
      <c r="K54" s="13" t="n">
        <v>400</v>
      </c>
    </row>
    <row r="55" ht="22" customHeight="1">
      <c r="B55" s="5" t="n">
        <v>51</v>
      </c>
      <c r="C55" s="6" t="inlineStr">
        <is>
          <t>Sidi Kacem</t>
        </is>
      </c>
      <c r="D55" s="5" t="inlineStr">
        <is>
          <t>SIDI EL KAMEL</t>
        </is>
      </c>
      <c r="E55" s="5" t="inlineStr">
        <is>
          <t>40-21</t>
        </is>
      </c>
      <c r="F55" s="5" t="inlineStr">
        <is>
          <t>Travaux de pistes</t>
        </is>
      </c>
      <c r="G55" s="5" t="inlineStr">
        <is>
          <t>Entretien des pistes agricoles</t>
        </is>
      </c>
      <c r="H55" s="5" t="inlineStr">
        <is>
          <t>Entretien des pistes agricoles</t>
        </is>
      </c>
      <c r="I55" s="7" t="n">
        <v>3700000</v>
      </c>
      <c r="J55" s="8" t="inlineStr">
        <is>
          <t>km</t>
        </is>
      </c>
      <c r="K55" s="9" t="n">
        <v>7</v>
      </c>
    </row>
    <row r="56" ht="22" customHeight="1">
      <c r="B56" s="10" t="n">
        <v>52</v>
      </c>
      <c r="C56" s="6" t="inlineStr">
        <is>
          <t>Sidi Kacem</t>
        </is>
      </c>
      <c r="D56" s="10" t="inlineStr">
        <is>
          <t>SIDI EL KAMEL</t>
        </is>
      </c>
      <c r="E56" s="10" t="inlineStr">
        <is>
          <t>50-21</t>
        </is>
      </c>
      <c r="F56" s="10" t="inlineStr">
        <is>
          <t>Entretien et réparation des stations de pompage</t>
        </is>
      </c>
      <c r="G56" s="10" t="inlineStr">
        <is>
          <t>Prestation de maintenance des débitmètres et leurs équipements annexes installés au niveau des station de pompage</t>
        </is>
      </c>
      <c r="H56" s="10" t="inlineStr">
        <is>
          <t>Changement de quatre débitmètres Ø 500mm et trois Ø 800mm inondé des stations de pompage 1R, 3R et 5R.</t>
        </is>
      </c>
      <c r="I56" s="11" t="n">
        <v>705000</v>
      </c>
      <c r="J56" s="12" t="inlineStr">
        <is>
          <t>U</t>
        </is>
      </c>
      <c r="K56" s="13" t="n">
        <v>3</v>
      </c>
    </row>
    <row r="57" ht="22" customHeight="1">
      <c r="B57" s="5" t="n">
        <v>53</v>
      </c>
      <c r="C57" s="6" t="inlineStr">
        <is>
          <t>Sidi Kacem</t>
        </is>
      </c>
      <c r="D57" s="5" t="inlineStr">
        <is>
          <t>SIDI EL KAMEL</t>
        </is>
      </c>
      <c r="E57" s="5" t="inlineStr">
        <is>
          <t>50-21</t>
        </is>
      </c>
      <c r="F57" s="5" t="inlineStr">
        <is>
          <t>Entretien et réparation des stations de pompage</t>
        </is>
      </c>
      <c r="G57" s="5" t="inlineStr">
        <is>
          <t>Mur clôture des stations de pompage.</t>
        </is>
      </c>
      <c r="H57" s="5" t="inlineStr">
        <is>
          <t>Stabilisation et reconstruction des murs clôture cote oued des stations de pompage 7A, 3R et 1R.</t>
        </is>
      </c>
      <c r="I57" s="7" t="n">
        <v>372000</v>
      </c>
      <c r="J57" s="8" t="inlineStr">
        <is>
          <t>ml</t>
        </is>
      </c>
      <c r="K57" s="9" t="n">
        <v>124</v>
      </c>
    </row>
    <row r="58" ht="22" customHeight="1">
      <c r="B58" s="10" t="n">
        <v>54</v>
      </c>
      <c r="C58" s="14" t="inlineStr">
        <is>
          <t>Kénitra</t>
        </is>
      </c>
      <c r="D58" s="10" t="inlineStr">
        <is>
          <t>Bni malek</t>
        </is>
      </c>
      <c r="E58" s="10" t="inlineStr">
        <is>
          <t>50-23</t>
        </is>
      </c>
      <c r="F58" s="10" t="inlineStr">
        <is>
          <t>Entretien et réparation du réseau d'assainissement et de drainage</t>
        </is>
      </c>
      <c r="G58" s="10" t="inlineStr">
        <is>
          <t>Travaux de curage des canaux en terre</t>
        </is>
      </c>
      <c r="H58" s="10" t="inlineStr">
        <is>
          <t>Curage des emissaires et colatures secondaire au niveau des secteurs MDA ET N9</t>
        </is>
      </c>
      <c r="I58" s="11" t="n">
        <v>10000000</v>
      </c>
      <c r="J58" s="12" t="inlineStr">
        <is>
          <t>ml</t>
        </is>
      </c>
      <c r="K58" s="13" t="n">
        <v>5000</v>
      </c>
    </row>
    <row r="59" ht="22" customHeight="1">
      <c r="B59" s="5" t="n">
        <v>55</v>
      </c>
      <c r="C59" s="14" t="inlineStr">
        <is>
          <t>Kénitra</t>
        </is>
      </c>
      <c r="D59" s="5" t="inlineStr">
        <is>
          <t>Bni malek</t>
        </is>
      </c>
      <c r="E59" s="5" t="inlineStr">
        <is>
          <t>40-21</t>
        </is>
      </c>
      <c r="F59" s="5" t="inlineStr">
        <is>
          <t>Travaux de pistes</t>
        </is>
      </c>
      <c r="G59" s="5" t="inlineStr">
        <is>
          <t>Travaux de réhabilitation des pistes agricoles</t>
        </is>
      </c>
      <c r="H59" s="5" t="inlineStr">
        <is>
          <t>Entretien des pistes agricoles des secteurs MDA et N3</t>
        </is>
      </c>
      <c r="I59" s="7" t="n">
        <v>2000000</v>
      </c>
      <c r="J59" s="8" t="inlineStr">
        <is>
          <t>km</t>
        </is>
      </c>
      <c r="K59" s="9" t="n">
        <v>4</v>
      </c>
    </row>
    <row r="60" ht="22" customHeight="1">
      <c r="B60" s="10" t="n">
        <v>56</v>
      </c>
      <c r="C60" s="14" t="inlineStr">
        <is>
          <t>Kénitra</t>
        </is>
      </c>
      <c r="D60" s="10" t="inlineStr">
        <is>
          <t>Bni malek</t>
        </is>
      </c>
      <c r="E60" s="10" t="inlineStr">
        <is>
          <t>50-21</t>
        </is>
      </c>
      <c r="F60" s="10" t="inlineStr">
        <is>
          <t>Entretien et réparation des stations de pompage</t>
        </is>
      </c>
      <c r="G60" s="10" t="inlineStr">
        <is>
          <t>Prestations de maintenance et de réparation mécanique des pompes et des groupes motopompes submersibles des stations de pompage.</t>
        </is>
      </c>
      <c r="H60" s="10" t="inlineStr">
        <is>
          <t>station de pompage MDA secteur MDA</t>
        </is>
      </c>
      <c r="I60" s="11" t="n">
        <v>300000</v>
      </c>
      <c r="J60" s="12" t="inlineStr">
        <is>
          <t>U</t>
        </is>
      </c>
      <c r="K60" s="13" t="n">
        <v>1</v>
      </c>
    </row>
    <row r="61" ht="22" customHeight="1">
      <c r="B61" s="5" t="n">
        <v>57</v>
      </c>
      <c r="C61" s="14" t="inlineStr">
        <is>
          <t>Kénitra</t>
        </is>
      </c>
      <c r="D61" s="5" t="inlineStr">
        <is>
          <t>Bni malek</t>
        </is>
      </c>
      <c r="E61" s="5" t="inlineStr">
        <is>
          <t>20-11</t>
        </is>
      </c>
      <c r="F61" s="5" t="inlineStr">
        <is>
          <t>Travaux de réhabilitation des équipements</t>
        </is>
      </c>
      <c r="G61" s="5" t="inlineStr">
        <is>
          <t>Travaux de réhabilitation des ouvrages de génie civil</t>
        </is>
      </c>
      <c r="H61" s="5" t="inlineStr">
        <is>
          <t>Rétablissement des bornes affaissées des secteurs N2 et N3</t>
        </is>
      </c>
      <c r="I61" s="7" t="n">
        <v>100000</v>
      </c>
      <c r="J61" s="8" t="inlineStr">
        <is>
          <t>U</t>
        </is>
      </c>
      <c r="K61" s="9" t="n">
        <v>200</v>
      </c>
    </row>
    <row r="62" ht="22" customHeight="1">
      <c r="B62" s="10" t="n">
        <v>58</v>
      </c>
      <c r="C62" s="14" t="inlineStr">
        <is>
          <t>Kénitra</t>
        </is>
      </c>
      <c r="D62" s="10" t="inlineStr">
        <is>
          <t>SOUK TLET</t>
        </is>
      </c>
      <c r="E62" s="10" t="inlineStr">
        <is>
          <t>50-23</t>
        </is>
      </c>
      <c r="F62" s="10" t="inlineStr">
        <is>
          <t>Entretien et réparation du réseau d'assainissement et de drainage</t>
        </is>
      </c>
      <c r="G62" s="10" t="inlineStr">
        <is>
          <t>Travaux de curage des canaux en terre</t>
        </is>
      </c>
      <c r="H62" s="10" t="inlineStr">
        <is>
          <t>curage des emissaires et colatures secondaire au niveau des secteurs N2,N3 ET N4,</t>
        </is>
      </c>
      <c r="I62" s="11" t="n">
        <v>3000000</v>
      </c>
      <c r="J62" s="12" t="inlineStr">
        <is>
          <t>ml</t>
        </is>
      </c>
      <c r="K62" s="13" t="n">
        <v>1500</v>
      </c>
    </row>
    <row r="63" ht="22" customHeight="1">
      <c r="B63" s="5" t="n">
        <v>59</v>
      </c>
      <c r="C63" s="14" t="inlineStr">
        <is>
          <t>Kénitra</t>
        </is>
      </c>
      <c r="D63" s="5" t="inlineStr">
        <is>
          <t>SOUK TLET</t>
        </is>
      </c>
      <c r="E63" s="5" t="inlineStr">
        <is>
          <t>40-21</t>
        </is>
      </c>
      <c r="F63" s="5" t="inlineStr">
        <is>
          <t>Travaux de pistes</t>
        </is>
      </c>
      <c r="G63" s="5" t="inlineStr">
        <is>
          <t>Travaux de réhabilitation des pistes agricoles</t>
        </is>
      </c>
      <c r="H63" s="5" t="inlineStr">
        <is>
          <t>Entretien des pistes des secteurs N2,N3,N4 et C4R,</t>
        </is>
      </c>
      <c r="I63" s="7" t="n">
        <v>5000000</v>
      </c>
      <c r="J63" s="8" t="inlineStr">
        <is>
          <t>U</t>
        </is>
      </c>
      <c r="K63" s="9" t="n">
        <v>1</v>
      </c>
    </row>
    <row r="64" ht="22" customHeight="1">
      <c r="B64" s="10" t="n">
        <v>60</v>
      </c>
      <c r="C64" s="14" t="inlineStr">
        <is>
          <t>Kénitra</t>
        </is>
      </c>
      <c r="D64" s="10" t="inlineStr">
        <is>
          <t>Sidi Med Lahmar</t>
        </is>
      </c>
      <c r="E64" s="10" t="inlineStr">
        <is>
          <t>50-23</t>
        </is>
      </c>
      <c r="F64" s="10" t="inlineStr">
        <is>
          <t>Entretien et réparation du réseau d'assainissement et de drainage</t>
        </is>
      </c>
      <c r="G64" s="10" t="inlineStr">
        <is>
          <t>Travaux de curage des canaux en terre</t>
        </is>
      </c>
      <c r="H64" s="10" t="inlineStr">
        <is>
          <t>Curage des emissaires et colatures secondaires secteurs N1</t>
        </is>
      </c>
      <c r="I64" s="11" t="n">
        <v>3000000</v>
      </c>
      <c r="J64" s="12" t="inlineStr">
        <is>
          <t>ml</t>
        </is>
      </c>
      <c r="K64" s="13" t="n">
        <v>1500</v>
      </c>
    </row>
    <row r="65" ht="22" customHeight="1">
      <c r="B65" s="5" t="n">
        <v>61</v>
      </c>
      <c r="C65" s="14" t="inlineStr">
        <is>
          <t>Kénitra</t>
        </is>
      </c>
      <c r="D65" s="5" t="inlineStr">
        <is>
          <t>Sidi Med Lahmar</t>
        </is>
      </c>
      <c r="E65" s="5" t="inlineStr">
        <is>
          <t>40-21</t>
        </is>
      </c>
      <c r="F65" s="5" t="inlineStr">
        <is>
          <t>Travaux de pistes</t>
        </is>
      </c>
      <c r="G65" s="5" t="inlineStr">
        <is>
          <t>Travaux de réhabilitation des pistes agricoles</t>
        </is>
      </c>
      <c r="H65" s="5" t="inlineStr">
        <is>
          <t>Entretien des pistes agricoles des secteurs N9 et N1</t>
        </is>
      </c>
      <c r="I65" s="7" t="n">
        <v>3000000</v>
      </c>
      <c r="J65" s="8" t="inlineStr">
        <is>
          <t>km</t>
        </is>
      </c>
      <c r="K65" s="9" t="n">
        <v>6</v>
      </c>
    </row>
    <row r="66" ht="22" customHeight="1">
      <c r="B66" s="10" t="n">
        <v>62</v>
      </c>
      <c r="C66" s="14" t="inlineStr">
        <is>
          <t>Kénitra</t>
        </is>
      </c>
      <c r="D66" s="10" t="inlineStr">
        <is>
          <t>Mograne</t>
        </is>
      </c>
      <c r="E66" s="10" t="inlineStr">
        <is>
          <t>50-23</t>
        </is>
      </c>
      <c r="F66" s="10" t="inlineStr">
        <is>
          <t>Entretien et réparation du réseau d'assainissement et de drainage</t>
        </is>
      </c>
      <c r="G66" s="10" t="inlineStr">
        <is>
          <t>Travaux de curage des canaux en terre</t>
        </is>
      </c>
      <c r="H66" s="10" t="inlineStr">
        <is>
          <t>Curage des canaux d'assainissement Hors secteur équipé ghoufera et laison beht sebou ,</t>
        </is>
      </c>
      <c r="I66" s="11" t="n">
        <v>6000000</v>
      </c>
      <c r="J66" s="12" t="inlineStr">
        <is>
          <t>ml</t>
        </is>
      </c>
      <c r="K66" s="13" t="n">
        <v>3000</v>
      </c>
    </row>
    <row r="67" ht="22" customHeight="1">
      <c r="B67" s="5" t="n">
        <v>63</v>
      </c>
      <c r="C67" s="14" t="inlineStr">
        <is>
          <t>Kénitra</t>
        </is>
      </c>
      <c r="D67" s="5" t="inlineStr">
        <is>
          <t>Mograne</t>
        </is>
      </c>
      <c r="E67" s="5" t="inlineStr">
        <is>
          <t>40-21</t>
        </is>
      </c>
      <c r="F67" s="5" t="inlineStr">
        <is>
          <t>Travaux de pistes</t>
        </is>
      </c>
      <c r="G67" s="5" t="inlineStr">
        <is>
          <t>Travaux de réhabilitation des pistes agricoles</t>
        </is>
      </c>
      <c r="H67" s="5" t="inlineStr">
        <is>
          <t>Entretien des pistes agricoles des secteurs SEBOU1,SEBOU2? BEHT3 et BEHT4</t>
        </is>
      </c>
      <c r="I67" s="7" t="n">
        <v>6000000</v>
      </c>
      <c r="J67" s="8" t="inlineStr">
        <is>
          <t>km</t>
        </is>
      </c>
      <c r="K67" s="9" t="n">
        <v>12</v>
      </c>
    </row>
    <row r="68" ht="22" customHeight="1">
      <c r="B68" s="10" t="n">
        <v>64</v>
      </c>
      <c r="C68" s="14" t="inlineStr">
        <is>
          <t>Kénitra</t>
        </is>
      </c>
      <c r="D68" s="10" t="inlineStr">
        <is>
          <t>Sidi allal tazi</t>
        </is>
      </c>
      <c r="E68" s="10" t="inlineStr">
        <is>
          <t>50-23</t>
        </is>
      </c>
      <c r="F68" s="10" t="inlineStr">
        <is>
          <t>Entretien et réparation du réseau d'assainissement et de drainage</t>
        </is>
      </c>
      <c r="G68" s="10" t="inlineStr">
        <is>
          <t>Travaux de curage des canaux en terre</t>
        </is>
      </c>
      <c r="H68" s="10" t="inlineStr">
        <is>
          <t>Curage du canaL d'assainissement CK,</t>
        </is>
      </c>
      <c r="I68" s="11" t="n">
        <v>3000000</v>
      </c>
      <c r="J68" s="12" t="inlineStr">
        <is>
          <t>ml</t>
        </is>
      </c>
      <c r="K68" s="13" t="n">
        <v>1500</v>
      </c>
    </row>
    <row r="69" ht="22" customHeight="1">
      <c r="B69" s="5" t="n">
        <v>65</v>
      </c>
      <c r="C69" s="14" t="inlineStr">
        <is>
          <t>Kénitra</t>
        </is>
      </c>
      <c r="D69" s="5" t="inlineStr">
        <is>
          <t>AMEUR SAFLIA</t>
        </is>
      </c>
      <c r="E69" s="5" t="inlineStr">
        <is>
          <t>50-23</t>
        </is>
      </c>
      <c r="F69" s="5" t="inlineStr">
        <is>
          <t>Entretien et réparation du réseau d'assainissement et de drainage</t>
        </is>
      </c>
      <c r="G69" s="5" t="inlineStr">
        <is>
          <t>Travaux de curage des canaux en terre</t>
        </is>
      </c>
      <c r="H69" s="5" t="inlineStr">
        <is>
          <t>Curage des canaux d'assainissement amontTtiflt Sebou,</t>
        </is>
      </c>
      <c r="I69" s="7" t="n">
        <v>1000000</v>
      </c>
      <c r="J69" s="8" t="inlineStr">
        <is>
          <t>ml</t>
        </is>
      </c>
      <c r="K69" s="9" t="n">
        <v>500</v>
      </c>
    </row>
    <row r="70" ht="22" customHeight="1">
      <c r="B70" s="10" t="n">
        <v>66</v>
      </c>
      <c r="C70" s="14" t="inlineStr">
        <is>
          <t>Kénitra</t>
        </is>
      </c>
      <c r="D70" s="10" t="inlineStr">
        <is>
          <t>Oulad SLAMA</t>
        </is>
      </c>
      <c r="E70" s="10" t="inlineStr">
        <is>
          <t>50-23</t>
        </is>
      </c>
      <c r="F70" s="10" t="inlineStr">
        <is>
          <t>Entretien et réparation du réseau d'assainissement et de drainage</t>
        </is>
      </c>
      <c r="G70" s="10" t="inlineStr">
        <is>
          <t>Travaux de curage des canaux en terre</t>
        </is>
      </c>
      <c r="H70" s="10" t="inlineStr">
        <is>
          <t>Curage des canaux d'assainissement debouche Tiflt aval,</t>
        </is>
      </c>
      <c r="I70" s="11" t="n">
        <v>1000000</v>
      </c>
      <c r="J70" s="12" t="inlineStr">
        <is>
          <t>ml</t>
        </is>
      </c>
      <c r="K70" s="13" t="n">
        <v>500</v>
      </c>
    </row>
    <row r="71" ht="22" customHeight="1">
      <c r="B71" s="5" t="n">
        <v>67</v>
      </c>
      <c r="C71" s="14" t="inlineStr">
        <is>
          <t>Kénitra</t>
        </is>
      </c>
      <c r="D71" s="5" t="inlineStr">
        <is>
          <t>BHARA Oulad AYAD</t>
        </is>
      </c>
      <c r="E71" s="5" t="inlineStr">
        <is>
          <t>50-23</t>
        </is>
      </c>
      <c r="F71" s="5" t="inlineStr">
        <is>
          <t>Entretien et réparation du réseau d'assainissement et de drainage</t>
        </is>
      </c>
      <c r="G71" s="5" t="inlineStr">
        <is>
          <t>Travaux de curage des canaux en terre</t>
        </is>
      </c>
      <c r="H71" s="5" t="inlineStr">
        <is>
          <t>Curage des canaux d'assainissement canal nador bas et haut segmet,</t>
        </is>
      </c>
      <c r="I71" s="7" t="n">
        <v>6600000</v>
      </c>
      <c r="J71" s="8" t="inlineStr">
        <is>
          <t>ml</t>
        </is>
      </c>
      <c r="K71" s="9" t="n">
        <v>3300</v>
      </c>
    </row>
    <row r="72" ht="22" customHeight="1">
      <c r="B72" s="10" t="n">
        <v>68</v>
      </c>
      <c r="C72" s="15" t="inlineStr">
        <is>
          <t>Sidi Slimane</t>
        </is>
      </c>
      <c r="D72" s="10" t="inlineStr">
        <is>
          <t>OULED HCEINE</t>
        </is>
      </c>
      <c r="E72" s="10" t="inlineStr">
        <is>
          <t>50-23</t>
        </is>
      </c>
      <c r="F72" s="10" t="inlineStr">
        <is>
          <t>Entretien et réparation du réseau d'assainissement et de drainage</t>
        </is>
      </c>
      <c r="G72" s="10" t="inlineStr">
        <is>
          <t>Travaux de curage des canaux en terre</t>
        </is>
      </c>
      <c r="H72" s="10" t="inlineStr">
        <is>
          <t>Curage des collecteurs d'assainissement du secteur EST4.</t>
        </is>
      </c>
      <c r="I72" s="11" t="n">
        <v>1805475</v>
      </c>
      <c r="J72" s="12" t="inlineStr">
        <is>
          <t>ml</t>
        </is>
      </c>
      <c r="K72" s="13" t="n">
        <v>903</v>
      </c>
    </row>
    <row r="73" ht="22" customHeight="1">
      <c r="B73" s="5" t="n">
        <v>69</v>
      </c>
      <c r="C73" s="15" t="inlineStr">
        <is>
          <t>Sidi Slimane</t>
        </is>
      </c>
      <c r="D73" s="5" t="inlineStr">
        <is>
          <t>OULED HCEINE</t>
        </is>
      </c>
      <c r="E73" s="5" t="inlineStr">
        <is>
          <t>50-23</t>
        </is>
      </c>
      <c r="F73" s="5" t="inlineStr">
        <is>
          <t>Entretien et réparation du réseau d'assainissement et de drainage</t>
        </is>
      </c>
      <c r="G73" s="5" t="inlineStr">
        <is>
          <t>Travaux de curage des canaux en terre</t>
        </is>
      </c>
      <c r="H73" s="5" t="inlineStr">
        <is>
          <t>Curage du canal d'assainissement Tihli central.</t>
        </is>
      </c>
      <c r="I73" s="7" t="n">
        <v>2587200</v>
      </c>
      <c r="J73" s="8" t="inlineStr">
        <is>
          <t>ml</t>
        </is>
      </c>
      <c r="K73" s="9" t="n">
        <v>1294</v>
      </c>
    </row>
    <row r="74" ht="22" customHeight="1">
      <c r="B74" s="10" t="n">
        <v>70</v>
      </c>
      <c r="C74" s="15" t="inlineStr">
        <is>
          <t>Sidi Slimane</t>
        </is>
      </c>
      <c r="D74" s="10" t="inlineStr">
        <is>
          <t>OULED HCEINE</t>
        </is>
      </c>
      <c r="E74" s="10" t="inlineStr">
        <is>
          <t>40-21</t>
        </is>
      </c>
      <c r="F74" s="10" t="inlineStr">
        <is>
          <t>Travaux de pistes</t>
        </is>
      </c>
      <c r="G74" s="10" t="inlineStr">
        <is>
          <t>Travaux de réhabilitation des pistes agricoles</t>
        </is>
      </c>
      <c r="H74" s="10" t="inlineStr">
        <is>
          <t>Entretien des pistes agricoles</t>
        </is>
      </c>
      <c r="I74" s="11" t="n">
        <v>3500000</v>
      </c>
      <c r="J74" s="12" t="inlineStr">
        <is>
          <t>km</t>
        </is>
      </c>
      <c r="K74" s="13" t="n">
        <v>7</v>
      </c>
    </row>
    <row r="75" ht="22" customHeight="1">
      <c r="B75" s="5" t="n">
        <v>71</v>
      </c>
      <c r="C75" s="15" t="inlineStr">
        <is>
          <t>Sidi Slimane</t>
        </is>
      </c>
      <c r="D75" s="5" t="inlineStr">
        <is>
          <t>OULED HCEINE</t>
        </is>
      </c>
      <c r="E75" s="5" t="inlineStr">
        <is>
          <t>50-21</t>
        </is>
      </c>
      <c r="F75" s="5" t="inlineStr">
        <is>
          <t>Entretien et réparation des stations de pompage</t>
        </is>
      </c>
      <c r="G75" s="5" t="inlineStr">
        <is>
          <t>Travaux de réparation des équipements hydromécaniques et éléctriques et entretien de la partie génie civil des stations de pompage.</t>
        </is>
      </c>
      <c r="H75" s="5" t="inlineStr">
        <is>
          <t>Démontage et expertise des roues des  pompes principaux et pompes a vide de la station EST4 et P11/2.
Changement des roulements, tresses et organes d’effectués de la station EST4 et P11/2
Changement deux débitmètre Ø 1200 mm de la station EST4 et un débimétre de la station P11/2.
Changement des capteurs de niveau inondés.
Révision et réparation des moteurs des vannes motorisées inondées.
changement de six contrôleurs de débits DW181 inondés.
Un capteur de débitmètre inondé nécessitent un diagnostic VEGASON  .
Entretien de l'éclairage du local de vide et bâche d’aspiration inondé de la station EST4 et la partie de l’éclairage du local des pompes inondées de la station P11/2.
Pose de gabions et recouvrement du talus par matelas Reno des stations de pompage P11/2</t>
        </is>
      </c>
      <c r="I75" s="7" t="n">
        <v>870000</v>
      </c>
      <c r="J75" s="8" t="inlineStr">
        <is>
          <t>U</t>
        </is>
      </c>
      <c r="K75" s="9" t="n">
        <v>4</v>
      </c>
    </row>
    <row r="76" ht="22" customHeight="1">
      <c r="B76" s="10" t="n">
        <v>72</v>
      </c>
      <c r="C76" s="15" t="inlineStr">
        <is>
          <t>Sidi Slimane</t>
        </is>
      </c>
      <c r="D76" s="10" t="inlineStr">
        <is>
          <t>OULED HCEINE</t>
        </is>
      </c>
      <c r="E76" s="10" t="inlineStr">
        <is>
          <t>50-23</t>
        </is>
      </c>
      <c r="F76" s="10" t="inlineStr">
        <is>
          <t>Entretien et réparation du réseau d'assainissement et de drainage</t>
        </is>
      </c>
      <c r="G76" s="10" t="inlineStr">
        <is>
          <t>Travaux de curage des prises des stations de pompage.</t>
        </is>
      </c>
      <c r="H76" s="10" t="inlineStr">
        <is>
          <t>Curage des siphones des station de pompage EST2 et P11/2.</t>
        </is>
      </c>
      <c r="I76" s="11" t="n">
        <v>500000</v>
      </c>
      <c r="J76" s="12" t="inlineStr">
        <is>
          <t>ml</t>
        </is>
      </c>
      <c r="K76" s="13" t="n">
        <v>167</v>
      </c>
    </row>
    <row r="77" ht="26" customHeight="1">
      <c r="B77" s="16" t="inlineStr">
        <is>
          <t>TOTAL</t>
        </is>
      </c>
      <c r="C77" s="16" t="n"/>
      <c r="D77" s="16" t="n"/>
      <c r="E77" s="16" t="n"/>
      <c r="F77" s="16" t="n"/>
      <c r="G77" s="16" t="n"/>
      <c r="H77" s="16" t="n"/>
      <c r="I77" s="17">
        <f>SUM(I5:I76)</f>
        <v/>
      </c>
      <c r="J77" s="16" t="n"/>
      <c r="K77" s="16" t="n"/>
    </row>
  </sheetData>
  <mergeCells count="3">
    <mergeCell ref="B3:I3"/>
    <mergeCell ref="J3:K3"/>
    <mergeCell ref="B2:K2"/>
  </mergeCells>
  <pageMargins left="0.75" right="0.75" top="1" bottom="1" header="0.5" footer="0.5"/>
</worksheet>
</file>

<file path=xl/worksheets/sheet2.xml><?xml version="1.0" encoding="utf-8"?>
<worksheet xmlns="http://schemas.openxmlformats.org/spreadsheetml/2006/main">
  <sheetPr>
    <tabColor rgb="008C8A84"/>
    <outlinePr summaryBelow="1" summaryRight="1"/>
    <pageSetUpPr/>
  </sheetPr>
  <dimension ref="A1:F14"/>
  <sheetViews>
    <sheetView showGridLines="0" workbookViewId="0">
      <selection activeCell="A1" sqref="A1"/>
    </sheetView>
  </sheetViews>
  <sheetFormatPr baseColWidth="8" defaultRowHeight="15"/>
  <cols>
    <col width="3" customWidth="1" min="1" max="1"/>
    <col width="24" customWidth="1" min="2" max="2"/>
    <col width="90" customWidth="1" min="3" max="3"/>
  </cols>
  <sheetData>
    <row r="1" ht="15" customHeight="1"/>
    <row r="2" ht="32" customHeight="1">
      <c r="B2" s="1" t="inlineStr">
        <is>
          <t>Guide d'Utilisation du Canevas Hebdomadaire (Juin–Décembre 2026)</t>
        </is>
      </c>
    </row>
    <row r="3" ht="8" customHeight="1"/>
    <row r="4" ht="32" customHeight="1">
      <c r="B4" s="18" t="inlineStr">
        <is>
          <t>CODE COULEUR</t>
        </is>
      </c>
      <c r="C4" s="19" t="inlineStr">
        <is>
          <t>Jaune = Saisie | Vert = Formule auto inter-feuille | Noir = Formule calculée | Bleu = Valeur saisie</t>
        </is>
      </c>
    </row>
    <row r="5" ht="32" customHeight="1">
      <c r="B5" s="18" t="inlineStr">
        <is>
          <t>SAISIE HEBDOMADAIRE</t>
        </is>
      </c>
      <c r="C5" s="19" t="inlineStr">
        <is>
          <t>Dans les feuilles S23-S53, saisissez uniquement les cellules jaunes : Qté Réalisée Semaine, Montants, Avancement Financier %, Observations. Chaque feuille correspond à une semaine ISO de 2026 avec la date pré-remplie.</t>
        </is>
      </c>
    </row>
    <row r="6" ht="32" customHeight="1">
      <c r="B6" s="18" t="inlineStr">
        <is>
          <t>52 SEMAINES 2026</t>
        </is>
      </c>
      <c r="C6" s="19" t="inlineStr">
        <is>
          <t>Le classeur contient 31 feuilles hebdomadaires (S01 à S52), couvrant toute l'année 2026. Les couleurs des onglets changent par mois pour faciliter la navigation.</t>
        </is>
      </c>
    </row>
    <row r="7" ht="32" customHeight="1">
      <c r="B7" s="18" t="inlineStr">
        <is>
          <t>INDICATEURS PHYSIQUES</t>
        </is>
      </c>
      <c r="C7" s="19" t="inlineStr">
        <is>
          <t>Chaque projet a une Unité (ml, km, m², m³, U) et une Qté Prévue définies dans 'Liste Projets'. L'Avancement Physique % est calculé automatiquement : Qté Réalisée Cumul / Qté Prévue</t>
        </is>
      </c>
    </row>
    <row r="8" ht="32" customHeight="1">
      <c r="B8" s="18" t="inlineStr">
        <is>
          <t>CUMUL AUTOMATIQUE</t>
        </is>
      </c>
      <c r="C8" s="19" t="inlineStr">
        <is>
          <t>La Qté Réalisée Cumul = Cumul sem. précédente + Qté réalisée cette semaine. Le lien entre semaines est automatique (S02 référence S01, S03 référence S02, etc.).</t>
        </is>
      </c>
    </row>
    <row r="9" ht="32" customHeight="1">
      <c r="B9" s="18" t="inlineStr">
        <is>
          <t>SUIVI MENSUEL</t>
        </is>
      </c>
      <c r="C9" s="19" t="inlineStr">
        <is>
          <t>L'onglet 'Récapitulatif' contient un Résumé Mensuel avec l'avancement en fin de mois, l'accroissement mensuel et l'écart physique-financier pour chaque mois de 2026. Les semaines de chaque mois sont indiquées (ex: S01-S04 pour Janvier).</t>
        </is>
      </c>
    </row>
    <row r="10" ht="32" customHeight="1">
      <c r="B10" s="18" t="inlineStr">
        <is>
          <t>PROTECTION</t>
        </is>
      </c>
      <c r="C10" s="19" t="inlineStr">
        <is>
          <t>Cellules de référence et formules verrouillées. Mot de passe : ormvag2026</t>
        </is>
      </c>
    </row>
    <row r="11" ht="32" customHeight="1">
      <c r="B11" s="18" t="inlineStr">
        <is>
          <t>MODIFIER UNITÉS/QTÉ</t>
        </is>
      </c>
      <c r="C11" s="19" t="inlineStr">
        <is>
          <t>Allez dans 'Liste Projets' pour modifier les Unités et Qté Prévue. Ces valeurs sont reportées dans les feuilles hebdomadaires.</t>
        </is>
      </c>
    </row>
    <row r="12" ht="32" customHeight="1">
      <c r="B12" s="18" t="inlineStr">
        <is>
          <t>FORMAT POURCENTAGE</t>
        </is>
      </c>
      <c r="C12" s="19" t="inlineStr">
        <is>
          <t>Saisir 0.25 pour 25%, 0.50 pour 50%, 1.00 pour 100%. Valeurs entre 0 et 1.</t>
        </is>
      </c>
    </row>
    <row r="13" ht="32" customHeight="1">
      <c r="B13" s="18" t="inlineStr">
        <is>
          <t>ÉCART PHYS.-FIN.</t>
        </is>
      </c>
      <c r="C13" s="19" t="inlineStr">
        <is>
          <t>Positif = le physique avance plus vite que le financier. Négatif = le financier avance plus vite. Problème si &gt; 5% d'écart.</t>
        </is>
      </c>
    </row>
    <row r="14" ht="32" customHeight="1">
      <c r="B14" s="18" t="inlineStr">
        <is>
          <t>DATES PRÉ-REMPLIES</t>
        </is>
      </c>
      <c r="C14" s="19" t="inlineStr">
        <is>
          <t>Chaque feuille hebdomadaire a la date du lundi de la semaine pré-remplie dans la cellule C3. Par exemple, S24 correspond au 08/06/2026 - 14/06/2026.</t>
        </is>
      </c>
    </row>
  </sheetData>
  <mergeCells count="1">
    <mergeCell ref="B2:F2"/>
  </mergeCells>
  <pageMargins left="0.75" right="0.75" top="1" bottom="1" header="0.5" footer="0.5"/>
</worksheet>
</file>

<file path=xl/worksheets/sheet3.xml><?xml version="1.0" encoding="utf-8"?>
<worksheet xmlns="http://schemas.openxmlformats.org/spreadsheetml/2006/main">
  <sheetPr>
    <tabColor rgb="00ED7D31"/>
    <outlinePr summaryBelow="1" summaryRight="1"/>
    <pageSetUpPr/>
  </sheetPr>
  <dimension ref="B2:X77"/>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5" customWidth="1" min="2" max="2"/>
    <col width="14" customWidth="1" min="3" max="3"/>
    <col width="18" customWidth="1" min="4" max="4"/>
    <col width="9" customWidth="1" min="5" max="5"/>
    <col width="32" customWidth="1" min="6" max="6"/>
    <col width="28" customWidth="1" min="7" max="7"/>
    <col width="34" customWidth="1" min="8" max="8"/>
    <col width="14" customWidth="1" min="9" max="9"/>
    <col width="8" customWidth="1" min="10" max="10"/>
    <col width="12" customWidth="1" min="11" max="11"/>
    <col width="14" customWidth="1" min="12" max="12"/>
    <col width="14" customWidth="1" min="13" max="13"/>
    <col width="14" customWidth="1" min="14" max="14"/>
    <col width="14" customWidth="1" min="15" max="15"/>
    <col width="14" customWidth="1" min="16" max="16"/>
    <col width="16" customWidth="1" min="17" max="17"/>
    <col width="16" customWidth="1" min="18" max="18"/>
    <col width="16" customWidth="1" min="19" max="19"/>
    <col width="14" customWidth="1" min="20" max="20"/>
    <col width="14" customWidth="1" min="21" max="21"/>
    <col width="14" customWidth="1" min="22" max="22"/>
    <col width="14" customWidth="1" min="23" max="23"/>
    <col width="24" customWidth="1" min="24" max="24"/>
  </cols>
  <sheetData>
    <row r="1" ht="15" customHeight="1"/>
    <row r="2" ht="32" customHeight="1">
      <c r="B2" s="1" t="inlineStr">
        <is>
          <t>Suivi Hebdomadaire - Semaine 23 (01/06 - 07/06) — Juin 2026 - Exécution Physique et Financière</t>
        </is>
      </c>
    </row>
    <row r="3" ht="22" customHeight="1">
      <c r="B3" s="20" t="inlineStr">
        <is>
          <t>Date :</t>
        </is>
      </c>
      <c r="C3" s="49" t="n">
        <v>46174</v>
      </c>
      <c r="D3" s="50" t="n"/>
      <c r="E3" s="22" t="inlineStr">
        <is>
          <t>IDENTIFICATION</t>
        </is>
      </c>
      <c r="J3" s="23" t="inlineStr">
        <is>
          <t>INDICATEURS PHYSIQUES</t>
        </is>
      </c>
      <c r="Q3" s="24" t="inlineStr">
        <is>
          <t>INDICATEURS FINANCIERS</t>
        </is>
      </c>
      <c r="W3" s="25" t="inlineStr">
        <is>
          <t>SYNTHÈSE</t>
        </is>
      </c>
    </row>
    <row r="4" ht="28" customHeight="1">
      <c r="B4" s="4" t="inlineStr">
        <is>
          <t>N°</t>
        </is>
      </c>
      <c r="C4" s="4" t="inlineStr">
        <is>
          <t>Province</t>
        </is>
      </c>
      <c r="D4" s="4" t="inlineStr">
        <is>
          <t>Commune</t>
        </is>
      </c>
      <c r="E4" s="4" t="inlineStr">
        <is>
          <t>Rubrique</t>
        </is>
      </c>
      <c r="F4" s="4" t="inlineStr">
        <is>
          <t>Intitulé Rubrique</t>
        </is>
      </c>
      <c r="G4" s="4" t="inlineStr">
        <is>
          <t>Projet</t>
        </is>
      </c>
      <c r="H4" s="4" t="inlineStr">
        <is>
          <t>Consistance</t>
        </is>
      </c>
      <c r="I4" s="4" t="inlineStr">
        <is>
          <t>Coût Total (DH)</t>
        </is>
      </c>
      <c r="J4" s="26" t="inlineStr">
        <is>
          <t>Unité</t>
        </is>
      </c>
      <c r="K4" s="26" t="inlineStr">
        <is>
          <t>Qté Prévue</t>
        </is>
      </c>
      <c r="L4" s="26" t="inlineStr">
        <is>
          <t>Qté Réalisée Sem.</t>
        </is>
      </c>
      <c r="M4" s="26" t="inlineStr">
        <is>
          <t>Qté Réalisée Cumul</t>
        </is>
      </c>
      <c r="N4" s="26" t="inlineStr">
        <is>
          <t>Avancement Physique %</t>
        </is>
      </c>
      <c r="O4" s="26" t="inlineStr">
        <is>
          <t>% Phys. Sem. Préc.</t>
        </is>
      </c>
      <c r="P4" s="26" t="inlineStr">
        <is>
          <t>Accroissement Phys. %</t>
        </is>
      </c>
      <c r="Q4" s="27" t="inlineStr">
        <is>
          <t>Montant Décaissé (DH)</t>
        </is>
      </c>
      <c r="R4" s="27" t="inlineStr">
        <is>
          <t>Montant Payé (DH)</t>
        </is>
      </c>
      <c r="S4" s="27" t="inlineStr">
        <is>
          <t>Montant Ordonné (DH)</t>
        </is>
      </c>
      <c r="T4" s="27" t="inlineStr">
        <is>
          <t>Avancement Financier %</t>
        </is>
      </c>
      <c r="U4" s="27" t="inlineStr">
        <is>
          <t>% Fin. Sem. Préc.</t>
        </is>
      </c>
      <c r="V4" s="27" t="inlineStr">
        <is>
          <t>Accroissement Fin. %</t>
        </is>
      </c>
      <c r="W4" s="28" t="inlineStr">
        <is>
          <t>Écart Phys.-Fin.</t>
        </is>
      </c>
      <c r="X4" s="28" t="inlineStr">
        <is>
          <t>Observations</t>
        </is>
      </c>
    </row>
    <row r="5" ht="22" customHeight="1">
      <c r="B5" s="5" t="n">
        <v>1</v>
      </c>
      <c r="C5" s="6" t="inlineStr">
        <is>
          <t>Sidi Kacem</t>
        </is>
      </c>
      <c r="D5" s="5" t="inlineStr">
        <is>
          <t>KHENICHET</t>
        </is>
      </c>
      <c r="E5" s="5" t="inlineStr">
        <is>
          <t>50-23</t>
        </is>
      </c>
      <c r="F5" s="5" t="inlineStr">
        <is>
          <t>Entretien et réparation du réseau d'assainissement et de drainage</t>
        </is>
      </c>
      <c r="G5" s="5" t="inlineStr">
        <is>
          <t>Travaux de curage des canaux en terre</t>
        </is>
      </c>
      <c r="H5" s="5" t="inlineStr">
        <is>
          <t>Curage des collecteurs d'assainissement du secteur EST2</t>
        </is>
      </c>
      <c r="I5" s="7" t="n">
        <v>2091568</v>
      </c>
      <c r="J5" s="8" t="inlineStr">
        <is>
          <t>ml</t>
        </is>
      </c>
      <c r="K5" s="9" t="n">
        <v>1046</v>
      </c>
      <c r="L5" s="51" t="n"/>
      <c r="M5" s="52">
        <f>'S22'!M5+L5</f>
        <v/>
      </c>
      <c r="N5" s="53">
        <f>IFERROR(M5/K5,0)</f>
        <v/>
      </c>
      <c r="O5" s="54">
        <f>'S22'!N5</f>
        <v/>
      </c>
      <c r="P5" s="53">
        <f>N5-O5</f>
        <v/>
      </c>
      <c r="Q5" s="32" t="n"/>
      <c r="R5" s="32" t="n"/>
      <c r="S5" s="32" t="n"/>
      <c r="T5" s="55" t="n"/>
      <c r="U5" s="54">
        <f>'S22'!T5</f>
        <v/>
      </c>
      <c r="V5" s="53">
        <f>T5-U5</f>
        <v/>
      </c>
      <c r="W5" s="53">
        <f>N5-T5</f>
        <v/>
      </c>
      <c r="X5" s="34" t="n"/>
    </row>
    <row r="6" ht="22" customHeight="1">
      <c r="B6" s="10" t="n">
        <v>2</v>
      </c>
      <c r="C6" s="6" t="inlineStr">
        <is>
          <t>Sidi Kacem</t>
        </is>
      </c>
      <c r="D6" s="10" t="inlineStr">
        <is>
          <t>KHENICHET</t>
        </is>
      </c>
      <c r="E6" s="10" t="inlineStr">
        <is>
          <t>40-21</t>
        </is>
      </c>
      <c r="F6" s="10" t="inlineStr">
        <is>
          <t>Travaux de pistes</t>
        </is>
      </c>
      <c r="G6" s="10" t="inlineStr">
        <is>
          <t>Travaux de réhabilitation des pistes agricoles</t>
        </is>
      </c>
      <c r="H6" s="10" t="inlineStr">
        <is>
          <t>Entretien des pistes agricoles Douar Nouagra et Douar ouled Salem</t>
        </is>
      </c>
      <c r="I6" s="11" t="n">
        <v>78000</v>
      </c>
      <c r="J6" s="12" t="inlineStr">
        <is>
          <t>km</t>
        </is>
      </c>
      <c r="K6" s="13" t="n">
        <v>1</v>
      </c>
      <c r="L6" s="51" t="n"/>
      <c r="M6" s="56">
        <f>'S22'!M6+L6</f>
        <v/>
      </c>
      <c r="N6" s="57">
        <f>IFERROR(M6/K6,0)</f>
        <v/>
      </c>
      <c r="O6" s="58">
        <f>'S22'!N6</f>
        <v/>
      </c>
      <c r="P6" s="57">
        <f>N6-O6</f>
        <v/>
      </c>
      <c r="Q6" s="32" t="n"/>
      <c r="R6" s="32" t="n"/>
      <c r="S6" s="32" t="n"/>
      <c r="T6" s="55" t="n"/>
      <c r="U6" s="58">
        <f>'S22'!T6</f>
        <v/>
      </c>
      <c r="V6" s="57">
        <f>T6-U6</f>
        <v/>
      </c>
      <c r="W6" s="57">
        <f>N6-T6</f>
        <v/>
      </c>
      <c r="X6" s="34" t="n"/>
    </row>
    <row r="7" ht="22" customHeight="1">
      <c r="B7" s="5" t="n">
        <v>3</v>
      </c>
      <c r="C7" s="6" t="inlineStr">
        <is>
          <t>Sidi Kacem</t>
        </is>
      </c>
      <c r="D7" s="5" t="inlineStr">
        <is>
          <t>KHENICHET</t>
        </is>
      </c>
      <c r="E7" s="5" t="inlineStr">
        <is>
          <t>50-23</t>
        </is>
      </c>
      <c r="F7" s="5" t="inlineStr">
        <is>
          <t>Entretien et réparation du réseau d'assainissement et de drainage</t>
        </is>
      </c>
      <c r="G7" s="5" t="inlineStr">
        <is>
          <t>Curage des prises sur l’oued, bâche d’aspiration et bassin de régulation.</t>
        </is>
      </c>
      <c r="H7" s="5" t="inlineStr">
        <is>
          <t>Curage de la chambre des joints de démontage des siphonnes  de la station de pompage EST2.</t>
        </is>
      </c>
      <c r="I7" s="7" t="n">
        <v>126000</v>
      </c>
      <c r="J7" s="8" t="inlineStr">
        <is>
          <t>ml</t>
        </is>
      </c>
      <c r="K7" s="9" t="n">
        <v>42</v>
      </c>
      <c r="L7" s="51" t="n"/>
      <c r="M7" s="52">
        <f>'S22'!M7+L7</f>
        <v/>
      </c>
      <c r="N7" s="53">
        <f>IFERROR(M7/K7,0)</f>
        <v/>
      </c>
      <c r="O7" s="54">
        <f>'S22'!N7</f>
        <v/>
      </c>
      <c r="P7" s="53">
        <f>N7-O7</f>
        <v/>
      </c>
      <c r="Q7" s="32" t="n"/>
      <c r="R7" s="32" t="n"/>
      <c r="S7" s="32" t="n"/>
      <c r="T7" s="55" t="n"/>
      <c r="U7" s="54">
        <f>'S22'!T7</f>
        <v/>
      </c>
      <c r="V7" s="53">
        <f>T7-U7</f>
        <v/>
      </c>
      <c r="W7" s="53">
        <f>N7-T7</f>
        <v/>
      </c>
      <c r="X7" s="34" t="n"/>
    </row>
    <row r="8" ht="22" customHeight="1">
      <c r="B8" s="10" t="n">
        <v>4</v>
      </c>
      <c r="C8" s="6" t="inlineStr">
        <is>
          <t>Sidi Kacem</t>
        </is>
      </c>
      <c r="D8" s="10" t="inlineStr">
        <is>
          <t>KHENICHET</t>
        </is>
      </c>
      <c r="E8" s="10" t="inlineStr">
        <is>
          <t>50-21</t>
        </is>
      </c>
      <c r="F8" s="10" t="inlineStr">
        <is>
          <t>Entretien et réparation des stations de pompage</t>
        </is>
      </c>
      <c r="G8" s="10" t="inlineStr">
        <is>
          <t>Prestation de maintenance des débitmètres et leurs équipements annexes installés au niveau des station de pompage</t>
        </is>
      </c>
      <c r="H8" s="10" t="inlineStr">
        <is>
          <t>Changement trois débitmètre Ø 600mm inondés de la station de pompage EST 2 et deux capteurs VEGASON 62</t>
        </is>
      </c>
      <c r="I8" s="11" t="n">
        <v>165500</v>
      </c>
      <c r="J8" s="12" t="inlineStr">
        <is>
          <t>U</t>
        </is>
      </c>
      <c r="K8" s="13" t="n">
        <v>3</v>
      </c>
      <c r="L8" s="51" t="n"/>
      <c r="M8" s="56">
        <f>'S22'!M8+L8</f>
        <v/>
      </c>
      <c r="N8" s="57">
        <f>IFERROR(M8/K8,0)</f>
        <v/>
      </c>
      <c r="O8" s="58">
        <f>'S22'!N8</f>
        <v/>
      </c>
      <c r="P8" s="57">
        <f>N8-O8</f>
        <v/>
      </c>
      <c r="Q8" s="32" t="n"/>
      <c r="R8" s="32" t="n"/>
      <c r="S8" s="32" t="n"/>
      <c r="T8" s="55" t="n"/>
      <c r="U8" s="58">
        <f>'S22'!T8</f>
        <v/>
      </c>
      <c r="V8" s="57">
        <f>T8-U8</f>
        <v/>
      </c>
      <c r="W8" s="57">
        <f>N8-T8</f>
        <v/>
      </c>
      <c r="X8" s="34" t="n"/>
    </row>
    <row r="9" ht="22" customHeight="1">
      <c r="B9" s="5" t="n">
        <v>5</v>
      </c>
      <c r="C9" s="6" t="inlineStr">
        <is>
          <t>Sidi Kacem</t>
        </is>
      </c>
      <c r="D9" s="5" t="inlineStr">
        <is>
          <t>BIR TALEB</t>
        </is>
      </c>
      <c r="E9" s="5" t="inlineStr">
        <is>
          <t>50-23</t>
        </is>
      </c>
      <c r="F9" s="5" t="inlineStr">
        <is>
          <t>Entretien et réparation du réseau d'assainissement et de drainage</t>
        </is>
      </c>
      <c r="G9" s="5" t="inlineStr">
        <is>
          <t>Travaux de curage des canaux en terre</t>
        </is>
      </c>
      <c r="H9" s="5" t="inlineStr">
        <is>
          <t>Curage du canal d'assainisement Tihli Aval</t>
        </is>
      </c>
      <c r="I9" s="7" t="n">
        <v>1000000</v>
      </c>
      <c r="J9" s="8" t="inlineStr">
        <is>
          <t>ml</t>
        </is>
      </c>
      <c r="K9" s="9" t="n">
        <v>500</v>
      </c>
      <c r="L9" s="51" t="n"/>
      <c r="M9" s="52">
        <f>'S22'!M9+L9</f>
        <v/>
      </c>
      <c r="N9" s="53">
        <f>IFERROR(M9/K9,0)</f>
        <v/>
      </c>
      <c r="O9" s="54">
        <f>'S22'!N9</f>
        <v/>
      </c>
      <c r="P9" s="53">
        <f>N9-O9</f>
        <v/>
      </c>
      <c r="Q9" s="32" t="n"/>
      <c r="R9" s="32" t="n"/>
      <c r="S9" s="32" t="n"/>
      <c r="T9" s="55" t="n"/>
      <c r="U9" s="54">
        <f>'S22'!T9</f>
        <v/>
      </c>
      <c r="V9" s="53">
        <f>T9-U9</f>
        <v/>
      </c>
      <c r="W9" s="53">
        <f>N9-T9</f>
        <v/>
      </c>
      <c r="X9" s="34" t="n"/>
    </row>
    <row r="10" ht="22" customHeight="1">
      <c r="B10" s="10" t="n">
        <v>6</v>
      </c>
      <c r="C10" s="6" t="inlineStr">
        <is>
          <t>Sidi Kacem</t>
        </is>
      </c>
      <c r="D10" s="10" t="inlineStr">
        <is>
          <t>BIR TALEB</t>
        </is>
      </c>
      <c r="E10" s="10" t="inlineStr">
        <is>
          <t>50-23</t>
        </is>
      </c>
      <c r="F10" s="10" t="inlineStr">
        <is>
          <t>Entretien et réparation du réseau d'assainissement et de drainage</t>
        </is>
      </c>
      <c r="G10" s="10" t="inlineStr"/>
      <c r="H10" s="10" t="inlineStr">
        <is>
          <t>Curage des collecteurs d'assainissement du secteur P11/1</t>
        </is>
      </c>
      <c r="I10" s="11" t="n">
        <v>846731</v>
      </c>
      <c r="J10" s="12" t="inlineStr">
        <is>
          <t>ml</t>
        </is>
      </c>
      <c r="K10" s="13" t="n">
        <v>423</v>
      </c>
      <c r="L10" s="51" t="n"/>
      <c r="M10" s="56">
        <f>'S22'!M10+L10</f>
        <v/>
      </c>
      <c r="N10" s="57">
        <f>IFERROR(M10/K10,0)</f>
        <v/>
      </c>
      <c r="O10" s="58">
        <f>'S22'!N10</f>
        <v/>
      </c>
      <c r="P10" s="57">
        <f>N10-O10</f>
        <v/>
      </c>
      <c r="Q10" s="32" t="n"/>
      <c r="R10" s="32" t="n"/>
      <c r="S10" s="32" t="n"/>
      <c r="T10" s="55" t="n"/>
      <c r="U10" s="58">
        <f>'S22'!T10</f>
        <v/>
      </c>
      <c r="V10" s="57">
        <f>T10-U10</f>
        <v/>
      </c>
      <c r="W10" s="57">
        <f>N10-T10</f>
        <v/>
      </c>
      <c r="X10" s="34" t="n"/>
    </row>
    <row r="11" ht="22" customHeight="1">
      <c r="B11" s="5" t="n">
        <v>7</v>
      </c>
      <c r="C11" s="6" t="inlineStr">
        <is>
          <t>Sidi Kacem</t>
        </is>
      </c>
      <c r="D11" s="5" t="inlineStr">
        <is>
          <t>BIR TALEB</t>
        </is>
      </c>
      <c r="E11" s="5" t="inlineStr">
        <is>
          <t>50-23</t>
        </is>
      </c>
      <c r="F11" s="5" t="inlineStr">
        <is>
          <t>Entretien et réparation du réseau d'assainissement et de drainage</t>
        </is>
      </c>
      <c r="G11" s="5" t="inlineStr">
        <is>
          <t>Curage des prises sur l’oued, bâche d’aspiration et bassin de régulation.</t>
        </is>
      </c>
      <c r="H11" s="5" t="inlineStr">
        <is>
          <t>Curage des prises sur l’oued de la station de pompage P11/1.</t>
        </is>
      </c>
      <c r="I11" s="7" t="n">
        <v>200000</v>
      </c>
      <c r="J11" s="8" t="inlineStr">
        <is>
          <t>ml</t>
        </is>
      </c>
      <c r="K11" s="9" t="n">
        <v>67</v>
      </c>
      <c r="L11" s="51" t="n"/>
      <c r="M11" s="52">
        <f>'S22'!M11+L11</f>
        <v/>
      </c>
      <c r="N11" s="53">
        <f>IFERROR(M11/K11,0)</f>
        <v/>
      </c>
      <c r="O11" s="54">
        <f>'S22'!N11</f>
        <v/>
      </c>
      <c r="P11" s="53">
        <f>N11-O11</f>
        <v/>
      </c>
      <c r="Q11" s="32" t="n"/>
      <c r="R11" s="32" t="n"/>
      <c r="S11" s="32" t="n"/>
      <c r="T11" s="55" t="n"/>
      <c r="U11" s="54">
        <f>'S22'!T11</f>
        <v/>
      </c>
      <c r="V11" s="53">
        <f>T11-U11</f>
        <v/>
      </c>
      <c r="W11" s="53">
        <f>N11-T11</f>
        <v/>
      </c>
      <c r="X11" s="34" t="n"/>
    </row>
    <row r="12" ht="22" customHeight="1">
      <c r="B12" s="10" t="n">
        <v>8</v>
      </c>
      <c r="C12" s="6" t="inlineStr">
        <is>
          <t>Sidi Kacem</t>
        </is>
      </c>
      <c r="D12" s="10" t="inlineStr">
        <is>
          <t>BIR TALEB</t>
        </is>
      </c>
      <c r="E12" s="10" t="inlineStr">
        <is>
          <t>50-21</t>
        </is>
      </c>
      <c r="F12" s="10" t="inlineStr">
        <is>
          <t>Entretien et réparation des stations de pompage</t>
        </is>
      </c>
      <c r="G12" s="10" t="inlineStr">
        <is>
          <t>Prestation de maintenance des débitmètres et leurs équipements annexes installés au niveau des station de pompage</t>
        </is>
      </c>
      <c r="H12" s="10" t="inlineStr">
        <is>
          <t>Changement trois débitmètre Ø 400mm inondés de la station de pompage P11/1</t>
        </is>
      </c>
      <c r="I12" s="11" t="n">
        <v>141900</v>
      </c>
      <c r="J12" s="12" t="inlineStr">
        <is>
          <t>U</t>
        </is>
      </c>
      <c r="K12" s="13" t="n">
        <v>3</v>
      </c>
      <c r="L12" s="51" t="n"/>
      <c r="M12" s="56">
        <f>'S22'!M12+L12</f>
        <v/>
      </c>
      <c r="N12" s="57">
        <f>IFERROR(M12/K12,0)</f>
        <v/>
      </c>
      <c r="O12" s="58">
        <f>'S22'!N12</f>
        <v/>
      </c>
      <c r="P12" s="57">
        <f>N12-O12</f>
        <v/>
      </c>
      <c r="Q12" s="32" t="n"/>
      <c r="R12" s="32" t="n"/>
      <c r="S12" s="32" t="n"/>
      <c r="T12" s="55" t="n"/>
      <c r="U12" s="58">
        <f>'S22'!T12</f>
        <v/>
      </c>
      <c r="V12" s="57">
        <f>T12-U12</f>
        <v/>
      </c>
      <c r="W12" s="57">
        <f>N12-T12</f>
        <v/>
      </c>
      <c r="X12" s="34" t="n"/>
    </row>
    <row r="13" ht="22" customHeight="1">
      <c r="B13" s="5" t="n">
        <v>9</v>
      </c>
      <c r="C13" s="6" t="inlineStr">
        <is>
          <t>Sidi Kacem</t>
        </is>
      </c>
      <c r="D13" s="5" t="inlineStr">
        <is>
          <t>BIR TALEB</t>
        </is>
      </c>
      <c r="E13" s="5" t="inlineStr">
        <is>
          <t>50-21</t>
        </is>
      </c>
      <c r="F13" s="5" t="inlineStr">
        <is>
          <t>Entretien et réparation des stations de pompage</t>
        </is>
      </c>
      <c r="G13" s="5" t="inlineStr">
        <is>
          <t>Prestations de maintenance et de réparation mécanique des pompes et des groupes motopompes submersibles des stations de pompage.</t>
        </is>
      </c>
      <c r="H13" s="5" t="inlineStr">
        <is>
          <t>Démontage et expertise des roues des  pompes principaux et pompes a vide de la station P11/1
Changement des roulements, tresses et organes d’effectués de la station P11/1</t>
        </is>
      </c>
      <c r="I13" s="7" t="n">
        <v>26700</v>
      </c>
      <c r="J13" s="8" t="inlineStr">
        <is>
          <t>U</t>
        </is>
      </c>
      <c r="K13" s="9" t="n">
        <v>1</v>
      </c>
      <c r="L13" s="51" t="n"/>
      <c r="M13" s="52">
        <f>'S22'!M13+L13</f>
        <v/>
      </c>
      <c r="N13" s="53">
        <f>IFERROR(M13/K13,0)</f>
        <v/>
      </c>
      <c r="O13" s="54">
        <f>'S22'!N13</f>
        <v/>
      </c>
      <c r="P13" s="53">
        <f>N13-O13</f>
        <v/>
      </c>
      <c r="Q13" s="32" t="n"/>
      <c r="R13" s="32" t="n"/>
      <c r="S13" s="32" t="n"/>
      <c r="T13" s="55" t="n"/>
      <c r="U13" s="54">
        <f>'S22'!T13</f>
        <v/>
      </c>
      <c r="V13" s="53">
        <f>T13-U13</f>
        <v/>
      </c>
      <c r="W13" s="53">
        <f>N13-T13</f>
        <v/>
      </c>
      <c r="X13" s="34" t="n"/>
    </row>
    <row r="14" ht="22" customHeight="1">
      <c r="B14" s="10" t="n">
        <v>10</v>
      </c>
      <c r="C14" s="6" t="inlineStr">
        <is>
          <t>Sidi Kacem</t>
        </is>
      </c>
      <c r="D14" s="10" t="inlineStr">
        <is>
          <t>BIR TALEB</t>
        </is>
      </c>
      <c r="E14" s="10" t="inlineStr">
        <is>
          <t>50-21</t>
        </is>
      </c>
      <c r="F14" s="10" t="inlineStr">
        <is>
          <t>Entretien et réparation des stations de pompage</t>
        </is>
      </c>
      <c r="G14" s="10" t="inlineStr">
        <is>
          <t>Stabilisation Berge oued</t>
        </is>
      </c>
      <c r="H14" s="10" t="inlineStr">
        <is>
          <t>Pose de  gabions et recouvrement du talus par matelas Reno des stations de pompage P11/1.</t>
        </is>
      </c>
      <c r="I14" s="11" t="n">
        <v>480000</v>
      </c>
      <c r="J14" s="12" t="inlineStr">
        <is>
          <t>m³</t>
        </is>
      </c>
      <c r="K14" s="13" t="n">
        <v>320</v>
      </c>
      <c r="L14" s="51" t="n"/>
      <c r="M14" s="56">
        <f>'S22'!M14+L14</f>
        <v/>
      </c>
      <c r="N14" s="57">
        <f>IFERROR(M14/K14,0)</f>
        <v/>
      </c>
      <c r="O14" s="58">
        <f>'S22'!N14</f>
        <v/>
      </c>
      <c r="P14" s="57">
        <f>N14-O14</f>
        <v/>
      </c>
      <c r="Q14" s="32" t="n"/>
      <c r="R14" s="32" t="n"/>
      <c r="S14" s="32" t="n"/>
      <c r="T14" s="55" t="n"/>
      <c r="U14" s="58">
        <f>'S22'!T14</f>
        <v/>
      </c>
      <c r="V14" s="57">
        <f>T14-U14</f>
        <v/>
      </c>
      <c r="W14" s="57">
        <f>N14-T14</f>
        <v/>
      </c>
      <c r="X14" s="34" t="n"/>
    </row>
    <row r="15" ht="22" customHeight="1">
      <c r="B15" s="5" t="n">
        <v>11</v>
      </c>
      <c r="C15" s="6" t="inlineStr">
        <is>
          <t>Sidi Kacem</t>
        </is>
      </c>
      <c r="D15" s="5" t="inlineStr">
        <is>
          <t>BIR TALEB</t>
        </is>
      </c>
      <c r="E15" s="5" t="inlineStr">
        <is>
          <t>50-21</t>
        </is>
      </c>
      <c r="F15" s="5" t="inlineStr">
        <is>
          <t>Entretien et réparation des stations de pompage</t>
        </is>
      </c>
      <c r="G15" s="5" t="inlineStr">
        <is>
          <t>Génie civile des locaux des stations de pompage.</t>
        </is>
      </c>
      <c r="H15" s="5" t="inlineStr">
        <is>
          <t>Expertise d’état et d’étanchéité des locaux pompes.
Renforcement d’étanchéité des locaux pompe sous niveau des oueds des stations de pompage P11/1.
Entretien des supports en béton des conduites d’aspiration.</t>
        </is>
      </c>
      <c r="I15" s="7" t="n">
        <v>300000</v>
      </c>
      <c r="J15" s="8" t="inlineStr">
        <is>
          <t>U</t>
        </is>
      </c>
      <c r="K15" s="9" t="n">
        <v>1</v>
      </c>
      <c r="L15" s="51" t="n"/>
      <c r="M15" s="52">
        <f>'S22'!M15+L15</f>
        <v/>
      </c>
      <c r="N15" s="53">
        <f>IFERROR(M15/K15,0)</f>
        <v/>
      </c>
      <c r="O15" s="54">
        <f>'S22'!N15</f>
        <v/>
      </c>
      <c r="P15" s="53">
        <f>N15-O15</f>
        <v/>
      </c>
      <c r="Q15" s="32" t="n"/>
      <c r="R15" s="32" t="n"/>
      <c r="S15" s="32" t="n"/>
      <c r="T15" s="55" t="n"/>
      <c r="U15" s="54">
        <f>'S22'!T15</f>
        <v/>
      </c>
      <c r="V15" s="53">
        <f>T15-U15</f>
        <v/>
      </c>
      <c r="W15" s="53">
        <f>N15-T15</f>
        <v/>
      </c>
      <c r="X15" s="34" t="n"/>
    </row>
    <row r="16" ht="22" customHeight="1">
      <c r="B16" s="10" t="n">
        <v>12</v>
      </c>
      <c r="C16" s="6" t="inlineStr">
        <is>
          <t>Sidi Kacem</t>
        </is>
      </c>
      <c r="D16" s="10" t="inlineStr">
        <is>
          <t>CHEBANAT</t>
        </is>
      </c>
      <c r="E16" s="10" t="inlineStr">
        <is>
          <t>50-23</t>
        </is>
      </c>
      <c r="F16" s="10" t="inlineStr">
        <is>
          <t>Entretien et réparation du réseau d'assainissement et de drainage</t>
        </is>
      </c>
      <c r="G16" s="10" t="inlineStr">
        <is>
          <t>Travaux de curage des canaux en terre</t>
        </is>
      </c>
      <c r="H16" s="10" t="inlineStr">
        <is>
          <t>Curage des collecteurs d'assainissement des secteur SH5 et SH6.</t>
        </is>
      </c>
      <c r="I16" s="11" t="n">
        <v>1000000</v>
      </c>
      <c r="J16" s="12" t="inlineStr">
        <is>
          <t>ml</t>
        </is>
      </c>
      <c r="K16" s="13" t="n">
        <v>500</v>
      </c>
      <c r="L16" s="51" t="n"/>
      <c r="M16" s="56">
        <f>'S22'!M16+L16</f>
        <v/>
      </c>
      <c r="N16" s="57">
        <f>IFERROR(M16/K16,0)</f>
        <v/>
      </c>
      <c r="O16" s="58">
        <f>'S22'!N16</f>
        <v/>
      </c>
      <c r="P16" s="57">
        <f>N16-O16</f>
        <v/>
      </c>
      <c r="Q16" s="32" t="n"/>
      <c r="R16" s="32" t="n"/>
      <c r="S16" s="32" t="n"/>
      <c r="T16" s="55" t="n"/>
      <c r="U16" s="58">
        <f>'S22'!T16</f>
        <v/>
      </c>
      <c r="V16" s="57">
        <f>T16-U16</f>
        <v/>
      </c>
      <c r="W16" s="57">
        <f>N16-T16</f>
        <v/>
      </c>
      <c r="X16" s="34" t="n"/>
    </row>
    <row r="17" ht="22" customHeight="1">
      <c r="B17" s="5" t="n">
        <v>13</v>
      </c>
      <c r="C17" s="6" t="inlineStr">
        <is>
          <t>Sidi Kacem</t>
        </is>
      </c>
      <c r="D17" s="5" t="inlineStr">
        <is>
          <t>CHEBANAT</t>
        </is>
      </c>
      <c r="E17" s="5" t="inlineStr">
        <is>
          <t>50-23</t>
        </is>
      </c>
      <c r="F17" s="5" t="inlineStr">
        <is>
          <t>Entretien et réparation du réseau d'assainissement et de drainage</t>
        </is>
      </c>
      <c r="G17" s="5" t="inlineStr">
        <is>
          <t>Travaux de curage des canaux révetus</t>
        </is>
      </c>
      <c r="H17" s="5" t="inlineStr">
        <is>
          <t>Curage du canal principal d'irrigation beht partie aval 1.</t>
        </is>
      </c>
      <c r="I17" s="7" t="n">
        <v>739200</v>
      </c>
      <c r="J17" s="8" t="inlineStr">
        <is>
          <t>ml</t>
        </is>
      </c>
      <c r="K17" s="9" t="n">
        <v>370</v>
      </c>
      <c r="L17" s="51" t="n"/>
      <c r="M17" s="52">
        <f>'S22'!M17+L17</f>
        <v/>
      </c>
      <c r="N17" s="53">
        <f>IFERROR(M17/K17,0)</f>
        <v/>
      </c>
      <c r="O17" s="54">
        <f>'S22'!N17</f>
        <v/>
      </c>
      <c r="P17" s="53">
        <f>N17-O17</f>
        <v/>
      </c>
      <c r="Q17" s="32" t="n"/>
      <c r="R17" s="32" t="n"/>
      <c r="S17" s="32" t="n"/>
      <c r="T17" s="55" t="n"/>
      <c r="U17" s="54">
        <f>'S22'!T17</f>
        <v/>
      </c>
      <c r="V17" s="53">
        <f>T17-U17</f>
        <v/>
      </c>
      <c r="W17" s="53">
        <f>N17-T17</f>
        <v/>
      </c>
      <c r="X17" s="34" t="n"/>
    </row>
    <row r="18" ht="22" customHeight="1">
      <c r="B18" s="10" t="n">
        <v>14</v>
      </c>
      <c r="C18" s="6" t="inlineStr">
        <is>
          <t>Sidi Kacem</t>
        </is>
      </c>
      <c r="D18" s="10" t="inlineStr">
        <is>
          <t>ZIRARA</t>
        </is>
      </c>
      <c r="E18" s="10" t="inlineStr">
        <is>
          <t>50-23</t>
        </is>
      </c>
      <c r="F18" s="10" t="inlineStr">
        <is>
          <t>Entretien et réparation du réseau d'assainissement et de drainage</t>
        </is>
      </c>
      <c r="G18" s="10" t="inlineStr">
        <is>
          <t>Travaux de curage des canaux révetus</t>
        </is>
      </c>
      <c r="H18" s="10" t="inlineStr">
        <is>
          <t>Curage du canal principal d'irrigation beht partie aval 2.</t>
        </is>
      </c>
      <c r="I18" s="11" t="n">
        <v>1276800</v>
      </c>
      <c r="J18" s="12" t="inlineStr">
        <is>
          <t>ml</t>
        </is>
      </c>
      <c r="K18" s="13" t="n">
        <v>638</v>
      </c>
      <c r="L18" s="51" t="n"/>
      <c r="M18" s="56">
        <f>'S22'!M18+L18</f>
        <v/>
      </c>
      <c r="N18" s="57">
        <f>IFERROR(M18/K18,0)</f>
        <v/>
      </c>
      <c r="O18" s="58">
        <f>'S22'!N18</f>
        <v/>
      </c>
      <c r="P18" s="57">
        <f>N18-O18</f>
        <v/>
      </c>
      <c r="Q18" s="32" t="n"/>
      <c r="R18" s="32" t="n"/>
      <c r="S18" s="32" t="n"/>
      <c r="T18" s="55" t="n"/>
      <c r="U18" s="58">
        <f>'S22'!T18</f>
        <v/>
      </c>
      <c r="V18" s="57">
        <f>T18-U18</f>
        <v/>
      </c>
      <c r="W18" s="57">
        <f>N18-T18</f>
        <v/>
      </c>
      <c r="X18" s="34" t="n"/>
    </row>
    <row r="19" ht="22" customHeight="1">
      <c r="B19" s="5" t="n">
        <v>15</v>
      </c>
      <c r="C19" s="6" t="inlineStr">
        <is>
          <t>Sidi Kacem</t>
        </is>
      </c>
      <c r="D19" s="5" t="inlineStr">
        <is>
          <t>DAR LAASLOUJI</t>
        </is>
      </c>
      <c r="E19" s="5" t="inlineStr">
        <is>
          <t>50-23</t>
        </is>
      </c>
      <c r="F19" s="5" t="inlineStr">
        <is>
          <t>Entretien et réparation du réseau d'assainissement et de drainage</t>
        </is>
      </c>
      <c r="G19" s="5" t="inlineStr">
        <is>
          <t>Travaux de curage des canaux en terre</t>
        </is>
      </c>
      <c r="H19" s="5" t="inlineStr">
        <is>
          <t>Curage des collecteurs d'assainissement des secteurs P8-1 et P8-2</t>
        </is>
      </c>
      <c r="I19" s="7" t="n">
        <v>5796360</v>
      </c>
      <c r="J19" s="8" t="inlineStr">
        <is>
          <t>ml</t>
        </is>
      </c>
      <c r="K19" s="9" t="n">
        <v>2898</v>
      </c>
      <c r="L19" s="51" t="n"/>
      <c r="M19" s="52">
        <f>'S22'!M19+L19</f>
        <v/>
      </c>
      <c r="N19" s="53">
        <f>IFERROR(M19/K19,0)</f>
        <v/>
      </c>
      <c r="O19" s="54">
        <f>'S22'!N19</f>
        <v/>
      </c>
      <c r="P19" s="53">
        <f>N19-O19</f>
        <v/>
      </c>
      <c r="Q19" s="32" t="n"/>
      <c r="R19" s="32" t="n"/>
      <c r="S19" s="32" t="n"/>
      <c r="T19" s="55" t="n"/>
      <c r="U19" s="54">
        <f>'S22'!T19</f>
        <v/>
      </c>
      <c r="V19" s="53">
        <f>T19-U19</f>
        <v/>
      </c>
      <c r="W19" s="53">
        <f>N19-T19</f>
        <v/>
      </c>
      <c r="X19" s="34" t="n"/>
    </row>
    <row r="20" ht="22" customHeight="1">
      <c r="B20" s="10" t="n">
        <v>16</v>
      </c>
      <c r="C20" s="6" t="inlineStr">
        <is>
          <t>Sidi Kacem</t>
        </is>
      </c>
      <c r="D20" s="10" t="inlineStr">
        <is>
          <t>DAR LAASLOUJI</t>
        </is>
      </c>
      <c r="E20" s="10" t="inlineStr">
        <is>
          <t>40-21</t>
        </is>
      </c>
      <c r="F20" s="10" t="inlineStr">
        <is>
          <t>Travaux de pistes</t>
        </is>
      </c>
      <c r="G20" s="10" t="inlineStr">
        <is>
          <t>Entretien des pistes agricoles</t>
        </is>
      </c>
      <c r="H20" s="10" t="inlineStr">
        <is>
          <t>Entretien des pistes agricoles</t>
        </is>
      </c>
      <c r="I20" s="11" t="n">
        <v>340000</v>
      </c>
      <c r="J20" s="12" t="inlineStr">
        <is>
          <t>km</t>
        </is>
      </c>
      <c r="K20" s="13" t="n">
        <v>1</v>
      </c>
      <c r="L20" s="51" t="n"/>
      <c r="M20" s="56">
        <f>'S22'!M20+L20</f>
        <v/>
      </c>
      <c r="N20" s="57">
        <f>IFERROR(M20/K20,0)</f>
        <v/>
      </c>
      <c r="O20" s="58">
        <f>'S22'!N20</f>
        <v/>
      </c>
      <c r="P20" s="57">
        <f>N20-O20</f>
        <v/>
      </c>
      <c r="Q20" s="32" t="n"/>
      <c r="R20" s="32" t="n"/>
      <c r="S20" s="32" t="n"/>
      <c r="T20" s="55" t="n"/>
      <c r="U20" s="58">
        <f>'S22'!T20</f>
        <v/>
      </c>
      <c r="V20" s="57">
        <f>T20-U20</f>
        <v/>
      </c>
      <c r="W20" s="57">
        <f>N20-T20</f>
        <v/>
      </c>
      <c r="X20" s="34" t="n"/>
    </row>
    <row r="21" ht="22" customHeight="1">
      <c r="B21" s="5" t="n">
        <v>17</v>
      </c>
      <c r="C21" s="6" t="inlineStr">
        <is>
          <t>Sidi Kacem</t>
        </is>
      </c>
      <c r="D21" s="5" t="inlineStr">
        <is>
          <t>HOUAFATE</t>
        </is>
      </c>
      <c r="E21" s="5" t="inlineStr">
        <is>
          <t>20-11</t>
        </is>
      </c>
      <c r="F21" s="5" t="inlineStr">
        <is>
          <t>Travaux de réhabilitation des équipements</t>
        </is>
      </c>
      <c r="G21" s="5" t="inlineStr">
        <is>
          <t>Travaux de réhabilitation des canaux portés d'irrigation</t>
        </is>
      </c>
      <c r="H21" s="5" t="inlineStr">
        <is>
          <t>Fourniture et de pose de canaux porté et accessoires du réseau S3 du secteur S13</t>
        </is>
      </c>
      <c r="I21" s="7" t="n">
        <v>397934</v>
      </c>
      <c r="J21" s="8" t="inlineStr">
        <is>
          <t>ml</t>
        </is>
      </c>
      <c r="K21" s="9" t="n">
        <v>133</v>
      </c>
      <c r="L21" s="51" t="n"/>
      <c r="M21" s="52">
        <f>'S22'!M21+L21</f>
        <v/>
      </c>
      <c r="N21" s="53">
        <f>IFERROR(M21/K21,0)</f>
        <v/>
      </c>
      <c r="O21" s="54">
        <f>'S22'!N21</f>
        <v/>
      </c>
      <c r="P21" s="53">
        <f>N21-O21</f>
        <v/>
      </c>
      <c r="Q21" s="32" t="n"/>
      <c r="R21" s="32" t="n"/>
      <c r="S21" s="32" t="n"/>
      <c r="T21" s="55" t="n"/>
      <c r="U21" s="54">
        <f>'S22'!T21</f>
        <v/>
      </c>
      <c r="V21" s="53">
        <f>T21-U21</f>
        <v/>
      </c>
      <c r="W21" s="53">
        <f>N21-T21</f>
        <v/>
      </c>
      <c r="X21" s="34" t="n"/>
    </row>
    <row r="22" ht="22" customHeight="1">
      <c r="B22" s="10" t="n">
        <v>18</v>
      </c>
      <c r="C22" s="6" t="inlineStr">
        <is>
          <t>Sidi Kacem</t>
        </is>
      </c>
      <c r="D22" s="10" t="inlineStr">
        <is>
          <t>HOUAFATE</t>
        </is>
      </c>
      <c r="E22" s="10" t="inlineStr">
        <is>
          <t>20-11</t>
        </is>
      </c>
      <c r="F22" s="10" t="inlineStr">
        <is>
          <t>Travaux de réhabilitation des équipements</t>
        </is>
      </c>
      <c r="G22" s="10" t="inlineStr"/>
      <c r="H22" s="10" t="inlineStr">
        <is>
          <t>Fourniture et de pose de canaux porté et accessoires du réseau T2S1 du secteur S13</t>
        </is>
      </c>
      <c r="I22" s="11" t="n">
        <v>207575</v>
      </c>
      <c r="J22" s="12" t="inlineStr">
        <is>
          <t>ml</t>
        </is>
      </c>
      <c r="K22" s="13" t="n">
        <v>69</v>
      </c>
      <c r="L22" s="51" t="n"/>
      <c r="M22" s="56">
        <f>'S22'!M22+L22</f>
        <v/>
      </c>
      <c r="N22" s="57">
        <f>IFERROR(M22/K22,0)</f>
        <v/>
      </c>
      <c r="O22" s="58">
        <f>'S22'!N22</f>
        <v/>
      </c>
      <c r="P22" s="57">
        <f>N22-O22</f>
        <v/>
      </c>
      <c r="Q22" s="32" t="n"/>
      <c r="R22" s="32" t="n"/>
      <c r="S22" s="32" t="n"/>
      <c r="T22" s="55" t="n"/>
      <c r="U22" s="58">
        <f>'S22'!T22</f>
        <v/>
      </c>
      <c r="V22" s="57">
        <f>T22-U22</f>
        <v/>
      </c>
      <c r="W22" s="57">
        <f>N22-T22</f>
        <v/>
      </c>
      <c r="X22" s="34" t="n"/>
    </row>
    <row r="23" ht="22" customHeight="1">
      <c r="B23" s="5" t="n">
        <v>19</v>
      </c>
      <c r="C23" s="6" t="inlineStr">
        <is>
          <t>Sidi Kacem</t>
        </is>
      </c>
      <c r="D23" s="5" t="inlineStr">
        <is>
          <t>HOUAFATE</t>
        </is>
      </c>
      <c r="E23" s="5" t="inlineStr">
        <is>
          <t>40-21</t>
        </is>
      </c>
      <c r="F23" s="5" t="inlineStr">
        <is>
          <t>Travaux de pistes</t>
        </is>
      </c>
      <c r="G23" s="5" t="inlineStr">
        <is>
          <t>Entretien des pistes agricoles</t>
        </is>
      </c>
      <c r="H23" s="5" t="inlineStr">
        <is>
          <t>Entretien des pistes agricoles</t>
        </is>
      </c>
      <c r="I23" s="7" t="n">
        <v>2200000</v>
      </c>
      <c r="J23" s="8" t="inlineStr">
        <is>
          <t>km</t>
        </is>
      </c>
      <c r="K23" s="9" t="n">
        <v>4</v>
      </c>
      <c r="L23" s="51" t="n"/>
      <c r="M23" s="52">
        <f>'S22'!M23+L23</f>
        <v/>
      </c>
      <c r="N23" s="53">
        <f>IFERROR(M23/K23,0)</f>
        <v/>
      </c>
      <c r="O23" s="54">
        <f>'S22'!N23</f>
        <v/>
      </c>
      <c r="P23" s="53">
        <f>N23-O23</f>
        <v/>
      </c>
      <c r="Q23" s="32" t="n"/>
      <c r="R23" s="32" t="n"/>
      <c r="S23" s="32" t="n"/>
      <c r="T23" s="55" t="n"/>
      <c r="U23" s="54">
        <f>'S22'!T23</f>
        <v/>
      </c>
      <c r="V23" s="53">
        <f>T23-U23</f>
        <v/>
      </c>
      <c r="W23" s="53">
        <f>N23-T23</f>
        <v/>
      </c>
      <c r="X23" s="34" t="n"/>
    </row>
    <row r="24" ht="22" customHeight="1">
      <c r="B24" s="10" t="n">
        <v>20</v>
      </c>
      <c r="C24" s="6" t="inlineStr">
        <is>
          <t>Sidi Kacem</t>
        </is>
      </c>
      <c r="D24" s="10" t="inlineStr">
        <is>
          <t>HOUAFATE</t>
        </is>
      </c>
      <c r="E24" s="10" t="inlineStr">
        <is>
          <t>50-23</t>
        </is>
      </c>
      <c r="F24" s="10" t="inlineStr">
        <is>
          <t>Entretien et réparation du réseau d'assainissement et de drainage</t>
        </is>
      </c>
      <c r="G24" s="10" t="inlineStr">
        <is>
          <t>Curage des prises sur l’oued, bâche d’aspiration et bassin de régulation.</t>
        </is>
      </c>
      <c r="H24" s="10" t="inlineStr">
        <is>
          <t>Curage des prises sur l’oued de la station de pompage S17 et S13.
Nettoyage des grilles de préfiltration des boues colmaté de la station de pompage S17 et S13.
Curage de la bâche d’aspiration de la station S17 et S13.</t>
        </is>
      </c>
      <c r="I24" s="11" t="n">
        <v>300000</v>
      </c>
      <c r="J24" s="12" t="inlineStr">
        <is>
          <t>ml</t>
        </is>
      </c>
      <c r="K24" s="13" t="n">
        <v>100</v>
      </c>
      <c r="L24" s="51" t="n"/>
      <c r="M24" s="56">
        <f>'S22'!M24+L24</f>
        <v/>
      </c>
      <c r="N24" s="57">
        <f>IFERROR(M24/K24,0)</f>
        <v/>
      </c>
      <c r="O24" s="58">
        <f>'S22'!N24</f>
        <v/>
      </c>
      <c r="P24" s="57">
        <f>N24-O24</f>
        <v/>
      </c>
      <c r="Q24" s="32" t="n"/>
      <c r="R24" s="32" t="n"/>
      <c r="S24" s="32" t="n"/>
      <c r="T24" s="55" t="n"/>
      <c r="U24" s="58">
        <f>'S22'!T24</f>
        <v/>
      </c>
      <c r="V24" s="57">
        <f>T24-U24</f>
        <v/>
      </c>
      <c r="W24" s="57">
        <f>N24-T24</f>
        <v/>
      </c>
      <c r="X24" s="34" t="n"/>
    </row>
    <row r="25" ht="22" customHeight="1">
      <c r="B25" s="5" t="n">
        <v>21</v>
      </c>
      <c r="C25" s="6" t="inlineStr">
        <is>
          <t>Sidi Kacem</t>
        </is>
      </c>
      <c r="D25" s="5" t="inlineStr">
        <is>
          <t>HOUAFATE</t>
        </is>
      </c>
      <c r="E25" s="5" t="inlineStr">
        <is>
          <t>50-21</t>
        </is>
      </c>
      <c r="F25" s="5" t="inlineStr">
        <is>
          <t>Entretien et réparation des stations de pompage</t>
        </is>
      </c>
      <c r="G25" s="5" t="inlineStr">
        <is>
          <t>Prestation de maintenance des débitmètres et leurs équipements annexes installés au niveau des station de pompage</t>
        </is>
      </c>
      <c r="H25" s="5" t="inlineStr">
        <is>
          <t>Changement trois débitmètre Ø 600mm inondés de la station de pompage S13.</t>
        </is>
      </c>
      <c r="I25" s="7" t="n">
        <v>250000</v>
      </c>
      <c r="J25" s="8" t="inlineStr">
        <is>
          <t>U</t>
        </is>
      </c>
      <c r="K25" s="9" t="n">
        <v>3</v>
      </c>
      <c r="L25" s="51" t="n"/>
      <c r="M25" s="52">
        <f>'S22'!M25+L25</f>
        <v/>
      </c>
      <c r="N25" s="53">
        <f>IFERROR(M25/K25,0)</f>
        <v/>
      </c>
      <c r="O25" s="54">
        <f>'S22'!N25</f>
        <v/>
      </c>
      <c r="P25" s="53">
        <f>N25-O25</f>
        <v/>
      </c>
      <c r="Q25" s="32" t="n"/>
      <c r="R25" s="32" t="n"/>
      <c r="S25" s="32" t="n"/>
      <c r="T25" s="55" t="n"/>
      <c r="U25" s="54">
        <f>'S22'!T25</f>
        <v/>
      </c>
      <c r="V25" s="53">
        <f>T25-U25</f>
        <v/>
      </c>
      <c r="W25" s="53">
        <f>N25-T25</f>
        <v/>
      </c>
      <c r="X25" s="34" t="n"/>
    </row>
    <row r="26" ht="22" customHeight="1">
      <c r="B26" s="10" t="n">
        <v>22</v>
      </c>
      <c r="C26" s="6" t="inlineStr">
        <is>
          <t>Sidi Kacem</t>
        </is>
      </c>
      <c r="D26" s="10" t="inlineStr">
        <is>
          <t>HOUAFATE</t>
        </is>
      </c>
      <c r="E26" s="10" t="inlineStr">
        <is>
          <t>50-21</t>
        </is>
      </c>
      <c r="F26" s="10" t="inlineStr">
        <is>
          <t>Entretien et réparation des stations de pompage</t>
        </is>
      </c>
      <c r="G26" s="10" t="inlineStr">
        <is>
          <t>Prestations de maintenance des moteurs électriques des stations de pompage.</t>
        </is>
      </c>
      <c r="H26" s="10" t="inlineStr">
        <is>
          <t>Révision des trois moteurs électriques 200 KW principaux de la station S13. 
Révision des deux moteurs électriques 5,5 KW groupes vide de la station S13.</t>
        </is>
      </c>
      <c r="I26" s="11" t="n">
        <v>25000</v>
      </c>
      <c r="J26" s="12" t="inlineStr">
        <is>
          <t>U</t>
        </is>
      </c>
      <c r="K26" s="13" t="n">
        <v>3</v>
      </c>
      <c r="L26" s="51" t="n"/>
      <c r="M26" s="56">
        <f>'S22'!M26+L26</f>
        <v/>
      </c>
      <c r="N26" s="57">
        <f>IFERROR(M26/K26,0)</f>
        <v/>
      </c>
      <c r="O26" s="58">
        <f>'S22'!N26</f>
        <v/>
      </c>
      <c r="P26" s="57">
        <f>N26-O26</f>
        <v/>
      </c>
      <c r="Q26" s="32" t="n"/>
      <c r="R26" s="32" t="n"/>
      <c r="S26" s="32" t="n"/>
      <c r="T26" s="55" t="n"/>
      <c r="U26" s="58">
        <f>'S22'!T26</f>
        <v/>
      </c>
      <c r="V26" s="57">
        <f>T26-U26</f>
        <v/>
      </c>
      <c r="W26" s="57">
        <f>N26-T26</f>
        <v/>
      </c>
      <c r="X26" s="34" t="n"/>
    </row>
    <row r="27" ht="22" customHeight="1">
      <c r="B27" s="5" t="n">
        <v>23</v>
      </c>
      <c r="C27" s="6" t="inlineStr">
        <is>
          <t>Sidi Kacem</t>
        </is>
      </c>
      <c r="D27" s="5" t="inlineStr">
        <is>
          <t>HOUAFATE</t>
        </is>
      </c>
      <c r="E27" s="5" t="inlineStr">
        <is>
          <t>50-21</t>
        </is>
      </c>
      <c r="F27" s="5" t="inlineStr">
        <is>
          <t>Entretien et réparation des stations de pompage</t>
        </is>
      </c>
      <c r="G27" s="5" t="inlineStr">
        <is>
          <t>Prestations de maintenance et de réparation mécanique des pompes et des groupes motopompes submersibles des stations de pompage.</t>
        </is>
      </c>
      <c r="H27" s="5" t="inlineStr">
        <is>
          <t>Démontage et expertise des roues des  pompes principaux et pompes a vide de la station S13.
Changement des roulements, tresses et organes d’effectués de la station S13.</t>
        </is>
      </c>
      <c r="I27" s="7" t="n">
        <v>38000</v>
      </c>
      <c r="J27" s="8" t="inlineStr">
        <is>
          <t>U</t>
        </is>
      </c>
      <c r="K27" s="9" t="n">
        <v>1</v>
      </c>
      <c r="L27" s="51" t="n"/>
      <c r="M27" s="52">
        <f>'S22'!M27+L27</f>
        <v/>
      </c>
      <c r="N27" s="53">
        <f>IFERROR(M27/K27,0)</f>
        <v/>
      </c>
      <c r="O27" s="54">
        <f>'S22'!N27</f>
        <v/>
      </c>
      <c r="P27" s="53">
        <f>N27-O27</f>
        <v/>
      </c>
      <c r="Q27" s="32" t="n"/>
      <c r="R27" s="32" t="n"/>
      <c r="S27" s="32" t="n"/>
      <c r="T27" s="55" t="n"/>
      <c r="U27" s="54">
        <f>'S22'!T27</f>
        <v/>
      </c>
      <c r="V27" s="53">
        <f>T27-U27</f>
        <v/>
      </c>
      <c r="W27" s="53">
        <f>N27-T27</f>
        <v/>
      </c>
      <c r="X27" s="34" t="n"/>
    </row>
    <row r="28" ht="22" customHeight="1">
      <c r="B28" s="10" t="n">
        <v>24</v>
      </c>
      <c r="C28" s="6" t="inlineStr">
        <is>
          <t>Sidi Kacem</t>
        </is>
      </c>
      <c r="D28" s="10" t="inlineStr">
        <is>
          <t>HOUAFATE</t>
        </is>
      </c>
      <c r="E28" s="10" t="inlineStr">
        <is>
          <t>50-21</t>
        </is>
      </c>
      <c r="F28" s="10" t="inlineStr">
        <is>
          <t>Entretien et réparation des stations de pompage</t>
        </is>
      </c>
      <c r="G28" s="10" t="inlineStr">
        <is>
          <t>Stabilisation Berge oued</t>
        </is>
      </c>
      <c r="H28" s="10" t="inlineStr">
        <is>
          <t>Pose de  gabions et recouvrement du talus par matelas Reno des stations de pompage S13.</t>
        </is>
      </c>
      <c r="I28" s="11" t="n">
        <v>10560000</v>
      </c>
      <c r="J28" s="12" t="inlineStr">
        <is>
          <t>m³</t>
        </is>
      </c>
      <c r="K28" s="13" t="n">
        <v>7040</v>
      </c>
      <c r="L28" s="51" t="n"/>
      <c r="M28" s="56">
        <f>'S22'!M28+L28</f>
        <v/>
      </c>
      <c r="N28" s="57">
        <f>IFERROR(M28/K28,0)</f>
        <v/>
      </c>
      <c r="O28" s="58">
        <f>'S22'!N28</f>
        <v/>
      </c>
      <c r="P28" s="57">
        <f>N28-O28</f>
        <v/>
      </c>
      <c r="Q28" s="32" t="n"/>
      <c r="R28" s="32" t="n"/>
      <c r="S28" s="32" t="n"/>
      <c r="T28" s="55" t="n"/>
      <c r="U28" s="58">
        <f>'S22'!T28</f>
        <v/>
      </c>
      <c r="V28" s="57">
        <f>T28-U28</f>
        <v/>
      </c>
      <c r="W28" s="57">
        <f>N28-T28</f>
        <v/>
      </c>
      <c r="X28" s="34" t="n"/>
    </row>
    <row r="29" ht="22" customHeight="1">
      <c r="B29" s="5" t="n">
        <v>25</v>
      </c>
      <c r="C29" s="6" t="inlineStr">
        <is>
          <t>Sidi Kacem</t>
        </is>
      </c>
      <c r="D29" s="5" t="inlineStr">
        <is>
          <t>HOUAFATE</t>
        </is>
      </c>
      <c r="E29" s="5" t="inlineStr">
        <is>
          <t>50-21</t>
        </is>
      </c>
      <c r="F29" s="5" t="inlineStr">
        <is>
          <t>Entretien et réparation des stations de pompage</t>
        </is>
      </c>
      <c r="G29" s="5" t="inlineStr">
        <is>
          <t>Mur clôture des stations de pompage.</t>
        </is>
      </c>
      <c r="H29" s="5" t="inlineStr">
        <is>
          <t>Stabilisation du sol et reconstruction des murs clôture (270m) cote oued de la station S17.</t>
        </is>
      </c>
      <c r="I29" s="7" t="n">
        <v>144000</v>
      </c>
      <c r="J29" s="8" t="inlineStr">
        <is>
          <t>ml</t>
        </is>
      </c>
      <c r="K29" s="9" t="n">
        <v>270</v>
      </c>
      <c r="L29" s="51" t="n"/>
      <c r="M29" s="52">
        <f>'S22'!M29+L29</f>
        <v/>
      </c>
      <c r="N29" s="53">
        <f>IFERROR(M29/K29,0)</f>
        <v/>
      </c>
      <c r="O29" s="54">
        <f>'S22'!N29</f>
        <v/>
      </c>
      <c r="P29" s="53">
        <f>N29-O29</f>
        <v/>
      </c>
      <c r="Q29" s="32" t="n"/>
      <c r="R29" s="32" t="n"/>
      <c r="S29" s="32" t="n"/>
      <c r="T29" s="55" t="n"/>
      <c r="U29" s="54">
        <f>'S22'!T29</f>
        <v/>
      </c>
      <c r="V29" s="53">
        <f>T29-U29</f>
        <v/>
      </c>
      <c r="W29" s="53">
        <f>N29-T29</f>
        <v/>
      </c>
      <c r="X29" s="34" t="n"/>
    </row>
    <row r="30" ht="22" customHeight="1">
      <c r="B30" s="10" t="n">
        <v>26</v>
      </c>
      <c r="C30" s="6" t="inlineStr">
        <is>
          <t>Sidi Kacem</t>
        </is>
      </c>
      <c r="D30" s="10" t="inlineStr">
        <is>
          <t>HOUAFATE</t>
        </is>
      </c>
      <c r="E30" s="10" t="inlineStr">
        <is>
          <t>50-21</t>
        </is>
      </c>
      <c r="F30" s="10" t="inlineStr">
        <is>
          <t>Entretien et réparation des stations de pompage</t>
        </is>
      </c>
      <c r="G30" s="10" t="inlineStr">
        <is>
          <t>Génie civile des locaux des stations de pompage.</t>
        </is>
      </c>
      <c r="H30" s="10" t="inlineStr">
        <is>
          <t>Expertise d’état et d’étanchéité des locaux pompes, commande, puissance des stations de pompage S17 et S13.
Renforcement d’étanchéité des locaux pompe sous niveau des oueds des stations de pompage S17 et S13.</t>
        </is>
      </c>
      <c r="I30" s="11" t="n">
        <v>800000</v>
      </c>
      <c r="J30" s="12" t="inlineStr">
        <is>
          <t>U</t>
        </is>
      </c>
      <c r="K30" s="13" t="n">
        <v>1</v>
      </c>
      <c r="L30" s="51" t="n"/>
      <c r="M30" s="56">
        <f>'S22'!M30+L30</f>
        <v/>
      </c>
      <c r="N30" s="57">
        <f>IFERROR(M30/K30,0)</f>
        <v/>
      </c>
      <c r="O30" s="58">
        <f>'S22'!N30</f>
        <v/>
      </c>
      <c r="P30" s="57">
        <f>N30-O30</f>
        <v/>
      </c>
      <c r="Q30" s="32" t="n"/>
      <c r="R30" s="32" t="n"/>
      <c r="S30" s="32" t="n"/>
      <c r="T30" s="55" t="n"/>
      <c r="U30" s="58">
        <f>'S22'!T30</f>
        <v/>
      </c>
      <c r="V30" s="57">
        <f>T30-U30</f>
        <v/>
      </c>
      <c r="W30" s="57">
        <f>N30-T30</f>
        <v/>
      </c>
      <c r="X30" s="34" t="n"/>
    </row>
    <row r="31" ht="22" customHeight="1">
      <c r="B31" s="5" t="n">
        <v>27</v>
      </c>
      <c r="C31" s="6" t="inlineStr">
        <is>
          <t>Sidi Kacem</t>
        </is>
      </c>
      <c r="D31" s="5" t="inlineStr">
        <is>
          <t>NOUIRAT</t>
        </is>
      </c>
      <c r="E31" s="5" t="inlineStr">
        <is>
          <t>50-23</t>
        </is>
      </c>
      <c r="F31" s="5" t="inlineStr">
        <is>
          <t>Entretien et réparation du réseau d'assainissement et de drainage</t>
        </is>
      </c>
      <c r="G31" s="5" t="inlineStr">
        <is>
          <t>Travaux de curage des canaux en terre</t>
        </is>
      </c>
      <c r="H31" s="5" t="inlineStr">
        <is>
          <t>Curage des collecteurs d'assainissement des secteurs EST1 et N5</t>
        </is>
      </c>
      <c r="I31" s="7" t="n">
        <v>1733306</v>
      </c>
      <c r="J31" s="8" t="inlineStr">
        <is>
          <t>ml</t>
        </is>
      </c>
      <c r="K31" s="9" t="n">
        <v>867</v>
      </c>
      <c r="L31" s="51" t="n"/>
      <c r="M31" s="52">
        <f>'S22'!M31+L31</f>
        <v/>
      </c>
      <c r="N31" s="53">
        <f>IFERROR(M31/K31,0)</f>
        <v/>
      </c>
      <c r="O31" s="54">
        <f>'S22'!N31</f>
        <v/>
      </c>
      <c r="P31" s="53">
        <f>N31-O31</f>
        <v/>
      </c>
      <c r="Q31" s="32" t="n"/>
      <c r="R31" s="32" t="n"/>
      <c r="S31" s="32" t="n"/>
      <c r="T31" s="55" t="n"/>
      <c r="U31" s="54">
        <f>'S22'!T31</f>
        <v/>
      </c>
      <c r="V31" s="53">
        <f>T31-U31</f>
        <v/>
      </c>
      <c r="W31" s="53">
        <f>N31-T31</f>
        <v/>
      </c>
      <c r="X31" s="34" t="n"/>
    </row>
    <row r="32" ht="22" customHeight="1">
      <c r="B32" s="10" t="n">
        <v>28</v>
      </c>
      <c r="C32" s="6" t="inlineStr">
        <is>
          <t>Sidi Kacem</t>
        </is>
      </c>
      <c r="D32" s="10" t="inlineStr">
        <is>
          <t>NOUIRAT</t>
        </is>
      </c>
      <c r="E32" s="10" t="inlineStr">
        <is>
          <t>40-21</t>
        </is>
      </c>
      <c r="F32" s="10" t="inlineStr">
        <is>
          <t>Travaux de pistes</t>
        </is>
      </c>
      <c r="G32" s="10" t="inlineStr">
        <is>
          <t>Entretien des pistes agricoles</t>
        </is>
      </c>
      <c r="H32" s="10" t="inlineStr">
        <is>
          <t>Entretien des pistes agricoles</t>
        </is>
      </c>
      <c r="I32" s="11" t="n">
        <v>670000</v>
      </c>
      <c r="J32" s="12" t="inlineStr">
        <is>
          <t>km</t>
        </is>
      </c>
      <c r="K32" s="13" t="n">
        <v>1</v>
      </c>
      <c r="L32" s="51" t="n"/>
      <c r="M32" s="56">
        <f>'S22'!M32+L32</f>
        <v/>
      </c>
      <c r="N32" s="57">
        <f>IFERROR(M32/K32,0)</f>
        <v/>
      </c>
      <c r="O32" s="58">
        <f>'S22'!N32</f>
        <v/>
      </c>
      <c r="P32" s="57">
        <f>N32-O32</f>
        <v/>
      </c>
      <c r="Q32" s="32" t="n"/>
      <c r="R32" s="32" t="n"/>
      <c r="S32" s="32" t="n"/>
      <c r="T32" s="55" t="n"/>
      <c r="U32" s="58">
        <f>'S22'!T32</f>
        <v/>
      </c>
      <c r="V32" s="57">
        <f>T32-U32</f>
        <v/>
      </c>
      <c r="W32" s="57">
        <f>N32-T32</f>
        <v/>
      </c>
      <c r="X32" s="34" t="n"/>
    </row>
    <row r="33" ht="22" customHeight="1">
      <c r="B33" s="5" t="n">
        <v>29</v>
      </c>
      <c r="C33" s="6" t="inlineStr">
        <is>
          <t>Sidi Kacem</t>
        </is>
      </c>
      <c r="D33" s="5" t="inlineStr">
        <is>
          <t>NOUIRAT</t>
        </is>
      </c>
      <c r="E33" s="5" t="inlineStr">
        <is>
          <t>20-11</t>
        </is>
      </c>
      <c r="F33" s="5" t="inlineStr">
        <is>
          <t>Travaux de réhabilitation des équipements</t>
        </is>
      </c>
      <c r="G33" s="5" t="inlineStr">
        <is>
          <t>Travaux de réhabilitation des ouvrages de génie civil</t>
        </is>
      </c>
      <c r="H33" s="5" t="inlineStr">
        <is>
          <t>Réhabilitation de l'ouvrage( genie civil ,gabiollannage,clapet anti retour et buse) de l'ouvrage de débouche SE1</t>
        </is>
      </c>
      <c r="I33" s="7" t="n">
        <v>2500000</v>
      </c>
      <c r="J33" s="8" t="inlineStr">
        <is>
          <t>U</t>
        </is>
      </c>
      <c r="K33" s="9" t="n">
        <v>5</v>
      </c>
      <c r="L33" s="51" t="n"/>
      <c r="M33" s="52">
        <f>'S22'!M33+L33</f>
        <v/>
      </c>
      <c r="N33" s="53">
        <f>IFERROR(M33/K33,0)</f>
        <v/>
      </c>
      <c r="O33" s="54">
        <f>'S22'!N33</f>
        <v/>
      </c>
      <c r="P33" s="53">
        <f>N33-O33</f>
        <v/>
      </c>
      <c r="Q33" s="32" t="n"/>
      <c r="R33" s="32" t="n"/>
      <c r="S33" s="32" t="n"/>
      <c r="T33" s="55" t="n"/>
      <c r="U33" s="54">
        <f>'S22'!T33</f>
        <v/>
      </c>
      <c r="V33" s="53">
        <f>T33-U33</f>
        <v/>
      </c>
      <c r="W33" s="53">
        <f>N33-T33</f>
        <v/>
      </c>
      <c r="X33" s="34" t="n"/>
    </row>
    <row r="34" ht="22" customHeight="1">
      <c r="B34" s="10" t="n">
        <v>30</v>
      </c>
      <c r="C34" s="6" t="inlineStr">
        <is>
          <t>Sidi Kacem</t>
        </is>
      </c>
      <c r="D34" s="10" t="inlineStr">
        <is>
          <t>NOUIRAT</t>
        </is>
      </c>
      <c r="E34" s="10" t="inlineStr">
        <is>
          <t>50-23</t>
        </is>
      </c>
      <c r="F34" s="10" t="inlineStr">
        <is>
          <t>Entretien et réparation du réseau d'assainissement et de drainage</t>
        </is>
      </c>
      <c r="G34" s="10" t="inlineStr">
        <is>
          <t>Curage des prises sur l’oued, bâche d’aspiration et bassin de régulation.</t>
        </is>
      </c>
      <c r="H34" s="10" t="inlineStr">
        <is>
          <t>Curage des prises sur l’oued de la station de pompage E1.
Nettoyage des grilles de préfiltration des boues colmaté de la station de pompage E1.
Curage de la bâche d’aspiration de la station E1.</t>
        </is>
      </c>
      <c r="I34" s="11" t="n">
        <v>800000</v>
      </c>
      <c r="J34" s="12" t="inlineStr">
        <is>
          <t>ml</t>
        </is>
      </c>
      <c r="K34" s="13" t="n">
        <v>267</v>
      </c>
      <c r="L34" s="51" t="n"/>
      <c r="M34" s="56">
        <f>'S22'!M34+L34</f>
        <v/>
      </c>
      <c r="N34" s="57">
        <f>IFERROR(M34/K34,0)</f>
        <v/>
      </c>
      <c r="O34" s="58">
        <f>'S22'!N34</f>
        <v/>
      </c>
      <c r="P34" s="57">
        <f>N34-O34</f>
        <v/>
      </c>
      <c r="Q34" s="32" t="n"/>
      <c r="R34" s="32" t="n"/>
      <c r="S34" s="32" t="n"/>
      <c r="T34" s="55" t="n"/>
      <c r="U34" s="58">
        <f>'S22'!T34</f>
        <v/>
      </c>
      <c r="V34" s="57">
        <f>T34-U34</f>
        <v/>
      </c>
      <c r="W34" s="57">
        <f>N34-T34</f>
        <v/>
      </c>
      <c r="X34" s="34" t="n"/>
    </row>
    <row r="35" ht="22" customHeight="1">
      <c r="B35" s="5" t="n">
        <v>31</v>
      </c>
      <c r="C35" s="6" t="inlineStr">
        <is>
          <t>Sidi Kacem</t>
        </is>
      </c>
      <c r="D35" s="5" t="inlineStr">
        <is>
          <t>NOUIRAT</t>
        </is>
      </c>
      <c r="E35" s="5" t="inlineStr">
        <is>
          <t>50-21</t>
        </is>
      </c>
      <c r="F35" s="5" t="inlineStr">
        <is>
          <t>Entretien et réparation des stations de pompage</t>
        </is>
      </c>
      <c r="G35" s="5" t="inlineStr">
        <is>
          <t>Prestation de maintenance des débitmètres et leurs équipements annexes installés au niveau des station de pompage</t>
        </is>
      </c>
      <c r="H35" s="5" t="inlineStr">
        <is>
          <t>Changement du débitmètre Ø 1200mm inondé de la station de pompage E1.</t>
        </is>
      </c>
      <c r="I35" s="7" t="n">
        <v>195000</v>
      </c>
      <c r="J35" s="8" t="inlineStr">
        <is>
          <t>U</t>
        </is>
      </c>
      <c r="K35" s="9" t="n">
        <v>2</v>
      </c>
      <c r="L35" s="51" t="n"/>
      <c r="M35" s="52">
        <f>'S22'!M35+L35</f>
        <v/>
      </c>
      <c r="N35" s="53">
        <f>IFERROR(M35/K35,0)</f>
        <v/>
      </c>
      <c r="O35" s="54">
        <f>'S22'!N35</f>
        <v/>
      </c>
      <c r="P35" s="53">
        <f>N35-O35</f>
        <v/>
      </c>
      <c r="Q35" s="32" t="n"/>
      <c r="R35" s="32" t="n"/>
      <c r="S35" s="32" t="n"/>
      <c r="T35" s="55" t="n"/>
      <c r="U35" s="54">
        <f>'S22'!T35</f>
        <v/>
      </c>
      <c r="V35" s="53">
        <f>T35-U35</f>
        <v/>
      </c>
      <c r="W35" s="53">
        <f>N35-T35</f>
        <v/>
      </c>
      <c r="X35" s="34" t="n"/>
    </row>
    <row r="36" ht="22" customHeight="1">
      <c r="B36" s="10" t="n">
        <v>32</v>
      </c>
      <c r="C36" s="6" t="inlineStr">
        <is>
          <t>Sidi Kacem</t>
        </is>
      </c>
      <c r="D36" s="10" t="inlineStr">
        <is>
          <t>NOUIRAT</t>
        </is>
      </c>
      <c r="E36" s="10" t="inlineStr">
        <is>
          <t>50-21</t>
        </is>
      </c>
      <c r="F36" s="10" t="inlineStr">
        <is>
          <t>Entretien et réparation des stations de pompage</t>
        </is>
      </c>
      <c r="G36" s="10" t="inlineStr">
        <is>
          <t>Prestations de maintenance des moteurs électriques des stations de pompage.</t>
        </is>
      </c>
      <c r="H36" s="10" t="inlineStr">
        <is>
          <t>Révision des deux moteurs électriques principaux de la station E1.</t>
        </is>
      </c>
      <c r="I36" s="11" t="n">
        <v>50000</v>
      </c>
      <c r="J36" s="12" t="inlineStr">
        <is>
          <t>U</t>
        </is>
      </c>
      <c r="K36" s="13" t="n">
        <v>2</v>
      </c>
      <c r="L36" s="51" t="n"/>
      <c r="M36" s="56">
        <f>'S22'!M36+L36</f>
        <v/>
      </c>
      <c r="N36" s="57">
        <f>IFERROR(M36/K36,0)</f>
        <v/>
      </c>
      <c r="O36" s="58">
        <f>'S22'!N36</f>
        <v/>
      </c>
      <c r="P36" s="57">
        <f>N36-O36</f>
        <v/>
      </c>
      <c r="Q36" s="32" t="n"/>
      <c r="R36" s="32" t="n"/>
      <c r="S36" s="32" t="n"/>
      <c r="T36" s="55" t="n"/>
      <c r="U36" s="58">
        <f>'S22'!T36</f>
        <v/>
      </c>
      <c r="V36" s="57">
        <f>T36-U36</f>
        <v/>
      </c>
      <c r="W36" s="57">
        <f>N36-T36</f>
        <v/>
      </c>
      <c r="X36" s="34" t="n"/>
    </row>
    <row r="37" ht="22" customHeight="1">
      <c r="B37" s="5" t="n">
        <v>33</v>
      </c>
      <c r="C37" s="6" t="inlineStr">
        <is>
          <t>Sidi Kacem</t>
        </is>
      </c>
      <c r="D37" s="5" t="inlineStr">
        <is>
          <t>NOUIRAT</t>
        </is>
      </c>
      <c r="E37" s="5" t="inlineStr">
        <is>
          <t>50-21</t>
        </is>
      </c>
      <c r="F37" s="5" t="inlineStr">
        <is>
          <t>Entretien et réparation des stations de pompage</t>
        </is>
      </c>
      <c r="G37" s="5" t="inlineStr">
        <is>
          <t>Prestations de maintenance et de réparation mécanique des pompes et des groupes motopompes submersibles des stations de pompage.</t>
        </is>
      </c>
      <c r="H37" s="5" t="inlineStr">
        <is>
          <t>Démontage et expertise des cinq pompes principaux et pompes a vide de la station E1.
Changement des roulements, tresses et organes d’effectués de la station E1.</t>
        </is>
      </c>
      <c r="I37" s="7" t="n">
        <v>245000</v>
      </c>
      <c r="J37" s="8" t="inlineStr">
        <is>
          <t>U</t>
        </is>
      </c>
      <c r="K37" s="9" t="n">
        <v>5</v>
      </c>
      <c r="L37" s="51" t="n"/>
      <c r="M37" s="52">
        <f>'S22'!M37+L37</f>
        <v/>
      </c>
      <c r="N37" s="53">
        <f>IFERROR(M37/K37,0)</f>
        <v/>
      </c>
      <c r="O37" s="54">
        <f>'S22'!N37</f>
        <v/>
      </c>
      <c r="P37" s="53">
        <f>N37-O37</f>
        <v/>
      </c>
      <c r="Q37" s="32" t="n"/>
      <c r="R37" s="32" t="n"/>
      <c r="S37" s="32" t="n"/>
      <c r="T37" s="55" t="n"/>
      <c r="U37" s="54">
        <f>'S22'!T37</f>
        <v/>
      </c>
      <c r="V37" s="53">
        <f>T37-U37</f>
        <v/>
      </c>
      <c r="W37" s="53">
        <f>N37-T37</f>
        <v/>
      </c>
      <c r="X37" s="34" t="n"/>
    </row>
    <row r="38" ht="22" customHeight="1">
      <c r="B38" s="10" t="n">
        <v>34</v>
      </c>
      <c r="C38" s="6" t="inlineStr">
        <is>
          <t>Sidi Kacem</t>
        </is>
      </c>
      <c r="D38" s="10" t="inlineStr">
        <is>
          <t>NOUIRAT</t>
        </is>
      </c>
      <c r="E38" s="10" t="inlineStr">
        <is>
          <t>50-21</t>
        </is>
      </c>
      <c r="F38" s="10" t="inlineStr">
        <is>
          <t>Entretien et réparation des stations de pompage</t>
        </is>
      </c>
      <c r="G38" s="10" t="inlineStr">
        <is>
          <t>Génie civile des locaux des stations de pompage.</t>
        </is>
      </c>
      <c r="H38" s="10" t="inlineStr">
        <is>
          <t>Expertise d’état et d’étanchéité des locaux pompes, commande, puissance de la station de pompage E1.
Renforcement d’étanchéité des locaux pompe sous niveau des oueds de la station de pompage E1.</t>
        </is>
      </c>
      <c r="I38" s="11" t="n">
        <v>1000000</v>
      </c>
      <c r="J38" s="12" t="inlineStr">
        <is>
          <t>U</t>
        </is>
      </c>
      <c r="K38" s="13" t="n">
        <v>1</v>
      </c>
      <c r="L38" s="51" t="n"/>
      <c r="M38" s="56">
        <f>'S22'!M38+L38</f>
        <v/>
      </c>
      <c r="N38" s="57">
        <f>IFERROR(M38/K38,0)</f>
        <v/>
      </c>
      <c r="O38" s="58">
        <f>'S22'!N38</f>
        <v/>
      </c>
      <c r="P38" s="57">
        <f>N38-O38</f>
        <v/>
      </c>
      <c r="Q38" s="32" t="n"/>
      <c r="R38" s="32" t="n"/>
      <c r="S38" s="32" t="n"/>
      <c r="T38" s="55" t="n"/>
      <c r="U38" s="58">
        <f>'S22'!T38</f>
        <v/>
      </c>
      <c r="V38" s="57">
        <f>T38-U38</f>
        <v/>
      </c>
      <c r="W38" s="57">
        <f>N38-T38</f>
        <v/>
      </c>
      <c r="X38" s="34" t="n"/>
    </row>
    <row r="39" ht="22" customHeight="1">
      <c r="B39" s="5" t="n">
        <v>35</v>
      </c>
      <c r="C39" s="6" t="inlineStr">
        <is>
          <t>Sidi Kacem</t>
        </is>
      </c>
      <c r="D39" s="5" t="inlineStr">
        <is>
          <t>RMILAT</t>
        </is>
      </c>
      <c r="E39" s="5" t="inlineStr">
        <is>
          <t>50-23</t>
        </is>
      </c>
      <c r="F39" s="5" t="inlineStr">
        <is>
          <t>Entretien et réparation du réseau d'assainissement et de drainage</t>
        </is>
      </c>
      <c r="G39" s="5" t="inlineStr">
        <is>
          <t>Travaux de curage des canaux en terre</t>
        </is>
      </c>
      <c r="H39" s="5" t="inlineStr">
        <is>
          <t>Curage des collecteurs d'assainissement des secteurs P7</t>
        </is>
      </c>
      <c r="I39" s="7" t="n">
        <v>5024032</v>
      </c>
      <c r="J39" s="8" t="inlineStr">
        <is>
          <t>ml</t>
        </is>
      </c>
      <c r="K39" s="9" t="n">
        <v>2512</v>
      </c>
      <c r="L39" s="51" t="n"/>
      <c r="M39" s="52">
        <f>'S22'!M39+L39</f>
        <v/>
      </c>
      <c r="N39" s="53">
        <f>IFERROR(M39/K39,0)</f>
        <v/>
      </c>
      <c r="O39" s="54">
        <f>'S22'!N39</f>
        <v/>
      </c>
      <c r="P39" s="53">
        <f>N39-O39</f>
        <v/>
      </c>
      <c r="Q39" s="32" t="n"/>
      <c r="R39" s="32" t="n"/>
      <c r="S39" s="32" t="n"/>
      <c r="T39" s="55" t="n"/>
      <c r="U39" s="54">
        <f>'S22'!T39</f>
        <v/>
      </c>
      <c r="V39" s="53">
        <f>T39-U39</f>
        <v/>
      </c>
      <c r="W39" s="53">
        <f>N39-T39</f>
        <v/>
      </c>
      <c r="X39" s="34" t="n"/>
    </row>
    <row r="40" ht="22" customHeight="1">
      <c r="B40" s="10" t="n">
        <v>36</v>
      </c>
      <c r="C40" s="6" t="inlineStr">
        <is>
          <t>Sidi Kacem</t>
        </is>
      </c>
      <c r="D40" s="10" t="inlineStr">
        <is>
          <t>RMILAT</t>
        </is>
      </c>
      <c r="E40" s="10" t="inlineStr">
        <is>
          <t>40-21</t>
        </is>
      </c>
      <c r="F40" s="10" t="inlineStr">
        <is>
          <t>Travaux de pistes</t>
        </is>
      </c>
      <c r="G40" s="10" t="inlineStr">
        <is>
          <t>Entretien des pistes agricoles</t>
        </is>
      </c>
      <c r="H40" s="10" t="inlineStr">
        <is>
          <t>Entretien des pistes agricoles</t>
        </is>
      </c>
      <c r="I40" s="11" t="n">
        <v>400000</v>
      </c>
      <c r="J40" s="12" t="inlineStr">
        <is>
          <t>km</t>
        </is>
      </c>
      <c r="K40" s="13" t="n">
        <v>1</v>
      </c>
      <c r="L40" s="51" t="n"/>
      <c r="M40" s="56">
        <f>'S22'!M40+L40</f>
        <v/>
      </c>
      <c r="N40" s="57">
        <f>IFERROR(M40/K40,0)</f>
        <v/>
      </c>
      <c r="O40" s="58">
        <f>'S22'!N40</f>
        <v/>
      </c>
      <c r="P40" s="57">
        <f>N40-O40</f>
        <v/>
      </c>
      <c r="Q40" s="32" t="n"/>
      <c r="R40" s="32" t="n"/>
      <c r="S40" s="32" t="n"/>
      <c r="T40" s="55" t="n"/>
      <c r="U40" s="58">
        <f>'S22'!T40</f>
        <v/>
      </c>
      <c r="V40" s="57">
        <f>T40-U40</f>
        <v/>
      </c>
      <c r="W40" s="57">
        <f>N40-T40</f>
        <v/>
      </c>
      <c r="X40" s="34" t="n"/>
    </row>
    <row r="41" ht="22" customHeight="1">
      <c r="B41" s="5" t="n">
        <v>37</v>
      </c>
      <c r="C41" s="6" t="inlineStr">
        <is>
          <t>Sidi Kacem</t>
        </is>
      </c>
      <c r="D41" s="5" t="inlineStr">
        <is>
          <t>SAFSAF</t>
        </is>
      </c>
      <c r="E41" s="5" t="inlineStr">
        <is>
          <t>50-23</t>
        </is>
      </c>
      <c r="F41" s="5" t="inlineStr">
        <is>
          <t>Entretien et réparation du réseau d'assainissement et de drainage</t>
        </is>
      </c>
      <c r="G41" s="5" t="inlineStr">
        <is>
          <t>Travaux de curage des canaux en terre</t>
        </is>
      </c>
      <c r="H41" s="5" t="inlineStr">
        <is>
          <t>Curage des collecteurs d'assainissement des secteurs S7, S9 et S11</t>
        </is>
      </c>
      <c r="I41" s="7" t="n">
        <v>6000000</v>
      </c>
      <c r="J41" s="8" t="inlineStr">
        <is>
          <t>ml</t>
        </is>
      </c>
      <c r="K41" s="9" t="n">
        <v>3000</v>
      </c>
      <c r="L41" s="51" t="n"/>
      <c r="M41" s="52">
        <f>'S22'!M41+L41</f>
        <v/>
      </c>
      <c r="N41" s="53">
        <f>IFERROR(M41/K41,0)</f>
        <v/>
      </c>
      <c r="O41" s="54">
        <f>'S22'!N41</f>
        <v/>
      </c>
      <c r="P41" s="53">
        <f>N41-O41</f>
        <v/>
      </c>
      <c r="Q41" s="32" t="n"/>
      <c r="R41" s="32" t="n"/>
      <c r="S41" s="32" t="n"/>
      <c r="T41" s="55" t="n"/>
      <c r="U41" s="54">
        <f>'S22'!T41</f>
        <v/>
      </c>
      <c r="V41" s="53">
        <f>T41-U41</f>
        <v/>
      </c>
      <c r="W41" s="53">
        <f>N41-T41</f>
        <v/>
      </c>
      <c r="X41" s="34" t="n"/>
    </row>
    <row r="42" ht="22" customHeight="1">
      <c r="B42" s="10" t="n">
        <v>38</v>
      </c>
      <c r="C42" s="6" t="inlineStr">
        <is>
          <t>Sidi Kacem</t>
        </is>
      </c>
      <c r="D42" s="10" t="inlineStr">
        <is>
          <t>SAFSAF</t>
        </is>
      </c>
      <c r="E42" s="10" t="inlineStr">
        <is>
          <t>20-11</t>
        </is>
      </c>
      <c r="F42" s="10" t="inlineStr">
        <is>
          <t>Travaux de réhabilitation des équipements</t>
        </is>
      </c>
      <c r="G42" s="10" t="inlineStr">
        <is>
          <t>Travaux de réhabilitation des canaux portés d'irrigation</t>
        </is>
      </c>
      <c r="H42" s="10" t="inlineStr">
        <is>
          <t>Fourniture et  pose de canaux porté et accessoires du réseau S4 du secteur S11</t>
        </is>
      </c>
      <c r="I42" s="11" t="n">
        <v>232266</v>
      </c>
      <c r="J42" s="12" t="inlineStr">
        <is>
          <t>ml</t>
        </is>
      </c>
      <c r="K42" s="13" t="n">
        <v>77</v>
      </c>
      <c r="L42" s="51" t="n"/>
      <c r="M42" s="56">
        <f>'S22'!M42+L42</f>
        <v/>
      </c>
      <c r="N42" s="57">
        <f>IFERROR(M42/K42,0)</f>
        <v/>
      </c>
      <c r="O42" s="58">
        <f>'S22'!N42</f>
        <v/>
      </c>
      <c r="P42" s="57">
        <f>N42-O42</f>
        <v/>
      </c>
      <c r="Q42" s="32" t="n"/>
      <c r="R42" s="32" t="n"/>
      <c r="S42" s="32" t="n"/>
      <c r="T42" s="55" t="n"/>
      <c r="U42" s="58">
        <f>'S22'!T42</f>
        <v/>
      </c>
      <c r="V42" s="57">
        <f>T42-U42</f>
        <v/>
      </c>
      <c r="W42" s="57">
        <f>N42-T42</f>
        <v/>
      </c>
      <c r="X42" s="34" t="n"/>
    </row>
    <row r="43" ht="22" customHeight="1">
      <c r="B43" s="5" t="n">
        <v>39</v>
      </c>
      <c r="C43" s="6" t="inlineStr">
        <is>
          <t>Sidi Kacem</t>
        </is>
      </c>
      <c r="D43" s="5" t="inlineStr">
        <is>
          <t>SAFSAF</t>
        </is>
      </c>
      <c r="E43" s="5" t="inlineStr">
        <is>
          <t>20-11</t>
        </is>
      </c>
      <c r="F43" s="5" t="inlineStr">
        <is>
          <t>Travaux de réhabilitation des équipements</t>
        </is>
      </c>
      <c r="G43" s="5" t="inlineStr"/>
      <c r="H43" s="5" t="inlineStr">
        <is>
          <t>Recalage des canaux portés du réseau T5S5 du secteur S9</t>
        </is>
      </c>
      <c r="I43" s="7" t="n">
        <v>1055025</v>
      </c>
      <c r="J43" s="8" t="inlineStr">
        <is>
          <t>ml</t>
        </is>
      </c>
      <c r="K43" s="9" t="n">
        <v>352</v>
      </c>
      <c r="L43" s="51" t="n"/>
      <c r="M43" s="52">
        <f>'S22'!M43+L43</f>
        <v/>
      </c>
      <c r="N43" s="53">
        <f>IFERROR(M43/K43,0)</f>
        <v/>
      </c>
      <c r="O43" s="54">
        <f>'S22'!N43</f>
        <v/>
      </c>
      <c r="P43" s="53">
        <f>N43-O43</f>
        <v/>
      </c>
      <c r="Q43" s="32" t="n"/>
      <c r="R43" s="32" t="n"/>
      <c r="S43" s="32" t="n"/>
      <c r="T43" s="55" t="n"/>
      <c r="U43" s="54">
        <f>'S22'!T43</f>
        <v/>
      </c>
      <c r="V43" s="53">
        <f>T43-U43</f>
        <v/>
      </c>
      <c r="W43" s="53">
        <f>N43-T43</f>
        <v/>
      </c>
      <c r="X43" s="34" t="n"/>
    </row>
    <row r="44" ht="22" customHeight="1">
      <c r="B44" s="10" t="n">
        <v>40</v>
      </c>
      <c r="C44" s="6" t="inlineStr">
        <is>
          <t>Sidi Kacem</t>
        </is>
      </c>
      <c r="D44" s="10" t="inlineStr">
        <is>
          <t>SAFSAF</t>
        </is>
      </c>
      <c r="E44" s="10" t="inlineStr">
        <is>
          <t>20-11</t>
        </is>
      </c>
      <c r="F44" s="10" t="inlineStr">
        <is>
          <t>Travaux de réhabilitation des équipements</t>
        </is>
      </c>
      <c r="G44" s="10" t="inlineStr"/>
      <c r="H44" s="10" t="inlineStr">
        <is>
          <t>Recalage des canaux portés du réseau T7S5 du secteur S9</t>
        </is>
      </c>
      <c r="I44" s="11" t="n">
        <v>1004535</v>
      </c>
      <c r="J44" s="12" t="inlineStr">
        <is>
          <t>ml</t>
        </is>
      </c>
      <c r="K44" s="13" t="n">
        <v>335</v>
      </c>
      <c r="L44" s="51" t="n"/>
      <c r="M44" s="56">
        <f>'S22'!M44+L44</f>
        <v/>
      </c>
      <c r="N44" s="57">
        <f>IFERROR(M44/K44,0)</f>
        <v/>
      </c>
      <c r="O44" s="58">
        <f>'S22'!N44</f>
        <v/>
      </c>
      <c r="P44" s="57">
        <f>N44-O44</f>
        <v/>
      </c>
      <c r="Q44" s="32" t="n"/>
      <c r="R44" s="32" t="n"/>
      <c r="S44" s="32" t="n"/>
      <c r="T44" s="55" t="n"/>
      <c r="U44" s="58">
        <f>'S22'!T44</f>
        <v/>
      </c>
      <c r="V44" s="57">
        <f>T44-U44</f>
        <v/>
      </c>
      <c r="W44" s="57">
        <f>N44-T44</f>
        <v/>
      </c>
      <c r="X44" s="34" t="n"/>
    </row>
    <row r="45" ht="22" customHeight="1">
      <c r="B45" s="5" t="n">
        <v>41</v>
      </c>
      <c r="C45" s="6" t="inlineStr">
        <is>
          <t>Sidi Kacem</t>
        </is>
      </c>
      <c r="D45" s="5" t="inlineStr">
        <is>
          <t>SAFSAF</t>
        </is>
      </c>
      <c r="E45" s="5" t="inlineStr">
        <is>
          <t>20-11</t>
        </is>
      </c>
      <c r="F45" s="5" t="inlineStr">
        <is>
          <t>Travaux de réhabilitation des équipements</t>
        </is>
      </c>
      <c r="G45" s="5" t="inlineStr"/>
      <c r="H45" s="5" t="inlineStr">
        <is>
          <t>Recalage des canaux portés du réseau T2S5 du secteur S9</t>
        </is>
      </c>
      <c r="I45" s="7" t="n">
        <v>793830</v>
      </c>
      <c r="J45" s="8" t="inlineStr">
        <is>
          <t>ml</t>
        </is>
      </c>
      <c r="K45" s="9" t="n">
        <v>265</v>
      </c>
      <c r="L45" s="51" t="n"/>
      <c r="M45" s="52">
        <f>'S22'!M45+L45</f>
        <v/>
      </c>
      <c r="N45" s="53">
        <f>IFERROR(M45/K45,0)</f>
        <v/>
      </c>
      <c r="O45" s="54">
        <f>'S22'!N45</f>
        <v/>
      </c>
      <c r="P45" s="53">
        <f>N45-O45</f>
        <v/>
      </c>
      <c r="Q45" s="32" t="n"/>
      <c r="R45" s="32" t="n"/>
      <c r="S45" s="32" t="n"/>
      <c r="T45" s="55" t="n"/>
      <c r="U45" s="54">
        <f>'S22'!T45</f>
        <v/>
      </c>
      <c r="V45" s="53">
        <f>T45-U45</f>
        <v/>
      </c>
      <c r="W45" s="53">
        <f>N45-T45</f>
        <v/>
      </c>
      <c r="X45" s="34" t="n"/>
    </row>
    <row r="46" ht="22" customHeight="1">
      <c r="B46" s="10" t="n">
        <v>42</v>
      </c>
      <c r="C46" s="6" t="inlineStr">
        <is>
          <t>Sidi Kacem</t>
        </is>
      </c>
      <c r="D46" s="10" t="inlineStr">
        <is>
          <t>SAFSAF</t>
        </is>
      </c>
      <c r="E46" s="10" t="inlineStr">
        <is>
          <t>40-21</t>
        </is>
      </c>
      <c r="F46" s="10" t="inlineStr">
        <is>
          <t>Travaux de pistes</t>
        </is>
      </c>
      <c r="G46" s="10" t="inlineStr">
        <is>
          <t>Entretien des pistes agricoles</t>
        </is>
      </c>
      <c r="H46" s="10" t="inlineStr">
        <is>
          <t>Entretien des pistes agricoles</t>
        </is>
      </c>
      <c r="I46" s="11" t="n">
        <v>2000000</v>
      </c>
      <c r="J46" s="12" t="inlineStr">
        <is>
          <t>km</t>
        </is>
      </c>
      <c r="K46" s="13" t="n">
        <v>4</v>
      </c>
      <c r="L46" s="51" t="n"/>
      <c r="M46" s="56">
        <f>'S22'!M46+L46</f>
        <v/>
      </c>
      <c r="N46" s="57">
        <f>IFERROR(M46/K46,0)</f>
        <v/>
      </c>
      <c r="O46" s="58">
        <f>'S22'!N46</f>
        <v/>
      </c>
      <c r="P46" s="57">
        <f>N46-O46</f>
        <v/>
      </c>
      <c r="Q46" s="32" t="n"/>
      <c r="R46" s="32" t="n"/>
      <c r="S46" s="32" t="n"/>
      <c r="T46" s="55" t="n"/>
      <c r="U46" s="58">
        <f>'S22'!T46</f>
        <v/>
      </c>
      <c r="V46" s="57">
        <f>T46-U46</f>
        <v/>
      </c>
      <c r="W46" s="57">
        <f>N46-T46</f>
        <v/>
      </c>
      <c r="X46" s="34" t="n"/>
    </row>
    <row r="47" ht="22" customHeight="1">
      <c r="B47" s="5" t="n">
        <v>43</v>
      </c>
      <c r="C47" s="6" t="inlineStr">
        <is>
          <t>Sidi Kacem</t>
        </is>
      </c>
      <c r="D47" s="5" t="inlineStr">
        <is>
          <t>SAFSAF</t>
        </is>
      </c>
      <c r="E47" s="5" t="inlineStr">
        <is>
          <t>50-23</t>
        </is>
      </c>
      <c r="F47" s="5" t="inlineStr">
        <is>
          <t>Entretien et réparation du réseau d'assainissement et de drainage</t>
        </is>
      </c>
      <c r="G47" s="5" t="inlineStr">
        <is>
          <t>Curage des prises sur l’oued, bâche d’aspiration et bassin de régulation.</t>
        </is>
      </c>
      <c r="H47" s="5" t="inlineStr">
        <is>
          <t>Curage des prises sur l’oued des stations de pompage S11, S9, 7D et 7B.
Nettoyage des grilles de préfiltration des boues colmaté des stations de pompage S11, S9, 7D et 7B.
Nettoyage des crépines des boues colmaté de station pompage 7D.
Curage des dalots et bâche d’aspiration des stations de pompage S11, S9, 7B.</t>
        </is>
      </c>
      <c r="I47" s="7" t="n">
        <v>200000</v>
      </c>
      <c r="J47" s="8" t="inlineStr">
        <is>
          <t>ml</t>
        </is>
      </c>
      <c r="K47" s="9" t="n">
        <v>67</v>
      </c>
      <c r="L47" s="51" t="n"/>
      <c r="M47" s="52">
        <f>'S22'!M47+L47</f>
        <v/>
      </c>
      <c r="N47" s="53">
        <f>IFERROR(M47/K47,0)</f>
        <v/>
      </c>
      <c r="O47" s="54">
        <f>'S22'!N47</f>
        <v/>
      </c>
      <c r="P47" s="53">
        <f>N47-O47</f>
        <v/>
      </c>
      <c r="Q47" s="32" t="n"/>
      <c r="R47" s="32" t="n"/>
      <c r="S47" s="32" t="n"/>
      <c r="T47" s="55" t="n"/>
      <c r="U47" s="54">
        <f>'S22'!T47</f>
        <v/>
      </c>
      <c r="V47" s="53">
        <f>T47-U47</f>
        <v/>
      </c>
      <c r="W47" s="53">
        <f>N47-T47</f>
        <v/>
      </c>
      <c r="X47" s="34" t="n"/>
    </row>
    <row r="48" ht="22" customHeight="1">
      <c r="B48" s="10" t="n">
        <v>44</v>
      </c>
      <c r="C48" s="6" t="inlineStr">
        <is>
          <t>Sidi Kacem</t>
        </is>
      </c>
      <c r="D48" s="10" t="inlineStr">
        <is>
          <t>SAFSAF</t>
        </is>
      </c>
      <c r="E48" s="10" t="inlineStr">
        <is>
          <t>50-21</t>
        </is>
      </c>
      <c r="F48" s="10" t="inlineStr">
        <is>
          <t>Entretien et réparation des stations de pompage</t>
        </is>
      </c>
      <c r="G48" s="10" t="inlineStr">
        <is>
          <t>Prestation de maintenance des débitmètres et leurs équipements annexes installés au niveau des station de pompage</t>
        </is>
      </c>
      <c r="H48" s="10" t="inlineStr">
        <is>
          <t>Changements Sept des débitmètres Ø 600mm inondé des deux stations de pompage S11 et S9.</t>
        </is>
      </c>
      <c r="I48" s="11" t="n">
        <v>580000</v>
      </c>
      <c r="J48" s="12" t="inlineStr">
        <is>
          <t>U</t>
        </is>
      </c>
      <c r="K48" s="13" t="n">
        <v>7</v>
      </c>
      <c r="L48" s="51" t="n"/>
      <c r="M48" s="56">
        <f>'S22'!M48+L48</f>
        <v/>
      </c>
      <c r="N48" s="57">
        <f>IFERROR(M48/K48,0)</f>
        <v/>
      </c>
      <c r="O48" s="58">
        <f>'S22'!N48</f>
        <v/>
      </c>
      <c r="P48" s="57">
        <f>N48-O48</f>
        <v/>
      </c>
      <c r="Q48" s="32" t="n"/>
      <c r="R48" s="32" t="n"/>
      <c r="S48" s="32" t="n"/>
      <c r="T48" s="55" t="n"/>
      <c r="U48" s="58">
        <f>'S22'!T48</f>
        <v/>
      </c>
      <c r="V48" s="57">
        <f>T48-U48</f>
        <v/>
      </c>
      <c r="W48" s="57">
        <f>N48-T48</f>
        <v/>
      </c>
      <c r="X48" s="34" t="n"/>
    </row>
    <row r="49" ht="22" customHeight="1">
      <c r="B49" s="5" t="n">
        <v>45</v>
      </c>
      <c r="C49" s="6" t="inlineStr">
        <is>
          <t>Sidi Kacem</t>
        </is>
      </c>
      <c r="D49" s="5" t="inlineStr">
        <is>
          <t>SAFSAF</t>
        </is>
      </c>
      <c r="E49" s="5" t="inlineStr">
        <is>
          <t>50-21</t>
        </is>
      </c>
      <c r="F49" s="5" t="inlineStr">
        <is>
          <t>Entretien et réparation des stations de pompage</t>
        </is>
      </c>
      <c r="G49" s="5" t="inlineStr">
        <is>
          <t>Stabilisation Berge oued</t>
        </is>
      </c>
      <c r="H49" s="5" t="inlineStr">
        <is>
          <t>Pose de murs en gabions et recouvrement du talus par matelas Reno des stations de pompage S11, S9, 7D et 7B .</t>
        </is>
      </c>
      <c r="I49" s="7" t="n">
        <v>4000000</v>
      </c>
      <c r="J49" s="8" t="inlineStr">
        <is>
          <t>m³</t>
        </is>
      </c>
      <c r="K49" s="9" t="n">
        <v>2667</v>
      </c>
      <c r="L49" s="51" t="n"/>
      <c r="M49" s="52">
        <f>'S22'!M49+L49</f>
        <v/>
      </c>
      <c r="N49" s="53">
        <f>IFERROR(M49/K49,0)</f>
        <v/>
      </c>
      <c r="O49" s="54">
        <f>'S22'!N49</f>
        <v/>
      </c>
      <c r="P49" s="53">
        <f>N49-O49</f>
        <v/>
      </c>
      <c r="Q49" s="32" t="n"/>
      <c r="R49" s="32" t="n"/>
      <c r="S49" s="32" t="n"/>
      <c r="T49" s="55" t="n"/>
      <c r="U49" s="54">
        <f>'S22'!T49</f>
        <v/>
      </c>
      <c r="V49" s="53">
        <f>T49-U49</f>
        <v/>
      </c>
      <c r="W49" s="53">
        <f>N49-T49</f>
        <v/>
      </c>
      <c r="X49" s="34" t="n"/>
    </row>
    <row r="50" ht="22" customHeight="1">
      <c r="B50" s="10" t="n">
        <v>46</v>
      </c>
      <c r="C50" s="6" t="inlineStr">
        <is>
          <t>Sidi Kacem</t>
        </is>
      </c>
      <c r="D50" s="10" t="inlineStr">
        <is>
          <t>SIDI AZZOUZ</t>
        </is>
      </c>
      <c r="E50" s="10" t="inlineStr">
        <is>
          <t>40-21</t>
        </is>
      </c>
      <c r="F50" s="10" t="inlineStr">
        <is>
          <t>Travaux de pistes</t>
        </is>
      </c>
      <c r="G50" s="10" t="inlineStr">
        <is>
          <t>Entretien des pistes agricoles</t>
        </is>
      </c>
      <c r="H50" s="10" t="inlineStr">
        <is>
          <t>Entretien des pistes agricoles</t>
        </is>
      </c>
      <c r="I50" s="11" t="n">
        <v>655000</v>
      </c>
      <c r="J50" s="12" t="inlineStr">
        <is>
          <t>km</t>
        </is>
      </c>
      <c r="K50" s="13" t="n">
        <v>1</v>
      </c>
      <c r="L50" s="51" t="n"/>
      <c r="M50" s="56">
        <f>'S22'!M50+L50</f>
        <v/>
      </c>
      <c r="N50" s="57">
        <f>IFERROR(M50/K50,0)</f>
        <v/>
      </c>
      <c r="O50" s="58">
        <f>'S22'!N50</f>
        <v/>
      </c>
      <c r="P50" s="57">
        <f>N50-O50</f>
        <v/>
      </c>
      <c r="Q50" s="32" t="n"/>
      <c r="R50" s="32" t="n"/>
      <c r="S50" s="32" t="n"/>
      <c r="T50" s="55" t="n"/>
      <c r="U50" s="58">
        <f>'S22'!T50</f>
        <v/>
      </c>
      <c r="V50" s="57">
        <f>T50-U50</f>
        <v/>
      </c>
      <c r="W50" s="57">
        <f>N50-T50</f>
        <v/>
      </c>
      <c r="X50" s="34" t="n"/>
    </row>
    <row r="51" ht="22" customHeight="1">
      <c r="B51" s="5" t="n">
        <v>47</v>
      </c>
      <c r="C51" s="6" t="inlineStr">
        <is>
          <t>Sidi Kacem</t>
        </is>
      </c>
      <c r="D51" s="5" t="inlineStr">
        <is>
          <t>SIDI EL KAMEL</t>
        </is>
      </c>
      <c r="E51" s="5" t="inlineStr">
        <is>
          <t>20-11</t>
        </is>
      </c>
      <c r="F51" s="5" t="inlineStr">
        <is>
          <t>Travaux de réhabilitation des équipements</t>
        </is>
      </c>
      <c r="G51" s="5" t="inlineStr">
        <is>
          <t>Travaux de réhabilitation des canaux portés d'irrigation</t>
        </is>
      </c>
      <c r="H51" s="5" t="inlineStr">
        <is>
          <t>Fourniture et de pose de canaux porté et accessoires du réseau SR4 du secteur S3R</t>
        </is>
      </c>
      <c r="I51" s="7" t="n">
        <v>5182920</v>
      </c>
      <c r="J51" s="8" t="inlineStr">
        <is>
          <t>ml</t>
        </is>
      </c>
      <c r="K51" s="9" t="n">
        <v>1728</v>
      </c>
      <c r="L51" s="51" t="n"/>
      <c r="M51" s="52">
        <f>'S22'!M51+L51</f>
        <v/>
      </c>
      <c r="N51" s="53">
        <f>IFERROR(M51/K51,0)</f>
        <v/>
      </c>
      <c r="O51" s="54">
        <f>'S22'!N51</f>
        <v/>
      </c>
      <c r="P51" s="53">
        <f>N51-O51</f>
        <v/>
      </c>
      <c r="Q51" s="32" t="n"/>
      <c r="R51" s="32" t="n"/>
      <c r="S51" s="32" t="n"/>
      <c r="T51" s="55" t="n"/>
      <c r="U51" s="54">
        <f>'S22'!T51</f>
        <v/>
      </c>
      <c r="V51" s="53">
        <f>T51-U51</f>
        <v/>
      </c>
      <c r="W51" s="53">
        <f>N51-T51</f>
        <v/>
      </c>
      <c r="X51" s="34" t="n"/>
    </row>
    <row r="52" ht="22" customHeight="1">
      <c r="B52" s="10" t="n">
        <v>48</v>
      </c>
      <c r="C52" s="6" t="inlineStr">
        <is>
          <t>Sidi Kacem</t>
        </is>
      </c>
      <c r="D52" s="10" t="inlineStr">
        <is>
          <t>SIDI EL KAMEL</t>
        </is>
      </c>
      <c r="E52" s="10" t="inlineStr">
        <is>
          <t>20-11</t>
        </is>
      </c>
      <c r="F52" s="10" t="inlineStr">
        <is>
          <t>Travaux de réhabilitation des équipements</t>
        </is>
      </c>
      <c r="G52" s="10" t="inlineStr"/>
      <c r="H52" s="10" t="inlineStr">
        <is>
          <t>Fourniture et de pose de canaux porté et accessoires du réseau SR6 du secteur S1RIZ</t>
        </is>
      </c>
      <c r="I52" s="11" t="n">
        <v>152818</v>
      </c>
      <c r="J52" s="12" t="inlineStr">
        <is>
          <t>ml</t>
        </is>
      </c>
      <c r="K52" s="13" t="n">
        <v>51</v>
      </c>
      <c r="L52" s="51" t="n"/>
      <c r="M52" s="56">
        <f>'S22'!M52+L52</f>
        <v/>
      </c>
      <c r="N52" s="57">
        <f>IFERROR(M52/K52,0)</f>
        <v/>
      </c>
      <c r="O52" s="58">
        <f>'S22'!N52</f>
        <v/>
      </c>
      <c r="P52" s="57">
        <f>N52-O52</f>
        <v/>
      </c>
      <c r="Q52" s="32" t="n"/>
      <c r="R52" s="32" t="n"/>
      <c r="S52" s="32" t="n"/>
      <c r="T52" s="55" t="n"/>
      <c r="U52" s="58">
        <f>'S22'!T52</f>
        <v/>
      </c>
      <c r="V52" s="57">
        <f>T52-U52</f>
        <v/>
      </c>
      <c r="W52" s="57">
        <f>N52-T52</f>
        <v/>
      </c>
      <c r="X52" s="34" t="n"/>
    </row>
    <row r="53" ht="22" customHeight="1">
      <c r="B53" s="5" t="n">
        <v>49</v>
      </c>
      <c r="C53" s="6" t="inlineStr">
        <is>
          <t>Sidi Kacem</t>
        </is>
      </c>
      <c r="D53" s="5" t="inlineStr">
        <is>
          <t>SIDI EL KAMEL</t>
        </is>
      </c>
      <c r="E53" s="5" t="inlineStr">
        <is>
          <t>20-11</t>
        </is>
      </c>
      <c r="F53" s="5" t="inlineStr">
        <is>
          <t>Travaux de réhabilitation des équipements</t>
        </is>
      </c>
      <c r="G53" s="5" t="inlineStr"/>
      <c r="H53" s="5" t="inlineStr">
        <is>
          <t>Recalage des canaux portés du réseau SR4 du secteur S3R</t>
        </is>
      </c>
      <c r="I53" s="7" t="n">
        <v>1418000</v>
      </c>
      <c r="J53" s="8" t="inlineStr">
        <is>
          <t>ml</t>
        </is>
      </c>
      <c r="K53" s="9" t="n">
        <v>473</v>
      </c>
      <c r="L53" s="51" t="n"/>
      <c r="M53" s="52">
        <f>'S22'!M53+L53</f>
        <v/>
      </c>
      <c r="N53" s="53">
        <f>IFERROR(M53/K53,0)</f>
        <v/>
      </c>
      <c r="O53" s="54">
        <f>'S22'!N53</f>
        <v/>
      </c>
      <c r="P53" s="53">
        <f>N53-O53</f>
        <v/>
      </c>
      <c r="Q53" s="32" t="n"/>
      <c r="R53" s="32" t="n"/>
      <c r="S53" s="32" t="n"/>
      <c r="T53" s="55" t="n"/>
      <c r="U53" s="54">
        <f>'S22'!T53</f>
        <v/>
      </c>
      <c r="V53" s="53">
        <f>T53-U53</f>
        <v/>
      </c>
      <c r="W53" s="53">
        <f>N53-T53</f>
        <v/>
      </c>
      <c r="X53" s="34" t="n"/>
    </row>
    <row r="54" ht="22" customHeight="1">
      <c r="B54" s="10" t="n">
        <v>50</v>
      </c>
      <c r="C54" s="6" t="inlineStr">
        <is>
          <t>Sidi Kacem</t>
        </is>
      </c>
      <c r="D54" s="10" t="inlineStr">
        <is>
          <t>SIDI EL KAMEL</t>
        </is>
      </c>
      <c r="E54" s="10" t="inlineStr">
        <is>
          <t>20-11</t>
        </is>
      </c>
      <c r="F54" s="10" t="inlineStr">
        <is>
          <t>Travaux de réhabilitation des équipements</t>
        </is>
      </c>
      <c r="G54" s="10" t="inlineStr">
        <is>
          <t>Travaux de réhabilitation des ouvrages de génie civil</t>
        </is>
      </c>
      <c r="H54" s="10" t="inlineStr">
        <is>
          <t>Réhabilitation des murs de soutènements des ouvrages de franchissements du canal d'assainissement CS3 secteur S3 et de l’ouvrage de franchissement du canal primaire d’irrigation du secteur S1R au niveau de la route provinciale P4234</t>
        </is>
      </c>
      <c r="I54" s="11" t="n">
        <v>800000</v>
      </c>
      <c r="J54" s="12" t="inlineStr">
        <is>
          <t>ml</t>
        </is>
      </c>
      <c r="K54" s="13" t="n">
        <v>400</v>
      </c>
      <c r="L54" s="51" t="n"/>
      <c r="M54" s="56">
        <f>'S22'!M54+L54</f>
        <v/>
      </c>
      <c r="N54" s="57">
        <f>IFERROR(M54/K54,0)</f>
        <v/>
      </c>
      <c r="O54" s="58">
        <f>'S22'!N54</f>
        <v/>
      </c>
      <c r="P54" s="57">
        <f>N54-O54</f>
        <v/>
      </c>
      <c r="Q54" s="32" t="n"/>
      <c r="R54" s="32" t="n"/>
      <c r="S54" s="32" t="n"/>
      <c r="T54" s="55" t="n"/>
      <c r="U54" s="58">
        <f>'S22'!T54</f>
        <v/>
      </c>
      <c r="V54" s="57">
        <f>T54-U54</f>
        <v/>
      </c>
      <c r="W54" s="57">
        <f>N54-T54</f>
        <v/>
      </c>
      <c r="X54" s="34" t="n"/>
    </row>
    <row r="55" ht="22" customHeight="1">
      <c r="B55" s="5" t="n">
        <v>51</v>
      </c>
      <c r="C55" s="6" t="inlineStr">
        <is>
          <t>Sidi Kacem</t>
        </is>
      </c>
      <c r="D55" s="5" t="inlineStr">
        <is>
          <t>SIDI EL KAMEL</t>
        </is>
      </c>
      <c r="E55" s="5" t="inlineStr">
        <is>
          <t>40-21</t>
        </is>
      </c>
      <c r="F55" s="5" t="inlineStr">
        <is>
          <t>Travaux de pistes</t>
        </is>
      </c>
      <c r="G55" s="5" t="inlineStr">
        <is>
          <t>Entretien des pistes agricoles</t>
        </is>
      </c>
      <c r="H55" s="5" t="inlineStr">
        <is>
          <t>Entretien des pistes agricoles</t>
        </is>
      </c>
      <c r="I55" s="7" t="n">
        <v>3700000</v>
      </c>
      <c r="J55" s="8" t="inlineStr">
        <is>
          <t>km</t>
        </is>
      </c>
      <c r="K55" s="9" t="n">
        <v>7</v>
      </c>
      <c r="L55" s="51" t="n"/>
      <c r="M55" s="52">
        <f>'S22'!M55+L55</f>
        <v/>
      </c>
      <c r="N55" s="53">
        <f>IFERROR(M55/K55,0)</f>
        <v/>
      </c>
      <c r="O55" s="54">
        <f>'S22'!N55</f>
        <v/>
      </c>
      <c r="P55" s="53">
        <f>N55-O55</f>
        <v/>
      </c>
      <c r="Q55" s="32" t="n"/>
      <c r="R55" s="32" t="n"/>
      <c r="S55" s="32" t="n"/>
      <c r="T55" s="55" t="n"/>
      <c r="U55" s="54">
        <f>'S22'!T55</f>
        <v/>
      </c>
      <c r="V55" s="53">
        <f>T55-U55</f>
        <v/>
      </c>
      <c r="W55" s="53">
        <f>N55-T55</f>
        <v/>
      </c>
      <c r="X55" s="34" t="n"/>
    </row>
    <row r="56" ht="22" customHeight="1">
      <c r="B56" s="10" t="n">
        <v>52</v>
      </c>
      <c r="C56" s="6" t="inlineStr">
        <is>
          <t>Sidi Kacem</t>
        </is>
      </c>
      <c r="D56" s="10" t="inlineStr">
        <is>
          <t>SIDI EL KAMEL</t>
        </is>
      </c>
      <c r="E56" s="10" t="inlineStr">
        <is>
          <t>50-21</t>
        </is>
      </c>
      <c r="F56" s="10" t="inlineStr">
        <is>
          <t>Entretien et réparation des stations de pompage</t>
        </is>
      </c>
      <c r="G56" s="10" t="inlineStr">
        <is>
          <t>Prestation de maintenance des débitmètres et leurs équipements annexes installés au niveau des station de pompage</t>
        </is>
      </c>
      <c r="H56" s="10" t="inlineStr">
        <is>
          <t>Changement de quatre débitmètres Ø 500mm et trois Ø 800mm inondé des stations de pompage 1R, 3R et 5R.</t>
        </is>
      </c>
      <c r="I56" s="11" t="n">
        <v>705000</v>
      </c>
      <c r="J56" s="12" t="inlineStr">
        <is>
          <t>U</t>
        </is>
      </c>
      <c r="K56" s="13" t="n">
        <v>3</v>
      </c>
      <c r="L56" s="51" t="n"/>
      <c r="M56" s="56">
        <f>'S22'!M56+L56</f>
        <v/>
      </c>
      <c r="N56" s="57">
        <f>IFERROR(M56/K56,0)</f>
        <v/>
      </c>
      <c r="O56" s="58">
        <f>'S22'!N56</f>
        <v/>
      </c>
      <c r="P56" s="57">
        <f>N56-O56</f>
        <v/>
      </c>
      <c r="Q56" s="32" t="n"/>
      <c r="R56" s="32" t="n"/>
      <c r="S56" s="32" t="n"/>
      <c r="T56" s="55" t="n"/>
      <c r="U56" s="58">
        <f>'S22'!T56</f>
        <v/>
      </c>
      <c r="V56" s="57">
        <f>T56-U56</f>
        <v/>
      </c>
      <c r="W56" s="57">
        <f>N56-T56</f>
        <v/>
      </c>
      <c r="X56" s="34" t="n"/>
    </row>
    <row r="57" ht="22" customHeight="1">
      <c r="B57" s="5" t="n">
        <v>53</v>
      </c>
      <c r="C57" s="6" t="inlineStr">
        <is>
          <t>Sidi Kacem</t>
        </is>
      </c>
      <c r="D57" s="5" t="inlineStr">
        <is>
          <t>SIDI EL KAMEL</t>
        </is>
      </c>
      <c r="E57" s="5" t="inlineStr">
        <is>
          <t>50-21</t>
        </is>
      </c>
      <c r="F57" s="5" t="inlineStr">
        <is>
          <t>Entretien et réparation des stations de pompage</t>
        </is>
      </c>
      <c r="G57" s="5" t="inlineStr">
        <is>
          <t>Mur clôture des stations de pompage.</t>
        </is>
      </c>
      <c r="H57" s="5" t="inlineStr">
        <is>
          <t>Stabilisation et reconstruction des murs clôture cote oued des stations de pompage 7A, 3R et 1R.</t>
        </is>
      </c>
      <c r="I57" s="7" t="n">
        <v>372000</v>
      </c>
      <c r="J57" s="8" t="inlineStr">
        <is>
          <t>ml</t>
        </is>
      </c>
      <c r="K57" s="9" t="n">
        <v>124</v>
      </c>
      <c r="L57" s="51" t="n"/>
      <c r="M57" s="52">
        <f>'S22'!M57+L57</f>
        <v/>
      </c>
      <c r="N57" s="53">
        <f>IFERROR(M57/K57,0)</f>
        <v/>
      </c>
      <c r="O57" s="54">
        <f>'S22'!N57</f>
        <v/>
      </c>
      <c r="P57" s="53">
        <f>N57-O57</f>
        <v/>
      </c>
      <c r="Q57" s="32" t="n"/>
      <c r="R57" s="32" t="n"/>
      <c r="S57" s="32" t="n"/>
      <c r="T57" s="55" t="n"/>
      <c r="U57" s="54">
        <f>'S22'!T57</f>
        <v/>
      </c>
      <c r="V57" s="53">
        <f>T57-U57</f>
        <v/>
      </c>
      <c r="W57" s="53">
        <f>N57-T57</f>
        <v/>
      </c>
      <c r="X57" s="34" t="n"/>
    </row>
    <row r="58" ht="22" customHeight="1">
      <c r="B58" s="10" t="n">
        <v>54</v>
      </c>
      <c r="C58" s="14" t="inlineStr">
        <is>
          <t>Kénitra</t>
        </is>
      </c>
      <c r="D58" s="10" t="inlineStr">
        <is>
          <t>Bni malek</t>
        </is>
      </c>
      <c r="E58" s="10" t="inlineStr">
        <is>
          <t>50-23</t>
        </is>
      </c>
      <c r="F58" s="10" t="inlineStr">
        <is>
          <t>Entretien et réparation du réseau d'assainissement et de drainage</t>
        </is>
      </c>
      <c r="G58" s="10" t="inlineStr">
        <is>
          <t>Travaux de curage des canaux en terre</t>
        </is>
      </c>
      <c r="H58" s="10" t="inlineStr">
        <is>
          <t>Curage des emissaires et colatures secondaire au niveau des secteurs MDA ET N9</t>
        </is>
      </c>
      <c r="I58" s="11" t="n">
        <v>10000000</v>
      </c>
      <c r="J58" s="12" t="inlineStr">
        <is>
          <t>ml</t>
        </is>
      </c>
      <c r="K58" s="13" t="n">
        <v>5000</v>
      </c>
      <c r="L58" s="51" t="n"/>
      <c r="M58" s="56">
        <f>'S22'!M58+L58</f>
        <v/>
      </c>
      <c r="N58" s="57">
        <f>IFERROR(M58/K58,0)</f>
        <v/>
      </c>
      <c r="O58" s="58">
        <f>'S22'!N58</f>
        <v/>
      </c>
      <c r="P58" s="57">
        <f>N58-O58</f>
        <v/>
      </c>
      <c r="Q58" s="32" t="n"/>
      <c r="R58" s="32" t="n"/>
      <c r="S58" s="32" t="n"/>
      <c r="T58" s="55" t="n"/>
      <c r="U58" s="58">
        <f>'S22'!T58</f>
        <v/>
      </c>
      <c r="V58" s="57">
        <f>T58-U58</f>
        <v/>
      </c>
      <c r="W58" s="57">
        <f>N58-T58</f>
        <v/>
      </c>
      <c r="X58" s="34" t="n"/>
    </row>
    <row r="59" ht="22" customHeight="1">
      <c r="B59" s="5" t="n">
        <v>55</v>
      </c>
      <c r="C59" s="14" t="inlineStr">
        <is>
          <t>Kénitra</t>
        </is>
      </c>
      <c r="D59" s="5" t="inlineStr">
        <is>
          <t>Bni malek</t>
        </is>
      </c>
      <c r="E59" s="5" t="inlineStr">
        <is>
          <t>40-21</t>
        </is>
      </c>
      <c r="F59" s="5" t="inlineStr">
        <is>
          <t>Travaux de pistes</t>
        </is>
      </c>
      <c r="G59" s="5" t="inlineStr">
        <is>
          <t>Travaux de réhabilitation des pistes agricoles</t>
        </is>
      </c>
      <c r="H59" s="5" t="inlineStr">
        <is>
          <t>Entretien des pistes agricoles des secteurs MDA et N3</t>
        </is>
      </c>
      <c r="I59" s="7" t="n">
        <v>2000000</v>
      </c>
      <c r="J59" s="8" t="inlineStr">
        <is>
          <t>km</t>
        </is>
      </c>
      <c r="K59" s="9" t="n">
        <v>4</v>
      </c>
      <c r="L59" s="51" t="n"/>
      <c r="M59" s="52">
        <f>'S22'!M59+L59</f>
        <v/>
      </c>
      <c r="N59" s="53">
        <f>IFERROR(M59/K59,0)</f>
        <v/>
      </c>
      <c r="O59" s="54">
        <f>'S22'!N59</f>
        <v/>
      </c>
      <c r="P59" s="53">
        <f>N59-O59</f>
        <v/>
      </c>
      <c r="Q59" s="32" t="n"/>
      <c r="R59" s="32" t="n"/>
      <c r="S59" s="32" t="n"/>
      <c r="T59" s="55" t="n"/>
      <c r="U59" s="54">
        <f>'S22'!T59</f>
        <v/>
      </c>
      <c r="V59" s="53">
        <f>T59-U59</f>
        <v/>
      </c>
      <c r="W59" s="53">
        <f>N59-T59</f>
        <v/>
      </c>
      <c r="X59" s="34" t="n"/>
    </row>
    <row r="60" ht="22" customHeight="1">
      <c r="B60" s="10" t="n">
        <v>56</v>
      </c>
      <c r="C60" s="14" t="inlineStr">
        <is>
          <t>Kénitra</t>
        </is>
      </c>
      <c r="D60" s="10" t="inlineStr">
        <is>
          <t>Bni malek</t>
        </is>
      </c>
      <c r="E60" s="10" t="inlineStr">
        <is>
          <t>50-21</t>
        </is>
      </c>
      <c r="F60" s="10" t="inlineStr">
        <is>
          <t>Entretien et réparation des stations de pompage</t>
        </is>
      </c>
      <c r="G60" s="10" t="inlineStr">
        <is>
          <t>Prestations de maintenance et de réparation mécanique des pompes et des groupes motopompes submersibles des stations de pompage.</t>
        </is>
      </c>
      <c r="H60" s="10" t="inlineStr">
        <is>
          <t>station de pompage MDA secteur MDA</t>
        </is>
      </c>
      <c r="I60" s="11" t="n">
        <v>300000</v>
      </c>
      <c r="J60" s="12" t="inlineStr">
        <is>
          <t>U</t>
        </is>
      </c>
      <c r="K60" s="13" t="n">
        <v>1</v>
      </c>
      <c r="L60" s="51" t="n"/>
      <c r="M60" s="56">
        <f>'S22'!M60+L60</f>
        <v/>
      </c>
      <c r="N60" s="57">
        <f>IFERROR(M60/K60,0)</f>
        <v/>
      </c>
      <c r="O60" s="58">
        <f>'S22'!N60</f>
        <v/>
      </c>
      <c r="P60" s="57">
        <f>N60-O60</f>
        <v/>
      </c>
      <c r="Q60" s="32" t="n"/>
      <c r="R60" s="32" t="n"/>
      <c r="S60" s="32" t="n"/>
      <c r="T60" s="55" t="n"/>
      <c r="U60" s="58">
        <f>'S22'!T60</f>
        <v/>
      </c>
      <c r="V60" s="57">
        <f>T60-U60</f>
        <v/>
      </c>
      <c r="W60" s="57">
        <f>N60-T60</f>
        <v/>
      </c>
      <c r="X60" s="34" t="n"/>
    </row>
    <row r="61" ht="22" customHeight="1">
      <c r="B61" s="5" t="n">
        <v>57</v>
      </c>
      <c r="C61" s="14" t="inlineStr">
        <is>
          <t>Kénitra</t>
        </is>
      </c>
      <c r="D61" s="5" t="inlineStr">
        <is>
          <t>Bni malek</t>
        </is>
      </c>
      <c r="E61" s="5" t="inlineStr">
        <is>
          <t>20-11</t>
        </is>
      </c>
      <c r="F61" s="5" t="inlineStr">
        <is>
          <t>Travaux de réhabilitation des équipements</t>
        </is>
      </c>
      <c r="G61" s="5" t="inlineStr">
        <is>
          <t>Travaux de réhabilitation des ouvrages de génie civil</t>
        </is>
      </c>
      <c r="H61" s="5" t="inlineStr">
        <is>
          <t>Rétablissement des bornes affaissées des secteurs N2 et N3</t>
        </is>
      </c>
      <c r="I61" s="7" t="n">
        <v>100000</v>
      </c>
      <c r="J61" s="8" t="inlineStr">
        <is>
          <t>U</t>
        </is>
      </c>
      <c r="K61" s="9" t="n">
        <v>200</v>
      </c>
      <c r="L61" s="51" t="n"/>
      <c r="M61" s="52">
        <f>'S22'!M61+L61</f>
        <v/>
      </c>
      <c r="N61" s="53">
        <f>IFERROR(M61/K61,0)</f>
        <v/>
      </c>
      <c r="O61" s="54">
        <f>'S22'!N61</f>
        <v/>
      </c>
      <c r="P61" s="53">
        <f>N61-O61</f>
        <v/>
      </c>
      <c r="Q61" s="32" t="n"/>
      <c r="R61" s="32" t="n"/>
      <c r="S61" s="32" t="n"/>
      <c r="T61" s="55" t="n"/>
      <c r="U61" s="54">
        <f>'S22'!T61</f>
        <v/>
      </c>
      <c r="V61" s="53">
        <f>T61-U61</f>
        <v/>
      </c>
      <c r="W61" s="53">
        <f>N61-T61</f>
        <v/>
      </c>
      <c r="X61" s="34" t="n"/>
    </row>
    <row r="62" ht="22" customHeight="1">
      <c r="B62" s="10" t="n">
        <v>58</v>
      </c>
      <c r="C62" s="14" t="inlineStr">
        <is>
          <t>Kénitra</t>
        </is>
      </c>
      <c r="D62" s="10" t="inlineStr">
        <is>
          <t>SOUK TLET</t>
        </is>
      </c>
      <c r="E62" s="10" t="inlineStr">
        <is>
          <t>50-23</t>
        </is>
      </c>
      <c r="F62" s="10" t="inlineStr">
        <is>
          <t>Entretien et réparation du réseau d'assainissement et de drainage</t>
        </is>
      </c>
      <c r="G62" s="10" t="inlineStr">
        <is>
          <t>Travaux de curage des canaux en terre</t>
        </is>
      </c>
      <c r="H62" s="10" t="inlineStr">
        <is>
          <t>curage des emissaires et colatures secondaire au niveau des secteurs N2,N3 ET N4,</t>
        </is>
      </c>
      <c r="I62" s="11" t="n">
        <v>3000000</v>
      </c>
      <c r="J62" s="12" t="inlineStr">
        <is>
          <t>ml</t>
        </is>
      </c>
      <c r="K62" s="13" t="n">
        <v>1500</v>
      </c>
      <c r="L62" s="51" t="n"/>
      <c r="M62" s="56">
        <f>'S22'!M62+L62</f>
        <v/>
      </c>
      <c r="N62" s="57">
        <f>IFERROR(M62/K62,0)</f>
        <v/>
      </c>
      <c r="O62" s="58">
        <f>'S22'!N62</f>
        <v/>
      </c>
      <c r="P62" s="57">
        <f>N62-O62</f>
        <v/>
      </c>
      <c r="Q62" s="32" t="n"/>
      <c r="R62" s="32" t="n"/>
      <c r="S62" s="32" t="n"/>
      <c r="T62" s="55" t="n"/>
      <c r="U62" s="58">
        <f>'S22'!T62</f>
        <v/>
      </c>
      <c r="V62" s="57">
        <f>T62-U62</f>
        <v/>
      </c>
      <c r="W62" s="57">
        <f>N62-T62</f>
        <v/>
      </c>
      <c r="X62" s="34" t="n"/>
    </row>
    <row r="63" ht="22" customHeight="1">
      <c r="B63" s="5" t="n">
        <v>59</v>
      </c>
      <c r="C63" s="14" t="inlineStr">
        <is>
          <t>Kénitra</t>
        </is>
      </c>
      <c r="D63" s="5" t="inlineStr">
        <is>
          <t>SOUK TLET</t>
        </is>
      </c>
      <c r="E63" s="5" t="inlineStr">
        <is>
          <t>40-21</t>
        </is>
      </c>
      <c r="F63" s="5" t="inlineStr">
        <is>
          <t>Travaux de pistes</t>
        </is>
      </c>
      <c r="G63" s="5" t="inlineStr">
        <is>
          <t>Travaux de réhabilitation des pistes agricoles</t>
        </is>
      </c>
      <c r="H63" s="5" t="inlineStr">
        <is>
          <t>Entretien des pistes des secteurs N2,N3,N4 et C4R,</t>
        </is>
      </c>
      <c r="I63" s="7" t="n">
        <v>5000000</v>
      </c>
      <c r="J63" s="8" t="inlineStr">
        <is>
          <t>U</t>
        </is>
      </c>
      <c r="K63" s="9" t="n">
        <v>1</v>
      </c>
      <c r="L63" s="51" t="n"/>
      <c r="M63" s="52">
        <f>'S22'!M63+L63</f>
        <v/>
      </c>
      <c r="N63" s="53">
        <f>IFERROR(M63/K63,0)</f>
        <v/>
      </c>
      <c r="O63" s="54">
        <f>'S22'!N63</f>
        <v/>
      </c>
      <c r="P63" s="53">
        <f>N63-O63</f>
        <v/>
      </c>
      <c r="Q63" s="32" t="n"/>
      <c r="R63" s="32" t="n"/>
      <c r="S63" s="32" t="n"/>
      <c r="T63" s="55" t="n"/>
      <c r="U63" s="54">
        <f>'S22'!T63</f>
        <v/>
      </c>
      <c r="V63" s="53">
        <f>T63-U63</f>
        <v/>
      </c>
      <c r="W63" s="53">
        <f>N63-T63</f>
        <v/>
      </c>
      <c r="X63" s="34" t="n"/>
    </row>
    <row r="64" ht="22" customHeight="1">
      <c r="B64" s="10" t="n">
        <v>60</v>
      </c>
      <c r="C64" s="14" t="inlineStr">
        <is>
          <t>Kénitra</t>
        </is>
      </c>
      <c r="D64" s="10" t="inlineStr">
        <is>
          <t>Sidi Med Lahmar</t>
        </is>
      </c>
      <c r="E64" s="10" t="inlineStr">
        <is>
          <t>50-23</t>
        </is>
      </c>
      <c r="F64" s="10" t="inlineStr">
        <is>
          <t>Entretien et réparation du réseau d'assainissement et de drainage</t>
        </is>
      </c>
      <c r="G64" s="10" t="inlineStr">
        <is>
          <t>Travaux de curage des canaux en terre</t>
        </is>
      </c>
      <c r="H64" s="10" t="inlineStr">
        <is>
          <t>Curage des emissaires et colatures secondaires secteurs N1</t>
        </is>
      </c>
      <c r="I64" s="11" t="n">
        <v>3000000</v>
      </c>
      <c r="J64" s="12" t="inlineStr">
        <is>
          <t>ml</t>
        </is>
      </c>
      <c r="K64" s="13" t="n">
        <v>1500</v>
      </c>
      <c r="L64" s="51" t="n"/>
      <c r="M64" s="56">
        <f>'S22'!M64+L64</f>
        <v/>
      </c>
      <c r="N64" s="57">
        <f>IFERROR(M64/K64,0)</f>
        <v/>
      </c>
      <c r="O64" s="58">
        <f>'S22'!N64</f>
        <v/>
      </c>
      <c r="P64" s="57">
        <f>N64-O64</f>
        <v/>
      </c>
      <c r="Q64" s="32" t="n"/>
      <c r="R64" s="32" t="n"/>
      <c r="S64" s="32" t="n"/>
      <c r="T64" s="55" t="n"/>
      <c r="U64" s="58">
        <f>'S22'!T64</f>
        <v/>
      </c>
      <c r="V64" s="57">
        <f>T64-U64</f>
        <v/>
      </c>
      <c r="W64" s="57">
        <f>N64-T64</f>
        <v/>
      </c>
      <c r="X64" s="34" t="n"/>
    </row>
    <row r="65" ht="22" customHeight="1">
      <c r="B65" s="5" t="n">
        <v>61</v>
      </c>
      <c r="C65" s="14" t="inlineStr">
        <is>
          <t>Kénitra</t>
        </is>
      </c>
      <c r="D65" s="5" t="inlineStr">
        <is>
          <t>Sidi Med Lahmar</t>
        </is>
      </c>
      <c r="E65" s="5" t="inlineStr">
        <is>
          <t>40-21</t>
        </is>
      </c>
      <c r="F65" s="5" t="inlineStr">
        <is>
          <t>Travaux de pistes</t>
        </is>
      </c>
      <c r="G65" s="5" t="inlineStr">
        <is>
          <t>Travaux de réhabilitation des pistes agricoles</t>
        </is>
      </c>
      <c r="H65" s="5" t="inlineStr">
        <is>
          <t>Entretien des pistes agricoles des secteurs N9 et N1</t>
        </is>
      </c>
      <c r="I65" s="7" t="n">
        <v>3000000</v>
      </c>
      <c r="J65" s="8" t="inlineStr">
        <is>
          <t>km</t>
        </is>
      </c>
      <c r="K65" s="9" t="n">
        <v>6</v>
      </c>
      <c r="L65" s="51" t="n"/>
      <c r="M65" s="52">
        <f>'S22'!M65+L65</f>
        <v/>
      </c>
      <c r="N65" s="53">
        <f>IFERROR(M65/K65,0)</f>
        <v/>
      </c>
      <c r="O65" s="54">
        <f>'S22'!N65</f>
        <v/>
      </c>
      <c r="P65" s="53">
        <f>N65-O65</f>
        <v/>
      </c>
      <c r="Q65" s="32" t="n"/>
      <c r="R65" s="32" t="n"/>
      <c r="S65" s="32" t="n"/>
      <c r="T65" s="55" t="n"/>
      <c r="U65" s="54">
        <f>'S22'!T65</f>
        <v/>
      </c>
      <c r="V65" s="53">
        <f>T65-U65</f>
        <v/>
      </c>
      <c r="W65" s="53">
        <f>N65-T65</f>
        <v/>
      </c>
      <c r="X65" s="34" t="n"/>
    </row>
    <row r="66" ht="22" customHeight="1">
      <c r="B66" s="10" t="n">
        <v>62</v>
      </c>
      <c r="C66" s="14" t="inlineStr">
        <is>
          <t>Kénitra</t>
        </is>
      </c>
      <c r="D66" s="10" t="inlineStr">
        <is>
          <t>Mograne</t>
        </is>
      </c>
      <c r="E66" s="10" t="inlineStr">
        <is>
          <t>50-23</t>
        </is>
      </c>
      <c r="F66" s="10" t="inlineStr">
        <is>
          <t>Entretien et réparation du réseau d'assainissement et de drainage</t>
        </is>
      </c>
      <c r="G66" s="10" t="inlineStr">
        <is>
          <t>Travaux de curage des canaux en terre</t>
        </is>
      </c>
      <c r="H66" s="10" t="inlineStr">
        <is>
          <t>Curage des canaux d'assainissement Hors secteur équipé ghoufera et laison beht sebou ,</t>
        </is>
      </c>
      <c r="I66" s="11" t="n">
        <v>6000000</v>
      </c>
      <c r="J66" s="12" t="inlineStr">
        <is>
          <t>ml</t>
        </is>
      </c>
      <c r="K66" s="13" t="n">
        <v>3000</v>
      </c>
      <c r="L66" s="51" t="n"/>
      <c r="M66" s="56">
        <f>'S22'!M66+L66</f>
        <v/>
      </c>
      <c r="N66" s="57">
        <f>IFERROR(M66/K66,0)</f>
        <v/>
      </c>
      <c r="O66" s="58">
        <f>'S22'!N66</f>
        <v/>
      </c>
      <c r="P66" s="57">
        <f>N66-O66</f>
        <v/>
      </c>
      <c r="Q66" s="32" t="n"/>
      <c r="R66" s="32" t="n"/>
      <c r="S66" s="32" t="n"/>
      <c r="T66" s="55" t="n"/>
      <c r="U66" s="58">
        <f>'S22'!T66</f>
        <v/>
      </c>
      <c r="V66" s="57">
        <f>T66-U66</f>
        <v/>
      </c>
      <c r="W66" s="57">
        <f>N66-T66</f>
        <v/>
      </c>
      <c r="X66" s="34" t="n"/>
    </row>
    <row r="67" ht="22" customHeight="1">
      <c r="B67" s="5" t="n">
        <v>63</v>
      </c>
      <c r="C67" s="14" t="inlineStr">
        <is>
          <t>Kénitra</t>
        </is>
      </c>
      <c r="D67" s="5" t="inlineStr">
        <is>
          <t>Mograne</t>
        </is>
      </c>
      <c r="E67" s="5" t="inlineStr">
        <is>
          <t>40-21</t>
        </is>
      </c>
      <c r="F67" s="5" t="inlineStr">
        <is>
          <t>Travaux de pistes</t>
        </is>
      </c>
      <c r="G67" s="5" t="inlineStr">
        <is>
          <t>Travaux de réhabilitation des pistes agricoles</t>
        </is>
      </c>
      <c r="H67" s="5" t="inlineStr">
        <is>
          <t>Entretien des pistes agricoles des secteurs SEBOU1,SEBOU2? BEHT3 et BEHT4</t>
        </is>
      </c>
      <c r="I67" s="7" t="n">
        <v>6000000</v>
      </c>
      <c r="J67" s="8" t="inlineStr">
        <is>
          <t>km</t>
        </is>
      </c>
      <c r="K67" s="9" t="n">
        <v>12</v>
      </c>
      <c r="L67" s="51" t="n"/>
      <c r="M67" s="52">
        <f>'S22'!M67+L67</f>
        <v/>
      </c>
      <c r="N67" s="53">
        <f>IFERROR(M67/K67,0)</f>
        <v/>
      </c>
      <c r="O67" s="54">
        <f>'S22'!N67</f>
        <v/>
      </c>
      <c r="P67" s="53">
        <f>N67-O67</f>
        <v/>
      </c>
      <c r="Q67" s="32" t="n"/>
      <c r="R67" s="32" t="n"/>
      <c r="S67" s="32" t="n"/>
      <c r="T67" s="55" t="n"/>
      <c r="U67" s="54">
        <f>'S22'!T67</f>
        <v/>
      </c>
      <c r="V67" s="53">
        <f>T67-U67</f>
        <v/>
      </c>
      <c r="W67" s="53">
        <f>N67-T67</f>
        <v/>
      </c>
      <c r="X67" s="34" t="n"/>
    </row>
    <row r="68" ht="22" customHeight="1">
      <c r="B68" s="10" t="n">
        <v>64</v>
      </c>
      <c r="C68" s="14" t="inlineStr">
        <is>
          <t>Kénitra</t>
        </is>
      </c>
      <c r="D68" s="10" t="inlineStr">
        <is>
          <t>Sidi allal tazi</t>
        </is>
      </c>
      <c r="E68" s="10" t="inlineStr">
        <is>
          <t>50-23</t>
        </is>
      </c>
      <c r="F68" s="10" t="inlineStr">
        <is>
          <t>Entretien et réparation du réseau d'assainissement et de drainage</t>
        </is>
      </c>
      <c r="G68" s="10" t="inlineStr">
        <is>
          <t>Travaux de curage des canaux en terre</t>
        </is>
      </c>
      <c r="H68" s="10" t="inlineStr">
        <is>
          <t>Curage du canaL d'assainissement CK,</t>
        </is>
      </c>
      <c r="I68" s="11" t="n">
        <v>3000000</v>
      </c>
      <c r="J68" s="12" t="inlineStr">
        <is>
          <t>ml</t>
        </is>
      </c>
      <c r="K68" s="13" t="n">
        <v>1500</v>
      </c>
      <c r="L68" s="51" t="n"/>
      <c r="M68" s="56">
        <f>'S22'!M68+L68</f>
        <v/>
      </c>
      <c r="N68" s="57">
        <f>IFERROR(M68/K68,0)</f>
        <v/>
      </c>
      <c r="O68" s="58">
        <f>'S22'!N68</f>
        <v/>
      </c>
      <c r="P68" s="57">
        <f>N68-O68</f>
        <v/>
      </c>
      <c r="Q68" s="32" t="n"/>
      <c r="R68" s="32" t="n"/>
      <c r="S68" s="32" t="n"/>
      <c r="T68" s="55" t="n"/>
      <c r="U68" s="58">
        <f>'S22'!T68</f>
        <v/>
      </c>
      <c r="V68" s="57">
        <f>T68-U68</f>
        <v/>
      </c>
      <c r="W68" s="57">
        <f>N68-T68</f>
        <v/>
      </c>
      <c r="X68" s="34" t="n"/>
    </row>
    <row r="69" ht="22" customHeight="1">
      <c r="B69" s="5" t="n">
        <v>65</v>
      </c>
      <c r="C69" s="14" t="inlineStr">
        <is>
          <t>Kénitra</t>
        </is>
      </c>
      <c r="D69" s="5" t="inlineStr">
        <is>
          <t>AMEUR SAFLIA</t>
        </is>
      </c>
      <c r="E69" s="5" t="inlineStr">
        <is>
          <t>50-23</t>
        </is>
      </c>
      <c r="F69" s="5" t="inlineStr">
        <is>
          <t>Entretien et réparation du réseau d'assainissement et de drainage</t>
        </is>
      </c>
      <c r="G69" s="5" t="inlineStr">
        <is>
          <t>Travaux de curage des canaux en terre</t>
        </is>
      </c>
      <c r="H69" s="5" t="inlineStr">
        <is>
          <t>Curage des canaux d'assainissement amontTtiflt Sebou,</t>
        </is>
      </c>
      <c r="I69" s="7" t="n">
        <v>1000000</v>
      </c>
      <c r="J69" s="8" t="inlineStr">
        <is>
          <t>ml</t>
        </is>
      </c>
      <c r="K69" s="9" t="n">
        <v>500</v>
      </c>
      <c r="L69" s="51" t="n"/>
      <c r="M69" s="52">
        <f>'S22'!M69+L69</f>
        <v/>
      </c>
      <c r="N69" s="53">
        <f>IFERROR(M69/K69,0)</f>
        <v/>
      </c>
      <c r="O69" s="54">
        <f>'S22'!N69</f>
        <v/>
      </c>
      <c r="P69" s="53">
        <f>N69-O69</f>
        <v/>
      </c>
      <c r="Q69" s="32" t="n"/>
      <c r="R69" s="32" t="n"/>
      <c r="S69" s="32" t="n"/>
      <c r="T69" s="55" t="n"/>
      <c r="U69" s="54">
        <f>'S22'!T69</f>
        <v/>
      </c>
      <c r="V69" s="53">
        <f>T69-U69</f>
        <v/>
      </c>
      <c r="W69" s="53">
        <f>N69-T69</f>
        <v/>
      </c>
      <c r="X69" s="34" t="n"/>
    </row>
    <row r="70" ht="22" customHeight="1">
      <c r="B70" s="10" t="n">
        <v>66</v>
      </c>
      <c r="C70" s="14" t="inlineStr">
        <is>
          <t>Kénitra</t>
        </is>
      </c>
      <c r="D70" s="10" t="inlineStr">
        <is>
          <t>Oulad SLAMA</t>
        </is>
      </c>
      <c r="E70" s="10" t="inlineStr">
        <is>
          <t>50-23</t>
        </is>
      </c>
      <c r="F70" s="10" t="inlineStr">
        <is>
          <t>Entretien et réparation du réseau d'assainissement et de drainage</t>
        </is>
      </c>
      <c r="G70" s="10" t="inlineStr">
        <is>
          <t>Travaux de curage des canaux en terre</t>
        </is>
      </c>
      <c r="H70" s="10" t="inlineStr">
        <is>
          <t>Curage des canaux d'assainissement debouche Tiflt aval,</t>
        </is>
      </c>
      <c r="I70" s="11" t="n">
        <v>1000000</v>
      </c>
      <c r="J70" s="12" t="inlineStr">
        <is>
          <t>ml</t>
        </is>
      </c>
      <c r="K70" s="13" t="n">
        <v>500</v>
      </c>
      <c r="L70" s="51" t="n"/>
      <c r="M70" s="56">
        <f>'S22'!M70+L70</f>
        <v/>
      </c>
      <c r="N70" s="57">
        <f>IFERROR(M70/K70,0)</f>
        <v/>
      </c>
      <c r="O70" s="58">
        <f>'S22'!N70</f>
        <v/>
      </c>
      <c r="P70" s="57">
        <f>N70-O70</f>
        <v/>
      </c>
      <c r="Q70" s="32" t="n"/>
      <c r="R70" s="32" t="n"/>
      <c r="S70" s="32" t="n"/>
      <c r="T70" s="55" t="n"/>
      <c r="U70" s="58">
        <f>'S22'!T70</f>
        <v/>
      </c>
      <c r="V70" s="57">
        <f>T70-U70</f>
        <v/>
      </c>
      <c r="W70" s="57">
        <f>N70-T70</f>
        <v/>
      </c>
      <c r="X70" s="34" t="n"/>
    </row>
    <row r="71" ht="22" customHeight="1">
      <c r="B71" s="5" t="n">
        <v>67</v>
      </c>
      <c r="C71" s="14" t="inlineStr">
        <is>
          <t>Kénitra</t>
        </is>
      </c>
      <c r="D71" s="5" t="inlineStr">
        <is>
          <t>BHARA Oulad AYAD</t>
        </is>
      </c>
      <c r="E71" s="5" t="inlineStr">
        <is>
          <t>50-23</t>
        </is>
      </c>
      <c r="F71" s="5" t="inlineStr">
        <is>
          <t>Entretien et réparation du réseau d'assainissement et de drainage</t>
        </is>
      </c>
      <c r="G71" s="5" t="inlineStr">
        <is>
          <t>Travaux de curage des canaux en terre</t>
        </is>
      </c>
      <c r="H71" s="5" t="inlineStr">
        <is>
          <t>Curage des canaux d'assainissement canal nador bas et haut segmet,</t>
        </is>
      </c>
      <c r="I71" s="7" t="n">
        <v>6600000</v>
      </c>
      <c r="J71" s="8" t="inlineStr">
        <is>
          <t>ml</t>
        </is>
      </c>
      <c r="K71" s="9" t="n">
        <v>3300</v>
      </c>
      <c r="L71" s="51" t="n"/>
      <c r="M71" s="52">
        <f>'S22'!M71+L71</f>
        <v/>
      </c>
      <c r="N71" s="53">
        <f>IFERROR(M71/K71,0)</f>
        <v/>
      </c>
      <c r="O71" s="54">
        <f>'S22'!N71</f>
        <v/>
      </c>
      <c r="P71" s="53">
        <f>N71-O71</f>
        <v/>
      </c>
      <c r="Q71" s="32" t="n"/>
      <c r="R71" s="32" t="n"/>
      <c r="S71" s="32" t="n"/>
      <c r="T71" s="55" t="n"/>
      <c r="U71" s="54">
        <f>'S22'!T71</f>
        <v/>
      </c>
      <c r="V71" s="53">
        <f>T71-U71</f>
        <v/>
      </c>
      <c r="W71" s="53">
        <f>N71-T71</f>
        <v/>
      </c>
      <c r="X71" s="34" t="n"/>
    </row>
    <row r="72" ht="22" customHeight="1">
      <c r="B72" s="10" t="n">
        <v>68</v>
      </c>
      <c r="C72" s="15" t="inlineStr">
        <is>
          <t>Sidi Slimane</t>
        </is>
      </c>
      <c r="D72" s="10" t="inlineStr">
        <is>
          <t>OULED HCEINE</t>
        </is>
      </c>
      <c r="E72" s="10" t="inlineStr">
        <is>
          <t>50-23</t>
        </is>
      </c>
      <c r="F72" s="10" t="inlineStr">
        <is>
          <t>Entretien et réparation du réseau d'assainissement et de drainage</t>
        </is>
      </c>
      <c r="G72" s="10" t="inlineStr">
        <is>
          <t>Travaux de curage des canaux en terre</t>
        </is>
      </c>
      <c r="H72" s="10" t="inlineStr">
        <is>
          <t>Curage des collecteurs d'assainissement du secteur EST4.</t>
        </is>
      </c>
      <c r="I72" s="11" t="n">
        <v>1805475</v>
      </c>
      <c r="J72" s="12" t="inlineStr">
        <is>
          <t>ml</t>
        </is>
      </c>
      <c r="K72" s="13" t="n">
        <v>903</v>
      </c>
      <c r="L72" s="51" t="n"/>
      <c r="M72" s="56">
        <f>'S22'!M72+L72</f>
        <v/>
      </c>
      <c r="N72" s="57">
        <f>IFERROR(M72/K72,0)</f>
        <v/>
      </c>
      <c r="O72" s="58">
        <f>'S22'!N72</f>
        <v/>
      </c>
      <c r="P72" s="57">
        <f>N72-O72</f>
        <v/>
      </c>
      <c r="Q72" s="32" t="n"/>
      <c r="R72" s="32" t="n"/>
      <c r="S72" s="32" t="n"/>
      <c r="T72" s="55" t="n"/>
      <c r="U72" s="58">
        <f>'S22'!T72</f>
        <v/>
      </c>
      <c r="V72" s="57">
        <f>T72-U72</f>
        <v/>
      </c>
      <c r="W72" s="57">
        <f>N72-T72</f>
        <v/>
      </c>
      <c r="X72" s="34" t="n"/>
    </row>
    <row r="73" ht="22" customHeight="1">
      <c r="B73" s="5" t="n">
        <v>69</v>
      </c>
      <c r="C73" s="15" t="inlineStr">
        <is>
          <t>Sidi Slimane</t>
        </is>
      </c>
      <c r="D73" s="5" t="inlineStr">
        <is>
          <t>OULED HCEINE</t>
        </is>
      </c>
      <c r="E73" s="5" t="inlineStr">
        <is>
          <t>50-23</t>
        </is>
      </c>
      <c r="F73" s="5" t="inlineStr">
        <is>
          <t>Entretien et réparation du réseau d'assainissement et de drainage</t>
        </is>
      </c>
      <c r="G73" s="5" t="inlineStr">
        <is>
          <t>Travaux de curage des canaux en terre</t>
        </is>
      </c>
      <c r="H73" s="5" t="inlineStr">
        <is>
          <t>Curage du canal d'assainissement Tihli central.</t>
        </is>
      </c>
      <c r="I73" s="7" t="n">
        <v>2587200</v>
      </c>
      <c r="J73" s="8" t="inlineStr">
        <is>
          <t>ml</t>
        </is>
      </c>
      <c r="K73" s="9" t="n">
        <v>1294</v>
      </c>
      <c r="L73" s="51" t="n"/>
      <c r="M73" s="52">
        <f>'S22'!M73+L73</f>
        <v/>
      </c>
      <c r="N73" s="53">
        <f>IFERROR(M73/K73,0)</f>
        <v/>
      </c>
      <c r="O73" s="54">
        <f>'S22'!N73</f>
        <v/>
      </c>
      <c r="P73" s="53">
        <f>N73-O73</f>
        <v/>
      </c>
      <c r="Q73" s="32" t="n"/>
      <c r="R73" s="32" t="n"/>
      <c r="S73" s="32" t="n"/>
      <c r="T73" s="55" t="n"/>
      <c r="U73" s="54">
        <f>'S22'!T73</f>
        <v/>
      </c>
      <c r="V73" s="53">
        <f>T73-U73</f>
        <v/>
      </c>
      <c r="W73" s="53">
        <f>N73-T73</f>
        <v/>
      </c>
      <c r="X73" s="34" t="n"/>
    </row>
    <row r="74" ht="22" customHeight="1">
      <c r="B74" s="10" t="n">
        <v>70</v>
      </c>
      <c r="C74" s="15" t="inlineStr">
        <is>
          <t>Sidi Slimane</t>
        </is>
      </c>
      <c r="D74" s="10" t="inlineStr">
        <is>
          <t>OULED HCEINE</t>
        </is>
      </c>
      <c r="E74" s="10" t="inlineStr">
        <is>
          <t>40-21</t>
        </is>
      </c>
      <c r="F74" s="10" t="inlineStr">
        <is>
          <t>Travaux de pistes</t>
        </is>
      </c>
      <c r="G74" s="10" t="inlineStr">
        <is>
          <t>Travaux de réhabilitation des pistes agricoles</t>
        </is>
      </c>
      <c r="H74" s="10" t="inlineStr">
        <is>
          <t>Entretien des pistes agricoles</t>
        </is>
      </c>
      <c r="I74" s="11" t="n">
        <v>3500000</v>
      </c>
      <c r="J74" s="12" t="inlineStr">
        <is>
          <t>km</t>
        </is>
      </c>
      <c r="K74" s="13" t="n">
        <v>7</v>
      </c>
      <c r="L74" s="51" t="n"/>
      <c r="M74" s="56">
        <f>'S22'!M74+L74</f>
        <v/>
      </c>
      <c r="N74" s="57">
        <f>IFERROR(M74/K74,0)</f>
        <v/>
      </c>
      <c r="O74" s="58">
        <f>'S22'!N74</f>
        <v/>
      </c>
      <c r="P74" s="57">
        <f>N74-O74</f>
        <v/>
      </c>
      <c r="Q74" s="32" t="n"/>
      <c r="R74" s="32" t="n"/>
      <c r="S74" s="32" t="n"/>
      <c r="T74" s="55" t="n"/>
      <c r="U74" s="58">
        <f>'S22'!T74</f>
        <v/>
      </c>
      <c r="V74" s="57">
        <f>T74-U74</f>
        <v/>
      </c>
      <c r="W74" s="57">
        <f>N74-T74</f>
        <v/>
      </c>
      <c r="X74" s="34" t="n"/>
    </row>
    <row r="75" ht="22" customHeight="1">
      <c r="B75" s="5" t="n">
        <v>71</v>
      </c>
      <c r="C75" s="15" t="inlineStr">
        <is>
          <t>Sidi Slimane</t>
        </is>
      </c>
      <c r="D75" s="5" t="inlineStr">
        <is>
          <t>OULED HCEINE</t>
        </is>
      </c>
      <c r="E75" s="5" t="inlineStr">
        <is>
          <t>50-21</t>
        </is>
      </c>
      <c r="F75" s="5" t="inlineStr">
        <is>
          <t>Entretien et réparation des stations de pompage</t>
        </is>
      </c>
      <c r="G75" s="5" t="inlineStr">
        <is>
          <t>Travaux de réparation des équipements hydromécaniques et éléctriques et entretien de la partie génie civil des stations de pompage.</t>
        </is>
      </c>
      <c r="H75" s="5" t="inlineStr">
        <is>
          <t>Démontage et expertise des roues des  pompes principaux et pompes a vide de la station EST4 et P11/2.
Changement des roulements, tresses et organes d’effectués de la station EST4 et P11/2
Changement deux débitmètre Ø 1200 mm de la station EST4 et un débimétre de la station P11/2.
Changement des capteurs de niveau inondés.
Révision et réparation des moteurs des vannes motorisées inondées.
changement de six contrôleurs de débits DW181 inondés.
Un capteur de débitmètre inondé nécessitent un diagnostic VEGASON  .
Entretien de l'éclairage du local de vide et bâche d’aspiration inondé de la station EST4 et la partie de l’éclairage du local des pompes inondées de la station P11/2.
Pose de gabions et recouvrement du talus par matelas Reno des stations de pompage P11/2</t>
        </is>
      </c>
      <c r="I75" s="7" t="n">
        <v>870000</v>
      </c>
      <c r="J75" s="8" t="inlineStr">
        <is>
          <t>U</t>
        </is>
      </c>
      <c r="K75" s="9" t="n">
        <v>4</v>
      </c>
      <c r="L75" s="51" t="n"/>
      <c r="M75" s="52">
        <f>'S22'!M75+L75</f>
        <v/>
      </c>
      <c r="N75" s="53">
        <f>IFERROR(M75/K75,0)</f>
        <v/>
      </c>
      <c r="O75" s="54">
        <f>'S22'!N75</f>
        <v/>
      </c>
      <c r="P75" s="53">
        <f>N75-O75</f>
        <v/>
      </c>
      <c r="Q75" s="32" t="n"/>
      <c r="R75" s="32" t="n"/>
      <c r="S75" s="32" t="n"/>
      <c r="T75" s="55" t="n"/>
      <c r="U75" s="54">
        <f>'S22'!T75</f>
        <v/>
      </c>
      <c r="V75" s="53">
        <f>T75-U75</f>
        <v/>
      </c>
      <c r="W75" s="53">
        <f>N75-T75</f>
        <v/>
      </c>
      <c r="X75" s="34" t="n"/>
    </row>
    <row r="76" ht="22" customHeight="1">
      <c r="B76" s="10" t="n">
        <v>72</v>
      </c>
      <c r="C76" s="15" t="inlineStr">
        <is>
          <t>Sidi Slimane</t>
        </is>
      </c>
      <c r="D76" s="10" t="inlineStr">
        <is>
          <t>OULED HCEINE</t>
        </is>
      </c>
      <c r="E76" s="10" t="inlineStr">
        <is>
          <t>50-23</t>
        </is>
      </c>
      <c r="F76" s="10" t="inlineStr">
        <is>
          <t>Entretien et réparation du réseau d'assainissement et de drainage</t>
        </is>
      </c>
      <c r="G76" s="10" t="inlineStr">
        <is>
          <t>Travaux de curage des prises des stations de pompage.</t>
        </is>
      </c>
      <c r="H76" s="10" t="inlineStr">
        <is>
          <t>Curage des siphones des station de pompage EST2 et P11/2.</t>
        </is>
      </c>
      <c r="I76" s="11" t="n">
        <v>500000</v>
      </c>
      <c r="J76" s="12" t="inlineStr">
        <is>
          <t>ml</t>
        </is>
      </c>
      <c r="K76" s="13" t="n">
        <v>167</v>
      </c>
      <c r="L76" s="51" t="n"/>
      <c r="M76" s="56">
        <f>'S22'!M76+L76</f>
        <v/>
      </c>
      <c r="N76" s="57">
        <f>IFERROR(M76/K76,0)</f>
        <v/>
      </c>
      <c r="O76" s="58">
        <f>'S22'!N76</f>
        <v/>
      </c>
      <c r="P76" s="57">
        <f>N76-O76</f>
        <v/>
      </c>
      <c r="Q76" s="32" t="n"/>
      <c r="R76" s="32" t="n"/>
      <c r="S76" s="32" t="n"/>
      <c r="T76" s="55" t="n"/>
      <c r="U76" s="58">
        <f>'S22'!T76</f>
        <v/>
      </c>
      <c r="V76" s="57">
        <f>T76-U76</f>
        <v/>
      </c>
      <c r="W76" s="57">
        <f>N76-T76</f>
        <v/>
      </c>
      <c r="X76" s="34" t="n"/>
    </row>
    <row r="77" ht="26" customHeight="1">
      <c r="B77" s="16" t="inlineStr">
        <is>
          <t>TOTAL</t>
        </is>
      </c>
      <c r="C77" s="16" t="n"/>
      <c r="D77" s="16" t="n"/>
      <c r="E77" s="16" t="n"/>
      <c r="F77" s="16" t="n"/>
      <c r="G77" s="16" t="n"/>
      <c r="H77" s="16" t="n"/>
      <c r="I77" s="17">
        <f>SUM(I5:I76)</f>
        <v/>
      </c>
      <c r="J77" s="16" t="n"/>
      <c r="K77" s="16" t="n"/>
      <c r="L77" s="59">
        <f>SUM(L5:L76)</f>
        <v/>
      </c>
      <c r="M77" s="59">
        <f>SUM(M5:M76)</f>
        <v/>
      </c>
      <c r="N77" s="60">
        <f>IFERROR(SUMPRODUCT(N5:N76,I5:I76)/I77,0)</f>
        <v/>
      </c>
      <c r="O77" s="60">
        <f>IFERROR(SUMPRODUCT(O5:O76,I5:I76)/I77,0)</f>
        <v/>
      </c>
      <c r="P77" s="60">
        <f>N77-O77</f>
        <v/>
      </c>
      <c r="Q77" s="17">
        <f>SUM(Q5:Q76)</f>
        <v/>
      </c>
      <c r="R77" s="17">
        <f>SUM(R5:R76)</f>
        <v/>
      </c>
      <c r="S77" s="17">
        <f>SUM(S5:S76)</f>
        <v/>
      </c>
      <c r="T77" s="60">
        <f>IFERROR(SUMPRODUCT(T5:T76,I5:I76)/I77,0)</f>
        <v/>
      </c>
      <c r="U77" s="60">
        <f>IFERROR(SUMPRODUCT(U5:U76,I5:I76)/I77,0)</f>
        <v/>
      </c>
      <c r="V77" s="60">
        <f>T77-U77</f>
        <v/>
      </c>
      <c r="W77" s="60">
        <f>N77-T77</f>
        <v/>
      </c>
      <c r="X77" s="16" t="n"/>
    </row>
  </sheetData>
  <sheetProtection selectLockedCells="0" selectUnlockedCells="0" sheet="1" objects="0" insertRows="1" insertHyperlinks="1" autoFilter="1" scenarios="0" formatColumns="1" deleteColumns="1" insertColumns="1" pivotTables="1" deleteRows="1" formatCells="1" formatRows="1" sort="1" password="CBBE"/>
  <mergeCells count="6">
    <mergeCell ref="E3:I3"/>
    <mergeCell ref="W3:X3"/>
    <mergeCell ref="J3:P3"/>
    <mergeCell ref="B2:X2"/>
    <mergeCell ref="C3:D3"/>
    <mergeCell ref="Q3:V3"/>
  </mergeCells>
  <conditionalFormatting sqref="P5:P76">
    <cfRule type="cellIs" priority="1" operator="greaterThan" dxfId="0">
      <formula>0</formula>
    </cfRule>
    <cfRule type="cellIs" priority="2" operator="lessThan" dxfId="1">
      <formula>0</formula>
    </cfRule>
  </conditionalFormatting>
  <conditionalFormatting sqref="V5:V76">
    <cfRule type="cellIs" priority="3" operator="greaterThan" dxfId="0">
      <formula>0</formula>
    </cfRule>
    <cfRule type="cellIs" priority="4" operator="lessThan" dxfId="1">
      <formula>0</formula>
    </cfRule>
  </conditionalFormatting>
  <conditionalFormatting sqref="W5:W76">
    <cfRule type="cellIs" priority="5" operator="greaterThan" dxfId="0">
      <formula>0.05</formula>
    </cfRule>
    <cfRule type="cellIs" priority="6" operator="lessThan" dxfId="1">
      <formula>-0.05</formula>
    </cfRule>
    <cfRule type="cellIs" priority="7" operator="between" dxfId="2">
      <formula>-0.05</formula>
      <formula>0.05</formula>
    </cfRule>
  </conditionalFormatting>
  <conditionalFormatting sqref="N5:N76">
    <cfRule type="dataBar" priority="8">
      <dataBar showValue="1">
        <cfvo type="num" val="0"/>
        <cfvo type="num" val="1"/>
        <color rgb="001B7D46"/>
      </dataBar>
    </cfRule>
  </conditionalFormatting>
  <conditionalFormatting sqref="T5:T76">
    <cfRule type="dataBar" priority="9">
      <dataBar showValue="1">
        <cfvo type="num" val="0"/>
        <cfvo type="num" val="1"/>
        <color rgb="00D4820A"/>
      </dataBar>
    </cfRule>
  </conditionalFormatting>
  <dataValidations count="2">
    <dataValidation sqref="T5:T76" showDropDown="0" showInputMessage="0" showErrorMessage="0" allowBlank="1" errorTitle="Invalide" error="Valeur entre 0% et 100%" promptTitle="Avancement %" prompt="Entrez 0.25 pour 25%" type="decimal" operator="between">
      <formula1>0</formula1>
      <formula2>1</formula2>
    </dataValidation>
    <dataValidation sqref="L5:L76" showDropDown="0" showInputMessage="0" showErrorMessage="0" allowBlank="1" errorTitle="Invalide" error="Quantité doit être &gt;= 0" promptTitle="Qté Réalisée" prompt="Entrez la quantité réalisée cette semaine" type="decimal" operator="greaterThanOrEqual">
      <formula1>0</formula1>
    </dataValidation>
  </dataValidations>
  <pageMargins left="0.75" right="0.75" top="1" bottom="1" header="0.5" footer="0.5"/>
</worksheet>
</file>

<file path=xl/worksheets/sheet4.xml><?xml version="1.0" encoding="utf-8"?>
<worksheet xmlns="http://schemas.openxmlformats.org/spreadsheetml/2006/main">
  <sheetPr>
    <tabColor rgb="00ED7D31"/>
    <outlinePr summaryBelow="1" summaryRight="1"/>
    <pageSetUpPr/>
  </sheetPr>
  <dimension ref="B2:X77"/>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5" customWidth="1" min="2" max="2"/>
    <col width="14" customWidth="1" min="3" max="3"/>
    <col width="18" customWidth="1" min="4" max="4"/>
    <col width="9" customWidth="1" min="5" max="5"/>
    <col width="32" customWidth="1" min="6" max="6"/>
    <col width="28" customWidth="1" min="7" max="7"/>
    <col width="34" customWidth="1" min="8" max="8"/>
    <col width="14" customWidth="1" min="9" max="9"/>
    <col width="8" customWidth="1" min="10" max="10"/>
    <col width="12" customWidth="1" min="11" max="11"/>
    <col width="14" customWidth="1" min="12" max="12"/>
    <col width="14" customWidth="1" min="13" max="13"/>
    <col width="14" customWidth="1" min="14" max="14"/>
    <col width="14" customWidth="1" min="15" max="15"/>
    <col width="14" customWidth="1" min="16" max="16"/>
    <col width="16" customWidth="1" min="17" max="17"/>
    <col width="16" customWidth="1" min="18" max="18"/>
    <col width="16" customWidth="1" min="19" max="19"/>
    <col width="14" customWidth="1" min="20" max="20"/>
    <col width="14" customWidth="1" min="21" max="21"/>
    <col width="14" customWidth="1" min="22" max="22"/>
    <col width="14" customWidth="1" min="23" max="23"/>
    <col width="24" customWidth="1" min="24" max="24"/>
  </cols>
  <sheetData>
    <row r="1" ht="15" customHeight="1"/>
    <row r="2" ht="32" customHeight="1">
      <c r="B2" s="1" t="inlineStr">
        <is>
          <t>Suivi Hebdomadaire - Semaine 24 (08/06 - 14/06) — Juin 2026 - Exécution Physique et Financière</t>
        </is>
      </c>
    </row>
    <row r="3" ht="22" customHeight="1">
      <c r="B3" s="20" t="inlineStr">
        <is>
          <t>Date :</t>
        </is>
      </c>
      <c r="C3" s="49" t="n">
        <v>46181</v>
      </c>
      <c r="D3" s="50" t="n"/>
      <c r="E3" s="22" t="inlineStr">
        <is>
          <t>IDENTIFICATION</t>
        </is>
      </c>
      <c r="J3" s="23" t="inlineStr">
        <is>
          <t>INDICATEURS PHYSIQUES</t>
        </is>
      </c>
      <c r="Q3" s="24" t="inlineStr">
        <is>
          <t>INDICATEURS FINANCIERS</t>
        </is>
      </c>
      <c r="W3" s="25" t="inlineStr">
        <is>
          <t>SYNTHÈSE</t>
        </is>
      </c>
    </row>
    <row r="4" ht="28" customHeight="1">
      <c r="B4" s="4" t="inlineStr">
        <is>
          <t>N°</t>
        </is>
      </c>
      <c r="C4" s="4" t="inlineStr">
        <is>
          <t>Province</t>
        </is>
      </c>
      <c r="D4" s="4" t="inlineStr">
        <is>
          <t>Commune</t>
        </is>
      </c>
      <c r="E4" s="4" t="inlineStr">
        <is>
          <t>Rubrique</t>
        </is>
      </c>
      <c r="F4" s="4" t="inlineStr">
        <is>
          <t>Intitulé Rubrique</t>
        </is>
      </c>
      <c r="G4" s="4" t="inlineStr">
        <is>
          <t>Projet</t>
        </is>
      </c>
      <c r="H4" s="4" t="inlineStr">
        <is>
          <t>Consistance</t>
        </is>
      </c>
      <c r="I4" s="4" t="inlineStr">
        <is>
          <t>Coût Total (DH)</t>
        </is>
      </c>
      <c r="J4" s="26" t="inlineStr">
        <is>
          <t>Unité</t>
        </is>
      </c>
      <c r="K4" s="26" t="inlineStr">
        <is>
          <t>Qté Prévue</t>
        </is>
      </c>
      <c r="L4" s="26" t="inlineStr">
        <is>
          <t>Qté Réalisée Sem.</t>
        </is>
      </c>
      <c r="M4" s="26" t="inlineStr">
        <is>
          <t>Qté Réalisée Cumul</t>
        </is>
      </c>
      <c r="N4" s="26" t="inlineStr">
        <is>
          <t>Avancement Physique %</t>
        </is>
      </c>
      <c r="O4" s="26" t="inlineStr">
        <is>
          <t>% Phys. Sem. Préc.</t>
        </is>
      </c>
      <c r="P4" s="26" t="inlineStr">
        <is>
          <t>Accroissement Phys. %</t>
        </is>
      </c>
      <c r="Q4" s="27" t="inlineStr">
        <is>
          <t>Montant Décaissé (DH)</t>
        </is>
      </c>
      <c r="R4" s="27" t="inlineStr">
        <is>
          <t>Montant Payé (DH)</t>
        </is>
      </c>
      <c r="S4" s="27" t="inlineStr">
        <is>
          <t>Montant Ordonné (DH)</t>
        </is>
      </c>
      <c r="T4" s="27" t="inlineStr">
        <is>
          <t>Avancement Financier %</t>
        </is>
      </c>
      <c r="U4" s="27" t="inlineStr">
        <is>
          <t>% Fin. Sem. Préc.</t>
        </is>
      </c>
      <c r="V4" s="27" t="inlineStr">
        <is>
          <t>Accroissement Fin. %</t>
        </is>
      </c>
      <c r="W4" s="28" t="inlineStr">
        <is>
          <t>Écart Phys.-Fin.</t>
        </is>
      </c>
      <c r="X4" s="28" t="inlineStr">
        <is>
          <t>Observations</t>
        </is>
      </c>
    </row>
    <row r="5" ht="22" customHeight="1">
      <c r="B5" s="5" t="n">
        <v>1</v>
      </c>
      <c r="C5" s="6" t="inlineStr">
        <is>
          <t>Sidi Kacem</t>
        </is>
      </c>
      <c r="D5" s="5" t="inlineStr">
        <is>
          <t>KHENICHET</t>
        </is>
      </c>
      <c r="E5" s="5" t="inlineStr">
        <is>
          <t>50-23</t>
        </is>
      </c>
      <c r="F5" s="5" t="inlineStr">
        <is>
          <t>Entretien et réparation du réseau d'assainissement et de drainage</t>
        </is>
      </c>
      <c r="G5" s="5" t="inlineStr">
        <is>
          <t>Travaux de curage des canaux en terre</t>
        </is>
      </c>
      <c r="H5" s="5" t="inlineStr">
        <is>
          <t>Curage des collecteurs d'assainissement du secteur EST2</t>
        </is>
      </c>
      <c r="I5" s="7" t="n">
        <v>2091568</v>
      </c>
      <c r="J5" s="8" t="inlineStr">
        <is>
          <t>ml</t>
        </is>
      </c>
      <c r="K5" s="9" t="n">
        <v>1046</v>
      </c>
      <c r="L5" s="51" t="n"/>
      <c r="M5" s="52">
        <f>'S23'!M5+L5</f>
        <v/>
      </c>
      <c r="N5" s="53">
        <f>IFERROR(M5/K5,0)</f>
        <v/>
      </c>
      <c r="O5" s="54">
        <f>'S23'!N5</f>
        <v/>
      </c>
      <c r="P5" s="53">
        <f>N5-O5</f>
        <v/>
      </c>
      <c r="Q5" s="32" t="n"/>
      <c r="R5" s="32" t="n"/>
      <c r="S5" s="32" t="n"/>
      <c r="T5" s="55" t="n"/>
      <c r="U5" s="54">
        <f>'S23'!T5</f>
        <v/>
      </c>
      <c r="V5" s="53">
        <f>T5-U5</f>
        <v/>
      </c>
      <c r="W5" s="53">
        <f>N5-T5</f>
        <v/>
      </c>
      <c r="X5" s="34" t="n"/>
    </row>
    <row r="6" ht="22" customHeight="1">
      <c r="B6" s="10" t="n">
        <v>2</v>
      </c>
      <c r="C6" s="6" t="inlineStr">
        <is>
          <t>Sidi Kacem</t>
        </is>
      </c>
      <c r="D6" s="10" t="inlineStr">
        <is>
          <t>KHENICHET</t>
        </is>
      </c>
      <c r="E6" s="10" t="inlineStr">
        <is>
          <t>40-21</t>
        </is>
      </c>
      <c r="F6" s="10" t="inlineStr">
        <is>
          <t>Travaux de pistes</t>
        </is>
      </c>
      <c r="G6" s="10" t="inlineStr">
        <is>
          <t>Travaux de réhabilitation des pistes agricoles</t>
        </is>
      </c>
      <c r="H6" s="10" t="inlineStr">
        <is>
          <t>Entretien des pistes agricoles Douar Nouagra et Douar ouled Salem</t>
        </is>
      </c>
      <c r="I6" s="11" t="n">
        <v>78000</v>
      </c>
      <c r="J6" s="12" t="inlineStr">
        <is>
          <t>km</t>
        </is>
      </c>
      <c r="K6" s="13" t="n">
        <v>1</v>
      </c>
      <c r="L6" s="51" t="n"/>
      <c r="M6" s="56">
        <f>'S23'!M6+L6</f>
        <v/>
      </c>
      <c r="N6" s="57">
        <f>IFERROR(M6/K6,0)</f>
        <v/>
      </c>
      <c r="O6" s="58">
        <f>'S23'!N6</f>
        <v/>
      </c>
      <c r="P6" s="57">
        <f>N6-O6</f>
        <v/>
      </c>
      <c r="Q6" s="32" t="n"/>
      <c r="R6" s="32" t="n"/>
      <c r="S6" s="32" t="n"/>
      <c r="T6" s="55" t="n"/>
      <c r="U6" s="58">
        <f>'S23'!T6</f>
        <v/>
      </c>
      <c r="V6" s="57">
        <f>T6-U6</f>
        <v/>
      </c>
      <c r="W6" s="57">
        <f>N6-T6</f>
        <v/>
      </c>
      <c r="X6" s="34" t="n"/>
    </row>
    <row r="7" ht="22" customHeight="1">
      <c r="B7" s="5" t="n">
        <v>3</v>
      </c>
      <c r="C7" s="6" t="inlineStr">
        <is>
          <t>Sidi Kacem</t>
        </is>
      </c>
      <c r="D7" s="5" t="inlineStr">
        <is>
          <t>KHENICHET</t>
        </is>
      </c>
      <c r="E7" s="5" t="inlineStr">
        <is>
          <t>50-23</t>
        </is>
      </c>
      <c r="F7" s="5" t="inlineStr">
        <is>
          <t>Entretien et réparation du réseau d'assainissement et de drainage</t>
        </is>
      </c>
      <c r="G7" s="5" t="inlineStr">
        <is>
          <t>Curage des prises sur l’oued, bâche d’aspiration et bassin de régulation.</t>
        </is>
      </c>
      <c r="H7" s="5" t="inlineStr">
        <is>
          <t>Curage de la chambre des joints de démontage des siphonnes  de la station de pompage EST2.</t>
        </is>
      </c>
      <c r="I7" s="7" t="n">
        <v>126000</v>
      </c>
      <c r="J7" s="8" t="inlineStr">
        <is>
          <t>ml</t>
        </is>
      </c>
      <c r="K7" s="9" t="n">
        <v>42</v>
      </c>
      <c r="L7" s="51" t="n"/>
      <c r="M7" s="52">
        <f>'S23'!M7+L7</f>
        <v/>
      </c>
      <c r="N7" s="53">
        <f>IFERROR(M7/K7,0)</f>
        <v/>
      </c>
      <c r="O7" s="54">
        <f>'S23'!N7</f>
        <v/>
      </c>
      <c r="P7" s="53">
        <f>N7-O7</f>
        <v/>
      </c>
      <c r="Q7" s="32" t="n"/>
      <c r="R7" s="32" t="n"/>
      <c r="S7" s="32" t="n"/>
      <c r="T7" s="55" t="n"/>
      <c r="U7" s="54">
        <f>'S23'!T7</f>
        <v/>
      </c>
      <c r="V7" s="53">
        <f>T7-U7</f>
        <v/>
      </c>
      <c r="W7" s="53">
        <f>N7-T7</f>
        <v/>
      </c>
      <c r="X7" s="34" t="n"/>
    </row>
    <row r="8" ht="22" customHeight="1">
      <c r="B8" s="10" t="n">
        <v>4</v>
      </c>
      <c r="C8" s="6" t="inlineStr">
        <is>
          <t>Sidi Kacem</t>
        </is>
      </c>
      <c r="D8" s="10" t="inlineStr">
        <is>
          <t>KHENICHET</t>
        </is>
      </c>
      <c r="E8" s="10" t="inlineStr">
        <is>
          <t>50-21</t>
        </is>
      </c>
      <c r="F8" s="10" t="inlineStr">
        <is>
          <t>Entretien et réparation des stations de pompage</t>
        </is>
      </c>
      <c r="G8" s="10" t="inlineStr">
        <is>
          <t>Prestation de maintenance des débitmètres et leurs équipements annexes installés au niveau des station de pompage</t>
        </is>
      </c>
      <c r="H8" s="10" t="inlineStr">
        <is>
          <t>Changement trois débitmètre Ø 600mm inondés de la station de pompage EST 2 et deux capteurs VEGASON 62</t>
        </is>
      </c>
      <c r="I8" s="11" t="n">
        <v>165500</v>
      </c>
      <c r="J8" s="12" t="inlineStr">
        <is>
          <t>U</t>
        </is>
      </c>
      <c r="K8" s="13" t="n">
        <v>3</v>
      </c>
      <c r="L8" s="51" t="n"/>
      <c r="M8" s="56">
        <f>'S23'!M8+L8</f>
        <v/>
      </c>
      <c r="N8" s="57">
        <f>IFERROR(M8/K8,0)</f>
        <v/>
      </c>
      <c r="O8" s="58">
        <f>'S23'!N8</f>
        <v/>
      </c>
      <c r="P8" s="57">
        <f>N8-O8</f>
        <v/>
      </c>
      <c r="Q8" s="32" t="n"/>
      <c r="R8" s="32" t="n"/>
      <c r="S8" s="32" t="n"/>
      <c r="T8" s="55" t="n"/>
      <c r="U8" s="58">
        <f>'S23'!T8</f>
        <v/>
      </c>
      <c r="V8" s="57">
        <f>T8-U8</f>
        <v/>
      </c>
      <c r="W8" s="57">
        <f>N8-T8</f>
        <v/>
      </c>
      <c r="X8" s="34" t="n"/>
    </row>
    <row r="9" ht="22" customHeight="1">
      <c r="B9" s="5" t="n">
        <v>5</v>
      </c>
      <c r="C9" s="6" t="inlineStr">
        <is>
          <t>Sidi Kacem</t>
        </is>
      </c>
      <c r="D9" s="5" t="inlineStr">
        <is>
          <t>BIR TALEB</t>
        </is>
      </c>
      <c r="E9" s="5" t="inlineStr">
        <is>
          <t>50-23</t>
        </is>
      </c>
      <c r="F9" s="5" t="inlineStr">
        <is>
          <t>Entretien et réparation du réseau d'assainissement et de drainage</t>
        </is>
      </c>
      <c r="G9" s="5" t="inlineStr">
        <is>
          <t>Travaux de curage des canaux en terre</t>
        </is>
      </c>
      <c r="H9" s="5" t="inlineStr">
        <is>
          <t>Curage du canal d'assainisement Tihli Aval</t>
        </is>
      </c>
      <c r="I9" s="7" t="n">
        <v>1000000</v>
      </c>
      <c r="J9" s="8" t="inlineStr">
        <is>
          <t>ml</t>
        </is>
      </c>
      <c r="K9" s="9" t="n">
        <v>500</v>
      </c>
      <c r="L9" s="51" t="n"/>
      <c r="M9" s="52">
        <f>'S23'!M9+L9</f>
        <v/>
      </c>
      <c r="N9" s="53">
        <f>IFERROR(M9/K9,0)</f>
        <v/>
      </c>
      <c r="O9" s="54">
        <f>'S23'!N9</f>
        <v/>
      </c>
      <c r="P9" s="53">
        <f>N9-O9</f>
        <v/>
      </c>
      <c r="Q9" s="32" t="n"/>
      <c r="R9" s="32" t="n"/>
      <c r="S9" s="32" t="n"/>
      <c r="T9" s="55" t="n"/>
      <c r="U9" s="54">
        <f>'S23'!T9</f>
        <v/>
      </c>
      <c r="V9" s="53">
        <f>T9-U9</f>
        <v/>
      </c>
      <c r="W9" s="53">
        <f>N9-T9</f>
        <v/>
      </c>
      <c r="X9" s="34" t="n"/>
    </row>
    <row r="10" ht="22" customHeight="1">
      <c r="B10" s="10" t="n">
        <v>6</v>
      </c>
      <c r="C10" s="6" t="inlineStr">
        <is>
          <t>Sidi Kacem</t>
        </is>
      </c>
      <c r="D10" s="10" t="inlineStr">
        <is>
          <t>BIR TALEB</t>
        </is>
      </c>
      <c r="E10" s="10" t="inlineStr">
        <is>
          <t>50-23</t>
        </is>
      </c>
      <c r="F10" s="10" t="inlineStr">
        <is>
          <t>Entretien et réparation du réseau d'assainissement et de drainage</t>
        </is>
      </c>
      <c r="G10" s="10" t="inlineStr"/>
      <c r="H10" s="10" t="inlineStr">
        <is>
          <t>Curage des collecteurs d'assainissement du secteur P11/1</t>
        </is>
      </c>
      <c r="I10" s="11" t="n">
        <v>846731</v>
      </c>
      <c r="J10" s="12" t="inlineStr">
        <is>
          <t>ml</t>
        </is>
      </c>
      <c r="K10" s="13" t="n">
        <v>423</v>
      </c>
      <c r="L10" s="51" t="n"/>
      <c r="M10" s="56">
        <f>'S23'!M10+L10</f>
        <v/>
      </c>
      <c r="N10" s="57">
        <f>IFERROR(M10/K10,0)</f>
        <v/>
      </c>
      <c r="O10" s="58">
        <f>'S23'!N10</f>
        <v/>
      </c>
      <c r="P10" s="57">
        <f>N10-O10</f>
        <v/>
      </c>
      <c r="Q10" s="32" t="n"/>
      <c r="R10" s="32" t="n"/>
      <c r="S10" s="32" t="n"/>
      <c r="T10" s="55" t="n"/>
      <c r="U10" s="58">
        <f>'S23'!T10</f>
        <v/>
      </c>
      <c r="V10" s="57">
        <f>T10-U10</f>
        <v/>
      </c>
      <c r="W10" s="57">
        <f>N10-T10</f>
        <v/>
      </c>
      <c r="X10" s="34" t="n"/>
    </row>
    <row r="11" ht="22" customHeight="1">
      <c r="B11" s="5" t="n">
        <v>7</v>
      </c>
      <c r="C11" s="6" t="inlineStr">
        <is>
          <t>Sidi Kacem</t>
        </is>
      </c>
      <c r="D11" s="5" t="inlineStr">
        <is>
          <t>BIR TALEB</t>
        </is>
      </c>
      <c r="E11" s="5" t="inlineStr">
        <is>
          <t>50-23</t>
        </is>
      </c>
      <c r="F11" s="5" t="inlineStr">
        <is>
          <t>Entretien et réparation du réseau d'assainissement et de drainage</t>
        </is>
      </c>
      <c r="G11" s="5" t="inlineStr">
        <is>
          <t>Curage des prises sur l’oued, bâche d’aspiration et bassin de régulation.</t>
        </is>
      </c>
      <c r="H11" s="5" t="inlineStr">
        <is>
          <t>Curage des prises sur l’oued de la station de pompage P11/1.</t>
        </is>
      </c>
      <c r="I11" s="7" t="n">
        <v>200000</v>
      </c>
      <c r="J11" s="8" t="inlineStr">
        <is>
          <t>ml</t>
        </is>
      </c>
      <c r="K11" s="9" t="n">
        <v>67</v>
      </c>
      <c r="L11" s="51" t="n"/>
      <c r="M11" s="52">
        <f>'S23'!M11+L11</f>
        <v/>
      </c>
      <c r="N11" s="53">
        <f>IFERROR(M11/K11,0)</f>
        <v/>
      </c>
      <c r="O11" s="54">
        <f>'S23'!N11</f>
        <v/>
      </c>
      <c r="P11" s="53">
        <f>N11-O11</f>
        <v/>
      </c>
      <c r="Q11" s="32" t="n"/>
      <c r="R11" s="32" t="n"/>
      <c r="S11" s="32" t="n"/>
      <c r="T11" s="55" t="n"/>
      <c r="U11" s="54">
        <f>'S23'!T11</f>
        <v/>
      </c>
      <c r="V11" s="53">
        <f>T11-U11</f>
        <v/>
      </c>
      <c r="W11" s="53">
        <f>N11-T11</f>
        <v/>
      </c>
      <c r="X11" s="34" t="n"/>
    </row>
    <row r="12" ht="22" customHeight="1">
      <c r="B12" s="10" t="n">
        <v>8</v>
      </c>
      <c r="C12" s="6" t="inlineStr">
        <is>
          <t>Sidi Kacem</t>
        </is>
      </c>
      <c r="D12" s="10" t="inlineStr">
        <is>
          <t>BIR TALEB</t>
        </is>
      </c>
      <c r="E12" s="10" t="inlineStr">
        <is>
          <t>50-21</t>
        </is>
      </c>
      <c r="F12" s="10" t="inlineStr">
        <is>
          <t>Entretien et réparation des stations de pompage</t>
        </is>
      </c>
      <c r="G12" s="10" t="inlineStr">
        <is>
          <t>Prestation de maintenance des débitmètres et leurs équipements annexes installés au niveau des station de pompage</t>
        </is>
      </c>
      <c r="H12" s="10" t="inlineStr">
        <is>
          <t>Changement trois débitmètre Ø 400mm inondés de la station de pompage P11/1</t>
        </is>
      </c>
      <c r="I12" s="11" t="n">
        <v>141900</v>
      </c>
      <c r="J12" s="12" t="inlineStr">
        <is>
          <t>U</t>
        </is>
      </c>
      <c r="K12" s="13" t="n">
        <v>3</v>
      </c>
      <c r="L12" s="51" t="n"/>
      <c r="M12" s="56">
        <f>'S23'!M12+L12</f>
        <v/>
      </c>
      <c r="N12" s="57">
        <f>IFERROR(M12/K12,0)</f>
        <v/>
      </c>
      <c r="O12" s="58">
        <f>'S23'!N12</f>
        <v/>
      </c>
      <c r="P12" s="57">
        <f>N12-O12</f>
        <v/>
      </c>
      <c r="Q12" s="32" t="n"/>
      <c r="R12" s="32" t="n"/>
      <c r="S12" s="32" t="n"/>
      <c r="T12" s="55" t="n"/>
      <c r="U12" s="58">
        <f>'S23'!T12</f>
        <v/>
      </c>
      <c r="V12" s="57">
        <f>T12-U12</f>
        <v/>
      </c>
      <c r="W12" s="57">
        <f>N12-T12</f>
        <v/>
      </c>
      <c r="X12" s="34" t="n"/>
    </row>
    <row r="13" ht="22" customHeight="1">
      <c r="B13" s="5" t="n">
        <v>9</v>
      </c>
      <c r="C13" s="6" t="inlineStr">
        <is>
          <t>Sidi Kacem</t>
        </is>
      </c>
      <c r="D13" s="5" t="inlineStr">
        <is>
          <t>BIR TALEB</t>
        </is>
      </c>
      <c r="E13" s="5" t="inlineStr">
        <is>
          <t>50-21</t>
        </is>
      </c>
      <c r="F13" s="5" t="inlineStr">
        <is>
          <t>Entretien et réparation des stations de pompage</t>
        </is>
      </c>
      <c r="G13" s="5" t="inlineStr">
        <is>
          <t>Prestations de maintenance et de réparation mécanique des pompes et des groupes motopompes submersibles des stations de pompage.</t>
        </is>
      </c>
      <c r="H13" s="5" t="inlineStr">
        <is>
          <t>Démontage et expertise des roues des  pompes principaux et pompes a vide de la station P11/1
Changement des roulements, tresses et organes d’effectués de la station P11/1</t>
        </is>
      </c>
      <c r="I13" s="7" t="n">
        <v>26700</v>
      </c>
      <c r="J13" s="8" t="inlineStr">
        <is>
          <t>U</t>
        </is>
      </c>
      <c r="K13" s="9" t="n">
        <v>1</v>
      </c>
      <c r="L13" s="51" t="n"/>
      <c r="M13" s="52">
        <f>'S23'!M13+L13</f>
        <v/>
      </c>
      <c r="N13" s="53">
        <f>IFERROR(M13/K13,0)</f>
        <v/>
      </c>
      <c r="O13" s="54">
        <f>'S23'!N13</f>
        <v/>
      </c>
      <c r="P13" s="53">
        <f>N13-O13</f>
        <v/>
      </c>
      <c r="Q13" s="32" t="n"/>
      <c r="R13" s="32" t="n"/>
      <c r="S13" s="32" t="n"/>
      <c r="T13" s="55" t="n"/>
      <c r="U13" s="54">
        <f>'S23'!T13</f>
        <v/>
      </c>
      <c r="V13" s="53">
        <f>T13-U13</f>
        <v/>
      </c>
      <c r="W13" s="53">
        <f>N13-T13</f>
        <v/>
      </c>
      <c r="X13" s="34" t="n"/>
    </row>
    <row r="14" ht="22" customHeight="1">
      <c r="B14" s="10" t="n">
        <v>10</v>
      </c>
      <c r="C14" s="6" t="inlineStr">
        <is>
          <t>Sidi Kacem</t>
        </is>
      </c>
      <c r="D14" s="10" t="inlineStr">
        <is>
          <t>BIR TALEB</t>
        </is>
      </c>
      <c r="E14" s="10" t="inlineStr">
        <is>
          <t>50-21</t>
        </is>
      </c>
      <c r="F14" s="10" t="inlineStr">
        <is>
          <t>Entretien et réparation des stations de pompage</t>
        </is>
      </c>
      <c r="G14" s="10" t="inlineStr">
        <is>
          <t>Stabilisation Berge oued</t>
        </is>
      </c>
      <c r="H14" s="10" t="inlineStr">
        <is>
          <t>Pose de  gabions et recouvrement du talus par matelas Reno des stations de pompage P11/1.</t>
        </is>
      </c>
      <c r="I14" s="11" t="n">
        <v>480000</v>
      </c>
      <c r="J14" s="12" t="inlineStr">
        <is>
          <t>m³</t>
        </is>
      </c>
      <c r="K14" s="13" t="n">
        <v>320</v>
      </c>
      <c r="L14" s="51" t="n"/>
      <c r="M14" s="56">
        <f>'S23'!M14+L14</f>
        <v/>
      </c>
      <c r="N14" s="57">
        <f>IFERROR(M14/K14,0)</f>
        <v/>
      </c>
      <c r="O14" s="58">
        <f>'S23'!N14</f>
        <v/>
      </c>
      <c r="P14" s="57">
        <f>N14-O14</f>
        <v/>
      </c>
      <c r="Q14" s="32" t="n"/>
      <c r="R14" s="32" t="n"/>
      <c r="S14" s="32" t="n"/>
      <c r="T14" s="55" t="n"/>
      <c r="U14" s="58">
        <f>'S23'!T14</f>
        <v/>
      </c>
      <c r="V14" s="57">
        <f>T14-U14</f>
        <v/>
      </c>
      <c r="W14" s="57">
        <f>N14-T14</f>
        <v/>
      </c>
      <c r="X14" s="34" t="n"/>
    </row>
    <row r="15" ht="22" customHeight="1">
      <c r="B15" s="5" t="n">
        <v>11</v>
      </c>
      <c r="C15" s="6" t="inlineStr">
        <is>
          <t>Sidi Kacem</t>
        </is>
      </c>
      <c r="D15" s="5" t="inlineStr">
        <is>
          <t>BIR TALEB</t>
        </is>
      </c>
      <c r="E15" s="5" t="inlineStr">
        <is>
          <t>50-21</t>
        </is>
      </c>
      <c r="F15" s="5" t="inlineStr">
        <is>
          <t>Entretien et réparation des stations de pompage</t>
        </is>
      </c>
      <c r="G15" s="5" t="inlineStr">
        <is>
          <t>Génie civile des locaux des stations de pompage.</t>
        </is>
      </c>
      <c r="H15" s="5" t="inlineStr">
        <is>
          <t>Expertise d’état et d’étanchéité des locaux pompes.
Renforcement d’étanchéité des locaux pompe sous niveau des oueds des stations de pompage P11/1.
Entretien des supports en béton des conduites d’aspiration.</t>
        </is>
      </c>
      <c r="I15" s="7" t="n">
        <v>300000</v>
      </c>
      <c r="J15" s="8" t="inlineStr">
        <is>
          <t>U</t>
        </is>
      </c>
      <c r="K15" s="9" t="n">
        <v>1</v>
      </c>
      <c r="L15" s="51" t="n"/>
      <c r="M15" s="52">
        <f>'S23'!M15+L15</f>
        <v/>
      </c>
      <c r="N15" s="53">
        <f>IFERROR(M15/K15,0)</f>
        <v/>
      </c>
      <c r="O15" s="54">
        <f>'S23'!N15</f>
        <v/>
      </c>
      <c r="P15" s="53">
        <f>N15-O15</f>
        <v/>
      </c>
      <c r="Q15" s="32" t="n"/>
      <c r="R15" s="32" t="n"/>
      <c r="S15" s="32" t="n"/>
      <c r="T15" s="55" t="n"/>
      <c r="U15" s="54">
        <f>'S23'!T15</f>
        <v/>
      </c>
      <c r="V15" s="53">
        <f>T15-U15</f>
        <v/>
      </c>
      <c r="W15" s="53">
        <f>N15-T15</f>
        <v/>
      </c>
      <c r="X15" s="34" t="n"/>
    </row>
    <row r="16" ht="22" customHeight="1">
      <c r="B16" s="10" t="n">
        <v>12</v>
      </c>
      <c r="C16" s="6" t="inlineStr">
        <is>
          <t>Sidi Kacem</t>
        </is>
      </c>
      <c r="D16" s="10" t="inlineStr">
        <is>
          <t>CHEBANAT</t>
        </is>
      </c>
      <c r="E16" s="10" t="inlineStr">
        <is>
          <t>50-23</t>
        </is>
      </c>
      <c r="F16" s="10" t="inlineStr">
        <is>
          <t>Entretien et réparation du réseau d'assainissement et de drainage</t>
        </is>
      </c>
      <c r="G16" s="10" t="inlineStr">
        <is>
          <t>Travaux de curage des canaux en terre</t>
        </is>
      </c>
      <c r="H16" s="10" t="inlineStr">
        <is>
          <t>Curage des collecteurs d'assainissement des secteur SH5 et SH6.</t>
        </is>
      </c>
      <c r="I16" s="11" t="n">
        <v>1000000</v>
      </c>
      <c r="J16" s="12" t="inlineStr">
        <is>
          <t>ml</t>
        </is>
      </c>
      <c r="K16" s="13" t="n">
        <v>500</v>
      </c>
      <c r="L16" s="51" t="n"/>
      <c r="M16" s="56">
        <f>'S23'!M16+L16</f>
        <v/>
      </c>
      <c r="N16" s="57">
        <f>IFERROR(M16/K16,0)</f>
        <v/>
      </c>
      <c r="O16" s="58">
        <f>'S23'!N16</f>
        <v/>
      </c>
      <c r="P16" s="57">
        <f>N16-O16</f>
        <v/>
      </c>
      <c r="Q16" s="32" t="n"/>
      <c r="R16" s="32" t="n"/>
      <c r="S16" s="32" t="n"/>
      <c r="T16" s="55" t="n"/>
      <c r="U16" s="58">
        <f>'S23'!T16</f>
        <v/>
      </c>
      <c r="V16" s="57">
        <f>T16-U16</f>
        <v/>
      </c>
      <c r="W16" s="57">
        <f>N16-T16</f>
        <v/>
      </c>
      <c r="X16" s="34" t="n"/>
    </row>
    <row r="17" ht="22" customHeight="1">
      <c r="B17" s="5" t="n">
        <v>13</v>
      </c>
      <c r="C17" s="6" t="inlineStr">
        <is>
          <t>Sidi Kacem</t>
        </is>
      </c>
      <c r="D17" s="5" t="inlineStr">
        <is>
          <t>CHEBANAT</t>
        </is>
      </c>
      <c r="E17" s="5" t="inlineStr">
        <is>
          <t>50-23</t>
        </is>
      </c>
      <c r="F17" s="5" t="inlineStr">
        <is>
          <t>Entretien et réparation du réseau d'assainissement et de drainage</t>
        </is>
      </c>
      <c r="G17" s="5" t="inlineStr">
        <is>
          <t>Travaux de curage des canaux révetus</t>
        </is>
      </c>
      <c r="H17" s="5" t="inlineStr">
        <is>
          <t>Curage du canal principal d'irrigation beht partie aval 1.</t>
        </is>
      </c>
      <c r="I17" s="7" t="n">
        <v>739200</v>
      </c>
      <c r="J17" s="8" t="inlineStr">
        <is>
          <t>ml</t>
        </is>
      </c>
      <c r="K17" s="9" t="n">
        <v>370</v>
      </c>
      <c r="L17" s="51" t="n"/>
      <c r="M17" s="52">
        <f>'S23'!M17+L17</f>
        <v/>
      </c>
      <c r="N17" s="53">
        <f>IFERROR(M17/K17,0)</f>
        <v/>
      </c>
      <c r="O17" s="54">
        <f>'S23'!N17</f>
        <v/>
      </c>
      <c r="P17" s="53">
        <f>N17-O17</f>
        <v/>
      </c>
      <c r="Q17" s="32" t="n"/>
      <c r="R17" s="32" t="n"/>
      <c r="S17" s="32" t="n"/>
      <c r="T17" s="55" t="n"/>
      <c r="U17" s="54">
        <f>'S23'!T17</f>
        <v/>
      </c>
      <c r="V17" s="53">
        <f>T17-U17</f>
        <v/>
      </c>
      <c r="W17" s="53">
        <f>N17-T17</f>
        <v/>
      </c>
      <c r="X17" s="34" t="n"/>
    </row>
    <row r="18" ht="22" customHeight="1">
      <c r="B18" s="10" t="n">
        <v>14</v>
      </c>
      <c r="C18" s="6" t="inlineStr">
        <is>
          <t>Sidi Kacem</t>
        </is>
      </c>
      <c r="D18" s="10" t="inlineStr">
        <is>
          <t>ZIRARA</t>
        </is>
      </c>
      <c r="E18" s="10" t="inlineStr">
        <is>
          <t>50-23</t>
        </is>
      </c>
      <c r="F18" s="10" t="inlineStr">
        <is>
          <t>Entretien et réparation du réseau d'assainissement et de drainage</t>
        </is>
      </c>
      <c r="G18" s="10" t="inlineStr">
        <is>
          <t>Travaux de curage des canaux révetus</t>
        </is>
      </c>
      <c r="H18" s="10" t="inlineStr">
        <is>
          <t>Curage du canal principal d'irrigation beht partie aval 2.</t>
        </is>
      </c>
      <c r="I18" s="11" t="n">
        <v>1276800</v>
      </c>
      <c r="J18" s="12" t="inlineStr">
        <is>
          <t>ml</t>
        </is>
      </c>
      <c r="K18" s="13" t="n">
        <v>638</v>
      </c>
      <c r="L18" s="51" t="n"/>
      <c r="M18" s="56">
        <f>'S23'!M18+L18</f>
        <v/>
      </c>
      <c r="N18" s="57">
        <f>IFERROR(M18/K18,0)</f>
        <v/>
      </c>
      <c r="O18" s="58">
        <f>'S23'!N18</f>
        <v/>
      </c>
      <c r="P18" s="57">
        <f>N18-O18</f>
        <v/>
      </c>
      <c r="Q18" s="32" t="n"/>
      <c r="R18" s="32" t="n"/>
      <c r="S18" s="32" t="n"/>
      <c r="T18" s="55" t="n"/>
      <c r="U18" s="58">
        <f>'S23'!T18</f>
        <v/>
      </c>
      <c r="V18" s="57">
        <f>T18-U18</f>
        <v/>
      </c>
      <c r="W18" s="57">
        <f>N18-T18</f>
        <v/>
      </c>
      <c r="X18" s="34" t="n"/>
    </row>
    <row r="19" ht="22" customHeight="1">
      <c r="B19" s="5" t="n">
        <v>15</v>
      </c>
      <c r="C19" s="6" t="inlineStr">
        <is>
          <t>Sidi Kacem</t>
        </is>
      </c>
      <c r="D19" s="5" t="inlineStr">
        <is>
          <t>DAR LAASLOUJI</t>
        </is>
      </c>
      <c r="E19" s="5" t="inlineStr">
        <is>
          <t>50-23</t>
        </is>
      </c>
      <c r="F19" s="5" t="inlineStr">
        <is>
          <t>Entretien et réparation du réseau d'assainissement et de drainage</t>
        </is>
      </c>
      <c r="G19" s="5" t="inlineStr">
        <is>
          <t>Travaux de curage des canaux en terre</t>
        </is>
      </c>
      <c r="H19" s="5" t="inlineStr">
        <is>
          <t>Curage des collecteurs d'assainissement des secteurs P8-1 et P8-2</t>
        </is>
      </c>
      <c r="I19" s="7" t="n">
        <v>5796360</v>
      </c>
      <c r="J19" s="8" t="inlineStr">
        <is>
          <t>ml</t>
        </is>
      </c>
      <c r="K19" s="9" t="n">
        <v>2898</v>
      </c>
      <c r="L19" s="51" t="n"/>
      <c r="M19" s="52">
        <f>'S23'!M19+L19</f>
        <v/>
      </c>
      <c r="N19" s="53">
        <f>IFERROR(M19/K19,0)</f>
        <v/>
      </c>
      <c r="O19" s="54">
        <f>'S23'!N19</f>
        <v/>
      </c>
      <c r="P19" s="53">
        <f>N19-O19</f>
        <v/>
      </c>
      <c r="Q19" s="32" t="n"/>
      <c r="R19" s="32" t="n"/>
      <c r="S19" s="32" t="n"/>
      <c r="T19" s="55" t="n"/>
      <c r="U19" s="54">
        <f>'S23'!T19</f>
        <v/>
      </c>
      <c r="V19" s="53">
        <f>T19-U19</f>
        <v/>
      </c>
      <c r="W19" s="53">
        <f>N19-T19</f>
        <v/>
      </c>
      <c r="X19" s="34" t="n"/>
    </row>
    <row r="20" ht="22" customHeight="1">
      <c r="B20" s="10" t="n">
        <v>16</v>
      </c>
      <c r="C20" s="6" t="inlineStr">
        <is>
          <t>Sidi Kacem</t>
        </is>
      </c>
      <c r="D20" s="10" t="inlineStr">
        <is>
          <t>DAR LAASLOUJI</t>
        </is>
      </c>
      <c r="E20" s="10" t="inlineStr">
        <is>
          <t>40-21</t>
        </is>
      </c>
      <c r="F20" s="10" t="inlineStr">
        <is>
          <t>Travaux de pistes</t>
        </is>
      </c>
      <c r="G20" s="10" t="inlineStr">
        <is>
          <t>Entretien des pistes agricoles</t>
        </is>
      </c>
      <c r="H20" s="10" t="inlineStr">
        <is>
          <t>Entretien des pistes agricoles</t>
        </is>
      </c>
      <c r="I20" s="11" t="n">
        <v>340000</v>
      </c>
      <c r="J20" s="12" t="inlineStr">
        <is>
          <t>km</t>
        </is>
      </c>
      <c r="K20" s="13" t="n">
        <v>1</v>
      </c>
      <c r="L20" s="51" t="n"/>
      <c r="M20" s="56">
        <f>'S23'!M20+L20</f>
        <v/>
      </c>
      <c r="N20" s="57">
        <f>IFERROR(M20/K20,0)</f>
        <v/>
      </c>
      <c r="O20" s="58">
        <f>'S23'!N20</f>
        <v/>
      </c>
      <c r="P20" s="57">
        <f>N20-O20</f>
        <v/>
      </c>
      <c r="Q20" s="32" t="n"/>
      <c r="R20" s="32" t="n"/>
      <c r="S20" s="32" t="n"/>
      <c r="T20" s="55" t="n"/>
      <c r="U20" s="58">
        <f>'S23'!T20</f>
        <v/>
      </c>
      <c r="V20" s="57">
        <f>T20-U20</f>
        <v/>
      </c>
      <c r="W20" s="57">
        <f>N20-T20</f>
        <v/>
      </c>
      <c r="X20" s="34" t="n"/>
    </row>
    <row r="21" ht="22" customHeight="1">
      <c r="B21" s="5" t="n">
        <v>17</v>
      </c>
      <c r="C21" s="6" t="inlineStr">
        <is>
          <t>Sidi Kacem</t>
        </is>
      </c>
      <c r="D21" s="5" t="inlineStr">
        <is>
          <t>HOUAFATE</t>
        </is>
      </c>
      <c r="E21" s="5" t="inlineStr">
        <is>
          <t>20-11</t>
        </is>
      </c>
      <c r="F21" s="5" t="inlineStr">
        <is>
          <t>Travaux de réhabilitation des équipements</t>
        </is>
      </c>
      <c r="G21" s="5" t="inlineStr">
        <is>
          <t>Travaux de réhabilitation des canaux portés d'irrigation</t>
        </is>
      </c>
      <c r="H21" s="5" t="inlineStr">
        <is>
          <t>Fourniture et de pose de canaux porté et accessoires du réseau S3 du secteur S13</t>
        </is>
      </c>
      <c r="I21" s="7" t="n">
        <v>397934</v>
      </c>
      <c r="J21" s="8" t="inlineStr">
        <is>
          <t>ml</t>
        </is>
      </c>
      <c r="K21" s="9" t="n">
        <v>133</v>
      </c>
      <c r="L21" s="51" t="n"/>
      <c r="M21" s="52">
        <f>'S23'!M21+L21</f>
        <v/>
      </c>
      <c r="N21" s="53">
        <f>IFERROR(M21/K21,0)</f>
        <v/>
      </c>
      <c r="O21" s="54">
        <f>'S23'!N21</f>
        <v/>
      </c>
      <c r="P21" s="53">
        <f>N21-O21</f>
        <v/>
      </c>
      <c r="Q21" s="32" t="n"/>
      <c r="R21" s="32" t="n"/>
      <c r="S21" s="32" t="n"/>
      <c r="T21" s="55" t="n"/>
      <c r="U21" s="54">
        <f>'S23'!T21</f>
        <v/>
      </c>
      <c r="V21" s="53">
        <f>T21-U21</f>
        <v/>
      </c>
      <c r="W21" s="53">
        <f>N21-T21</f>
        <v/>
      </c>
      <c r="X21" s="34" t="n"/>
    </row>
    <row r="22" ht="22" customHeight="1">
      <c r="B22" s="10" t="n">
        <v>18</v>
      </c>
      <c r="C22" s="6" t="inlineStr">
        <is>
          <t>Sidi Kacem</t>
        </is>
      </c>
      <c r="D22" s="10" t="inlineStr">
        <is>
          <t>HOUAFATE</t>
        </is>
      </c>
      <c r="E22" s="10" t="inlineStr">
        <is>
          <t>20-11</t>
        </is>
      </c>
      <c r="F22" s="10" t="inlineStr">
        <is>
          <t>Travaux de réhabilitation des équipements</t>
        </is>
      </c>
      <c r="G22" s="10" t="inlineStr"/>
      <c r="H22" s="10" t="inlineStr">
        <is>
          <t>Fourniture et de pose de canaux porté et accessoires du réseau T2S1 du secteur S13</t>
        </is>
      </c>
      <c r="I22" s="11" t="n">
        <v>207575</v>
      </c>
      <c r="J22" s="12" t="inlineStr">
        <is>
          <t>ml</t>
        </is>
      </c>
      <c r="K22" s="13" t="n">
        <v>69</v>
      </c>
      <c r="L22" s="51" t="n"/>
      <c r="M22" s="56">
        <f>'S23'!M22+L22</f>
        <v/>
      </c>
      <c r="N22" s="57">
        <f>IFERROR(M22/K22,0)</f>
        <v/>
      </c>
      <c r="O22" s="58">
        <f>'S23'!N22</f>
        <v/>
      </c>
      <c r="P22" s="57">
        <f>N22-O22</f>
        <v/>
      </c>
      <c r="Q22" s="32" t="n"/>
      <c r="R22" s="32" t="n"/>
      <c r="S22" s="32" t="n"/>
      <c r="T22" s="55" t="n"/>
      <c r="U22" s="58">
        <f>'S23'!T22</f>
        <v/>
      </c>
      <c r="V22" s="57">
        <f>T22-U22</f>
        <v/>
      </c>
      <c r="W22" s="57">
        <f>N22-T22</f>
        <v/>
      </c>
      <c r="X22" s="34" t="n"/>
    </row>
    <row r="23" ht="22" customHeight="1">
      <c r="B23" s="5" t="n">
        <v>19</v>
      </c>
      <c r="C23" s="6" t="inlineStr">
        <is>
          <t>Sidi Kacem</t>
        </is>
      </c>
      <c r="D23" s="5" t="inlineStr">
        <is>
          <t>HOUAFATE</t>
        </is>
      </c>
      <c r="E23" s="5" t="inlineStr">
        <is>
          <t>40-21</t>
        </is>
      </c>
      <c r="F23" s="5" t="inlineStr">
        <is>
          <t>Travaux de pistes</t>
        </is>
      </c>
      <c r="G23" s="5" t="inlineStr">
        <is>
          <t>Entretien des pistes agricoles</t>
        </is>
      </c>
      <c r="H23" s="5" t="inlineStr">
        <is>
          <t>Entretien des pistes agricoles</t>
        </is>
      </c>
      <c r="I23" s="7" t="n">
        <v>2200000</v>
      </c>
      <c r="J23" s="8" t="inlineStr">
        <is>
          <t>km</t>
        </is>
      </c>
      <c r="K23" s="9" t="n">
        <v>4</v>
      </c>
      <c r="L23" s="51" t="n"/>
      <c r="M23" s="52">
        <f>'S23'!M23+L23</f>
        <v/>
      </c>
      <c r="N23" s="53">
        <f>IFERROR(M23/K23,0)</f>
        <v/>
      </c>
      <c r="O23" s="54">
        <f>'S23'!N23</f>
        <v/>
      </c>
      <c r="P23" s="53">
        <f>N23-O23</f>
        <v/>
      </c>
      <c r="Q23" s="32" t="n"/>
      <c r="R23" s="32" t="n"/>
      <c r="S23" s="32" t="n"/>
      <c r="T23" s="55" t="n"/>
      <c r="U23" s="54">
        <f>'S23'!T23</f>
        <v/>
      </c>
      <c r="V23" s="53">
        <f>T23-U23</f>
        <v/>
      </c>
      <c r="W23" s="53">
        <f>N23-T23</f>
        <v/>
      </c>
      <c r="X23" s="34" t="n"/>
    </row>
    <row r="24" ht="22" customHeight="1">
      <c r="B24" s="10" t="n">
        <v>20</v>
      </c>
      <c r="C24" s="6" t="inlineStr">
        <is>
          <t>Sidi Kacem</t>
        </is>
      </c>
      <c r="D24" s="10" t="inlineStr">
        <is>
          <t>HOUAFATE</t>
        </is>
      </c>
      <c r="E24" s="10" t="inlineStr">
        <is>
          <t>50-23</t>
        </is>
      </c>
      <c r="F24" s="10" t="inlineStr">
        <is>
          <t>Entretien et réparation du réseau d'assainissement et de drainage</t>
        </is>
      </c>
      <c r="G24" s="10" t="inlineStr">
        <is>
          <t>Curage des prises sur l’oued, bâche d’aspiration et bassin de régulation.</t>
        </is>
      </c>
      <c r="H24" s="10" t="inlineStr">
        <is>
          <t>Curage des prises sur l’oued de la station de pompage S17 et S13.
Nettoyage des grilles de préfiltration des boues colmaté de la station de pompage S17 et S13.
Curage de la bâche d’aspiration de la station S17 et S13.</t>
        </is>
      </c>
      <c r="I24" s="11" t="n">
        <v>300000</v>
      </c>
      <c r="J24" s="12" t="inlineStr">
        <is>
          <t>ml</t>
        </is>
      </c>
      <c r="K24" s="13" t="n">
        <v>100</v>
      </c>
      <c r="L24" s="51" t="n"/>
      <c r="M24" s="56">
        <f>'S23'!M24+L24</f>
        <v/>
      </c>
      <c r="N24" s="57">
        <f>IFERROR(M24/K24,0)</f>
        <v/>
      </c>
      <c r="O24" s="58">
        <f>'S23'!N24</f>
        <v/>
      </c>
      <c r="P24" s="57">
        <f>N24-O24</f>
        <v/>
      </c>
      <c r="Q24" s="32" t="n"/>
      <c r="R24" s="32" t="n"/>
      <c r="S24" s="32" t="n"/>
      <c r="T24" s="55" t="n"/>
      <c r="U24" s="58">
        <f>'S23'!T24</f>
        <v/>
      </c>
      <c r="V24" s="57">
        <f>T24-U24</f>
        <v/>
      </c>
      <c r="W24" s="57">
        <f>N24-T24</f>
        <v/>
      </c>
      <c r="X24" s="34" t="n"/>
    </row>
    <row r="25" ht="22" customHeight="1">
      <c r="B25" s="5" t="n">
        <v>21</v>
      </c>
      <c r="C25" s="6" t="inlineStr">
        <is>
          <t>Sidi Kacem</t>
        </is>
      </c>
      <c r="D25" s="5" t="inlineStr">
        <is>
          <t>HOUAFATE</t>
        </is>
      </c>
      <c r="E25" s="5" t="inlineStr">
        <is>
          <t>50-21</t>
        </is>
      </c>
      <c r="F25" s="5" t="inlineStr">
        <is>
          <t>Entretien et réparation des stations de pompage</t>
        </is>
      </c>
      <c r="G25" s="5" t="inlineStr">
        <is>
          <t>Prestation de maintenance des débitmètres et leurs équipements annexes installés au niveau des station de pompage</t>
        </is>
      </c>
      <c r="H25" s="5" t="inlineStr">
        <is>
          <t>Changement trois débitmètre Ø 600mm inondés de la station de pompage S13.</t>
        </is>
      </c>
      <c r="I25" s="7" t="n">
        <v>250000</v>
      </c>
      <c r="J25" s="8" t="inlineStr">
        <is>
          <t>U</t>
        </is>
      </c>
      <c r="K25" s="9" t="n">
        <v>3</v>
      </c>
      <c r="L25" s="51" t="n"/>
      <c r="M25" s="52">
        <f>'S23'!M25+L25</f>
        <v/>
      </c>
      <c r="N25" s="53">
        <f>IFERROR(M25/K25,0)</f>
        <v/>
      </c>
      <c r="O25" s="54">
        <f>'S23'!N25</f>
        <v/>
      </c>
      <c r="P25" s="53">
        <f>N25-O25</f>
        <v/>
      </c>
      <c r="Q25" s="32" t="n"/>
      <c r="R25" s="32" t="n"/>
      <c r="S25" s="32" t="n"/>
      <c r="T25" s="55" t="n"/>
      <c r="U25" s="54">
        <f>'S23'!T25</f>
        <v/>
      </c>
      <c r="V25" s="53">
        <f>T25-U25</f>
        <v/>
      </c>
      <c r="W25" s="53">
        <f>N25-T25</f>
        <v/>
      </c>
      <c r="X25" s="34" t="n"/>
    </row>
    <row r="26" ht="22" customHeight="1">
      <c r="B26" s="10" t="n">
        <v>22</v>
      </c>
      <c r="C26" s="6" t="inlineStr">
        <is>
          <t>Sidi Kacem</t>
        </is>
      </c>
      <c r="D26" s="10" t="inlineStr">
        <is>
          <t>HOUAFATE</t>
        </is>
      </c>
      <c r="E26" s="10" t="inlineStr">
        <is>
          <t>50-21</t>
        </is>
      </c>
      <c r="F26" s="10" t="inlineStr">
        <is>
          <t>Entretien et réparation des stations de pompage</t>
        </is>
      </c>
      <c r="G26" s="10" t="inlineStr">
        <is>
          <t>Prestations de maintenance des moteurs électriques des stations de pompage.</t>
        </is>
      </c>
      <c r="H26" s="10" t="inlineStr">
        <is>
          <t>Révision des trois moteurs électriques 200 KW principaux de la station S13. 
Révision des deux moteurs électriques 5,5 KW groupes vide de la station S13.</t>
        </is>
      </c>
      <c r="I26" s="11" t="n">
        <v>25000</v>
      </c>
      <c r="J26" s="12" t="inlineStr">
        <is>
          <t>U</t>
        </is>
      </c>
      <c r="K26" s="13" t="n">
        <v>3</v>
      </c>
      <c r="L26" s="51" t="n"/>
      <c r="M26" s="56">
        <f>'S23'!M26+L26</f>
        <v/>
      </c>
      <c r="N26" s="57">
        <f>IFERROR(M26/K26,0)</f>
        <v/>
      </c>
      <c r="O26" s="58">
        <f>'S23'!N26</f>
        <v/>
      </c>
      <c r="P26" s="57">
        <f>N26-O26</f>
        <v/>
      </c>
      <c r="Q26" s="32" t="n"/>
      <c r="R26" s="32" t="n"/>
      <c r="S26" s="32" t="n"/>
      <c r="T26" s="55" t="n"/>
      <c r="U26" s="58">
        <f>'S23'!T26</f>
        <v/>
      </c>
      <c r="V26" s="57">
        <f>T26-U26</f>
        <v/>
      </c>
      <c r="W26" s="57">
        <f>N26-T26</f>
        <v/>
      </c>
      <c r="X26" s="34" t="n"/>
    </row>
    <row r="27" ht="22" customHeight="1">
      <c r="B27" s="5" t="n">
        <v>23</v>
      </c>
      <c r="C27" s="6" t="inlineStr">
        <is>
          <t>Sidi Kacem</t>
        </is>
      </c>
      <c r="D27" s="5" t="inlineStr">
        <is>
          <t>HOUAFATE</t>
        </is>
      </c>
      <c r="E27" s="5" t="inlineStr">
        <is>
          <t>50-21</t>
        </is>
      </c>
      <c r="F27" s="5" t="inlineStr">
        <is>
          <t>Entretien et réparation des stations de pompage</t>
        </is>
      </c>
      <c r="G27" s="5" t="inlineStr">
        <is>
          <t>Prestations de maintenance et de réparation mécanique des pompes et des groupes motopompes submersibles des stations de pompage.</t>
        </is>
      </c>
      <c r="H27" s="5" t="inlineStr">
        <is>
          <t>Démontage et expertise des roues des  pompes principaux et pompes a vide de la station S13.
Changement des roulements, tresses et organes d’effectués de la station S13.</t>
        </is>
      </c>
      <c r="I27" s="7" t="n">
        <v>38000</v>
      </c>
      <c r="J27" s="8" t="inlineStr">
        <is>
          <t>U</t>
        </is>
      </c>
      <c r="K27" s="9" t="n">
        <v>1</v>
      </c>
      <c r="L27" s="51" t="n"/>
      <c r="M27" s="52">
        <f>'S23'!M27+L27</f>
        <v/>
      </c>
      <c r="N27" s="53">
        <f>IFERROR(M27/K27,0)</f>
        <v/>
      </c>
      <c r="O27" s="54">
        <f>'S23'!N27</f>
        <v/>
      </c>
      <c r="P27" s="53">
        <f>N27-O27</f>
        <v/>
      </c>
      <c r="Q27" s="32" t="n"/>
      <c r="R27" s="32" t="n"/>
      <c r="S27" s="32" t="n"/>
      <c r="T27" s="55" t="n"/>
      <c r="U27" s="54">
        <f>'S23'!T27</f>
        <v/>
      </c>
      <c r="V27" s="53">
        <f>T27-U27</f>
        <v/>
      </c>
      <c r="W27" s="53">
        <f>N27-T27</f>
        <v/>
      </c>
      <c r="X27" s="34" t="n"/>
    </row>
    <row r="28" ht="22" customHeight="1">
      <c r="B28" s="10" t="n">
        <v>24</v>
      </c>
      <c r="C28" s="6" t="inlineStr">
        <is>
          <t>Sidi Kacem</t>
        </is>
      </c>
      <c r="D28" s="10" t="inlineStr">
        <is>
          <t>HOUAFATE</t>
        </is>
      </c>
      <c r="E28" s="10" t="inlineStr">
        <is>
          <t>50-21</t>
        </is>
      </c>
      <c r="F28" s="10" t="inlineStr">
        <is>
          <t>Entretien et réparation des stations de pompage</t>
        </is>
      </c>
      <c r="G28" s="10" t="inlineStr">
        <is>
          <t>Stabilisation Berge oued</t>
        </is>
      </c>
      <c r="H28" s="10" t="inlineStr">
        <is>
          <t>Pose de  gabions et recouvrement du talus par matelas Reno des stations de pompage S13.</t>
        </is>
      </c>
      <c r="I28" s="11" t="n">
        <v>10560000</v>
      </c>
      <c r="J28" s="12" t="inlineStr">
        <is>
          <t>m³</t>
        </is>
      </c>
      <c r="K28" s="13" t="n">
        <v>7040</v>
      </c>
      <c r="L28" s="51" t="n"/>
      <c r="M28" s="56">
        <f>'S23'!M28+L28</f>
        <v/>
      </c>
      <c r="N28" s="57">
        <f>IFERROR(M28/K28,0)</f>
        <v/>
      </c>
      <c r="O28" s="58">
        <f>'S23'!N28</f>
        <v/>
      </c>
      <c r="P28" s="57">
        <f>N28-O28</f>
        <v/>
      </c>
      <c r="Q28" s="32" t="n"/>
      <c r="R28" s="32" t="n"/>
      <c r="S28" s="32" t="n"/>
      <c r="T28" s="55" t="n"/>
      <c r="U28" s="58">
        <f>'S23'!T28</f>
        <v/>
      </c>
      <c r="V28" s="57">
        <f>T28-U28</f>
        <v/>
      </c>
      <c r="W28" s="57">
        <f>N28-T28</f>
        <v/>
      </c>
      <c r="X28" s="34" t="n"/>
    </row>
    <row r="29" ht="22" customHeight="1">
      <c r="B29" s="5" t="n">
        <v>25</v>
      </c>
      <c r="C29" s="6" t="inlineStr">
        <is>
          <t>Sidi Kacem</t>
        </is>
      </c>
      <c r="D29" s="5" t="inlineStr">
        <is>
          <t>HOUAFATE</t>
        </is>
      </c>
      <c r="E29" s="5" t="inlineStr">
        <is>
          <t>50-21</t>
        </is>
      </c>
      <c r="F29" s="5" t="inlineStr">
        <is>
          <t>Entretien et réparation des stations de pompage</t>
        </is>
      </c>
      <c r="G29" s="5" t="inlineStr">
        <is>
          <t>Mur clôture des stations de pompage.</t>
        </is>
      </c>
      <c r="H29" s="5" t="inlineStr">
        <is>
          <t>Stabilisation du sol et reconstruction des murs clôture (270m) cote oued de la station S17.</t>
        </is>
      </c>
      <c r="I29" s="7" t="n">
        <v>144000</v>
      </c>
      <c r="J29" s="8" t="inlineStr">
        <is>
          <t>ml</t>
        </is>
      </c>
      <c r="K29" s="9" t="n">
        <v>270</v>
      </c>
      <c r="L29" s="51" t="n"/>
      <c r="M29" s="52">
        <f>'S23'!M29+L29</f>
        <v/>
      </c>
      <c r="N29" s="53">
        <f>IFERROR(M29/K29,0)</f>
        <v/>
      </c>
      <c r="O29" s="54">
        <f>'S23'!N29</f>
        <v/>
      </c>
      <c r="P29" s="53">
        <f>N29-O29</f>
        <v/>
      </c>
      <c r="Q29" s="32" t="n"/>
      <c r="R29" s="32" t="n"/>
      <c r="S29" s="32" t="n"/>
      <c r="T29" s="55" t="n"/>
      <c r="U29" s="54">
        <f>'S23'!T29</f>
        <v/>
      </c>
      <c r="V29" s="53">
        <f>T29-U29</f>
        <v/>
      </c>
      <c r="W29" s="53">
        <f>N29-T29</f>
        <v/>
      </c>
      <c r="X29" s="34" t="n"/>
    </row>
    <row r="30" ht="22" customHeight="1">
      <c r="B30" s="10" t="n">
        <v>26</v>
      </c>
      <c r="C30" s="6" t="inlineStr">
        <is>
          <t>Sidi Kacem</t>
        </is>
      </c>
      <c r="D30" s="10" t="inlineStr">
        <is>
          <t>HOUAFATE</t>
        </is>
      </c>
      <c r="E30" s="10" t="inlineStr">
        <is>
          <t>50-21</t>
        </is>
      </c>
      <c r="F30" s="10" t="inlineStr">
        <is>
          <t>Entretien et réparation des stations de pompage</t>
        </is>
      </c>
      <c r="G30" s="10" t="inlineStr">
        <is>
          <t>Génie civile des locaux des stations de pompage.</t>
        </is>
      </c>
      <c r="H30" s="10" t="inlineStr">
        <is>
          <t>Expertise d’état et d’étanchéité des locaux pompes, commande, puissance des stations de pompage S17 et S13.
Renforcement d’étanchéité des locaux pompe sous niveau des oueds des stations de pompage S17 et S13.</t>
        </is>
      </c>
      <c r="I30" s="11" t="n">
        <v>800000</v>
      </c>
      <c r="J30" s="12" t="inlineStr">
        <is>
          <t>U</t>
        </is>
      </c>
      <c r="K30" s="13" t="n">
        <v>1</v>
      </c>
      <c r="L30" s="51" t="n"/>
      <c r="M30" s="56">
        <f>'S23'!M30+L30</f>
        <v/>
      </c>
      <c r="N30" s="57">
        <f>IFERROR(M30/K30,0)</f>
        <v/>
      </c>
      <c r="O30" s="58">
        <f>'S23'!N30</f>
        <v/>
      </c>
      <c r="P30" s="57">
        <f>N30-O30</f>
        <v/>
      </c>
      <c r="Q30" s="32" t="n"/>
      <c r="R30" s="32" t="n"/>
      <c r="S30" s="32" t="n"/>
      <c r="T30" s="55" t="n"/>
      <c r="U30" s="58">
        <f>'S23'!T30</f>
        <v/>
      </c>
      <c r="V30" s="57">
        <f>T30-U30</f>
        <v/>
      </c>
      <c r="W30" s="57">
        <f>N30-T30</f>
        <v/>
      </c>
      <c r="X30" s="34" t="n"/>
    </row>
    <row r="31" ht="22" customHeight="1">
      <c r="B31" s="5" t="n">
        <v>27</v>
      </c>
      <c r="C31" s="6" t="inlineStr">
        <is>
          <t>Sidi Kacem</t>
        </is>
      </c>
      <c r="D31" s="5" t="inlineStr">
        <is>
          <t>NOUIRAT</t>
        </is>
      </c>
      <c r="E31" s="5" t="inlineStr">
        <is>
          <t>50-23</t>
        </is>
      </c>
      <c r="F31" s="5" t="inlineStr">
        <is>
          <t>Entretien et réparation du réseau d'assainissement et de drainage</t>
        </is>
      </c>
      <c r="G31" s="5" t="inlineStr">
        <is>
          <t>Travaux de curage des canaux en terre</t>
        </is>
      </c>
      <c r="H31" s="5" t="inlineStr">
        <is>
          <t>Curage des collecteurs d'assainissement des secteurs EST1 et N5</t>
        </is>
      </c>
      <c r="I31" s="7" t="n">
        <v>1733306</v>
      </c>
      <c r="J31" s="8" t="inlineStr">
        <is>
          <t>ml</t>
        </is>
      </c>
      <c r="K31" s="9" t="n">
        <v>867</v>
      </c>
      <c r="L31" s="51" t="n"/>
      <c r="M31" s="52">
        <f>'S23'!M31+L31</f>
        <v/>
      </c>
      <c r="N31" s="53">
        <f>IFERROR(M31/K31,0)</f>
        <v/>
      </c>
      <c r="O31" s="54">
        <f>'S23'!N31</f>
        <v/>
      </c>
      <c r="P31" s="53">
        <f>N31-O31</f>
        <v/>
      </c>
      <c r="Q31" s="32" t="n"/>
      <c r="R31" s="32" t="n"/>
      <c r="S31" s="32" t="n"/>
      <c r="T31" s="55" t="n"/>
      <c r="U31" s="54">
        <f>'S23'!T31</f>
        <v/>
      </c>
      <c r="V31" s="53">
        <f>T31-U31</f>
        <v/>
      </c>
      <c r="W31" s="53">
        <f>N31-T31</f>
        <v/>
      </c>
      <c r="X31" s="34" t="n"/>
    </row>
    <row r="32" ht="22" customHeight="1">
      <c r="B32" s="10" t="n">
        <v>28</v>
      </c>
      <c r="C32" s="6" t="inlineStr">
        <is>
          <t>Sidi Kacem</t>
        </is>
      </c>
      <c r="D32" s="10" t="inlineStr">
        <is>
          <t>NOUIRAT</t>
        </is>
      </c>
      <c r="E32" s="10" t="inlineStr">
        <is>
          <t>40-21</t>
        </is>
      </c>
      <c r="F32" s="10" t="inlineStr">
        <is>
          <t>Travaux de pistes</t>
        </is>
      </c>
      <c r="G32" s="10" t="inlineStr">
        <is>
          <t>Entretien des pistes agricoles</t>
        </is>
      </c>
      <c r="H32" s="10" t="inlineStr">
        <is>
          <t>Entretien des pistes agricoles</t>
        </is>
      </c>
      <c r="I32" s="11" t="n">
        <v>670000</v>
      </c>
      <c r="J32" s="12" t="inlineStr">
        <is>
          <t>km</t>
        </is>
      </c>
      <c r="K32" s="13" t="n">
        <v>1</v>
      </c>
      <c r="L32" s="51" t="n"/>
      <c r="M32" s="56">
        <f>'S23'!M32+L32</f>
        <v/>
      </c>
      <c r="N32" s="57">
        <f>IFERROR(M32/K32,0)</f>
        <v/>
      </c>
      <c r="O32" s="58">
        <f>'S23'!N32</f>
        <v/>
      </c>
      <c r="P32" s="57">
        <f>N32-O32</f>
        <v/>
      </c>
      <c r="Q32" s="32" t="n"/>
      <c r="R32" s="32" t="n"/>
      <c r="S32" s="32" t="n"/>
      <c r="T32" s="55" t="n"/>
      <c r="U32" s="58">
        <f>'S23'!T32</f>
        <v/>
      </c>
      <c r="V32" s="57">
        <f>T32-U32</f>
        <v/>
      </c>
      <c r="W32" s="57">
        <f>N32-T32</f>
        <v/>
      </c>
      <c r="X32" s="34" t="n"/>
    </row>
    <row r="33" ht="22" customHeight="1">
      <c r="B33" s="5" t="n">
        <v>29</v>
      </c>
      <c r="C33" s="6" t="inlineStr">
        <is>
          <t>Sidi Kacem</t>
        </is>
      </c>
      <c r="D33" s="5" t="inlineStr">
        <is>
          <t>NOUIRAT</t>
        </is>
      </c>
      <c r="E33" s="5" t="inlineStr">
        <is>
          <t>20-11</t>
        </is>
      </c>
      <c r="F33" s="5" t="inlineStr">
        <is>
          <t>Travaux de réhabilitation des équipements</t>
        </is>
      </c>
      <c r="G33" s="5" t="inlineStr">
        <is>
          <t>Travaux de réhabilitation des ouvrages de génie civil</t>
        </is>
      </c>
      <c r="H33" s="5" t="inlineStr">
        <is>
          <t>Réhabilitation de l'ouvrage( genie civil ,gabiollannage,clapet anti retour et buse) de l'ouvrage de débouche SE1</t>
        </is>
      </c>
      <c r="I33" s="7" t="n">
        <v>2500000</v>
      </c>
      <c r="J33" s="8" t="inlineStr">
        <is>
          <t>U</t>
        </is>
      </c>
      <c r="K33" s="9" t="n">
        <v>5</v>
      </c>
      <c r="L33" s="51" t="n"/>
      <c r="M33" s="52">
        <f>'S23'!M33+L33</f>
        <v/>
      </c>
      <c r="N33" s="53">
        <f>IFERROR(M33/K33,0)</f>
        <v/>
      </c>
      <c r="O33" s="54">
        <f>'S23'!N33</f>
        <v/>
      </c>
      <c r="P33" s="53">
        <f>N33-O33</f>
        <v/>
      </c>
      <c r="Q33" s="32" t="n"/>
      <c r="R33" s="32" t="n"/>
      <c r="S33" s="32" t="n"/>
      <c r="T33" s="55" t="n"/>
      <c r="U33" s="54">
        <f>'S23'!T33</f>
        <v/>
      </c>
      <c r="V33" s="53">
        <f>T33-U33</f>
        <v/>
      </c>
      <c r="W33" s="53">
        <f>N33-T33</f>
        <v/>
      </c>
      <c r="X33" s="34" t="n"/>
    </row>
    <row r="34" ht="22" customHeight="1">
      <c r="B34" s="10" t="n">
        <v>30</v>
      </c>
      <c r="C34" s="6" t="inlineStr">
        <is>
          <t>Sidi Kacem</t>
        </is>
      </c>
      <c r="D34" s="10" t="inlineStr">
        <is>
          <t>NOUIRAT</t>
        </is>
      </c>
      <c r="E34" s="10" t="inlineStr">
        <is>
          <t>50-23</t>
        </is>
      </c>
      <c r="F34" s="10" t="inlineStr">
        <is>
          <t>Entretien et réparation du réseau d'assainissement et de drainage</t>
        </is>
      </c>
      <c r="G34" s="10" t="inlineStr">
        <is>
          <t>Curage des prises sur l’oued, bâche d’aspiration et bassin de régulation.</t>
        </is>
      </c>
      <c r="H34" s="10" t="inlineStr">
        <is>
          <t>Curage des prises sur l’oued de la station de pompage E1.
Nettoyage des grilles de préfiltration des boues colmaté de la station de pompage E1.
Curage de la bâche d’aspiration de la station E1.</t>
        </is>
      </c>
      <c r="I34" s="11" t="n">
        <v>800000</v>
      </c>
      <c r="J34" s="12" t="inlineStr">
        <is>
          <t>ml</t>
        </is>
      </c>
      <c r="K34" s="13" t="n">
        <v>267</v>
      </c>
      <c r="L34" s="51" t="n"/>
      <c r="M34" s="56">
        <f>'S23'!M34+L34</f>
        <v/>
      </c>
      <c r="N34" s="57">
        <f>IFERROR(M34/K34,0)</f>
        <v/>
      </c>
      <c r="O34" s="58">
        <f>'S23'!N34</f>
        <v/>
      </c>
      <c r="P34" s="57">
        <f>N34-O34</f>
        <v/>
      </c>
      <c r="Q34" s="32" t="n"/>
      <c r="R34" s="32" t="n"/>
      <c r="S34" s="32" t="n"/>
      <c r="T34" s="55" t="n"/>
      <c r="U34" s="58">
        <f>'S23'!T34</f>
        <v/>
      </c>
      <c r="V34" s="57">
        <f>T34-U34</f>
        <v/>
      </c>
      <c r="W34" s="57">
        <f>N34-T34</f>
        <v/>
      </c>
      <c r="X34" s="34" t="n"/>
    </row>
    <row r="35" ht="22" customHeight="1">
      <c r="B35" s="5" t="n">
        <v>31</v>
      </c>
      <c r="C35" s="6" t="inlineStr">
        <is>
          <t>Sidi Kacem</t>
        </is>
      </c>
      <c r="D35" s="5" t="inlineStr">
        <is>
          <t>NOUIRAT</t>
        </is>
      </c>
      <c r="E35" s="5" t="inlineStr">
        <is>
          <t>50-21</t>
        </is>
      </c>
      <c r="F35" s="5" t="inlineStr">
        <is>
          <t>Entretien et réparation des stations de pompage</t>
        </is>
      </c>
      <c r="G35" s="5" t="inlineStr">
        <is>
          <t>Prestation de maintenance des débitmètres et leurs équipements annexes installés au niveau des station de pompage</t>
        </is>
      </c>
      <c r="H35" s="5" t="inlineStr">
        <is>
          <t>Changement du débitmètre Ø 1200mm inondé de la station de pompage E1.</t>
        </is>
      </c>
      <c r="I35" s="7" t="n">
        <v>195000</v>
      </c>
      <c r="J35" s="8" t="inlineStr">
        <is>
          <t>U</t>
        </is>
      </c>
      <c r="K35" s="9" t="n">
        <v>2</v>
      </c>
      <c r="L35" s="51" t="n"/>
      <c r="M35" s="52">
        <f>'S23'!M35+L35</f>
        <v/>
      </c>
      <c r="N35" s="53">
        <f>IFERROR(M35/K35,0)</f>
        <v/>
      </c>
      <c r="O35" s="54">
        <f>'S23'!N35</f>
        <v/>
      </c>
      <c r="P35" s="53">
        <f>N35-O35</f>
        <v/>
      </c>
      <c r="Q35" s="32" t="n"/>
      <c r="R35" s="32" t="n"/>
      <c r="S35" s="32" t="n"/>
      <c r="T35" s="55" t="n"/>
      <c r="U35" s="54">
        <f>'S23'!T35</f>
        <v/>
      </c>
      <c r="V35" s="53">
        <f>T35-U35</f>
        <v/>
      </c>
      <c r="W35" s="53">
        <f>N35-T35</f>
        <v/>
      </c>
      <c r="X35" s="34" t="n"/>
    </row>
    <row r="36" ht="22" customHeight="1">
      <c r="B36" s="10" t="n">
        <v>32</v>
      </c>
      <c r="C36" s="6" t="inlineStr">
        <is>
          <t>Sidi Kacem</t>
        </is>
      </c>
      <c r="D36" s="10" t="inlineStr">
        <is>
          <t>NOUIRAT</t>
        </is>
      </c>
      <c r="E36" s="10" t="inlineStr">
        <is>
          <t>50-21</t>
        </is>
      </c>
      <c r="F36" s="10" t="inlineStr">
        <is>
          <t>Entretien et réparation des stations de pompage</t>
        </is>
      </c>
      <c r="G36" s="10" t="inlineStr">
        <is>
          <t>Prestations de maintenance des moteurs électriques des stations de pompage.</t>
        </is>
      </c>
      <c r="H36" s="10" t="inlineStr">
        <is>
          <t>Révision des deux moteurs électriques principaux de la station E1.</t>
        </is>
      </c>
      <c r="I36" s="11" t="n">
        <v>50000</v>
      </c>
      <c r="J36" s="12" t="inlineStr">
        <is>
          <t>U</t>
        </is>
      </c>
      <c r="K36" s="13" t="n">
        <v>2</v>
      </c>
      <c r="L36" s="51" t="n"/>
      <c r="M36" s="56">
        <f>'S23'!M36+L36</f>
        <v/>
      </c>
      <c r="N36" s="57">
        <f>IFERROR(M36/K36,0)</f>
        <v/>
      </c>
      <c r="O36" s="58">
        <f>'S23'!N36</f>
        <v/>
      </c>
      <c r="P36" s="57">
        <f>N36-O36</f>
        <v/>
      </c>
      <c r="Q36" s="32" t="n"/>
      <c r="R36" s="32" t="n"/>
      <c r="S36" s="32" t="n"/>
      <c r="T36" s="55" t="n"/>
      <c r="U36" s="58">
        <f>'S23'!T36</f>
        <v/>
      </c>
      <c r="V36" s="57">
        <f>T36-U36</f>
        <v/>
      </c>
      <c r="W36" s="57">
        <f>N36-T36</f>
        <v/>
      </c>
      <c r="X36" s="34" t="n"/>
    </row>
    <row r="37" ht="22" customHeight="1">
      <c r="B37" s="5" t="n">
        <v>33</v>
      </c>
      <c r="C37" s="6" t="inlineStr">
        <is>
          <t>Sidi Kacem</t>
        </is>
      </c>
      <c r="D37" s="5" t="inlineStr">
        <is>
          <t>NOUIRAT</t>
        </is>
      </c>
      <c r="E37" s="5" t="inlineStr">
        <is>
          <t>50-21</t>
        </is>
      </c>
      <c r="F37" s="5" t="inlineStr">
        <is>
          <t>Entretien et réparation des stations de pompage</t>
        </is>
      </c>
      <c r="G37" s="5" t="inlineStr">
        <is>
          <t>Prestations de maintenance et de réparation mécanique des pompes et des groupes motopompes submersibles des stations de pompage.</t>
        </is>
      </c>
      <c r="H37" s="5" t="inlineStr">
        <is>
          <t>Démontage et expertise des cinq pompes principaux et pompes a vide de la station E1.
Changement des roulements, tresses et organes d’effectués de la station E1.</t>
        </is>
      </c>
      <c r="I37" s="7" t="n">
        <v>245000</v>
      </c>
      <c r="J37" s="8" t="inlineStr">
        <is>
          <t>U</t>
        </is>
      </c>
      <c r="K37" s="9" t="n">
        <v>5</v>
      </c>
      <c r="L37" s="51" t="n"/>
      <c r="M37" s="52">
        <f>'S23'!M37+L37</f>
        <v/>
      </c>
      <c r="N37" s="53">
        <f>IFERROR(M37/K37,0)</f>
        <v/>
      </c>
      <c r="O37" s="54">
        <f>'S23'!N37</f>
        <v/>
      </c>
      <c r="P37" s="53">
        <f>N37-O37</f>
        <v/>
      </c>
      <c r="Q37" s="32" t="n"/>
      <c r="R37" s="32" t="n"/>
      <c r="S37" s="32" t="n"/>
      <c r="T37" s="55" t="n"/>
      <c r="U37" s="54">
        <f>'S23'!T37</f>
        <v/>
      </c>
      <c r="V37" s="53">
        <f>T37-U37</f>
        <v/>
      </c>
      <c r="W37" s="53">
        <f>N37-T37</f>
        <v/>
      </c>
      <c r="X37" s="34" t="n"/>
    </row>
    <row r="38" ht="22" customHeight="1">
      <c r="B38" s="10" t="n">
        <v>34</v>
      </c>
      <c r="C38" s="6" t="inlineStr">
        <is>
          <t>Sidi Kacem</t>
        </is>
      </c>
      <c r="D38" s="10" t="inlineStr">
        <is>
          <t>NOUIRAT</t>
        </is>
      </c>
      <c r="E38" s="10" t="inlineStr">
        <is>
          <t>50-21</t>
        </is>
      </c>
      <c r="F38" s="10" t="inlineStr">
        <is>
          <t>Entretien et réparation des stations de pompage</t>
        </is>
      </c>
      <c r="G38" s="10" t="inlineStr">
        <is>
          <t>Génie civile des locaux des stations de pompage.</t>
        </is>
      </c>
      <c r="H38" s="10" t="inlineStr">
        <is>
          <t>Expertise d’état et d’étanchéité des locaux pompes, commande, puissance de la station de pompage E1.
Renforcement d’étanchéité des locaux pompe sous niveau des oueds de la station de pompage E1.</t>
        </is>
      </c>
      <c r="I38" s="11" t="n">
        <v>1000000</v>
      </c>
      <c r="J38" s="12" t="inlineStr">
        <is>
          <t>U</t>
        </is>
      </c>
      <c r="K38" s="13" t="n">
        <v>1</v>
      </c>
      <c r="L38" s="51" t="n"/>
      <c r="M38" s="56">
        <f>'S23'!M38+L38</f>
        <v/>
      </c>
      <c r="N38" s="57">
        <f>IFERROR(M38/K38,0)</f>
        <v/>
      </c>
      <c r="O38" s="58">
        <f>'S23'!N38</f>
        <v/>
      </c>
      <c r="P38" s="57">
        <f>N38-O38</f>
        <v/>
      </c>
      <c r="Q38" s="32" t="n"/>
      <c r="R38" s="32" t="n"/>
      <c r="S38" s="32" t="n"/>
      <c r="T38" s="55" t="n"/>
      <c r="U38" s="58">
        <f>'S23'!T38</f>
        <v/>
      </c>
      <c r="V38" s="57">
        <f>T38-U38</f>
        <v/>
      </c>
      <c r="W38" s="57">
        <f>N38-T38</f>
        <v/>
      </c>
      <c r="X38" s="34" t="n"/>
    </row>
    <row r="39" ht="22" customHeight="1">
      <c r="B39" s="5" t="n">
        <v>35</v>
      </c>
      <c r="C39" s="6" t="inlineStr">
        <is>
          <t>Sidi Kacem</t>
        </is>
      </c>
      <c r="D39" s="5" t="inlineStr">
        <is>
          <t>RMILAT</t>
        </is>
      </c>
      <c r="E39" s="5" t="inlineStr">
        <is>
          <t>50-23</t>
        </is>
      </c>
      <c r="F39" s="5" t="inlineStr">
        <is>
          <t>Entretien et réparation du réseau d'assainissement et de drainage</t>
        </is>
      </c>
      <c r="G39" s="5" t="inlineStr">
        <is>
          <t>Travaux de curage des canaux en terre</t>
        </is>
      </c>
      <c r="H39" s="5" t="inlineStr">
        <is>
          <t>Curage des collecteurs d'assainissement des secteurs P7</t>
        </is>
      </c>
      <c r="I39" s="7" t="n">
        <v>5024032</v>
      </c>
      <c r="J39" s="8" t="inlineStr">
        <is>
          <t>ml</t>
        </is>
      </c>
      <c r="K39" s="9" t="n">
        <v>2512</v>
      </c>
      <c r="L39" s="51" t="n"/>
      <c r="M39" s="52">
        <f>'S23'!M39+L39</f>
        <v/>
      </c>
      <c r="N39" s="53">
        <f>IFERROR(M39/K39,0)</f>
        <v/>
      </c>
      <c r="O39" s="54">
        <f>'S23'!N39</f>
        <v/>
      </c>
      <c r="P39" s="53">
        <f>N39-O39</f>
        <v/>
      </c>
      <c r="Q39" s="32" t="n"/>
      <c r="R39" s="32" t="n"/>
      <c r="S39" s="32" t="n"/>
      <c r="T39" s="55" t="n"/>
      <c r="U39" s="54">
        <f>'S23'!T39</f>
        <v/>
      </c>
      <c r="V39" s="53">
        <f>T39-U39</f>
        <v/>
      </c>
      <c r="W39" s="53">
        <f>N39-T39</f>
        <v/>
      </c>
      <c r="X39" s="34" t="n"/>
    </row>
    <row r="40" ht="22" customHeight="1">
      <c r="B40" s="10" t="n">
        <v>36</v>
      </c>
      <c r="C40" s="6" t="inlineStr">
        <is>
          <t>Sidi Kacem</t>
        </is>
      </c>
      <c r="D40" s="10" t="inlineStr">
        <is>
          <t>RMILAT</t>
        </is>
      </c>
      <c r="E40" s="10" t="inlineStr">
        <is>
          <t>40-21</t>
        </is>
      </c>
      <c r="F40" s="10" t="inlineStr">
        <is>
          <t>Travaux de pistes</t>
        </is>
      </c>
      <c r="G40" s="10" t="inlineStr">
        <is>
          <t>Entretien des pistes agricoles</t>
        </is>
      </c>
      <c r="H40" s="10" t="inlineStr">
        <is>
          <t>Entretien des pistes agricoles</t>
        </is>
      </c>
      <c r="I40" s="11" t="n">
        <v>400000</v>
      </c>
      <c r="J40" s="12" t="inlineStr">
        <is>
          <t>km</t>
        </is>
      </c>
      <c r="K40" s="13" t="n">
        <v>1</v>
      </c>
      <c r="L40" s="51" t="n"/>
      <c r="M40" s="56">
        <f>'S23'!M40+L40</f>
        <v/>
      </c>
      <c r="N40" s="57">
        <f>IFERROR(M40/K40,0)</f>
        <v/>
      </c>
      <c r="O40" s="58">
        <f>'S23'!N40</f>
        <v/>
      </c>
      <c r="P40" s="57">
        <f>N40-O40</f>
        <v/>
      </c>
      <c r="Q40" s="32" t="n"/>
      <c r="R40" s="32" t="n"/>
      <c r="S40" s="32" t="n"/>
      <c r="T40" s="55" t="n"/>
      <c r="U40" s="58">
        <f>'S23'!T40</f>
        <v/>
      </c>
      <c r="V40" s="57">
        <f>T40-U40</f>
        <v/>
      </c>
      <c r="W40" s="57">
        <f>N40-T40</f>
        <v/>
      </c>
      <c r="X40" s="34" t="n"/>
    </row>
    <row r="41" ht="22" customHeight="1">
      <c r="B41" s="5" t="n">
        <v>37</v>
      </c>
      <c r="C41" s="6" t="inlineStr">
        <is>
          <t>Sidi Kacem</t>
        </is>
      </c>
      <c r="D41" s="5" t="inlineStr">
        <is>
          <t>SAFSAF</t>
        </is>
      </c>
      <c r="E41" s="5" t="inlineStr">
        <is>
          <t>50-23</t>
        </is>
      </c>
      <c r="F41" s="5" t="inlineStr">
        <is>
          <t>Entretien et réparation du réseau d'assainissement et de drainage</t>
        </is>
      </c>
      <c r="G41" s="5" t="inlineStr">
        <is>
          <t>Travaux de curage des canaux en terre</t>
        </is>
      </c>
      <c r="H41" s="5" t="inlineStr">
        <is>
          <t>Curage des collecteurs d'assainissement des secteurs S7, S9 et S11</t>
        </is>
      </c>
      <c r="I41" s="7" t="n">
        <v>6000000</v>
      </c>
      <c r="J41" s="8" t="inlineStr">
        <is>
          <t>ml</t>
        </is>
      </c>
      <c r="K41" s="9" t="n">
        <v>3000</v>
      </c>
      <c r="L41" s="51" t="n"/>
      <c r="M41" s="52">
        <f>'S23'!M41+L41</f>
        <v/>
      </c>
      <c r="N41" s="53">
        <f>IFERROR(M41/K41,0)</f>
        <v/>
      </c>
      <c r="O41" s="54">
        <f>'S23'!N41</f>
        <v/>
      </c>
      <c r="P41" s="53">
        <f>N41-O41</f>
        <v/>
      </c>
      <c r="Q41" s="32" t="n"/>
      <c r="R41" s="32" t="n"/>
      <c r="S41" s="32" t="n"/>
      <c r="T41" s="55" t="n"/>
      <c r="U41" s="54">
        <f>'S23'!T41</f>
        <v/>
      </c>
      <c r="V41" s="53">
        <f>T41-U41</f>
        <v/>
      </c>
      <c r="W41" s="53">
        <f>N41-T41</f>
        <v/>
      </c>
      <c r="X41" s="34" t="n"/>
    </row>
    <row r="42" ht="22" customHeight="1">
      <c r="B42" s="10" t="n">
        <v>38</v>
      </c>
      <c r="C42" s="6" t="inlineStr">
        <is>
          <t>Sidi Kacem</t>
        </is>
      </c>
      <c r="D42" s="10" t="inlineStr">
        <is>
          <t>SAFSAF</t>
        </is>
      </c>
      <c r="E42" s="10" t="inlineStr">
        <is>
          <t>20-11</t>
        </is>
      </c>
      <c r="F42" s="10" t="inlineStr">
        <is>
          <t>Travaux de réhabilitation des équipements</t>
        </is>
      </c>
      <c r="G42" s="10" t="inlineStr">
        <is>
          <t>Travaux de réhabilitation des canaux portés d'irrigation</t>
        </is>
      </c>
      <c r="H42" s="10" t="inlineStr">
        <is>
          <t>Fourniture et  pose de canaux porté et accessoires du réseau S4 du secteur S11</t>
        </is>
      </c>
      <c r="I42" s="11" t="n">
        <v>232266</v>
      </c>
      <c r="J42" s="12" t="inlineStr">
        <is>
          <t>ml</t>
        </is>
      </c>
      <c r="K42" s="13" t="n">
        <v>77</v>
      </c>
      <c r="L42" s="51" t="n"/>
      <c r="M42" s="56">
        <f>'S23'!M42+L42</f>
        <v/>
      </c>
      <c r="N42" s="57">
        <f>IFERROR(M42/K42,0)</f>
        <v/>
      </c>
      <c r="O42" s="58">
        <f>'S23'!N42</f>
        <v/>
      </c>
      <c r="P42" s="57">
        <f>N42-O42</f>
        <v/>
      </c>
      <c r="Q42" s="32" t="n"/>
      <c r="R42" s="32" t="n"/>
      <c r="S42" s="32" t="n"/>
      <c r="T42" s="55" t="n"/>
      <c r="U42" s="58">
        <f>'S23'!T42</f>
        <v/>
      </c>
      <c r="V42" s="57">
        <f>T42-U42</f>
        <v/>
      </c>
      <c r="W42" s="57">
        <f>N42-T42</f>
        <v/>
      </c>
      <c r="X42" s="34" t="n"/>
    </row>
    <row r="43" ht="22" customHeight="1">
      <c r="B43" s="5" t="n">
        <v>39</v>
      </c>
      <c r="C43" s="6" t="inlineStr">
        <is>
          <t>Sidi Kacem</t>
        </is>
      </c>
      <c r="D43" s="5" t="inlineStr">
        <is>
          <t>SAFSAF</t>
        </is>
      </c>
      <c r="E43" s="5" t="inlineStr">
        <is>
          <t>20-11</t>
        </is>
      </c>
      <c r="F43" s="5" t="inlineStr">
        <is>
          <t>Travaux de réhabilitation des équipements</t>
        </is>
      </c>
      <c r="G43" s="5" t="inlineStr"/>
      <c r="H43" s="5" t="inlineStr">
        <is>
          <t>Recalage des canaux portés du réseau T5S5 du secteur S9</t>
        </is>
      </c>
      <c r="I43" s="7" t="n">
        <v>1055025</v>
      </c>
      <c r="J43" s="8" t="inlineStr">
        <is>
          <t>ml</t>
        </is>
      </c>
      <c r="K43" s="9" t="n">
        <v>352</v>
      </c>
      <c r="L43" s="51" t="n"/>
      <c r="M43" s="52">
        <f>'S23'!M43+L43</f>
        <v/>
      </c>
      <c r="N43" s="53">
        <f>IFERROR(M43/K43,0)</f>
        <v/>
      </c>
      <c r="O43" s="54">
        <f>'S23'!N43</f>
        <v/>
      </c>
      <c r="P43" s="53">
        <f>N43-O43</f>
        <v/>
      </c>
      <c r="Q43" s="32" t="n"/>
      <c r="R43" s="32" t="n"/>
      <c r="S43" s="32" t="n"/>
      <c r="T43" s="55" t="n"/>
      <c r="U43" s="54">
        <f>'S23'!T43</f>
        <v/>
      </c>
      <c r="V43" s="53">
        <f>T43-U43</f>
        <v/>
      </c>
      <c r="W43" s="53">
        <f>N43-T43</f>
        <v/>
      </c>
      <c r="X43" s="34" t="n"/>
    </row>
    <row r="44" ht="22" customHeight="1">
      <c r="B44" s="10" t="n">
        <v>40</v>
      </c>
      <c r="C44" s="6" t="inlineStr">
        <is>
          <t>Sidi Kacem</t>
        </is>
      </c>
      <c r="D44" s="10" t="inlineStr">
        <is>
          <t>SAFSAF</t>
        </is>
      </c>
      <c r="E44" s="10" t="inlineStr">
        <is>
          <t>20-11</t>
        </is>
      </c>
      <c r="F44" s="10" t="inlineStr">
        <is>
          <t>Travaux de réhabilitation des équipements</t>
        </is>
      </c>
      <c r="G44" s="10" t="inlineStr"/>
      <c r="H44" s="10" t="inlineStr">
        <is>
          <t>Recalage des canaux portés du réseau T7S5 du secteur S9</t>
        </is>
      </c>
      <c r="I44" s="11" t="n">
        <v>1004535</v>
      </c>
      <c r="J44" s="12" t="inlineStr">
        <is>
          <t>ml</t>
        </is>
      </c>
      <c r="K44" s="13" t="n">
        <v>335</v>
      </c>
      <c r="L44" s="51" t="n"/>
      <c r="M44" s="56">
        <f>'S23'!M44+L44</f>
        <v/>
      </c>
      <c r="N44" s="57">
        <f>IFERROR(M44/K44,0)</f>
        <v/>
      </c>
      <c r="O44" s="58">
        <f>'S23'!N44</f>
        <v/>
      </c>
      <c r="P44" s="57">
        <f>N44-O44</f>
        <v/>
      </c>
      <c r="Q44" s="32" t="n"/>
      <c r="R44" s="32" t="n"/>
      <c r="S44" s="32" t="n"/>
      <c r="T44" s="55" t="n"/>
      <c r="U44" s="58">
        <f>'S23'!T44</f>
        <v/>
      </c>
      <c r="V44" s="57">
        <f>T44-U44</f>
        <v/>
      </c>
      <c r="W44" s="57">
        <f>N44-T44</f>
        <v/>
      </c>
      <c r="X44" s="34" t="n"/>
    </row>
    <row r="45" ht="22" customHeight="1">
      <c r="B45" s="5" t="n">
        <v>41</v>
      </c>
      <c r="C45" s="6" t="inlineStr">
        <is>
          <t>Sidi Kacem</t>
        </is>
      </c>
      <c r="D45" s="5" t="inlineStr">
        <is>
          <t>SAFSAF</t>
        </is>
      </c>
      <c r="E45" s="5" t="inlineStr">
        <is>
          <t>20-11</t>
        </is>
      </c>
      <c r="F45" s="5" t="inlineStr">
        <is>
          <t>Travaux de réhabilitation des équipements</t>
        </is>
      </c>
      <c r="G45" s="5" t="inlineStr"/>
      <c r="H45" s="5" t="inlineStr">
        <is>
          <t>Recalage des canaux portés du réseau T2S5 du secteur S9</t>
        </is>
      </c>
      <c r="I45" s="7" t="n">
        <v>793830</v>
      </c>
      <c r="J45" s="8" t="inlineStr">
        <is>
          <t>ml</t>
        </is>
      </c>
      <c r="K45" s="9" t="n">
        <v>265</v>
      </c>
      <c r="L45" s="51" t="n"/>
      <c r="M45" s="52">
        <f>'S23'!M45+L45</f>
        <v/>
      </c>
      <c r="N45" s="53">
        <f>IFERROR(M45/K45,0)</f>
        <v/>
      </c>
      <c r="O45" s="54">
        <f>'S23'!N45</f>
        <v/>
      </c>
      <c r="P45" s="53">
        <f>N45-O45</f>
        <v/>
      </c>
      <c r="Q45" s="32" t="n"/>
      <c r="R45" s="32" t="n"/>
      <c r="S45" s="32" t="n"/>
      <c r="T45" s="55" t="n"/>
      <c r="U45" s="54">
        <f>'S23'!T45</f>
        <v/>
      </c>
      <c r="V45" s="53">
        <f>T45-U45</f>
        <v/>
      </c>
      <c r="W45" s="53">
        <f>N45-T45</f>
        <v/>
      </c>
      <c r="X45" s="34" t="n"/>
    </row>
    <row r="46" ht="22" customHeight="1">
      <c r="B46" s="10" t="n">
        <v>42</v>
      </c>
      <c r="C46" s="6" t="inlineStr">
        <is>
          <t>Sidi Kacem</t>
        </is>
      </c>
      <c r="D46" s="10" t="inlineStr">
        <is>
          <t>SAFSAF</t>
        </is>
      </c>
      <c r="E46" s="10" t="inlineStr">
        <is>
          <t>40-21</t>
        </is>
      </c>
      <c r="F46" s="10" t="inlineStr">
        <is>
          <t>Travaux de pistes</t>
        </is>
      </c>
      <c r="G46" s="10" t="inlineStr">
        <is>
          <t>Entretien des pistes agricoles</t>
        </is>
      </c>
      <c r="H46" s="10" t="inlineStr">
        <is>
          <t>Entretien des pistes agricoles</t>
        </is>
      </c>
      <c r="I46" s="11" t="n">
        <v>2000000</v>
      </c>
      <c r="J46" s="12" t="inlineStr">
        <is>
          <t>km</t>
        </is>
      </c>
      <c r="K46" s="13" t="n">
        <v>4</v>
      </c>
      <c r="L46" s="51" t="n"/>
      <c r="M46" s="56">
        <f>'S23'!M46+L46</f>
        <v/>
      </c>
      <c r="N46" s="57">
        <f>IFERROR(M46/K46,0)</f>
        <v/>
      </c>
      <c r="O46" s="58">
        <f>'S23'!N46</f>
        <v/>
      </c>
      <c r="P46" s="57">
        <f>N46-O46</f>
        <v/>
      </c>
      <c r="Q46" s="32" t="n"/>
      <c r="R46" s="32" t="n"/>
      <c r="S46" s="32" t="n"/>
      <c r="T46" s="55" t="n"/>
      <c r="U46" s="58">
        <f>'S23'!T46</f>
        <v/>
      </c>
      <c r="V46" s="57">
        <f>T46-U46</f>
        <v/>
      </c>
      <c r="W46" s="57">
        <f>N46-T46</f>
        <v/>
      </c>
      <c r="X46" s="34" t="n"/>
    </row>
    <row r="47" ht="22" customHeight="1">
      <c r="B47" s="5" t="n">
        <v>43</v>
      </c>
      <c r="C47" s="6" t="inlineStr">
        <is>
          <t>Sidi Kacem</t>
        </is>
      </c>
      <c r="D47" s="5" t="inlineStr">
        <is>
          <t>SAFSAF</t>
        </is>
      </c>
      <c r="E47" s="5" t="inlineStr">
        <is>
          <t>50-23</t>
        </is>
      </c>
      <c r="F47" s="5" t="inlineStr">
        <is>
          <t>Entretien et réparation du réseau d'assainissement et de drainage</t>
        </is>
      </c>
      <c r="G47" s="5" t="inlineStr">
        <is>
          <t>Curage des prises sur l’oued, bâche d’aspiration et bassin de régulation.</t>
        </is>
      </c>
      <c r="H47" s="5" t="inlineStr">
        <is>
          <t>Curage des prises sur l’oued des stations de pompage S11, S9, 7D et 7B.
Nettoyage des grilles de préfiltration des boues colmaté des stations de pompage S11, S9, 7D et 7B.
Nettoyage des crépines des boues colmaté de station pompage 7D.
Curage des dalots et bâche d’aspiration des stations de pompage S11, S9, 7B.</t>
        </is>
      </c>
      <c r="I47" s="7" t="n">
        <v>200000</v>
      </c>
      <c r="J47" s="8" t="inlineStr">
        <is>
          <t>ml</t>
        </is>
      </c>
      <c r="K47" s="9" t="n">
        <v>67</v>
      </c>
      <c r="L47" s="51" t="n"/>
      <c r="M47" s="52">
        <f>'S23'!M47+L47</f>
        <v/>
      </c>
      <c r="N47" s="53">
        <f>IFERROR(M47/K47,0)</f>
        <v/>
      </c>
      <c r="O47" s="54">
        <f>'S23'!N47</f>
        <v/>
      </c>
      <c r="P47" s="53">
        <f>N47-O47</f>
        <v/>
      </c>
      <c r="Q47" s="32" t="n"/>
      <c r="R47" s="32" t="n"/>
      <c r="S47" s="32" t="n"/>
      <c r="T47" s="55" t="n"/>
      <c r="U47" s="54">
        <f>'S23'!T47</f>
        <v/>
      </c>
      <c r="V47" s="53">
        <f>T47-U47</f>
        <v/>
      </c>
      <c r="W47" s="53">
        <f>N47-T47</f>
        <v/>
      </c>
      <c r="X47" s="34" t="n"/>
    </row>
    <row r="48" ht="22" customHeight="1">
      <c r="B48" s="10" t="n">
        <v>44</v>
      </c>
      <c r="C48" s="6" t="inlineStr">
        <is>
          <t>Sidi Kacem</t>
        </is>
      </c>
      <c r="D48" s="10" t="inlineStr">
        <is>
          <t>SAFSAF</t>
        </is>
      </c>
      <c r="E48" s="10" t="inlineStr">
        <is>
          <t>50-21</t>
        </is>
      </c>
      <c r="F48" s="10" t="inlineStr">
        <is>
          <t>Entretien et réparation des stations de pompage</t>
        </is>
      </c>
      <c r="G48" s="10" t="inlineStr">
        <is>
          <t>Prestation de maintenance des débitmètres et leurs équipements annexes installés au niveau des station de pompage</t>
        </is>
      </c>
      <c r="H48" s="10" t="inlineStr">
        <is>
          <t>Changements Sept des débitmètres Ø 600mm inondé des deux stations de pompage S11 et S9.</t>
        </is>
      </c>
      <c r="I48" s="11" t="n">
        <v>580000</v>
      </c>
      <c r="J48" s="12" t="inlineStr">
        <is>
          <t>U</t>
        </is>
      </c>
      <c r="K48" s="13" t="n">
        <v>7</v>
      </c>
      <c r="L48" s="51" t="n"/>
      <c r="M48" s="56">
        <f>'S23'!M48+L48</f>
        <v/>
      </c>
      <c r="N48" s="57">
        <f>IFERROR(M48/K48,0)</f>
        <v/>
      </c>
      <c r="O48" s="58">
        <f>'S23'!N48</f>
        <v/>
      </c>
      <c r="P48" s="57">
        <f>N48-O48</f>
        <v/>
      </c>
      <c r="Q48" s="32" t="n"/>
      <c r="R48" s="32" t="n"/>
      <c r="S48" s="32" t="n"/>
      <c r="T48" s="55" t="n"/>
      <c r="U48" s="58">
        <f>'S23'!T48</f>
        <v/>
      </c>
      <c r="V48" s="57">
        <f>T48-U48</f>
        <v/>
      </c>
      <c r="W48" s="57">
        <f>N48-T48</f>
        <v/>
      </c>
      <c r="X48" s="34" t="n"/>
    </row>
    <row r="49" ht="22" customHeight="1">
      <c r="B49" s="5" t="n">
        <v>45</v>
      </c>
      <c r="C49" s="6" t="inlineStr">
        <is>
          <t>Sidi Kacem</t>
        </is>
      </c>
      <c r="D49" s="5" t="inlineStr">
        <is>
          <t>SAFSAF</t>
        </is>
      </c>
      <c r="E49" s="5" t="inlineStr">
        <is>
          <t>50-21</t>
        </is>
      </c>
      <c r="F49" s="5" t="inlineStr">
        <is>
          <t>Entretien et réparation des stations de pompage</t>
        </is>
      </c>
      <c r="G49" s="5" t="inlineStr">
        <is>
          <t>Stabilisation Berge oued</t>
        </is>
      </c>
      <c r="H49" s="5" t="inlineStr">
        <is>
          <t>Pose de murs en gabions et recouvrement du talus par matelas Reno des stations de pompage S11, S9, 7D et 7B .</t>
        </is>
      </c>
      <c r="I49" s="7" t="n">
        <v>4000000</v>
      </c>
      <c r="J49" s="8" t="inlineStr">
        <is>
          <t>m³</t>
        </is>
      </c>
      <c r="K49" s="9" t="n">
        <v>2667</v>
      </c>
      <c r="L49" s="51" t="n"/>
      <c r="M49" s="52">
        <f>'S23'!M49+L49</f>
        <v/>
      </c>
      <c r="N49" s="53">
        <f>IFERROR(M49/K49,0)</f>
        <v/>
      </c>
      <c r="O49" s="54">
        <f>'S23'!N49</f>
        <v/>
      </c>
      <c r="P49" s="53">
        <f>N49-O49</f>
        <v/>
      </c>
      <c r="Q49" s="32" t="n"/>
      <c r="R49" s="32" t="n"/>
      <c r="S49" s="32" t="n"/>
      <c r="T49" s="55" t="n"/>
      <c r="U49" s="54">
        <f>'S23'!T49</f>
        <v/>
      </c>
      <c r="V49" s="53">
        <f>T49-U49</f>
        <v/>
      </c>
      <c r="W49" s="53">
        <f>N49-T49</f>
        <v/>
      </c>
      <c r="X49" s="34" t="n"/>
    </row>
    <row r="50" ht="22" customHeight="1">
      <c r="B50" s="10" t="n">
        <v>46</v>
      </c>
      <c r="C50" s="6" t="inlineStr">
        <is>
          <t>Sidi Kacem</t>
        </is>
      </c>
      <c r="D50" s="10" t="inlineStr">
        <is>
          <t>SIDI AZZOUZ</t>
        </is>
      </c>
      <c r="E50" s="10" t="inlineStr">
        <is>
          <t>40-21</t>
        </is>
      </c>
      <c r="F50" s="10" t="inlineStr">
        <is>
          <t>Travaux de pistes</t>
        </is>
      </c>
      <c r="G50" s="10" t="inlineStr">
        <is>
          <t>Entretien des pistes agricoles</t>
        </is>
      </c>
      <c r="H50" s="10" t="inlineStr">
        <is>
          <t>Entretien des pistes agricoles</t>
        </is>
      </c>
      <c r="I50" s="11" t="n">
        <v>655000</v>
      </c>
      <c r="J50" s="12" t="inlineStr">
        <is>
          <t>km</t>
        </is>
      </c>
      <c r="K50" s="13" t="n">
        <v>1</v>
      </c>
      <c r="L50" s="51" t="n"/>
      <c r="M50" s="56">
        <f>'S23'!M50+L50</f>
        <v/>
      </c>
      <c r="N50" s="57">
        <f>IFERROR(M50/K50,0)</f>
        <v/>
      </c>
      <c r="O50" s="58">
        <f>'S23'!N50</f>
        <v/>
      </c>
      <c r="P50" s="57">
        <f>N50-O50</f>
        <v/>
      </c>
      <c r="Q50" s="32" t="n"/>
      <c r="R50" s="32" t="n"/>
      <c r="S50" s="32" t="n"/>
      <c r="T50" s="55" t="n"/>
      <c r="U50" s="58">
        <f>'S23'!T50</f>
        <v/>
      </c>
      <c r="V50" s="57">
        <f>T50-U50</f>
        <v/>
      </c>
      <c r="W50" s="57">
        <f>N50-T50</f>
        <v/>
      </c>
      <c r="X50" s="34" t="n"/>
    </row>
    <row r="51" ht="22" customHeight="1">
      <c r="B51" s="5" t="n">
        <v>47</v>
      </c>
      <c r="C51" s="6" t="inlineStr">
        <is>
          <t>Sidi Kacem</t>
        </is>
      </c>
      <c r="D51" s="5" t="inlineStr">
        <is>
          <t>SIDI EL KAMEL</t>
        </is>
      </c>
      <c r="E51" s="5" t="inlineStr">
        <is>
          <t>20-11</t>
        </is>
      </c>
      <c r="F51" s="5" t="inlineStr">
        <is>
          <t>Travaux de réhabilitation des équipements</t>
        </is>
      </c>
      <c r="G51" s="5" t="inlineStr">
        <is>
          <t>Travaux de réhabilitation des canaux portés d'irrigation</t>
        </is>
      </c>
      <c r="H51" s="5" t="inlineStr">
        <is>
          <t>Fourniture et de pose de canaux porté et accessoires du réseau SR4 du secteur S3R</t>
        </is>
      </c>
      <c r="I51" s="7" t="n">
        <v>5182920</v>
      </c>
      <c r="J51" s="8" t="inlineStr">
        <is>
          <t>ml</t>
        </is>
      </c>
      <c r="K51" s="9" t="n">
        <v>1728</v>
      </c>
      <c r="L51" s="51" t="n"/>
      <c r="M51" s="52">
        <f>'S23'!M51+L51</f>
        <v/>
      </c>
      <c r="N51" s="53">
        <f>IFERROR(M51/K51,0)</f>
        <v/>
      </c>
      <c r="O51" s="54">
        <f>'S23'!N51</f>
        <v/>
      </c>
      <c r="P51" s="53">
        <f>N51-O51</f>
        <v/>
      </c>
      <c r="Q51" s="32" t="n"/>
      <c r="R51" s="32" t="n"/>
      <c r="S51" s="32" t="n"/>
      <c r="T51" s="55" t="n"/>
      <c r="U51" s="54">
        <f>'S23'!T51</f>
        <v/>
      </c>
      <c r="V51" s="53">
        <f>T51-U51</f>
        <v/>
      </c>
      <c r="W51" s="53">
        <f>N51-T51</f>
        <v/>
      </c>
      <c r="X51" s="34" t="n"/>
    </row>
    <row r="52" ht="22" customHeight="1">
      <c r="B52" s="10" t="n">
        <v>48</v>
      </c>
      <c r="C52" s="6" t="inlineStr">
        <is>
          <t>Sidi Kacem</t>
        </is>
      </c>
      <c r="D52" s="10" t="inlineStr">
        <is>
          <t>SIDI EL KAMEL</t>
        </is>
      </c>
      <c r="E52" s="10" t="inlineStr">
        <is>
          <t>20-11</t>
        </is>
      </c>
      <c r="F52" s="10" t="inlineStr">
        <is>
          <t>Travaux de réhabilitation des équipements</t>
        </is>
      </c>
      <c r="G52" s="10" t="inlineStr"/>
      <c r="H52" s="10" t="inlineStr">
        <is>
          <t>Fourniture et de pose de canaux porté et accessoires du réseau SR6 du secteur S1RIZ</t>
        </is>
      </c>
      <c r="I52" s="11" t="n">
        <v>152818</v>
      </c>
      <c r="J52" s="12" t="inlineStr">
        <is>
          <t>ml</t>
        </is>
      </c>
      <c r="K52" s="13" t="n">
        <v>51</v>
      </c>
      <c r="L52" s="51" t="n"/>
      <c r="M52" s="56">
        <f>'S23'!M52+L52</f>
        <v/>
      </c>
      <c r="N52" s="57">
        <f>IFERROR(M52/K52,0)</f>
        <v/>
      </c>
      <c r="O52" s="58">
        <f>'S23'!N52</f>
        <v/>
      </c>
      <c r="P52" s="57">
        <f>N52-O52</f>
        <v/>
      </c>
      <c r="Q52" s="32" t="n"/>
      <c r="R52" s="32" t="n"/>
      <c r="S52" s="32" t="n"/>
      <c r="T52" s="55" t="n"/>
      <c r="U52" s="58">
        <f>'S23'!T52</f>
        <v/>
      </c>
      <c r="V52" s="57">
        <f>T52-U52</f>
        <v/>
      </c>
      <c r="W52" s="57">
        <f>N52-T52</f>
        <v/>
      </c>
      <c r="X52" s="34" t="n"/>
    </row>
    <row r="53" ht="22" customHeight="1">
      <c r="B53" s="5" t="n">
        <v>49</v>
      </c>
      <c r="C53" s="6" t="inlineStr">
        <is>
          <t>Sidi Kacem</t>
        </is>
      </c>
      <c r="D53" s="5" t="inlineStr">
        <is>
          <t>SIDI EL KAMEL</t>
        </is>
      </c>
      <c r="E53" s="5" t="inlineStr">
        <is>
          <t>20-11</t>
        </is>
      </c>
      <c r="F53" s="5" t="inlineStr">
        <is>
          <t>Travaux de réhabilitation des équipements</t>
        </is>
      </c>
      <c r="G53" s="5" t="inlineStr"/>
      <c r="H53" s="5" t="inlineStr">
        <is>
          <t>Recalage des canaux portés du réseau SR4 du secteur S3R</t>
        </is>
      </c>
      <c r="I53" s="7" t="n">
        <v>1418000</v>
      </c>
      <c r="J53" s="8" t="inlineStr">
        <is>
          <t>ml</t>
        </is>
      </c>
      <c r="K53" s="9" t="n">
        <v>473</v>
      </c>
      <c r="L53" s="51" t="n"/>
      <c r="M53" s="52">
        <f>'S23'!M53+L53</f>
        <v/>
      </c>
      <c r="N53" s="53">
        <f>IFERROR(M53/K53,0)</f>
        <v/>
      </c>
      <c r="O53" s="54">
        <f>'S23'!N53</f>
        <v/>
      </c>
      <c r="P53" s="53">
        <f>N53-O53</f>
        <v/>
      </c>
      <c r="Q53" s="32" t="n"/>
      <c r="R53" s="32" t="n"/>
      <c r="S53" s="32" t="n"/>
      <c r="T53" s="55" t="n"/>
      <c r="U53" s="54">
        <f>'S23'!T53</f>
        <v/>
      </c>
      <c r="V53" s="53">
        <f>T53-U53</f>
        <v/>
      </c>
      <c r="W53" s="53">
        <f>N53-T53</f>
        <v/>
      </c>
      <c r="X53" s="34" t="n"/>
    </row>
    <row r="54" ht="22" customHeight="1">
      <c r="B54" s="10" t="n">
        <v>50</v>
      </c>
      <c r="C54" s="6" t="inlineStr">
        <is>
          <t>Sidi Kacem</t>
        </is>
      </c>
      <c r="D54" s="10" t="inlineStr">
        <is>
          <t>SIDI EL KAMEL</t>
        </is>
      </c>
      <c r="E54" s="10" t="inlineStr">
        <is>
          <t>20-11</t>
        </is>
      </c>
      <c r="F54" s="10" t="inlineStr">
        <is>
          <t>Travaux de réhabilitation des équipements</t>
        </is>
      </c>
      <c r="G54" s="10" t="inlineStr">
        <is>
          <t>Travaux de réhabilitation des ouvrages de génie civil</t>
        </is>
      </c>
      <c r="H54" s="10" t="inlineStr">
        <is>
          <t>Réhabilitation des murs de soutènements des ouvrages de franchissements du canal d'assainissement CS3 secteur S3 et de l’ouvrage de franchissement du canal primaire d’irrigation du secteur S1R au niveau de la route provinciale P4234</t>
        </is>
      </c>
      <c r="I54" s="11" t="n">
        <v>800000</v>
      </c>
      <c r="J54" s="12" t="inlineStr">
        <is>
          <t>ml</t>
        </is>
      </c>
      <c r="K54" s="13" t="n">
        <v>400</v>
      </c>
      <c r="L54" s="51" t="n"/>
      <c r="M54" s="56">
        <f>'S23'!M54+L54</f>
        <v/>
      </c>
      <c r="N54" s="57">
        <f>IFERROR(M54/K54,0)</f>
        <v/>
      </c>
      <c r="O54" s="58">
        <f>'S23'!N54</f>
        <v/>
      </c>
      <c r="P54" s="57">
        <f>N54-O54</f>
        <v/>
      </c>
      <c r="Q54" s="32" t="n"/>
      <c r="R54" s="32" t="n"/>
      <c r="S54" s="32" t="n"/>
      <c r="T54" s="55" t="n"/>
      <c r="U54" s="58">
        <f>'S23'!T54</f>
        <v/>
      </c>
      <c r="V54" s="57">
        <f>T54-U54</f>
        <v/>
      </c>
      <c r="W54" s="57">
        <f>N54-T54</f>
        <v/>
      </c>
      <c r="X54" s="34" t="n"/>
    </row>
    <row r="55" ht="22" customHeight="1">
      <c r="B55" s="5" t="n">
        <v>51</v>
      </c>
      <c r="C55" s="6" t="inlineStr">
        <is>
          <t>Sidi Kacem</t>
        </is>
      </c>
      <c r="D55" s="5" t="inlineStr">
        <is>
          <t>SIDI EL KAMEL</t>
        </is>
      </c>
      <c r="E55" s="5" t="inlineStr">
        <is>
          <t>40-21</t>
        </is>
      </c>
      <c r="F55" s="5" t="inlineStr">
        <is>
          <t>Travaux de pistes</t>
        </is>
      </c>
      <c r="G55" s="5" t="inlineStr">
        <is>
          <t>Entretien des pistes agricoles</t>
        </is>
      </c>
      <c r="H55" s="5" t="inlineStr">
        <is>
          <t>Entretien des pistes agricoles</t>
        </is>
      </c>
      <c r="I55" s="7" t="n">
        <v>3700000</v>
      </c>
      <c r="J55" s="8" t="inlineStr">
        <is>
          <t>km</t>
        </is>
      </c>
      <c r="K55" s="9" t="n">
        <v>7</v>
      </c>
      <c r="L55" s="51" t="n"/>
      <c r="M55" s="52">
        <f>'S23'!M55+L55</f>
        <v/>
      </c>
      <c r="N55" s="53">
        <f>IFERROR(M55/K55,0)</f>
        <v/>
      </c>
      <c r="O55" s="54">
        <f>'S23'!N55</f>
        <v/>
      </c>
      <c r="P55" s="53">
        <f>N55-O55</f>
        <v/>
      </c>
      <c r="Q55" s="32" t="n"/>
      <c r="R55" s="32" t="n"/>
      <c r="S55" s="32" t="n"/>
      <c r="T55" s="55" t="n"/>
      <c r="U55" s="54">
        <f>'S23'!T55</f>
        <v/>
      </c>
      <c r="V55" s="53">
        <f>T55-U55</f>
        <v/>
      </c>
      <c r="W55" s="53">
        <f>N55-T55</f>
        <v/>
      </c>
      <c r="X55" s="34" t="n"/>
    </row>
    <row r="56" ht="22" customHeight="1">
      <c r="B56" s="10" t="n">
        <v>52</v>
      </c>
      <c r="C56" s="6" t="inlineStr">
        <is>
          <t>Sidi Kacem</t>
        </is>
      </c>
      <c r="D56" s="10" t="inlineStr">
        <is>
          <t>SIDI EL KAMEL</t>
        </is>
      </c>
      <c r="E56" s="10" t="inlineStr">
        <is>
          <t>50-21</t>
        </is>
      </c>
      <c r="F56" s="10" t="inlineStr">
        <is>
          <t>Entretien et réparation des stations de pompage</t>
        </is>
      </c>
      <c r="G56" s="10" t="inlineStr">
        <is>
          <t>Prestation de maintenance des débitmètres et leurs équipements annexes installés au niveau des station de pompage</t>
        </is>
      </c>
      <c r="H56" s="10" t="inlineStr">
        <is>
          <t>Changement de quatre débitmètres Ø 500mm et trois Ø 800mm inondé des stations de pompage 1R, 3R et 5R.</t>
        </is>
      </c>
      <c r="I56" s="11" t="n">
        <v>705000</v>
      </c>
      <c r="J56" s="12" t="inlineStr">
        <is>
          <t>U</t>
        </is>
      </c>
      <c r="K56" s="13" t="n">
        <v>3</v>
      </c>
      <c r="L56" s="51" t="n"/>
      <c r="M56" s="56">
        <f>'S23'!M56+L56</f>
        <v/>
      </c>
      <c r="N56" s="57">
        <f>IFERROR(M56/K56,0)</f>
        <v/>
      </c>
      <c r="O56" s="58">
        <f>'S23'!N56</f>
        <v/>
      </c>
      <c r="P56" s="57">
        <f>N56-O56</f>
        <v/>
      </c>
      <c r="Q56" s="32" t="n"/>
      <c r="R56" s="32" t="n"/>
      <c r="S56" s="32" t="n"/>
      <c r="T56" s="55" t="n"/>
      <c r="U56" s="58">
        <f>'S23'!T56</f>
        <v/>
      </c>
      <c r="V56" s="57">
        <f>T56-U56</f>
        <v/>
      </c>
      <c r="W56" s="57">
        <f>N56-T56</f>
        <v/>
      </c>
      <c r="X56" s="34" t="n"/>
    </row>
    <row r="57" ht="22" customHeight="1">
      <c r="B57" s="5" t="n">
        <v>53</v>
      </c>
      <c r="C57" s="6" t="inlineStr">
        <is>
          <t>Sidi Kacem</t>
        </is>
      </c>
      <c r="D57" s="5" t="inlineStr">
        <is>
          <t>SIDI EL KAMEL</t>
        </is>
      </c>
      <c r="E57" s="5" t="inlineStr">
        <is>
          <t>50-21</t>
        </is>
      </c>
      <c r="F57" s="5" t="inlineStr">
        <is>
          <t>Entretien et réparation des stations de pompage</t>
        </is>
      </c>
      <c r="G57" s="5" t="inlineStr">
        <is>
          <t>Mur clôture des stations de pompage.</t>
        </is>
      </c>
      <c r="H57" s="5" t="inlineStr">
        <is>
          <t>Stabilisation et reconstruction des murs clôture cote oued des stations de pompage 7A, 3R et 1R.</t>
        </is>
      </c>
      <c r="I57" s="7" t="n">
        <v>372000</v>
      </c>
      <c r="J57" s="8" t="inlineStr">
        <is>
          <t>ml</t>
        </is>
      </c>
      <c r="K57" s="9" t="n">
        <v>124</v>
      </c>
      <c r="L57" s="51" t="n"/>
      <c r="M57" s="52">
        <f>'S23'!M57+L57</f>
        <v/>
      </c>
      <c r="N57" s="53">
        <f>IFERROR(M57/K57,0)</f>
        <v/>
      </c>
      <c r="O57" s="54">
        <f>'S23'!N57</f>
        <v/>
      </c>
      <c r="P57" s="53">
        <f>N57-O57</f>
        <v/>
      </c>
      <c r="Q57" s="32" t="n"/>
      <c r="R57" s="32" t="n"/>
      <c r="S57" s="32" t="n"/>
      <c r="T57" s="55" t="n"/>
      <c r="U57" s="54">
        <f>'S23'!T57</f>
        <v/>
      </c>
      <c r="V57" s="53">
        <f>T57-U57</f>
        <v/>
      </c>
      <c r="W57" s="53">
        <f>N57-T57</f>
        <v/>
      </c>
      <c r="X57" s="34" t="n"/>
    </row>
    <row r="58" ht="22" customHeight="1">
      <c r="B58" s="10" t="n">
        <v>54</v>
      </c>
      <c r="C58" s="14" t="inlineStr">
        <is>
          <t>Kénitra</t>
        </is>
      </c>
      <c r="D58" s="10" t="inlineStr">
        <is>
          <t>Bni malek</t>
        </is>
      </c>
      <c r="E58" s="10" t="inlineStr">
        <is>
          <t>50-23</t>
        </is>
      </c>
      <c r="F58" s="10" t="inlineStr">
        <is>
          <t>Entretien et réparation du réseau d'assainissement et de drainage</t>
        </is>
      </c>
      <c r="G58" s="10" t="inlineStr">
        <is>
          <t>Travaux de curage des canaux en terre</t>
        </is>
      </c>
      <c r="H58" s="10" t="inlineStr">
        <is>
          <t>Curage des emissaires et colatures secondaire au niveau des secteurs MDA ET N9</t>
        </is>
      </c>
      <c r="I58" s="11" t="n">
        <v>10000000</v>
      </c>
      <c r="J58" s="12" t="inlineStr">
        <is>
          <t>ml</t>
        </is>
      </c>
      <c r="K58" s="13" t="n">
        <v>5000</v>
      </c>
      <c r="L58" s="51" t="n"/>
      <c r="M58" s="56">
        <f>'S23'!M58+L58</f>
        <v/>
      </c>
      <c r="N58" s="57">
        <f>IFERROR(M58/K58,0)</f>
        <v/>
      </c>
      <c r="O58" s="58">
        <f>'S23'!N58</f>
        <v/>
      </c>
      <c r="P58" s="57">
        <f>N58-O58</f>
        <v/>
      </c>
      <c r="Q58" s="32" t="n"/>
      <c r="R58" s="32" t="n"/>
      <c r="S58" s="32" t="n"/>
      <c r="T58" s="55" t="n"/>
      <c r="U58" s="58">
        <f>'S23'!T58</f>
        <v/>
      </c>
      <c r="V58" s="57">
        <f>T58-U58</f>
        <v/>
      </c>
      <c r="W58" s="57">
        <f>N58-T58</f>
        <v/>
      </c>
      <c r="X58" s="34" t="n"/>
    </row>
    <row r="59" ht="22" customHeight="1">
      <c r="B59" s="5" t="n">
        <v>55</v>
      </c>
      <c r="C59" s="14" t="inlineStr">
        <is>
          <t>Kénitra</t>
        </is>
      </c>
      <c r="D59" s="5" t="inlineStr">
        <is>
          <t>Bni malek</t>
        </is>
      </c>
      <c r="E59" s="5" t="inlineStr">
        <is>
          <t>40-21</t>
        </is>
      </c>
      <c r="F59" s="5" t="inlineStr">
        <is>
          <t>Travaux de pistes</t>
        </is>
      </c>
      <c r="G59" s="5" t="inlineStr">
        <is>
          <t>Travaux de réhabilitation des pistes agricoles</t>
        </is>
      </c>
      <c r="H59" s="5" t="inlineStr">
        <is>
          <t>Entretien des pistes agricoles des secteurs MDA et N3</t>
        </is>
      </c>
      <c r="I59" s="7" t="n">
        <v>2000000</v>
      </c>
      <c r="J59" s="8" t="inlineStr">
        <is>
          <t>km</t>
        </is>
      </c>
      <c r="K59" s="9" t="n">
        <v>4</v>
      </c>
      <c r="L59" s="51" t="n"/>
      <c r="M59" s="52">
        <f>'S23'!M59+L59</f>
        <v/>
      </c>
      <c r="N59" s="53">
        <f>IFERROR(M59/K59,0)</f>
        <v/>
      </c>
      <c r="O59" s="54">
        <f>'S23'!N59</f>
        <v/>
      </c>
      <c r="P59" s="53">
        <f>N59-O59</f>
        <v/>
      </c>
      <c r="Q59" s="32" t="n"/>
      <c r="R59" s="32" t="n"/>
      <c r="S59" s="32" t="n"/>
      <c r="T59" s="55" t="n"/>
      <c r="U59" s="54">
        <f>'S23'!T59</f>
        <v/>
      </c>
      <c r="V59" s="53">
        <f>T59-U59</f>
        <v/>
      </c>
      <c r="W59" s="53">
        <f>N59-T59</f>
        <v/>
      </c>
      <c r="X59" s="34" t="n"/>
    </row>
    <row r="60" ht="22" customHeight="1">
      <c r="B60" s="10" t="n">
        <v>56</v>
      </c>
      <c r="C60" s="14" t="inlineStr">
        <is>
          <t>Kénitra</t>
        </is>
      </c>
      <c r="D60" s="10" t="inlineStr">
        <is>
          <t>Bni malek</t>
        </is>
      </c>
      <c r="E60" s="10" t="inlineStr">
        <is>
          <t>50-21</t>
        </is>
      </c>
      <c r="F60" s="10" t="inlineStr">
        <is>
          <t>Entretien et réparation des stations de pompage</t>
        </is>
      </c>
      <c r="G60" s="10" t="inlineStr">
        <is>
          <t>Prestations de maintenance et de réparation mécanique des pompes et des groupes motopompes submersibles des stations de pompage.</t>
        </is>
      </c>
      <c r="H60" s="10" t="inlineStr">
        <is>
          <t>station de pompage MDA secteur MDA</t>
        </is>
      </c>
      <c r="I60" s="11" t="n">
        <v>300000</v>
      </c>
      <c r="J60" s="12" t="inlineStr">
        <is>
          <t>U</t>
        </is>
      </c>
      <c r="K60" s="13" t="n">
        <v>1</v>
      </c>
      <c r="L60" s="51" t="n"/>
      <c r="M60" s="56">
        <f>'S23'!M60+L60</f>
        <v/>
      </c>
      <c r="N60" s="57">
        <f>IFERROR(M60/K60,0)</f>
        <v/>
      </c>
      <c r="O60" s="58">
        <f>'S23'!N60</f>
        <v/>
      </c>
      <c r="P60" s="57">
        <f>N60-O60</f>
        <v/>
      </c>
      <c r="Q60" s="32" t="n"/>
      <c r="R60" s="32" t="n"/>
      <c r="S60" s="32" t="n"/>
      <c r="T60" s="55" t="n"/>
      <c r="U60" s="58">
        <f>'S23'!T60</f>
        <v/>
      </c>
      <c r="V60" s="57">
        <f>T60-U60</f>
        <v/>
      </c>
      <c r="W60" s="57">
        <f>N60-T60</f>
        <v/>
      </c>
      <c r="X60" s="34" t="n"/>
    </row>
    <row r="61" ht="22" customHeight="1">
      <c r="B61" s="5" t="n">
        <v>57</v>
      </c>
      <c r="C61" s="14" t="inlineStr">
        <is>
          <t>Kénitra</t>
        </is>
      </c>
      <c r="D61" s="5" t="inlineStr">
        <is>
          <t>Bni malek</t>
        </is>
      </c>
      <c r="E61" s="5" t="inlineStr">
        <is>
          <t>20-11</t>
        </is>
      </c>
      <c r="F61" s="5" t="inlineStr">
        <is>
          <t>Travaux de réhabilitation des équipements</t>
        </is>
      </c>
      <c r="G61" s="5" t="inlineStr">
        <is>
          <t>Travaux de réhabilitation des ouvrages de génie civil</t>
        </is>
      </c>
      <c r="H61" s="5" t="inlineStr">
        <is>
          <t>Rétablissement des bornes affaissées des secteurs N2 et N3</t>
        </is>
      </c>
      <c r="I61" s="7" t="n">
        <v>100000</v>
      </c>
      <c r="J61" s="8" t="inlineStr">
        <is>
          <t>U</t>
        </is>
      </c>
      <c r="K61" s="9" t="n">
        <v>200</v>
      </c>
      <c r="L61" s="51" t="n"/>
      <c r="M61" s="52">
        <f>'S23'!M61+L61</f>
        <v/>
      </c>
      <c r="N61" s="53">
        <f>IFERROR(M61/K61,0)</f>
        <v/>
      </c>
      <c r="O61" s="54">
        <f>'S23'!N61</f>
        <v/>
      </c>
      <c r="P61" s="53">
        <f>N61-O61</f>
        <v/>
      </c>
      <c r="Q61" s="32" t="n"/>
      <c r="R61" s="32" t="n"/>
      <c r="S61" s="32" t="n"/>
      <c r="T61" s="55" t="n"/>
      <c r="U61" s="54">
        <f>'S23'!T61</f>
        <v/>
      </c>
      <c r="V61" s="53">
        <f>T61-U61</f>
        <v/>
      </c>
      <c r="W61" s="53">
        <f>N61-T61</f>
        <v/>
      </c>
      <c r="X61" s="34" t="n"/>
    </row>
    <row r="62" ht="22" customHeight="1">
      <c r="B62" s="10" t="n">
        <v>58</v>
      </c>
      <c r="C62" s="14" t="inlineStr">
        <is>
          <t>Kénitra</t>
        </is>
      </c>
      <c r="D62" s="10" t="inlineStr">
        <is>
          <t>SOUK TLET</t>
        </is>
      </c>
      <c r="E62" s="10" t="inlineStr">
        <is>
          <t>50-23</t>
        </is>
      </c>
      <c r="F62" s="10" t="inlineStr">
        <is>
          <t>Entretien et réparation du réseau d'assainissement et de drainage</t>
        </is>
      </c>
      <c r="G62" s="10" t="inlineStr">
        <is>
          <t>Travaux de curage des canaux en terre</t>
        </is>
      </c>
      <c r="H62" s="10" t="inlineStr">
        <is>
          <t>curage des emissaires et colatures secondaire au niveau des secteurs N2,N3 ET N4,</t>
        </is>
      </c>
      <c r="I62" s="11" t="n">
        <v>3000000</v>
      </c>
      <c r="J62" s="12" t="inlineStr">
        <is>
          <t>ml</t>
        </is>
      </c>
      <c r="K62" s="13" t="n">
        <v>1500</v>
      </c>
      <c r="L62" s="51" t="n"/>
      <c r="M62" s="56">
        <f>'S23'!M62+L62</f>
        <v/>
      </c>
      <c r="N62" s="57">
        <f>IFERROR(M62/K62,0)</f>
        <v/>
      </c>
      <c r="O62" s="58">
        <f>'S23'!N62</f>
        <v/>
      </c>
      <c r="P62" s="57">
        <f>N62-O62</f>
        <v/>
      </c>
      <c r="Q62" s="32" t="n"/>
      <c r="R62" s="32" t="n"/>
      <c r="S62" s="32" t="n"/>
      <c r="T62" s="55" t="n"/>
      <c r="U62" s="58">
        <f>'S23'!T62</f>
        <v/>
      </c>
      <c r="V62" s="57">
        <f>T62-U62</f>
        <v/>
      </c>
      <c r="W62" s="57">
        <f>N62-T62</f>
        <v/>
      </c>
      <c r="X62" s="34" t="n"/>
    </row>
    <row r="63" ht="22" customHeight="1">
      <c r="B63" s="5" t="n">
        <v>59</v>
      </c>
      <c r="C63" s="14" t="inlineStr">
        <is>
          <t>Kénitra</t>
        </is>
      </c>
      <c r="D63" s="5" t="inlineStr">
        <is>
          <t>SOUK TLET</t>
        </is>
      </c>
      <c r="E63" s="5" t="inlineStr">
        <is>
          <t>40-21</t>
        </is>
      </c>
      <c r="F63" s="5" t="inlineStr">
        <is>
          <t>Travaux de pistes</t>
        </is>
      </c>
      <c r="G63" s="5" t="inlineStr">
        <is>
          <t>Travaux de réhabilitation des pistes agricoles</t>
        </is>
      </c>
      <c r="H63" s="5" t="inlineStr">
        <is>
          <t>Entretien des pistes des secteurs N2,N3,N4 et C4R,</t>
        </is>
      </c>
      <c r="I63" s="7" t="n">
        <v>5000000</v>
      </c>
      <c r="J63" s="8" t="inlineStr">
        <is>
          <t>U</t>
        </is>
      </c>
      <c r="K63" s="9" t="n">
        <v>1</v>
      </c>
      <c r="L63" s="51" t="n"/>
      <c r="M63" s="52">
        <f>'S23'!M63+L63</f>
        <v/>
      </c>
      <c r="N63" s="53">
        <f>IFERROR(M63/K63,0)</f>
        <v/>
      </c>
      <c r="O63" s="54">
        <f>'S23'!N63</f>
        <v/>
      </c>
      <c r="P63" s="53">
        <f>N63-O63</f>
        <v/>
      </c>
      <c r="Q63" s="32" t="n"/>
      <c r="R63" s="32" t="n"/>
      <c r="S63" s="32" t="n"/>
      <c r="T63" s="55" t="n"/>
      <c r="U63" s="54">
        <f>'S23'!T63</f>
        <v/>
      </c>
      <c r="V63" s="53">
        <f>T63-U63</f>
        <v/>
      </c>
      <c r="W63" s="53">
        <f>N63-T63</f>
        <v/>
      </c>
      <c r="X63" s="34" t="n"/>
    </row>
    <row r="64" ht="22" customHeight="1">
      <c r="B64" s="10" t="n">
        <v>60</v>
      </c>
      <c r="C64" s="14" t="inlineStr">
        <is>
          <t>Kénitra</t>
        </is>
      </c>
      <c r="D64" s="10" t="inlineStr">
        <is>
          <t>Sidi Med Lahmar</t>
        </is>
      </c>
      <c r="E64" s="10" t="inlineStr">
        <is>
          <t>50-23</t>
        </is>
      </c>
      <c r="F64" s="10" t="inlineStr">
        <is>
          <t>Entretien et réparation du réseau d'assainissement et de drainage</t>
        </is>
      </c>
      <c r="G64" s="10" t="inlineStr">
        <is>
          <t>Travaux de curage des canaux en terre</t>
        </is>
      </c>
      <c r="H64" s="10" t="inlineStr">
        <is>
          <t>Curage des emissaires et colatures secondaires secteurs N1</t>
        </is>
      </c>
      <c r="I64" s="11" t="n">
        <v>3000000</v>
      </c>
      <c r="J64" s="12" t="inlineStr">
        <is>
          <t>ml</t>
        </is>
      </c>
      <c r="K64" s="13" t="n">
        <v>1500</v>
      </c>
      <c r="L64" s="51" t="n"/>
      <c r="M64" s="56">
        <f>'S23'!M64+L64</f>
        <v/>
      </c>
      <c r="N64" s="57">
        <f>IFERROR(M64/K64,0)</f>
        <v/>
      </c>
      <c r="O64" s="58">
        <f>'S23'!N64</f>
        <v/>
      </c>
      <c r="P64" s="57">
        <f>N64-O64</f>
        <v/>
      </c>
      <c r="Q64" s="32" t="n"/>
      <c r="R64" s="32" t="n"/>
      <c r="S64" s="32" t="n"/>
      <c r="T64" s="55" t="n"/>
      <c r="U64" s="58">
        <f>'S23'!T64</f>
        <v/>
      </c>
      <c r="V64" s="57">
        <f>T64-U64</f>
        <v/>
      </c>
      <c r="W64" s="57">
        <f>N64-T64</f>
        <v/>
      </c>
      <c r="X64" s="34" t="n"/>
    </row>
    <row r="65" ht="22" customHeight="1">
      <c r="B65" s="5" t="n">
        <v>61</v>
      </c>
      <c r="C65" s="14" t="inlineStr">
        <is>
          <t>Kénitra</t>
        </is>
      </c>
      <c r="D65" s="5" t="inlineStr">
        <is>
          <t>Sidi Med Lahmar</t>
        </is>
      </c>
      <c r="E65" s="5" t="inlineStr">
        <is>
          <t>40-21</t>
        </is>
      </c>
      <c r="F65" s="5" t="inlineStr">
        <is>
          <t>Travaux de pistes</t>
        </is>
      </c>
      <c r="G65" s="5" t="inlineStr">
        <is>
          <t>Travaux de réhabilitation des pistes agricoles</t>
        </is>
      </c>
      <c r="H65" s="5" t="inlineStr">
        <is>
          <t>Entretien des pistes agricoles des secteurs N9 et N1</t>
        </is>
      </c>
      <c r="I65" s="7" t="n">
        <v>3000000</v>
      </c>
      <c r="J65" s="8" t="inlineStr">
        <is>
          <t>km</t>
        </is>
      </c>
      <c r="K65" s="9" t="n">
        <v>6</v>
      </c>
      <c r="L65" s="51" t="n"/>
      <c r="M65" s="52">
        <f>'S23'!M65+L65</f>
        <v/>
      </c>
      <c r="N65" s="53">
        <f>IFERROR(M65/K65,0)</f>
        <v/>
      </c>
      <c r="O65" s="54">
        <f>'S23'!N65</f>
        <v/>
      </c>
      <c r="P65" s="53">
        <f>N65-O65</f>
        <v/>
      </c>
      <c r="Q65" s="32" t="n"/>
      <c r="R65" s="32" t="n"/>
      <c r="S65" s="32" t="n"/>
      <c r="T65" s="55" t="n"/>
      <c r="U65" s="54">
        <f>'S23'!T65</f>
        <v/>
      </c>
      <c r="V65" s="53">
        <f>T65-U65</f>
        <v/>
      </c>
      <c r="W65" s="53">
        <f>N65-T65</f>
        <v/>
      </c>
      <c r="X65" s="34" t="n"/>
    </row>
    <row r="66" ht="22" customHeight="1">
      <c r="B66" s="10" t="n">
        <v>62</v>
      </c>
      <c r="C66" s="14" t="inlineStr">
        <is>
          <t>Kénitra</t>
        </is>
      </c>
      <c r="D66" s="10" t="inlineStr">
        <is>
          <t>Mograne</t>
        </is>
      </c>
      <c r="E66" s="10" t="inlineStr">
        <is>
          <t>50-23</t>
        </is>
      </c>
      <c r="F66" s="10" t="inlineStr">
        <is>
          <t>Entretien et réparation du réseau d'assainissement et de drainage</t>
        </is>
      </c>
      <c r="G66" s="10" t="inlineStr">
        <is>
          <t>Travaux de curage des canaux en terre</t>
        </is>
      </c>
      <c r="H66" s="10" t="inlineStr">
        <is>
          <t>Curage des canaux d'assainissement Hors secteur équipé ghoufera et laison beht sebou ,</t>
        </is>
      </c>
      <c r="I66" s="11" t="n">
        <v>6000000</v>
      </c>
      <c r="J66" s="12" t="inlineStr">
        <is>
          <t>ml</t>
        </is>
      </c>
      <c r="K66" s="13" t="n">
        <v>3000</v>
      </c>
      <c r="L66" s="51" t="n"/>
      <c r="M66" s="56">
        <f>'S23'!M66+L66</f>
        <v/>
      </c>
      <c r="N66" s="57">
        <f>IFERROR(M66/K66,0)</f>
        <v/>
      </c>
      <c r="O66" s="58">
        <f>'S23'!N66</f>
        <v/>
      </c>
      <c r="P66" s="57">
        <f>N66-O66</f>
        <v/>
      </c>
      <c r="Q66" s="32" t="n"/>
      <c r="R66" s="32" t="n"/>
      <c r="S66" s="32" t="n"/>
      <c r="T66" s="55" t="n"/>
      <c r="U66" s="58">
        <f>'S23'!T66</f>
        <v/>
      </c>
      <c r="V66" s="57">
        <f>T66-U66</f>
        <v/>
      </c>
      <c r="W66" s="57">
        <f>N66-T66</f>
        <v/>
      </c>
      <c r="X66" s="34" t="n"/>
    </row>
    <row r="67" ht="22" customHeight="1">
      <c r="B67" s="5" t="n">
        <v>63</v>
      </c>
      <c r="C67" s="14" t="inlineStr">
        <is>
          <t>Kénitra</t>
        </is>
      </c>
      <c r="D67" s="5" t="inlineStr">
        <is>
          <t>Mograne</t>
        </is>
      </c>
      <c r="E67" s="5" t="inlineStr">
        <is>
          <t>40-21</t>
        </is>
      </c>
      <c r="F67" s="5" t="inlineStr">
        <is>
          <t>Travaux de pistes</t>
        </is>
      </c>
      <c r="G67" s="5" t="inlineStr">
        <is>
          <t>Travaux de réhabilitation des pistes agricoles</t>
        </is>
      </c>
      <c r="H67" s="5" t="inlineStr">
        <is>
          <t>Entretien des pistes agricoles des secteurs SEBOU1,SEBOU2? BEHT3 et BEHT4</t>
        </is>
      </c>
      <c r="I67" s="7" t="n">
        <v>6000000</v>
      </c>
      <c r="J67" s="8" t="inlineStr">
        <is>
          <t>km</t>
        </is>
      </c>
      <c r="K67" s="9" t="n">
        <v>12</v>
      </c>
      <c r="L67" s="51" t="n"/>
      <c r="M67" s="52">
        <f>'S23'!M67+L67</f>
        <v/>
      </c>
      <c r="N67" s="53">
        <f>IFERROR(M67/K67,0)</f>
        <v/>
      </c>
      <c r="O67" s="54">
        <f>'S23'!N67</f>
        <v/>
      </c>
      <c r="P67" s="53">
        <f>N67-O67</f>
        <v/>
      </c>
      <c r="Q67" s="32" t="n"/>
      <c r="R67" s="32" t="n"/>
      <c r="S67" s="32" t="n"/>
      <c r="T67" s="55" t="n"/>
      <c r="U67" s="54">
        <f>'S23'!T67</f>
        <v/>
      </c>
      <c r="V67" s="53">
        <f>T67-U67</f>
        <v/>
      </c>
      <c r="W67" s="53">
        <f>N67-T67</f>
        <v/>
      </c>
      <c r="X67" s="34" t="n"/>
    </row>
    <row r="68" ht="22" customHeight="1">
      <c r="B68" s="10" t="n">
        <v>64</v>
      </c>
      <c r="C68" s="14" t="inlineStr">
        <is>
          <t>Kénitra</t>
        </is>
      </c>
      <c r="D68" s="10" t="inlineStr">
        <is>
          <t>Sidi allal tazi</t>
        </is>
      </c>
      <c r="E68" s="10" t="inlineStr">
        <is>
          <t>50-23</t>
        </is>
      </c>
      <c r="F68" s="10" t="inlineStr">
        <is>
          <t>Entretien et réparation du réseau d'assainissement et de drainage</t>
        </is>
      </c>
      <c r="G68" s="10" t="inlineStr">
        <is>
          <t>Travaux de curage des canaux en terre</t>
        </is>
      </c>
      <c r="H68" s="10" t="inlineStr">
        <is>
          <t>Curage du canaL d'assainissement CK,</t>
        </is>
      </c>
      <c r="I68" s="11" t="n">
        <v>3000000</v>
      </c>
      <c r="J68" s="12" t="inlineStr">
        <is>
          <t>ml</t>
        </is>
      </c>
      <c r="K68" s="13" t="n">
        <v>1500</v>
      </c>
      <c r="L68" s="51" t="n"/>
      <c r="M68" s="56">
        <f>'S23'!M68+L68</f>
        <v/>
      </c>
      <c r="N68" s="57">
        <f>IFERROR(M68/K68,0)</f>
        <v/>
      </c>
      <c r="O68" s="58">
        <f>'S23'!N68</f>
        <v/>
      </c>
      <c r="P68" s="57">
        <f>N68-O68</f>
        <v/>
      </c>
      <c r="Q68" s="32" t="n"/>
      <c r="R68" s="32" t="n"/>
      <c r="S68" s="32" t="n"/>
      <c r="T68" s="55" t="n"/>
      <c r="U68" s="58">
        <f>'S23'!T68</f>
        <v/>
      </c>
      <c r="V68" s="57">
        <f>T68-U68</f>
        <v/>
      </c>
      <c r="W68" s="57">
        <f>N68-T68</f>
        <v/>
      </c>
      <c r="X68" s="34" t="n"/>
    </row>
    <row r="69" ht="22" customHeight="1">
      <c r="B69" s="5" t="n">
        <v>65</v>
      </c>
      <c r="C69" s="14" t="inlineStr">
        <is>
          <t>Kénitra</t>
        </is>
      </c>
      <c r="D69" s="5" t="inlineStr">
        <is>
          <t>AMEUR SAFLIA</t>
        </is>
      </c>
      <c r="E69" s="5" t="inlineStr">
        <is>
          <t>50-23</t>
        </is>
      </c>
      <c r="F69" s="5" t="inlineStr">
        <is>
          <t>Entretien et réparation du réseau d'assainissement et de drainage</t>
        </is>
      </c>
      <c r="G69" s="5" t="inlineStr">
        <is>
          <t>Travaux de curage des canaux en terre</t>
        </is>
      </c>
      <c r="H69" s="5" t="inlineStr">
        <is>
          <t>Curage des canaux d'assainissement amontTtiflt Sebou,</t>
        </is>
      </c>
      <c r="I69" s="7" t="n">
        <v>1000000</v>
      </c>
      <c r="J69" s="8" t="inlineStr">
        <is>
          <t>ml</t>
        </is>
      </c>
      <c r="K69" s="9" t="n">
        <v>500</v>
      </c>
      <c r="L69" s="51" t="n"/>
      <c r="M69" s="52">
        <f>'S23'!M69+L69</f>
        <v/>
      </c>
      <c r="N69" s="53">
        <f>IFERROR(M69/K69,0)</f>
        <v/>
      </c>
      <c r="O69" s="54">
        <f>'S23'!N69</f>
        <v/>
      </c>
      <c r="P69" s="53">
        <f>N69-O69</f>
        <v/>
      </c>
      <c r="Q69" s="32" t="n"/>
      <c r="R69" s="32" t="n"/>
      <c r="S69" s="32" t="n"/>
      <c r="T69" s="55" t="n"/>
      <c r="U69" s="54">
        <f>'S23'!T69</f>
        <v/>
      </c>
      <c r="V69" s="53">
        <f>T69-U69</f>
        <v/>
      </c>
      <c r="W69" s="53">
        <f>N69-T69</f>
        <v/>
      </c>
      <c r="X69" s="34" t="n"/>
    </row>
    <row r="70" ht="22" customHeight="1">
      <c r="B70" s="10" t="n">
        <v>66</v>
      </c>
      <c r="C70" s="14" t="inlineStr">
        <is>
          <t>Kénitra</t>
        </is>
      </c>
      <c r="D70" s="10" t="inlineStr">
        <is>
          <t>Oulad SLAMA</t>
        </is>
      </c>
      <c r="E70" s="10" t="inlineStr">
        <is>
          <t>50-23</t>
        </is>
      </c>
      <c r="F70" s="10" t="inlineStr">
        <is>
          <t>Entretien et réparation du réseau d'assainissement et de drainage</t>
        </is>
      </c>
      <c r="G70" s="10" t="inlineStr">
        <is>
          <t>Travaux de curage des canaux en terre</t>
        </is>
      </c>
      <c r="H70" s="10" t="inlineStr">
        <is>
          <t>Curage des canaux d'assainissement debouche Tiflt aval,</t>
        </is>
      </c>
      <c r="I70" s="11" t="n">
        <v>1000000</v>
      </c>
      <c r="J70" s="12" t="inlineStr">
        <is>
          <t>ml</t>
        </is>
      </c>
      <c r="K70" s="13" t="n">
        <v>500</v>
      </c>
      <c r="L70" s="51" t="n"/>
      <c r="M70" s="56">
        <f>'S23'!M70+L70</f>
        <v/>
      </c>
      <c r="N70" s="57">
        <f>IFERROR(M70/K70,0)</f>
        <v/>
      </c>
      <c r="O70" s="58">
        <f>'S23'!N70</f>
        <v/>
      </c>
      <c r="P70" s="57">
        <f>N70-O70</f>
        <v/>
      </c>
      <c r="Q70" s="32" t="n"/>
      <c r="R70" s="32" t="n"/>
      <c r="S70" s="32" t="n"/>
      <c r="T70" s="55" t="n"/>
      <c r="U70" s="58">
        <f>'S23'!T70</f>
        <v/>
      </c>
      <c r="V70" s="57">
        <f>T70-U70</f>
        <v/>
      </c>
      <c r="W70" s="57">
        <f>N70-T70</f>
        <v/>
      </c>
      <c r="X70" s="34" t="n"/>
    </row>
    <row r="71" ht="22" customHeight="1">
      <c r="B71" s="5" t="n">
        <v>67</v>
      </c>
      <c r="C71" s="14" t="inlineStr">
        <is>
          <t>Kénitra</t>
        </is>
      </c>
      <c r="D71" s="5" t="inlineStr">
        <is>
          <t>BHARA Oulad AYAD</t>
        </is>
      </c>
      <c r="E71" s="5" t="inlineStr">
        <is>
          <t>50-23</t>
        </is>
      </c>
      <c r="F71" s="5" t="inlineStr">
        <is>
          <t>Entretien et réparation du réseau d'assainissement et de drainage</t>
        </is>
      </c>
      <c r="G71" s="5" t="inlineStr">
        <is>
          <t>Travaux de curage des canaux en terre</t>
        </is>
      </c>
      <c r="H71" s="5" t="inlineStr">
        <is>
          <t>Curage des canaux d'assainissement canal nador bas et haut segmet,</t>
        </is>
      </c>
      <c r="I71" s="7" t="n">
        <v>6600000</v>
      </c>
      <c r="J71" s="8" t="inlineStr">
        <is>
          <t>ml</t>
        </is>
      </c>
      <c r="K71" s="9" t="n">
        <v>3300</v>
      </c>
      <c r="L71" s="51" t="n"/>
      <c r="M71" s="52">
        <f>'S23'!M71+L71</f>
        <v/>
      </c>
      <c r="N71" s="53">
        <f>IFERROR(M71/K71,0)</f>
        <v/>
      </c>
      <c r="O71" s="54">
        <f>'S23'!N71</f>
        <v/>
      </c>
      <c r="P71" s="53">
        <f>N71-O71</f>
        <v/>
      </c>
      <c r="Q71" s="32" t="n"/>
      <c r="R71" s="32" t="n"/>
      <c r="S71" s="32" t="n"/>
      <c r="T71" s="55" t="n"/>
      <c r="U71" s="54">
        <f>'S23'!T71</f>
        <v/>
      </c>
      <c r="V71" s="53">
        <f>T71-U71</f>
        <v/>
      </c>
      <c r="W71" s="53">
        <f>N71-T71</f>
        <v/>
      </c>
      <c r="X71" s="34" t="n"/>
    </row>
    <row r="72" ht="22" customHeight="1">
      <c r="B72" s="10" t="n">
        <v>68</v>
      </c>
      <c r="C72" s="15" t="inlineStr">
        <is>
          <t>Sidi Slimane</t>
        </is>
      </c>
      <c r="D72" s="10" t="inlineStr">
        <is>
          <t>OULED HCEINE</t>
        </is>
      </c>
      <c r="E72" s="10" t="inlineStr">
        <is>
          <t>50-23</t>
        </is>
      </c>
      <c r="F72" s="10" t="inlineStr">
        <is>
          <t>Entretien et réparation du réseau d'assainissement et de drainage</t>
        </is>
      </c>
      <c r="G72" s="10" t="inlineStr">
        <is>
          <t>Travaux de curage des canaux en terre</t>
        </is>
      </c>
      <c r="H72" s="10" t="inlineStr">
        <is>
          <t>Curage des collecteurs d'assainissement du secteur EST4.</t>
        </is>
      </c>
      <c r="I72" s="11" t="n">
        <v>1805475</v>
      </c>
      <c r="J72" s="12" t="inlineStr">
        <is>
          <t>ml</t>
        </is>
      </c>
      <c r="K72" s="13" t="n">
        <v>903</v>
      </c>
      <c r="L72" s="51" t="n"/>
      <c r="M72" s="56">
        <f>'S23'!M72+L72</f>
        <v/>
      </c>
      <c r="N72" s="57">
        <f>IFERROR(M72/K72,0)</f>
        <v/>
      </c>
      <c r="O72" s="58">
        <f>'S23'!N72</f>
        <v/>
      </c>
      <c r="P72" s="57">
        <f>N72-O72</f>
        <v/>
      </c>
      <c r="Q72" s="32" t="n"/>
      <c r="R72" s="32" t="n"/>
      <c r="S72" s="32" t="n"/>
      <c r="T72" s="55" t="n"/>
      <c r="U72" s="58">
        <f>'S23'!T72</f>
        <v/>
      </c>
      <c r="V72" s="57">
        <f>T72-U72</f>
        <v/>
      </c>
      <c r="W72" s="57">
        <f>N72-T72</f>
        <v/>
      </c>
      <c r="X72" s="34" t="n"/>
    </row>
    <row r="73" ht="22" customHeight="1">
      <c r="B73" s="5" t="n">
        <v>69</v>
      </c>
      <c r="C73" s="15" t="inlineStr">
        <is>
          <t>Sidi Slimane</t>
        </is>
      </c>
      <c r="D73" s="5" t="inlineStr">
        <is>
          <t>OULED HCEINE</t>
        </is>
      </c>
      <c r="E73" s="5" t="inlineStr">
        <is>
          <t>50-23</t>
        </is>
      </c>
      <c r="F73" s="5" t="inlineStr">
        <is>
          <t>Entretien et réparation du réseau d'assainissement et de drainage</t>
        </is>
      </c>
      <c r="G73" s="5" t="inlineStr">
        <is>
          <t>Travaux de curage des canaux en terre</t>
        </is>
      </c>
      <c r="H73" s="5" t="inlineStr">
        <is>
          <t>Curage du canal d'assainissement Tihli central.</t>
        </is>
      </c>
      <c r="I73" s="7" t="n">
        <v>2587200</v>
      </c>
      <c r="J73" s="8" t="inlineStr">
        <is>
          <t>ml</t>
        </is>
      </c>
      <c r="K73" s="9" t="n">
        <v>1294</v>
      </c>
      <c r="L73" s="51" t="n"/>
      <c r="M73" s="52">
        <f>'S23'!M73+L73</f>
        <v/>
      </c>
      <c r="N73" s="53">
        <f>IFERROR(M73/K73,0)</f>
        <v/>
      </c>
      <c r="O73" s="54">
        <f>'S23'!N73</f>
        <v/>
      </c>
      <c r="P73" s="53">
        <f>N73-O73</f>
        <v/>
      </c>
      <c r="Q73" s="32" t="n"/>
      <c r="R73" s="32" t="n"/>
      <c r="S73" s="32" t="n"/>
      <c r="T73" s="55" t="n"/>
      <c r="U73" s="54">
        <f>'S23'!T73</f>
        <v/>
      </c>
      <c r="V73" s="53">
        <f>T73-U73</f>
        <v/>
      </c>
      <c r="W73" s="53">
        <f>N73-T73</f>
        <v/>
      </c>
      <c r="X73" s="34" t="n"/>
    </row>
    <row r="74" ht="22" customHeight="1">
      <c r="B74" s="10" t="n">
        <v>70</v>
      </c>
      <c r="C74" s="15" t="inlineStr">
        <is>
          <t>Sidi Slimane</t>
        </is>
      </c>
      <c r="D74" s="10" t="inlineStr">
        <is>
          <t>OULED HCEINE</t>
        </is>
      </c>
      <c r="E74" s="10" t="inlineStr">
        <is>
          <t>40-21</t>
        </is>
      </c>
      <c r="F74" s="10" t="inlineStr">
        <is>
          <t>Travaux de pistes</t>
        </is>
      </c>
      <c r="G74" s="10" t="inlineStr">
        <is>
          <t>Travaux de réhabilitation des pistes agricoles</t>
        </is>
      </c>
      <c r="H74" s="10" t="inlineStr">
        <is>
          <t>Entretien des pistes agricoles</t>
        </is>
      </c>
      <c r="I74" s="11" t="n">
        <v>3500000</v>
      </c>
      <c r="J74" s="12" t="inlineStr">
        <is>
          <t>km</t>
        </is>
      </c>
      <c r="K74" s="13" t="n">
        <v>7</v>
      </c>
      <c r="L74" s="51" t="n"/>
      <c r="M74" s="56">
        <f>'S23'!M74+L74</f>
        <v/>
      </c>
      <c r="N74" s="57">
        <f>IFERROR(M74/K74,0)</f>
        <v/>
      </c>
      <c r="O74" s="58">
        <f>'S23'!N74</f>
        <v/>
      </c>
      <c r="P74" s="57">
        <f>N74-O74</f>
        <v/>
      </c>
      <c r="Q74" s="32" t="n"/>
      <c r="R74" s="32" t="n"/>
      <c r="S74" s="32" t="n"/>
      <c r="T74" s="55" t="n"/>
      <c r="U74" s="58">
        <f>'S23'!T74</f>
        <v/>
      </c>
      <c r="V74" s="57">
        <f>T74-U74</f>
        <v/>
      </c>
      <c r="W74" s="57">
        <f>N74-T74</f>
        <v/>
      </c>
      <c r="X74" s="34" t="n"/>
    </row>
    <row r="75" ht="22" customHeight="1">
      <c r="B75" s="5" t="n">
        <v>71</v>
      </c>
      <c r="C75" s="15" t="inlineStr">
        <is>
          <t>Sidi Slimane</t>
        </is>
      </c>
      <c r="D75" s="5" t="inlineStr">
        <is>
          <t>OULED HCEINE</t>
        </is>
      </c>
      <c r="E75" s="5" t="inlineStr">
        <is>
          <t>50-21</t>
        </is>
      </c>
      <c r="F75" s="5" t="inlineStr">
        <is>
          <t>Entretien et réparation des stations de pompage</t>
        </is>
      </c>
      <c r="G75" s="5" t="inlineStr">
        <is>
          <t>Travaux de réparation des équipements hydromécaniques et éléctriques et entretien de la partie génie civil des stations de pompage.</t>
        </is>
      </c>
      <c r="H75" s="5" t="inlineStr">
        <is>
          <t>Démontage et expertise des roues des  pompes principaux et pompes a vide de la station EST4 et P11/2.
Changement des roulements, tresses et organes d’effectués de la station EST4 et P11/2
Changement deux débitmètre Ø 1200 mm de la station EST4 et un débimétre de la station P11/2.
Changement des capteurs de niveau inondés.
Révision et réparation des moteurs des vannes motorisées inondées.
changement de six contrôleurs de débits DW181 inondés.
Un capteur de débitmètre inondé nécessitent un diagnostic VEGASON  .
Entretien de l'éclairage du local de vide et bâche d’aspiration inondé de la station EST4 et la partie de l’éclairage du local des pompes inondées de la station P11/2.
Pose de gabions et recouvrement du talus par matelas Reno des stations de pompage P11/2</t>
        </is>
      </c>
      <c r="I75" s="7" t="n">
        <v>870000</v>
      </c>
      <c r="J75" s="8" t="inlineStr">
        <is>
          <t>U</t>
        </is>
      </c>
      <c r="K75" s="9" t="n">
        <v>4</v>
      </c>
      <c r="L75" s="51" t="n"/>
      <c r="M75" s="52">
        <f>'S23'!M75+L75</f>
        <v/>
      </c>
      <c r="N75" s="53">
        <f>IFERROR(M75/K75,0)</f>
        <v/>
      </c>
      <c r="O75" s="54">
        <f>'S23'!N75</f>
        <v/>
      </c>
      <c r="P75" s="53">
        <f>N75-O75</f>
        <v/>
      </c>
      <c r="Q75" s="32" t="n"/>
      <c r="R75" s="32" t="n"/>
      <c r="S75" s="32" t="n"/>
      <c r="T75" s="55" t="n"/>
      <c r="U75" s="54">
        <f>'S23'!T75</f>
        <v/>
      </c>
      <c r="V75" s="53">
        <f>T75-U75</f>
        <v/>
      </c>
      <c r="W75" s="53">
        <f>N75-T75</f>
        <v/>
      </c>
      <c r="X75" s="34" t="n"/>
    </row>
    <row r="76" ht="22" customHeight="1">
      <c r="B76" s="10" t="n">
        <v>72</v>
      </c>
      <c r="C76" s="15" t="inlineStr">
        <is>
          <t>Sidi Slimane</t>
        </is>
      </c>
      <c r="D76" s="10" t="inlineStr">
        <is>
          <t>OULED HCEINE</t>
        </is>
      </c>
      <c r="E76" s="10" t="inlineStr">
        <is>
          <t>50-23</t>
        </is>
      </c>
      <c r="F76" s="10" t="inlineStr">
        <is>
          <t>Entretien et réparation du réseau d'assainissement et de drainage</t>
        </is>
      </c>
      <c r="G76" s="10" t="inlineStr">
        <is>
          <t>Travaux de curage des prises des stations de pompage.</t>
        </is>
      </c>
      <c r="H76" s="10" t="inlineStr">
        <is>
          <t>Curage des siphones des station de pompage EST2 et P11/2.</t>
        </is>
      </c>
      <c r="I76" s="11" t="n">
        <v>500000</v>
      </c>
      <c r="J76" s="12" t="inlineStr">
        <is>
          <t>ml</t>
        </is>
      </c>
      <c r="K76" s="13" t="n">
        <v>167</v>
      </c>
      <c r="L76" s="51" t="n"/>
      <c r="M76" s="56">
        <f>'S23'!M76+L76</f>
        <v/>
      </c>
      <c r="N76" s="57">
        <f>IFERROR(M76/K76,0)</f>
        <v/>
      </c>
      <c r="O76" s="58">
        <f>'S23'!N76</f>
        <v/>
      </c>
      <c r="P76" s="57">
        <f>N76-O76</f>
        <v/>
      </c>
      <c r="Q76" s="32" t="n"/>
      <c r="R76" s="32" t="n"/>
      <c r="S76" s="32" t="n"/>
      <c r="T76" s="55" t="n"/>
      <c r="U76" s="58">
        <f>'S23'!T76</f>
        <v/>
      </c>
      <c r="V76" s="57">
        <f>T76-U76</f>
        <v/>
      </c>
      <c r="W76" s="57">
        <f>N76-T76</f>
        <v/>
      </c>
      <c r="X76" s="34" t="n"/>
    </row>
    <row r="77" ht="26" customHeight="1">
      <c r="B77" s="16" t="inlineStr">
        <is>
          <t>TOTAL</t>
        </is>
      </c>
      <c r="C77" s="16" t="n"/>
      <c r="D77" s="16" t="n"/>
      <c r="E77" s="16" t="n"/>
      <c r="F77" s="16" t="n"/>
      <c r="G77" s="16" t="n"/>
      <c r="H77" s="16" t="n"/>
      <c r="I77" s="17">
        <f>SUM(I5:I76)</f>
        <v/>
      </c>
      <c r="J77" s="16" t="n"/>
      <c r="K77" s="16" t="n"/>
      <c r="L77" s="59">
        <f>SUM(L5:L76)</f>
        <v/>
      </c>
      <c r="M77" s="59">
        <f>SUM(M5:M76)</f>
        <v/>
      </c>
      <c r="N77" s="60">
        <f>IFERROR(SUMPRODUCT(N5:N76,I5:I76)/I77,0)</f>
        <v/>
      </c>
      <c r="O77" s="60">
        <f>IFERROR(SUMPRODUCT(O5:O76,I5:I76)/I77,0)</f>
        <v/>
      </c>
      <c r="P77" s="60">
        <f>N77-O77</f>
        <v/>
      </c>
      <c r="Q77" s="17">
        <f>SUM(Q5:Q76)</f>
        <v/>
      </c>
      <c r="R77" s="17">
        <f>SUM(R5:R76)</f>
        <v/>
      </c>
      <c r="S77" s="17">
        <f>SUM(S5:S76)</f>
        <v/>
      </c>
      <c r="T77" s="60">
        <f>IFERROR(SUMPRODUCT(T5:T76,I5:I76)/I77,0)</f>
        <v/>
      </c>
      <c r="U77" s="60">
        <f>IFERROR(SUMPRODUCT(U5:U76,I5:I76)/I77,0)</f>
        <v/>
      </c>
      <c r="V77" s="60">
        <f>T77-U77</f>
        <v/>
      </c>
      <c r="W77" s="60">
        <f>N77-T77</f>
        <v/>
      </c>
      <c r="X77" s="16" t="n"/>
    </row>
  </sheetData>
  <sheetProtection selectLockedCells="0" selectUnlockedCells="0" sheet="1" objects="0" insertRows="1" insertHyperlinks="1" autoFilter="1" scenarios="0" formatColumns="1" deleteColumns="1" insertColumns="1" pivotTables="1" deleteRows="1" formatCells="1" formatRows="1" sort="1" password="CBBE"/>
  <mergeCells count="6">
    <mergeCell ref="E3:I3"/>
    <mergeCell ref="W3:X3"/>
    <mergeCell ref="J3:P3"/>
    <mergeCell ref="B2:X2"/>
    <mergeCell ref="C3:D3"/>
    <mergeCell ref="Q3:V3"/>
  </mergeCells>
  <conditionalFormatting sqref="P5:P76">
    <cfRule type="cellIs" priority="1" operator="greaterThan" dxfId="0">
      <formula>0</formula>
    </cfRule>
    <cfRule type="cellIs" priority="2" operator="lessThan" dxfId="1">
      <formula>0</formula>
    </cfRule>
  </conditionalFormatting>
  <conditionalFormatting sqref="V5:V76">
    <cfRule type="cellIs" priority="3" operator="greaterThan" dxfId="0">
      <formula>0</formula>
    </cfRule>
    <cfRule type="cellIs" priority="4" operator="lessThan" dxfId="1">
      <formula>0</formula>
    </cfRule>
  </conditionalFormatting>
  <conditionalFormatting sqref="W5:W76">
    <cfRule type="cellIs" priority="5" operator="greaterThan" dxfId="0">
      <formula>0.05</formula>
    </cfRule>
    <cfRule type="cellIs" priority="6" operator="lessThan" dxfId="1">
      <formula>-0.05</formula>
    </cfRule>
    <cfRule type="cellIs" priority="7" operator="between" dxfId="2">
      <formula>-0.05</formula>
      <formula>0.05</formula>
    </cfRule>
  </conditionalFormatting>
  <conditionalFormatting sqref="N5:N76">
    <cfRule type="dataBar" priority="8">
      <dataBar showValue="1">
        <cfvo type="num" val="0"/>
        <cfvo type="num" val="1"/>
        <color rgb="001B7D46"/>
      </dataBar>
    </cfRule>
  </conditionalFormatting>
  <conditionalFormatting sqref="T5:T76">
    <cfRule type="dataBar" priority="9">
      <dataBar showValue="1">
        <cfvo type="num" val="0"/>
        <cfvo type="num" val="1"/>
        <color rgb="00D4820A"/>
      </dataBar>
    </cfRule>
  </conditionalFormatting>
  <dataValidations count="2">
    <dataValidation sqref="T5:T76" showDropDown="0" showInputMessage="0" showErrorMessage="0" allowBlank="1" errorTitle="Invalide" error="Valeur entre 0% et 100%" promptTitle="Avancement %" prompt="Entrez 0.25 pour 25%" type="decimal" operator="between">
      <formula1>0</formula1>
      <formula2>1</formula2>
    </dataValidation>
    <dataValidation sqref="L5:L76" showDropDown="0" showInputMessage="0" showErrorMessage="0" allowBlank="1" errorTitle="Invalide" error="Quantité doit être &gt;= 0" promptTitle="Qté Réalisée" prompt="Entrez la quantité réalisée cette semaine" type="decimal" operator="greaterThanOrEqual">
      <formula1>0</formula1>
    </dataValidation>
  </dataValidations>
  <pageMargins left="0.75" right="0.75" top="1" bottom="1" header="0.5" footer="0.5"/>
</worksheet>
</file>

<file path=xl/worksheets/sheet5.xml><?xml version="1.0" encoding="utf-8"?>
<worksheet xmlns="http://schemas.openxmlformats.org/spreadsheetml/2006/main">
  <sheetPr>
    <tabColor rgb="00ED7D31"/>
    <outlinePr summaryBelow="1" summaryRight="1"/>
    <pageSetUpPr/>
  </sheetPr>
  <dimension ref="B2:X77"/>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5" customWidth="1" min="2" max="2"/>
    <col width="14" customWidth="1" min="3" max="3"/>
    <col width="18" customWidth="1" min="4" max="4"/>
    <col width="9" customWidth="1" min="5" max="5"/>
    <col width="32" customWidth="1" min="6" max="6"/>
    <col width="28" customWidth="1" min="7" max="7"/>
    <col width="34" customWidth="1" min="8" max="8"/>
    <col width="14" customWidth="1" min="9" max="9"/>
    <col width="8" customWidth="1" min="10" max="10"/>
    <col width="12" customWidth="1" min="11" max="11"/>
    <col width="14" customWidth="1" min="12" max="12"/>
    <col width="14" customWidth="1" min="13" max="13"/>
    <col width="14" customWidth="1" min="14" max="14"/>
    <col width="14" customWidth="1" min="15" max="15"/>
    <col width="14" customWidth="1" min="16" max="16"/>
    <col width="16" customWidth="1" min="17" max="17"/>
    <col width="16" customWidth="1" min="18" max="18"/>
    <col width="16" customWidth="1" min="19" max="19"/>
    <col width="14" customWidth="1" min="20" max="20"/>
    <col width="14" customWidth="1" min="21" max="21"/>
    <col width="14" customWidth="1" min="22" max="22"/>
    <col width="14" customWidth="1" min="23" max="23"/>
    <col width="24" customWidth="1" min="24" max="24"/>
  </cols>
  <sheetData>
    <row r="1" ht="15" customHeight="1"/>
    <row r="2" ht="32" customHeight="1">
      <c r="B2" s="1" t="inlineStr">
        <is>
          <t>Suivi Hebdomadaire - Semaine 25 (15/06 - 21/06) — Juin 2026 - Exécution Physique et Financière</t>
        </is>
      </c>
    </row>
    <row r="3" ht="22" customHeight="1">
      <c r="B3" s="20" t="inlineStr">
        <is>
          <t>Date :</t>
        </is>
      </c>
      <c r="C3" s="49" t="n">
        <v>46188</v>
      </c>
      <c r="D3" s="50" t="n"/>
      <c r="E3" s="22" t="inlineStr">
        <is>
          <t>IDENTIFICATION</t>
        </is>
      </c>
      <c r="J3" s="23" t="inlineStr">
        <is>
          <t>INDICATEURS PHYSIQUES</t>
        </is>
      </c>
      <c r="Q3" s="24" t="inlineStr">
        <is>
          <t>INDICATEURS FINANCIERS</t>
        </is>
      </c>
      <c r="W3" s="25" t="inlineStr">
        <is>
          <t>SYNTHÈSE</t>
        </is>
      </c>
    </row>
    <row r="4" ht="28" customHeight="1">
      <c r="B4" s="4" t="inlineStr">
        <is>
          <t>N°</t>
        </is>
      </c>
      <c r="C4" s="4" t="inlineStr">
        <is>
          <t>Province</t>
        </is>
      </c>
      <c r="D4" s="4" t="inlineStr">
        <is>
          <t>Commune</t>
        </is>
      </c>
      <c r="E4" s="4" t="inlineStr">
        <is>
          <t>Rubrique</t>
        </is>
      </c>
      <c r="F4" s="4" t="inlineStr">
        <is>
          <t>Intitulé Rubrique</t>
        </is>
      </c>
      <c r="G4" s="4" t="inlineStr">
        <is>
          <t>Projet</t>
        </is>
      </c>
      <c r="H4" s="4" t="inlineStr">
        <is>
          <t>Consistance</t>
        </is>
      </c>
      <c r="I4" s="4" t="inlineStr">
        <is>
          <t>Coût Total (DH)</t>
        </is>
      </c>
      <c r="J4" s="26" t="inlineStr">
        <is>
          <t>Unité</t>
        </is>
      </c>
      <c r="K4" s="26" t="inlineStr">
        <is>
          <t>Qté Prévue</t>
        </is>
      </c>
      <c r="L4" s="26" t="inlineStr">
        <is>
          <t>Qté Réalisée Sem.</t>
        </is>
      </c>
      <c r="M4" s="26" t="inlineStr">
        <is>
          <t>Qté Réalisée Cumul</t>
        </is>
      </c>
      <c r="N4" s="26" t="inlineStr">
        <is>
          <t>Avancement Physique %</t>
        </is>
      </c>
      <c r="O4" s="26" t="inlineStr">
        <is>
          <t>% Phys. Sem. Préc.</t>
        </is>
      </c>
      <c r="P4" s="26" t="inlineStr">
        <is>
          <t>Accroissement Phys. %</t>
        </is>
      </c>
      <c r="Q4" s="27" t="inlineStr">
        <is>
          <t>Montant Décaissé (DH)</t>
        </is>
      </c>
      <c r="R4" s="27" t="inlineStr">
        <is>
          <t>Montant Payé (DH)</t>
        </is>
      </c>
      <c r="S4" s="27" t="inlineStr">
        <is>
          <t>Montant Ordonné (DH)</t>
        </is>
      </c>
      <c r="T4" s="27" t="inlineStr">
        <is>
          <t>Avancement Financier %</t>
        </is>
      </c>
      <c r="U4" s="27" t="inlineStr">
        <is>
          <t>% Fin. Sem. Préc.</t>
        </is>
      </c>
      <c r="V4" s="27" t="inlineStr">
        <is>
          <t>Accroissement Fin. %</t>
        </is>
      </c>
      <c r="W4" s="28" t="inlineStr">
        <is>
          <t>Écart Phys.-Fin.</t>
        </is>
      </c>
      <c r="X4" s="28" t="inlineStr">
        <is>
          <t>Observations</t>
        </is>
      </c>
    </row>
    <row r="5" ht="22" customHeight="1">
      <c r="B5" s="5" t="n">
        <v>1</v>
      </c>
      <c r="C5" s="6" t="inlineStr">
        <is>
          <t>Sidi Kacem</t>
        </is>
      </c>
      <c r="D5" s="5" t="inlineStr">
        <is>
          <t>KHENICHET</t>
        </is>
      </c>
      <c r="E5" s="5" t="inlineStr">
        <is>
          <t>50-23</t>
        </is>
      </c>
      <c r="F5" s="5" t="inlineStr">
        <is>
          <t>Entretien et réparation du réseau d'assainissement et de drainage</t>
        </is>
      </c>
      <c r="G5" s="5" t="inlineStr">
        <is>
          <t>Travaux de curage des canaux en terre</t>
        </is>
      </c>
      <c r="H5" s="5" t="inlineStr">
        <is>
          <t>Curage des collecteurs d'assainissement du secteur EST2</t>
        </is>
      </c>
      <c r="I5" s="7" t="n">
        <v>2091568</v>
      </c>
      <c r="J5" s="8" t="inlineStr">
        <is>
          <t>ml</t>
        </is>
      </c>
      <c r="K5" s="9" t="n">
        <v>1046</v>
      </c>
      <c r="L5" s="51" t="n"/>
      <c r="M5" s="52">
        <f>'S24'!M5+L5</f>
        <v/>
      </c>
      <c r="N5" s="53">
        <f>IFERROR(M5/K5,0)</f>
        <v/>
      </c>
      <c r="O5" s="54">
        <f>'S24'!N5</f>
        <v/>
      </c>
      <c r="P5" s="53">
        <f>N5-O5</f>
        <v/>
      </c>
      <c r="Q5" s="32" t="n"/>
      <c r="R5" s="32" t="n"/>
      <c r="S5" s="32" t="n"/>
      <c r="T5" s="55" t="n"/>
      <c r="U5" s="54">
        <f>'S24'!T5</f>
        <v/>
      </c>
      <c r="V5" s="53">
        <f>T5-U5</f>
        <v/>
      </c>
      <c r="W5" s="53">
        <f>N5-T5</f>
        <v/>
      </c>
      <c r="X5" s="34" t="n"/>
    </row>
    <row r="6" ht="22" customHeight="1">
      <c r="B6" s="10" t="n">
        <v>2</v>
      </c>
      <c r="C6" s="6" t="inlineStr">
        <is>
          <t>Sidi Kacem</t>
        </is>
      </c>
      <c r="D6" s="10" t="inlineStr">
        <is>
          <t>KHENICHET</t>
        </is>
      </c>
      <c r="E6" s="10" t="inlineStr">
        <is>
          <t>40-21</t>
        </is>
      </c>
      <c r="F6" s="10" t="inlineStr">
        <is>
          <t>Travaux de pistes</t>
        </is>
      </c>
      <c r="G6" s="10" t="inlineStr">
        <is>
          <t>Travaux de réhabilitation des pistes agricoles</t>
        </is>
      </c>
      <c r="H6" s="10" t="inlineStr">
        <is>
          <t>Entretien des pistes agricoles Douar Nouagra et Douar ouled Salem</t>
        </is>
      </c>
      <c r="I6" s="11" t="n">
        <v>78000</v>
      </c>
      <c r="J6" s="12" t="inlineStr">
        <is>
          <t>km</t>
        </is>
      </c>
      <c r="K6" s="13" t="n">
        <v>1</v>
      </c>
      <c r="L6" s="51" t="n"/>
      <c r="M6" s="56">
        <f>'S24'!M6+L6</f>
        <v/>
      </c>
      <c r="N6" s="57">
        <f>IFERROR(M6/K6,0)</f>
        <v/>
      </c>
      <c r="O6" s="58">
        <f>'S24'!N6</f>
        <v/>
      </c>
      <c r="P6" s="57">
        <f>N6-O6</f>
        <v/>
      </c>
      <c r="Q6" s="32" t="n"/>
      <c r="R6" s="32" t="n"/>
      <c r="S6" s="32" t="n"/>
      <c r="T6" s="55" t="n"/>
      <c r="U6" s="58">
        <f>'S24'!T6</f>
        <v/>
      </c>
      <c r="V6" s="57">
        <f>T6-U6</f>
        <v/>
      </c>
      <c r="W6" s="57">
        <f>N6-T6</f>
        <v/>
      </c>
      <c r="X6" s="34" t="n"/>
    </row>
    <row r="7" ht="22" customHeight="1">
      <c r="B7" s="5" t="n">
        <v>3</v>
      </c>
      <c r="C7" s="6" t="inlineStr">
        <is>
          <t>Sidi Kacem</t>
        </is>
      </c>
      <c r="D7" s="5" t="inlineStr">
        <is>
          <t>KHENICHET</t>
        </is>
      </c>
      <c r="E7" s="5" t="inlineStr">
        <is>
          <t>50-23</t>
        </is>
      </c>
      <c r="F7" s="5" t="inlineStr">
        <is>
          <t>Entretien et réparation du réseau d'assainissement et de drainage</t>
        </is>
      </c>
      <c r="G7" s="5" t="inlineStr">
        <is>
          <t>Curage des prises sur l’oued, bâche d’aspiration et bassin de régulation.</t>
        </is>
      </c>
      <c r="H7" s="5" t="inlineStr">
        <is>
          <t>Curage de la chambre des joints de démontage des siphonnes  de la station de pompage EST2.</t>
        </is>
      </c>
      <c r="I7" s="7" t="n">
        <v>126000</v>
      </c>
      <c r="J7" s="8" t="inlineStr">
        <is>
          <t>ml</t>
        </is>
      </c>
      <c r="K7" s="9" t="n">
        <v>42</v>
      </c>
      <c r="L7" s="51" t="n"/>
      <c r="M7" s="52">
        <f>'S24'!M7+L7</f>
        <v/>
      </c>
      <c r="N7" s="53">
        <f>IFERROR(M7/K7,0)</f>
        <v/>
      </c>
      <c r="O7" s="54">
        <f>'S24'!N7</f>
        <v/>
      </c>
      <c r="P7" s="53">
        <f>N7-O7</f>
        <v/>
      </c>
      <c r="Q7" s="32" t="n"/>
      <c r="R7" s="32" t="n"/>
      <c r="S7" s="32" t="n"/>
      <c r="T7" s="55" t="n"/>
      <c r="U7" s="54">
        <f>'S24'!T7</f>
        <v/>
      </c>
      <c r="V7" s="53">
        <f>T7-U7</f>
        <v/>
      </c>
      <c r="W7" s="53">
        <f>N7-T7</f>
        <v/>
      </c>
      <c r="X7" s="34" t="n"/>
    </row>
    <row r="8" ht="22" customHeight="1">
      <c r="B8" s="10" t="n">
        <v>4</v>
      </c>
      <c r="C8" s="6" t="inlineStr">
        <is>
          <t>Sidi Kacem</t>
        </is>
      </c>
      <c r="D8" s="10" t="inlineStr">
        <is>
          <t>KHENICHET</t>
        </is>
      </c>
      <c r="E8" s="10" t="inlineStr">
        <is>
          <t>50-21</t>
        </is>
      </c>
      <c r="F8" s="10" t="inlineStr">
        <is>
          <t>Entretien et réparation des stations de pompage</t>
        </is>
      </c>
      <c r="G8" s="10" t="inlineStr">
        <is>
          <t>Prestation de maintenance des débitmètres et leurs équipements annexes installés au niveau des station de pompage</t>
        </is>
      </c>
      <c r="H8" s="10" t="inlineStr">
        <is>
          <t>Changement trois débitmètre Ø 600mm inondés de la station de pompage EST 2 et deux capteurs VEGASON 62</t>
        </is>
      </c>
      <c r="I8" s="11" t="n">
        <v>165500</v>
      </c>
      <c r="J8" s="12" t="inlineStr">
        <is>
          <t>U</t>
        </is>
      </c>
      <c r="K8" s="13" t="n">
        <v>3</v>
      </c>
      <c r="L8" s="51" t="n"/>
      <c r="M8" s="56">
        <f>'S24'!M8+L8</f>
        <v/>
      </c>
      <c r="N8" s="57">
        <f>IFERROR(M8/K8,0)</f>
        <v/>
      </c>
      <c r="O8" s="58">
        <f>'S24'!N8</f>
        <v/>
      </c>
      <c r="P8" s="57">
        <f>N8-O8</f>
        <v/>
      </c>
      <c r="Q8" s="32" t="n"/>
      <c r="R8" s="32" t="n"/>
      <c r="S8" s="32" t="n"/>
      <c r="T8" s="55" t="n"/>
      <c r="U8" s="58">
        <f>'S24'!T8</f>
        <v/>
      </c>
      <c r="V8" s="57">
        <f>T8-U8</f>
        <v/>
      </c>
      <c r="W8" s="57">
        <f>N8-T8</f>
        <v/>
      </c>
      <c r="X8" s="34" t="n"/>
    </row>
    <row r="9" ht="22" customHeight="1">
      <c r="B9" s="5" t="n">
        <v>5</v>
      </c>
      <c r="C9" s="6" t="inlineStr">
        <is>
          <t>Sidi Kacem</t>
        </is>
      </c>
      <c r="D9" s="5" t="inlineStr">
        <is>
          <t>BIR TALEB</t>
        </is>
      </c>
      <c r="E9" s="5" t="inlineStr">
        <is>
          <t>50-23</t>
        </is>
      </c>
      <c r="F9" s="5" t="inlineStr">
        <is>
          <t>Entretien et réparation du réseau d'assainissement et de drainage</t>
        </is>
      </c>
      <c r="G9" s="5" t="inlineStr">
        <is>
          <t>Travaux de curage des canaux en terre</t>
        </is>
      </c>
      <c r="H9" s="5" t="inlineStr">
        <is>
          <t>Curage du canal d'assainisement Tihli Aval</t>
        </is>
      </c>
      <c r="I9" s="7" t="n">
        <v>1000000</v>
      </c>
      <c r="J9" s="8" t="inlineStr">
        <is>
          <t>ml</t>
        </is>
      </c>
      <c r="K9" s="9" t="n">
        <v>500</v>
      </c>
      <c r="L9" s="51" t="n"/>
      <c r="M9" s="52">
        <f>'S24'!M9+L9</f>
        <v/>
      </c>
      <c r="N9" s="53">
        <f>IFERROR(M9/K9,0)</f>
        <v/>
      </c>
      <c r="O9" s="54">
        <f>'S24'!N9</f>
        <v/>
      </c>
      <c r="P9" s="53">
        <f>N9-O9</f>
        <v/>
      </c>
      <c r="Q9" s="32" t="n"/>
      <c r="R9" s="32" t="n"/>
      <c r="S9" s="32" t="n"/>
      <c r="T9" s="55" t="n"/>
      <c r="U9" s="54">
        <f>'S24'!T9</f>
        <v/>
      </c>
      <c r="V9" s="53">
        <f>T9-U9</f>
        <v/>
      </c>
      <c r="W9" s="53">
        <f>N9-T9</f>
        <v/>
      </c>
      <c r="X9" s="34" t="n"/>
    </row>
    <row r="10" ht="22" customHeight="1">
      <c r="B10" s="10" t="n">
        <v>6</v>
      </c>
      <c r="C10" s="6" t="inlineStr">
        <is>
          <t>Sidi Kacem</t>
        </is>
      </c>
      <c r="D10" s="10" t="inlineStr">
        <is>
          <t>BIR TALEB</t>
        </is>
      </c>
      <c r="E10" s="10" t="inlineStr">
        <is>
          <t>50-23</t>
        </is>
      </c>
      <c r="F10" s="10" t="inlineStr">
        <is>
          <t>Entretien et réparation du réseau d'assainissement et de drainage</t>
        </is>
      </c>
      <c r="G10" s="10" t="inlineStr"/>
      <c r="H10" s="10" t="inlineStr">
        <is>
          <t>Curage des collecteurs d'assainissement du secteur P11/1</t>
        </is>
      </c>
      <c r="I10" s="11" t="n">
        <v>846731</v>
      </c>
      <c r="J10" s="12" t="inlineStr">
        <is>
          <t>ml</t>
        </is>
      </c>
      <c r="K10" s="13" t="n">
        <v>423</v>
      </c>
      <c r="L10" s="51" t="n"/>
      <c r="M10" s="56">
        <f>'S24'!M10+L10</f>
        <v/>
      </c>
      <c r="N10" s="57">
        <f>IFERROR(M10/K10,0)</f>
        <v/>
      </c>
      <c r="O10" s="58">
        <f>'S24'!N10</f>
        <v/>
      </c>
      <c r="P10" s="57">
        <f>N10-O10</f>
        <v/>
      </c>
      <c r="Q10" s="32" t="n"/>
      <c r="R10" s="32" t="n"/>
      <c r="S10" s="32" t="n"/>
      <c r="T10" s="55" t="n"/>
      <c r="U10" s="58">
        <f>'S24'!T10</f>
        <v/>
      </c>
      <c r="V10" s="57">
        <f>T10-U10</f>
        <v/>
      </c>
      <c r="W10" s="57">
        <f>N10-T10</f>
        <v/>
      </c>
      <c r="X10" s="34" t="n"/>
    </row>
    <row r="11" ht="22" customHeight="1">
      <c r="B11" s="5" t="n">
        <v>7</v>
      </c>
      <c r="C11" s="6" t="inlineStr">
        <is>
          <t>Sidi Kacem</t>
        </is>
      </c>
      <c r="D11" s="5" t="inlineStr">
        <is>
          <t>BIR TALEB</t>
        </is>
      </c>
      <c r="E11" s="5" t="inlineStr">
        <is>
          <t>50-23</t>
        </is>
      </c>
      <c r="F11" s="5" t="inlineStr">
        <is>
          <t>Entretien et réparation du réseau d'assainissement et de drainage</t>
        </is>
      </c>
      <c r="G11" s="5" t="inlineStr">
        <is>
          <t>Curage des prises sur l’oued, bâche d’aspiration et bassin de régulation.</t>
        </is>
      </c>
      <c r="H11" s="5" t="inlineStr">
        <is>
          <t>Curage des prises sur l’oued de la station de pompage P11/1.</t>
        </is>
      </c>
      <c r="I11" s="7" t="n">
        <v>200000</v>
      </c>
      <c r="J11" s="8" t="inlineStr">
        <is>
          <t>ml</t>
        </is>
      </c>
      <c r="K11" s="9" t="n">
        <v>67</v>
      </c>
      <c r="L11" s="51" t="n"/>
      <c r="M11" s="52">
        <f>'S24'!M11+L11</f>
        <v/>
      </c>
      <c r="N11" s="53">
        <f>IFERROR(M11/K11,0)</f>
        <v/>
      </c>
      <c r="O11" s="54">
        <f>'S24'!N11</f>
        <v/>
      </c>
      <c r="P11" s="53">
        <f>N11-O11</f>
        <v/>
      </c>
      <c r="Q11" s="32" t="n"/>
      <c r="R11" s="32" t="n"/>
      <c r="S11" s="32" t="n"/>
      <c r="T11" s="55" t="n"/>
      <c r="U11" s="54">
        <f>'S24'!T11</f>
        <v/>
      </c>
      <c r="V11" s="53">
        <f>T11-U11</f>
        <v/>
      </c>
      <c r="W11" s="53">
        <f>N11-T11</f>
        <v/>
      </c>
      <c r="X11" s="34" t="n"/>
    </row>
    <row r="12" ht="22" customHeight="1">
      <c r="B12" s="10" t="n">
        <v>8</v>
      </c>
      <c r="C12" s="6" t="inlineStr">
        <is>
          <t>Sidi Kacem</t>
        </is>
      </c>
      <c r="D12" s="10" t="inlineStr">
        <is>
          <t>BIR TALEB</t>
        </is>
      </c>
      <c r="E12" s="10" t="inlineStr">
        <is>
          <t>50-21</t>
        </is>
      </c>
      <c r="F12" s="10" t="inlineStr">
        <is>
          <t>Entretien et réparation des stations de pompage</t>
        </is>
      </c>
      <c r="G12" s="10" t="inlineStr">
        <is>
          <t>Prestation de maintenance des débitmètres et leurs équipements annexes installés au niveau des station de pompage</t>
        </is>
      </c>
      <c r="H12" s="10" t="inlineStr">
        <is>
          <t>Changement trois débitmètre Ø 400mm inondés de la station de pompage P11/1</t>
        </is>
      </c>
      <c r="I12" s="11" t="n">
        <v>141900</v>
      </c>
      <c r="J12" s="12" t="inlineStr">
        <is>
          <t>U</t>
        </is>
      </c>
      <c r="K12" s="13" t="n">
        <v>3</v>
      </c>
      <c r="L12" s="51" t="n"/>
      <c r="M12" s="56">
        <f>'S24'!M12+L12</f>
        <v/>
      </c>
      <c r="N12" s="57">
        <f>IFERROR(M12/K12,0)</f>
        <v/>
      </c>
      <c r="O12" s="58">
        <f>'S24'!N12</f>
        <v/>
      </c>
      <c r="P12" s="57">
        <f>N12-O12</f>
        <v/>
      </c>
      <c r="Q12" s="32" t="n"/>
      <c r="R12" s="32" t="n"/>
      <c r="S12" s="32" t="n"/>
      <c r="T12" s="55" t="n"/>
      <c r="U12" s="58">
        <f>'S24'!T12</f>
        <v/>
      </c>
      <c r="V12" s="57">
        <f>T12-U12</f>
        <v/>
      </c>
      <c r="W12" s="57">
        <f>N12-T12</f>
        <v/>
      </c>
      <c r="X12" s="34" t="n"/>
    </row>
    <row r="13" ht="22" customHeight="1">
      <c r="B13" s="5" t="n">
        <v>9</v>
      </c>
      <c r="C13" s="6" t="inlineStr">
        <is>
          <t>Sidi Kacem</t>
        </is>
      </c>
      <c r="D13" s="5" t="inlineStr">
        <is>
          <t>BIR TALEB</t>
        </is>
      </c>
      <c r="E13" s="5" t="inlineStr">
        <is>
          <t>50-21</t>
        </is>
      </c>
      <c r="F13" s="5" t="inlineStr">
        <is>
          <t>Entretien et réparation des stations de pompage</t>
        </is>
      </c>
      <c r="G13" s="5" t="inlineStr">
        <is>
          <t>Prestations de maintenance et de réparation mécanique des pompes et des groupes motopompes submersibles des stations de pompage.</t>
        </is>
      </c>
      <c r="H13" s="5" t="inlineStr">
        <is>
          <t>Démontage et expertise des roues des  pompes principaux et pompes a vide de la station P11/1
Changement des roulements, tresses et organes d’effectués de la station P11/1</t>
        </is>
      </c>
      <c r="I13" s="7" t="n">
        <v>26700</v>
      </c>
      <c r="J13" s="8" t="inlineStr">
        <is>
          <t>U</t>
        </is>
      </c>
      <c r="K13" s="9" t="n">
        <v>1</v>
      </c>
      <c r="L13" s="51" t="n"/>
      <c r="M13" s="52">
        <f>'S24'!M13+L13</f>
        <v/>
      </c>
      <c r="N13" s="53">
        <f>IFERROR(M13/K13,0)</f>
        <v/>
      </c>
      <c r="O13" s="54">
        <f>'S24'!N13</f>
        <v/>
      </c>
      <c r="P13" s="53">
        <f>N13-O13</f>
        <v/>
      </c>
      <c r="Q13" s="32" t="n"/>
      <c r="R13" s="32" t="n"/>
      <c r="S13" s="32" t="n"/>
      <c r="T13" s="55" t="n"/>
      <c r="U13" s="54">
        <f>'S24'!T13</f>
        <v/>
      </c>
      <c r="V13" s="53">
        <f>T13-U13</f>
        <v/>
      </c>
      <c r="W13" s="53">
        <f>N13-T13</f>
        <v/>
      </c>
      <c r="X13" s="34" t="n"/>
    </row>
    <row r="14" ht="22" customHeight="1">
      <c r="B14" s="10" t="n">
        <v>10</v>
      </c>
      <c r="C14" s="6" t="inlineStr">
        <is>
          <t>Sidi Kacem</t>
        </is>
      </c>
      <c r="D14" s="10" t="inlineStr">
        <is>
          <t>BIR TALEB</t>
        </is>
      </c>
      <c r="E14" s="10" t="inlineStr">
        <is>
          <t>50-21</t>
        </is>
      </c>
      <c r="F14" s="10" t="inlineStr">
        <is>
          <t>Entretien et réparation des stations de pompage</t>
        </is>
      </c>
      <c r="G14" s="10" t="inlineStr">
        <is>
          <t>Stabilisation Berge oued</t>
        </is>
      </c>
      <c r="H14" s="10" t="inlineStr">
        <is>
          <t>Pose de  gabions et recouvrement du talus par matelas Reno des stations de pompage P11/1.</t>
        </is>
      </c>
      <c r="I14" s="11" t="n">
        <v>480000</v>
      </c>
      <c r="J14" s="12" t="inlineStr">
        <is>
          <t>m³</t>
        </is>
      </c>
      <c r="K14" s="13" t="n">
        <v>320</v>
      </c>
      <c r="L14" s="51" t="n"/>
      <c r="M14" s="56">
        <f>'S24'!M14+L14</f>
        <v/>
      </c>
      <c r="N14" s="57">
        <f>IFERROR(M14/K14,0)</f>
        <v/>
      </c>
      <c r="O14" s="58">
        <f>'S24'!N14</f>
        <v/>
      </c>
      <c r="P14" s="57">
        <f>N14-O14</f>
        <v/>
      </c>
      <c r="Q14" s="32" t="n"/>
      <c r="R14" s="32" t="n"/>
      <c r="S14" s="32" t="n"/>
      <c r="T14" s="55" t="n"/>
      <c r="U14" s="58">
        <f>'S24'!T14</f>
        <v/>
      </c>
      <c r="V14" s="57">
        <f>T14-U14</f>
        <v/>
      </c>
      <c r="W14" s="57">
        <f>N14-T14</f>
        <v/>
      </c>
      <c r="X14" s="34" t="n"/>
    </row>
    <row r="15" ht="22" customHeight="1">
      <c r="B15" s="5" t="n">
        <v>11</v>
      </c>
      <c r="C15" s="6" t="inlineStr">
        <is>
          <t>Sidi Kacem</t>
        </is>
      </c>
      <c r="D15" s="5" t="inlineStr">
        <is>
          <t>BIR TALEB</t>
        </is>
      </c>
      <c r="E15" s="5" t="inlineStr">
        <is>
          <t>50-21</t>
        </is>
      </c>
      <c r="F15" s="5" t="inlineStr">
        <is>
          <t>Entretien et réparation des stations de pompage</t>
        </is>
      </c>
      <c r="G15" s="5" t="inlineStr">
        <is>
          <t>Génie civile des locaux des stations de pompage.</t>
        </is>
      </c>
      <c r="H15" s="5" t="inlineStr">
        <is>
          <t>Expertise d’état et d’étanchéité des locaux pompes.
Renforcement d’étanchéité des locaux pompe sous niveau des oueds des stations de pompage P11/1.
Entretien des supports en béton des conduites d’aspiration.</t>
        </is>
      </c>
      <c r="I15" s="7" t="n">
        <v>300000</v>
      </c>
      <c r="J15" s="8" t="inlineStr">
        <is>
          <t>U</t>
        </is>
      </c>
      <c r="K15" s="9" t="n">
        <v>1</v>
      </c>
      <c r="L15" s="51" t="n"/>
      <c r="M15" s="52">
        <f>'S24'!M15+L15</f>
        <v/>
      </c>
      <c r="N15" s="53">
        <f>IFERROR(M15/K15,0)</f>
        <v/>
      </c>
      <c r="O15" s="54">
        <f>'S24'!N15</f>
        <v/>
      </c>
      <c r="P15" s="53">
        <f>N15-O15</f>
        <v/>
      </c>
      <c r="Q15" s="32" t="n"/>
      <c r="R15" s="32" t="n"/>
      <c r="S15" s="32" t="n"/>
      <c r="T15" s="55" t="n"/>
      <c r="U15" s="54">
        <f>'S24'!T15</f>
        <v/>
      </c>
      <c r="V15" s="53">
        <f>T15-U15</f>
        <v/>
      </c>
      <c r="W15" s="53">
        <f>N15-T15</f>
        <v/>
      </c>
      <c r="X15" s="34" t="n"/>
    </row>
    <row r="16" ht="22" customHeight="1">
      <c r="B16" s="10" t="n">
        <v>12</v>
      </c>
      <c r="C16" s="6" t="inlineStr">
        <is>
          <t>Sidi Kacem</t>
        </is>
      </c>
      <c r="D16" s="10" t="inlineStr">
        <is>
          <t>CHEBANAT</t>
        </is>
      </c>
      <c r="E16" s="10" t="inlineStr">
        <is>
          <t>50-23</t>
        </is>
      </c>
      <c r="F16" s="10" t="inlineStr">
        <is>
          <t>Entretien et réparation du réseau d'assainissement et de drainage</t>
        </is>
      </c>
      <c r="G16" s="10" t="inlineStr">
        <is>
          <t>Travaux de curage des canaux en terre</t>
        </is>
      </c>
      <c r="H16" s="10" t="inlineStr">
        <is>
          <t>Curage des collecteurs d'assainissement des secteur SH5 et SH6.</t>
        </is>
      </c>
      <c r="I16" s="11" t="n">
        <v>1000000</v>
      </c>
      <c r="J16" s="12" t="inlineStr">
        <is>
          <t>ml</t>
        </is>
      </c>
      <c r="K16" s="13" t="n">
        <v>500</v>
      </c>
      <c r="L16" s="51" t="n"/>
      <c r="M16" s="56">
        <f>'S24'!M16+L16</f>
        <v/>
      </c>
      <c r="N16" s="57">
        <f>IFERROR(M16/K16,0)</f>
        <v/>
      </c>
      <c r="O16" s="58">
        <f>'S24'!N16</f>
        <v/>
      </c>
      <c r="P16" s="57">
        <f>N16-O16</f>
        <v/>
      </c>
      <c r="Q16" s="32" t="n"/>
      <c r="R16" s="32" t="n"/>
      <c r="S16" s="32" t="n"/>
      <c r="T16" s="55" t="n"/>
      <c r="U16" s="58">
        <f>'S24'!T16</f>
        <v/>
      </c>
      <c r="V16" s="57">
        <f>T16-U16</f>
        <v/>
      </c>
      <c r="W16" s="57">
        <f>N16-T16</f>
        <v/>
      </c>
      <c r="X16" s="34" t="n"/>
    </row>
    <row r="17" ht="22" customHeight="1">
      <c r="B17" s="5" t="n">
        <v>13</v>
      </c>
      <c r="C17" s="6" t="inlineStr">
        <is>
          <t>Sidi Kacem</t>
        </is>
      </c>
      <c r="D17" s="5" t="inlineStr">
        <is>
          <t>CHEBANAT</t>
        </is>
      </c>
      <c r="E17" s="5" t="inlineStr">
        <is>
          <t>50-23</t>
        </is>
      </c>
      <c r="F17" s="5" t="inlineStr">
        <is>
          <t>Entretien et réparation du réseau d'assainissement et de drainage</t>
        </is>
      </c>
      <c r="G17" s="5" t="inlineStr">
        <is>
          <t>Travaux de curage des canaux révetus</t>
        </is>
      </c>
      <c r="H17" s="5" t="inlineStr">
        <is>
          <t>Curage du canal principal d'irrigation beht partie aval 1.</t>
        </is>
      </c>
      <c r="I17" s="7" t="n">
        <v>739200</v>
      </c>
      <c r="J17" s="8" t="inlineStr">
        <is>
          <t>ml</t>
        </is>
      </c>
      <c r="K17" s="9" t="n">
        <v>370</v>
      </c>
      <c r="L17" s="51" t="n"/>
      <c r="M17" s="52">
        <f>'S24'!M17+L17</f>
        <v/>
      </c>
      <c r="N17" s="53">
        <f>IFERROR(M17/K17,0)</f>
        <v/>
      </c>
      <c r="O17" s="54">
        <f>'S24'!N17</f>
        <v/>
      </c>
      <c r="P17" s="53">
        <f>N17-O17</f>
        <v/>
      </c>
      <c r="Q17" s="32" t="n"/>
      <c r="R17" s="32" t="n"/>
      <c r="S17" s="32" t="n"/>
      <c r="T17" s="55" t="n"/>
      <c r="U17" s="54">
        <f>'S24'!T17</f>
        <v/>
      </c>
      <c r="V17" s="53">
        <f>T17-U17</f>
        <v/>
      </c>
      <c r="W17" s="53">
        <f>N17-T17</f>
        <v/>
      </c>
      <c r="X17" s="34" t="n"/>
    </row>
    <row r="18" ht="22" customHeight="1">
      <c r="B18" s="10" t="n">
        <v>14</v>
      </c>
      <c r="C18" s="6" t="inlineStr">
        <is>
          <t>Sidi Kacem</t>
        </is>
      </c>
      <c r="D18" s="10" t="inlineStr">
        <is>
          <t>ZIRARA</t>
        </is>
      </c>
      <c r="E18" s="10" t="inlineStr">
        <is>
          <t>50-23</t>
        </is>
      </c>
      <c r="F18" s="10" t="inlineStr">
        <is>
          <t>Entretien et réparation du réseau d'assainissement et de drainage</t>
        </is>
      </c>
      <c r="G18" s="10" t="inlineStr">
        <is>
          <t>Travaux de curage des canaux révetus</t>
        </is>
      </c>
      <c r="H18" s="10" t="inlineStr">
        <is>
          <t>Curage du canal principal d'irrigation beht partie aval 2.</t>
        </is>
      </c>
      <c r="I18" s="11" t="n">
        <v>1276800</v>
      </c>
      <c r="J18" s="12" t="inlineStr">
        <is>
          <t>ml</t>
        </is>
      </c>
      <c r="K18" s="13" t="n">
        <v>638</v>
      </c>
      <c r="L18" s="51" t="n"/>
      <c r="M18" s="56">
        <f>'S24'!M18+L18</f>
        <v/>
      </c>
      <c r="N18" s="57">
        <f>IFERROR(M18/K18,0)</f>
        <v/>
      </c>
      <c r="O18" s="58">
        <f>'S24'!N18</f>
        <v/>
      </c>
      <c r="P18" s="57">
        <f>N18-O18</f>
        <v/>
      </c>
      <c r="Q18" s="32" t="n"/>
      <c r="R18" s="32" t="n"/>
      <c r="S18" s="32" t="n"/>
      <c r="T18" s="55" t="n"/>
      <c r="U18" s="58">
        <f>'S24'!T18</f>
        <v/>
      </c>
      <c r="V18" s="57">
        <f>T18-U18</f>
        <v/>
      </c>
      <c r="W18" s="57">
        <f>N18-T18</f>
        <v/>
      </c>
      <c r="X18" s="34" t="n"/>
    </row>
    <row r="19" ht="22" customHeight="1">
      <c r="B19" s="5" t="n">
        <v>15</v>
      </c>
      <c r="C19" s="6" t="inlineStr">
        <is>
          <t>Sidi Kacem</t>
        </is>
      </c>
      <c r="D19" s="5" t="inlineStr">
        <is>
          <t>DAR LAASLOUJI</t>
        </is>
      </c>
      <c r="E19" s="5" t="inlineStr">
        <is>
          <t>50-23</t>
        </is>
      </c>
      <c r="F19" s="5" t="inlineStr">
        <is>
          <t>Entretien et réparation du réseau d'assainissement et de drainage</t>
        </is>
      </c>
      <c r="G19" s="5" t="inlineStr">
        <is>
          <t>Travaux de curage des canaux en terre</t>
        </is>
      </c>
      <c r="H19" s="5" t="inlineStr">
        <is>
          <t>Curage des collecteurs d'assainissement des secteurs P8-1 et P8-2</t>
        </is>
      </c>
      <c r="I19" s="7" t="n">
        <v>5796360</v>
      </c>
      <c r="J19" s="8" t="inlineStr">
        <is>
          <t>ml</t>
        </is>
      </c>
      <c r="K19" s="9" t="n">
        <v>2898</v>
      </c>
      <c r="L19" s="51" t="n"/>
      <c r="M19" s="52">
        <f>'S24'!M19+L19</f>
        <v/>
      </c>
      <c r="N19" s="53">
        <f>IFERROR(M19/K19,0)</f>
        <v/>
      </c>
      <c r="O19" s="54">
        <f>'S24'!N19</f>
        <v/>
      </c>
      <c r="P19" s="53">
        <f>N19-O19</f>
        <v/>
      </c>
      <c r="Q19" s="32" t="n"/>
      <c r="R19" s="32" t="n"/>
      <c r="S19" s="32" t="n"/>
      <c r="T19" s="55" t="n"/>
      <c r="U19" s="54">
        <f>'S24'!T19</f>
        <v/>
      </c>
      <c r="V19" s="53">
        <f>T19-U19</f>
        <v/>
      </c>
      <c r="W19" s="53">
        <f>N19-T19</f>
        <v/>
      </c>
      <c r="X19" s="34" t="n"/>
    </row>
    <row r="20" ht="22" customHeight="1">
      <c r="B20" s="10" t="n">
        <v>16</v>
      </c>
      <c r="C20" s="6" t="inlineStr">
        <is>
          <t>Sidi Kacem</t>
        </is>
      </c>
      <c r="D20" s="10" t="inlineStr">
        <is>
          <t>DAR LAASLOUJI</t>
        </is>
      </c>
      <c r="E20" s="10" t="inlineStr">
        <is>
          <t>40-21</t>
        </is>
      </c>
      <c r="F20" s="10" t="inlineStr">
        <is>
          <t>Travaux de pistes</t>
        </is>
      </c>
      <c r="G20" s="10" t="inlineStr">
        <is>
          <t>Entretien des pistes agricoles</t>
        </is>
      </c>
      <c r="H20" s="10" t="inlineStr">
        <is>
          <t>Entretien des pistes agricoles</t>
        </is>
      </c>
      <c r="I20" s="11" t="n">
        <v>340000</v>
      </c>
      <c r="J20" s="12" t="inlineStr">
        <is>
          <t>km</t>
        </is>
      </c>
      <c r="K20" s="13" t="n">
        <v>1</v>
      </c>
      <c r="L20" s="51" t="n"/>
      <c r="M20" s="56">
        <f>'S24'!M20+L20</f>
        <v/>
      </c>
      <c r="N20" s="57">
        <f>IFERROR(M20/K20,0)</f>
        <v/>
      </c>
      <c r="O20" s="58">
        <f>'S24'!N20</f>
        <v/>
      </c>
      <c r="P20" s="57">
        <f>N20-O20</f>
        <v/>
      </c>
      <c r="Q20" s="32" t="n"/>
      <c r="R20" s="32" t="n"/>
      <c r="S20" s="32" t="n"/>
      <c r="T20" s="55" t="n"/>
      <c r="U20" s="58">
        <f>'S24'!T20</f>
        <v/>
      </c>
      <c r="V20" s="57">
        <f>T20-U20</f>
        <v/>
      </c>
      <c r="W20" s="57">
        <f>N20-T20</f>
        <v/>
      </c>
      <c r="X20" s="34" t="n"/>
    </row>
    <row r="21" ht="22" customHeight="1">
      <c r="B21" s="5" t="n">
        <v>17</v>
      </c>
      <c r="C21" s="6" t="inlineStr">
        <is>
          <t>Sidi Kacem</t>
        </is>
      </c>
      <c r="D21" s="5" t="inlineStr">
        <is>
          <t>HOUAFATE</t>
        </is>
      </c>
      <c r="E21" s="5" t="inlineStr">
        <is>
          <t>20-11</t>
        </is>
      </c>
      <c r="F21" s="5" t="inlineStr">
        <is>
          <t>Travaux de réhabilitation des équipements</t>
        </is>
      </c>
      <c r="G21" s="5" t="inlineStr">
        <is>
          <t>Travaux de réhabilitation des canaux portés d'irrigation</t>
        </is>
      </c>
      <c r="H21" s="5" t="inlineStr">
        <is>
          <t>Fourniture et de pose de canaux porté et accessoires du réseau S3 du secteur S13</t>
        </is>
      </c>
      <c r="I21" s="7" t="n">
        <v>397934</v>
      </c>
      <c r="J21" s="8" t="inlineStr">
        <is>
          <t>ml</t>
        </is>
      </c>
      <c r="K21" s="9" t="n">
        <v>133</v>
      </c>
      <c r="L21" s="51" t="n"/>
      <c r="M21" s="52">
        <f>'S24'!M21+L21</f>
        <v/>
      </c>
      <c r="N21" s="53">
        <f>IFERROR(M21/K21,0)</f>
        <v/>
      </c>
      <c r="O21" s="54">
        <f>'S24'!N21</f>
        <v/>
      </c>
      <c r="P21" s="53">
        <f>N21-O21</f>
        <v/>
      </c>
      <c r="Q21" s="32" t="n"/>
      <c r="R21" s="32" t="n"/>
      <c r="S21" s="32" t="n"/>
      <c r="T21" s="55" t="n"/>
      <c r="U21" s="54">
        <f>'S24'!T21</f>
        <v/>
      </c>
      <c r="V21" s="53">
        <f>T21-U21</f>
        <v/>
      </c>
      <c r="W21" s="53">
        <f>N21-T21</f>
        <v/>
      </c>
      <c r="X21" s="34" t="n"/>
    </row>
    <row r="22" ht="22" customHeight="1">
      <c r="B22" s="10" t="n">
        <v>18</v>
      </c>
      <c r="C22" s="6" t="inlineStr">
        <is>
          <t>Sidi Kacem</t>
        </is>
      </c>
      <c r="D22" s="10" t="inlineStr">
        <is>
          <t>HOUAFATE</t>
        </is>
      </c>
      <c r="E22" s="10" t="inlineStr">
        <is>
          <t>20-11</t>
        </is>
      </c>
      <c r="F22" s="10" t="inlineStr">
        <is>
          <t>Travaux de réhabilitation des équipements</t>
        </is>
      </c>
      <c r="G22" s="10" t="inlineStr"/>
      <c r="H22" s="10" t="inlineStr">
        <is>
          <t>Fourniture et de pose de canaux porté et accessoires du réseau T2S1 du secteur S13</t>
        </is>
      </c>
      <c r="I22" s="11" t="n">
        <v>207575</v>
      </c>
      <c r="J22" s="12" t="inlineStr">
        <is>
          <t>ml</t>
        </is>
      </c>
      <c r="K22" s="13" t="n">
        <v>69</v>
      </c>
      <c r="L22" s="51" t="n"/>
      <c r="M22" s="56">
        <f>'S24'!M22+L22</f>
        <v/>
      </c>
      <c r="N22" s="57">
        <f>IFERROR(M22/K22,0)</f>
        <v/>
      </c>
      <c r="O22" s="58">
        <f>'S24'!N22</f>
        <v/>
      </c>
      <c r="P22" s="57">
        <f>N22-O22</f>
        <v/>
      </c>
      <c r="Q22" s="32" t="n"/>
      <c r="R22" s="32" t="n"/>
      <c r="S22" s="32" t="n"/>
      <c r="T22" s="55" t="n"/>
      <c r="U22" s="58">
        <f>'S24'!T22</f>
        <v/>
      </c>
      <c r="V22" s="57">
        <f>T22-U22</f>
        <v/>
      </c>
      <c r="W22" s="57">
        <f>N22-T22</f>
        <v/>
      </c>
      <c r="X22" s="34" t="n"/>
    </row>
    <row r="23" ht="22" customHeight="1">
      <c r="B23" s="5" t="n">
        <v>19</v>
      </c>
      <c r="C23" s="6" t="inlineStr">
        <is>
          <t>Sidi Kacem</t>
        </is>
      </c>
      <c r="D23" s="5" t="inlineStr">
        <is>
          <t>HOUAFATE</t>
        </is>
      </c>
      <c r="E23" s="5" t="inlineStr">
        <is>
          <t>40-21</t>
        </is>
      </c>
      <c r="F23" s="5" t="inlineStr">
        <is>
          <t>Travaux de pistes</t>
        </is>
      </c>
      <c r="G23" s="5" t="inlineStr">
        <is>
          <t>Entretien des pistes agricoles</t>
        </is>
      </c>
      <c r="H23" s="5" t="inlineStr">
        <is>
          <t>Entretien des pistes agricoles</t>
        </is>
      </c>
      <c r="I23" s="7" t="n">
        <v>2200000</v>
      </c>
      <c r="J23" s="8" t="inlineStr">
        <is>
          <t>km</t>
        </is>
      </c>
      <c r="K23" s="9" t="n">
        <v>4</v>
      </c>
      <c r="L23" s="51" t="n"/>
      <c r="M23" s="52">
        <f>'S24'!M23+L23</f>
        <v/>
      </c>
      <c r="N23" s="53">
        <f>IFERROR(M23/K23,0)</f>
        <v/>
      </c>
      <c r="O23" s="54">
        <f>'S24'!N23</f>
        <v/>
      </c>
      <c r="P23" s="53">
        <f>N23-O23</f>
        <v/>
      </c>
      <c r="Q23" s="32" t="n"/>
      <c r="R23" s="32" t="n"/>
      <c r="S23" s="32" t="n"/>
      <c r="T23" s="55" t="n"/>
      <c r="U23" s="54">
        <f>'S24'!T23</f>
        <v/>
      </c>
      <c r="V23" s="53">
        <f>T23-U23</f>
        <v/>
      </c>
      <c r="W23" s="53">
        <f>N23-T23</f>
        <v/>
      </c>
      <c r="X23" s="34" t="n"/>
    </row>
    <row r="24" ht="22" customHeight="1">
      <c r="B24" s="10" t="n">
        <v>20</v>
      </c>
      <c r="C24" s="6" t="inlineStr">
        <is>
          <t>Sidi Kacem</t>
        </is>
      </c>
      <c r="D24" s="10" t="inlineStr">
        <is>
          <t>HOUAFATE</t>
        </is>
      </c>
      <c r="E24" s="10" t="inlineStr">
        <is>
          <t>50-23</t>
        </is>
      </c>
      <c r="F24" s="10" t="inlineStr">
        <is>
          <t>Entretien et réparation du réseau d'assainissement et de drainage</t>
        </is>
      </c>
      <c r="G24" s="10" t="inlineStr">
        <is>
          <t>Curage des prises sur l’oued, bâche d’aspiration et bassin de régulation.</t>
        </is>
      </c>
      <c r="H24" s="10" t="inlineStr">
        <is>
          <t>Curage des prises sur l’oued de la station de pompage S17 et S13.
Nettoyage des grilles de préfiltration des boues colmaté de la station de pompage S17 et S13.
Curage de la bâche d’aspiration de la station S17 et S13.</t>
        </is>
      </c>
      <c r="I24" s="11" t="n">
        <v>300000</v>
      </c>
      <c r="J24" s="12" t="inlineStr">
        <is>
          <t>ml</t>
        </is>
      </c>
      <c r="K24" s="13" t="n">
        <v>100</v>
      </c>
      <c r="L24" s="51" t="n"/>
      <c r="M24" s="56">
        <f>'S24'!M24+L24</f>
        <v/>
      </c>
      <c r="N24" s="57">
        <f>IFERROR(M24/K24,0)</f>
        <v/>
      </c>
      <c r="O24" s="58">
        <f>'S24'!N24</f>
        <v/>
      </c>
      <c r="P24" s="57">
        <f>N24-O24</f>
        <v/>
      </c>
      <c r="Q24" s="32" t="n"/>
      <c r="R24" s="32" t="n"/>
      <c r="S24" s="32" t="n"/>
      <c r="T24" s="55" t="n"/>
      <c r="U24" s="58">
        <f>'S24'!T24</f>
        <v/>
      </c>
      <c r="V24" s="57">
        <f>T24-U24</f>
        <v/>
      </c>
      <c r="W24" s="57">
        <f>N24-T24</f>
        <v/>
      </c>
      <c r="X24" s="34" t="n"/>
    </row>
    <row r="25" ht="22" customHeight="1">
      <c r="B25" s="5" t="n">
        <v>21</v>
      </c>
      <c r="C25" s="6" t="inlineStr">
        <is>
          <t>Sidi Kacem</t>
        </is>
      </c>
      <c r="D25" s="5" t="inlineStr">
        <is>
          <t>HOUAFATE</t>
        </is>
      </c>
      <c r="E25" s="5" t="inlineStr">
        <is>
          <t>50-21</t>
        </is>
      </c>
      <c r="F25" s="5" t="inlineStr">
        <is>
          <t>Entretien et réparation des stations de pompage</t>
        </is>
      </c>
      <c r="G25" s="5" t="inlineStr">
        <is>
          <t>Prestation de maintenance des débitmètres et leurs équipements annexes installés au niveau des station de pompage</t>
        </is>
      </c>
      <c r="H25" s="5" t="inlineStr">
        <is>
          <t>Changement trois débitmètre Ø 600mm inondés de la station de pompage S13.</t>
        </is>
      </c>
      <c r="I25" s="7" t="n">
        <v>250000</v>
      </c>
      <c r="J25" s="8" t="inlineStr">
        <is>
          <t>U</t>
        </is>
      </c>
      <c r="K25" s="9" t="n">
        <v>3</v>
      </c>
      <c r="L25" s="51" t="n"/>
      <c r="M25" s="52">
        <f>'S24'!M25+L25</f>
        <v/>
      </c>
      <c r="N25" s="53">
        <f>IFERROR(M25/K25,0)</f>
        <v/>
      </c>
      <c r="O25" s="54">
        <f>'S24'!N25</f>
        <v/>
      </c>
      <c r="P25" s="53">
        <f>N25-O25</f>
        <v/>
      </c>
      <c r="Q25" s="32" t="n"/>
      <c r="R25" s="32" t="n"/>
      <c r="S25" s="32" t="n"/>
      <c r="T25" s="55" t="n"/>
      <c r="U25" s="54">
        <f>'S24'!T25</f>
        <v/>
      </c>
      <c r="V25" s="53">
        <f>T25-U25</f>
        <v/>
      </c>
      <c r="W25" s="53">
        <f>N25-T25</f>
        <v/>
      </c>
      <c r="X25" s="34" t="n"/>
    </row>
    <row r="26" ht="22" customHeight="1">
      <c r="B26" s="10" t="n">
        <v>22</v>
      </c>
      <c r="C26" s="6" t="inlineStr">
        <is>
          <t>Sidi Kacem</t>
        </is>
      </c>
      <c r="D26" s="10" t="inlineStr">
        <is>
          <t>HOUAFATE</t>
        </is>
      </c>
      <c r="E26" s="10" t="inlineStr">
        <is>
          <t>50-21</t>
        </is>
      </c>
      <c r="F26" s="10" t="inlineStr">
        <is>
          <t>Entretien et réparation des stations de pompage</t>
        </is>
      </c>
      <c r="G26" s="10" t="inlineStr">
        <is>
          <t>Prestations de maintenance des moteurs électriques des stations de pompage.</t>
        </is>
      </c>
      <c r="H26" s="10" t="inlineStr">
        <is>
          <t>Révision des trois moteurs électriques 200 KW principaux de la station S13. 
Révision des deux moteurs électriques 5,5 KW groupes vide de la station S13.</t>
        </is>
      </c>
      <c r="I26" s="11" t="n">
        <v>25000</v>
      </c>
      <c r="J26" s="12" t="inlineStr">
        <is>
          <t>U</t>
        </is>
      </c>
      <c r="K26" s="13" t="n">
        <v>3</v>
      </c>
      <c r="L26" s="51" t="n"/>
      <c r="M26" s="56">
        <f>'S24'!M26+L26</f>
        <v/>
      </c>
      <c r="N26" s="57">
        <f>IFERROR(M26/K26,0)</f>
        <v/>
      </c>
      <c r="O26" s="58">
        <f>'S24'!N26</f>
        <v/>
      </c>
      <c r="P26" s="57">
        <f>N26-O26</f>
        <v/>
      </c>
      <c r="Q26" s="32" t="n"/>
      <c r="R26" s="32" t="n"/>
      <c r="S26" s="32" t="n"/>
      <c r="T26" s="55" t="n"/>
      <c r="U26" s="58">
        <f>'S24'!T26</f>
        <v/>
      </c>
      <c r="V26" s="57">
        <f>T26-U26</f>
        <v/>
      </c>
      <c r="W26" s="57">
        <f>N26-T26</f>
        <v/>
      </c>
      <c r="X26" s="34" t="n"/>
    </row>
    <row r="27" ht="22" customHeight="1">
      <c r="B27" s="5" t="n">
        <v>23</v>
      </c>
      <c r="C27" s="6" t="inlineStr">
        <is>
          <t>Sidi Kacem</t>
        </is>
      </c>
      <c r="D27" s="5" t="inlineStr">
        <is>
          <t>HOUAFATE</t>
        </is>
      </c>
      <c r="E27" s="5" t="inlineStr">
        <is>
          <t>50-21</t>
        </is>
      </c>
      <c r="F27" s="5" t="inlineStr">
        <is>
          <t>Entretien et réparation des stations de pompage</t>
        </is>
      </c>
      <c r="G27" s="5" t="inlineStr">
        <is>
          <t>Prestations de maintenance et de réparation mécanique des pompes et des groupes motopompes submersibles des stations de pompage.</t>
        </is>
      </c>
      <c r="H27" s="5" t="inlineStr">
        <is>
          <t>Démontage et expertise des roues des  pompes principaux et pompes a vide de la station S13.
Changement des roulements, tresses et organes d’effectués de la station S13.</t>
        </is>
      </c>
      <c r="I27" s="7" t="n">
        <v>38000</v>
      </c>
      <c r="J27" s="8" t="inlineStr">
        <is>
          <t>U</t>
        </is>
      </c>
      <c r="K27" s="9" t="n">
        <v>1</v>
      </c>
      <c r="L27" s="51" t="n"/>
      <c r="M27" s="52">
        <f>'S24'!M27+L27</f>
        <v/>
      </c>
      <c r="N27" s="53">
        <f>IFERROR(M27/K27,0)</f>
        <v/>
      </c>
      <c r="O27" s="54">
        <f>'S24'!N27</f>
        <v/>
      </c>
      <c r="P27" s="53">
        <f>N27-O27</f>
        <v/>
      </c>
      <c r="Q27" s="32" t="n"/>
      <c r="R27" s="32" t="n"/>
      <c r="S27" s="32" t="n"/>
      <c r="T27" s="55" t="n"/>
      <c r="U27" s="54">
        <f>'S24'!T27</f>
        <v/>
      </c>
      <c r="V27" s="53">
        <f>T27-U27</f>
        <v/>
      </c>
      <c r="W27" s="53">
        <f>N27-T27</f>
        <v/>
      </c>
      <c r="X27" s="34" t="n"/>
    </row>
    <row r="28" ht="22" customHeight="1">
      <c r="B28" s="10" t="n">
        <v>24</v>
      </c>
      <c r="C28" s="6" t="inlineStr">
        <is>
          <t>Sidi Kacem</t>
        </is>
      </c>
      <c r="D28" s="10" t="inlineStr">
        <is>
          <t>HOUAFATE</t>
        </is>
      </c>
      <c r="E28" s="10" t="inlineStr">
        <is>
          <t>50-21</t>
        </is>
      </c>
      <c r="F28" s="10" t="inlineStr">
        <is>
          <t>Entretien et réparation des stations de pompage</t>
        </is>
      </c>
      <c r="G28" s="10" t="inlineStr">
        <is>
          <t>Stabilisation Berge oued</t>
        </is>
      </c>
      <c r="H28" s="10" t="inlineStr">
        <is>
          <t>Pose de  gabions et recouvrement du talus par matelas Reno des stations de pompage S13.</t>
        </is>
      </c>
      <c r="I28" s="11" t="n">
        <v>10560000</v>
      </c>
      <c r="J28" s="12" t="inlineStr">
        <is>
          <t>m³</t>
        </is>
      </c>
      <c r="K28" s="13" t="n">
        <v>7040</v>
      </c>
      <c r="L28" s="51" t="n"/>
      <c r="M28" s="56">
        <f>'S24'!M28+L28</f>
        <v/>
      </c>
      <c r="N28" s="57">
        <f>IFERROR(M28/K28,0)</f>
        <v/>
      </c>
      <c r="O28" s="58">
        <f>'S24'!N28</f>
        <v/>
      </c>
      <c r="P28" s="57">
        <f>N28-O28</f>
        <v/>
      </c>
      <c r="Q28" s="32" t="n"/>
      <c r="R28" s="32" t="n"/>
      <c r="S28" s="32" t="n"/>
      <c r="T28" s="55" t="n"/>
      <c r="U28" s="58">
        <f>'S24'!T28</f>
        <v/>
      </c>
      <c r="V28" s="57">
        <f>T28-U28</f>
        <v/>
      </c>
      <c r="W28" s="57">
        <f>N28-T28</f>
        <v/>
      </c>
      <c r="X28" s="34" t="n"/>
    </row>
    <row r="29" ht="22" customHeight="1">
      <c r="B29" s="5" t="n">
        <v>25</v>
      </c>
      <c r="C29" s="6" t="inlineStr">
        <is>
          <t>Sidi Kacem</t>
        </is>
      </c>
      <c r="D29" s="5" t="inlineStr">
        <is>
          <t>HOUAFATE</t>
        </is>
      </c>
      <c r="E29" s="5" t="inlineStr">
        <is>
          <t>50-21</t>
        </is>
      </c>
      <c r="F29" s="5" t="inlineStr">
        <is>
          <t>Entretien et réparation des stations de pompage</t>
        </is>
      </c>
      <c r="G29" s="5" t="inlineStr">
        <is>
          <t>Mur clôture des stations de pompage.</t>
        </is>
      </c>
      <c r="H29" s="5" t="inlineStr">
        <is>
          <t>Stabilisation du sol et reconstruction des murs clôture (270m) cote oued de la station S17.</t>
        </is>
      </c>
      <c r="I29" s="7" t="n">
        <v>144000</v>
      </c>
      <c r="J29" s="8" t="inlineStr">
        <is>
          <t>ml</t>
        </is>
      </c>
      <c r="K29" s="9" t="n">
        <v>270</v>
      </c>
      <c r="L29" s="51" t="n"/>
      <c r="M29" s="52">
        <f>'S24'!M29+L29</f>
        <v/>
      </c>
      <c r="N29" s="53">
        <f>IFERROR(M29/K29,0)</f>
        <v/>
      </c>
      <c r="O29" s="54">
        <f>'S24'!N29</f>
        <v/>
      </c>
      <c r="P29" s="53">
        <f>N29-O29</f>
        <v/>
      </c>
      <c r="Q29" s="32" t="n"/>
      <c r="R29" s="32" t="n"/>
      <c r="S29" s="32" t="n"/>
      <c r="T29" s="55" t="n"/>
      <c r="U29" s="54">
        <f>'S24'!T29</f>
        <v/>
      </c>
      <c r="V29" s="53">
        <f>T29-U29</f>
        <v/>
      </c>
      <c r="W29" s="53">
        <f>N29-T29</f>
        <v/>
      </c>
      <c r="X29" s="34" t="n"/>
    </row>
    <row r="30" ht="22" customHeight="1">
      <c r="B30" s="10" t="n">
        <v>26</v>
      </c>
      <c r="C30" s="6" t="inlineStr">
        <is>
          <t>Sidi Kacem</t>
        </is>
      </c>
      <c r="D30" s="10" t="inlineStr">
        <is>
          <t>HOUAFATE</t>
        </is>
      </c>
      <c r="E30" s="10" t="inlineStr">
        <is>
          <t>50-21</t>
        </is>
      </c>
      <c r="F30" s="10" t="inlineStr">
        <is>
          <t>Entretien et réparation des stations de pompage</t>
        </is>
      </c>
      <c r="G30" s="10" t="inlineStr">
        <is>
          <t>Génie civile des locaux des stations de pompage.</t>
        </is>
      </c>
      <c r="H30" s="10" t="inlineStr">
        <is>
          <t>Expertise d’état et d’étanchéité des locaux pompes, commande, puissance des stations de pompage S17 et S13.
Renforcement d’étanchéité des locaux pompe sous niveau des oueds des stations de pompage S17 et S13.</t>
        </is>
      </c>
      <c r="I30" s="11" t="n">
        <v>800000</v>
      </c>
      <c r="J30" s="12" t="inlineStr">
        <is>
          <t>U</t>
        </is>
      </c>
      <c r="K30" s="13" t="n">
        <v>1</v>
      </c>
      <c r="L30" s="51" t="n"/>
      <c r="M30" s="56">
        <f>'S24'!M30+L30</f>
        <v/>
      </c>
      <c r="N30" s="57">
        <f>IFERROR(M30/K30,0)</f>
        <v/>
      </c>
      <c r="O30" s="58">
        <f>'S24'!N30</f>
        <v/>
      </c>
      <c r="P30" s="57">
        <f>N30-O30</f>
        <v/>
      </c>
      <c r="Q30" s="32" t="n"/>
      <c r="R30" s="32" t="n"/>
      <c r="S30" s="32" t="n"/>
      <c r="T30" s="55" t="n"/>
      <c r="U30" s="58">
        <f>'S24'!T30</f>
        <v/>
      </c>
      <c r="V30" s="57">
        <f>T30-U30</f>
        <v/>
      </c>
      <c r="W30" s="57">
        <f>N30-T30</f>
        <v/>
      </c>
      <c r="X30" s="34" t="n"/>
    </row>
    <row r="31" ht="22" customHeight="1">
      <c r="B31" s="5" t="n">
        <v>27</v>
      </c>
      <c r="C31" s="6" t="inlineStr">
        <is>
          <t>Sidi Kacem</t>
        </is>
      </c>
      <c r="D31" s="5" t="inlineStr">
        <is>
          <t>NOUIRAT</t>
        </is>
      </c>
      <c r="E31" s="5" t="inlineStr">
        <is>
          <t>50-23</t>
        </is>
      </c>
      <c r="F31" s="5" t="inlineStr">
        <is>
          <t>Entretien et réparation du réseau d'assainissement et de drainage</t>
        </is>
      </c>
      <c r="G31" s="5" t="inlineStr">
        <is>
          <t>Travaux de curage des canaux en terre</t>
        </is>
      </c>
      <c r="H31" s="5" t="inlineStr">
        <is>
          <t>Curage des collecteurs d'assainissement des secteurs EST1 et N5</t>
        </is>
      </c>
      <c r="I31" s="7" t="n">
        <v>1733306</v>
      </c>
      <c r="J31" s="8" t="inlineStr">
        <is>
          <t>ml</t>
        </is>
      </c>
      <c r="K31" s="9" t="n">
        <v>867</v>
      </c>
      <c r="L31" s="51" t="n"/>
      <c r="M31" s="52">
        <f>'S24'!M31+L31</f>
        <v/>
      </c>
      <c r="N31" s="53">
        <f>IFERROR(M31/K31,0)</f>
        <v/>
      </c>
      <c r="O31" s="54">
        <f>'S24'!N31</f>
        <v/>
      </c>
      <c r="P31" s="53">
        <f>N31-O31</f>
        <v/>
      </c>
      <c r="Q31" s="32" t="n"/>
      <c r="R31" s="32" t="n"/>
      <c r="S31" s="32" t="n"/>
      <c r="T31" s="55" t="n"/>
      <c r="U31" s="54">
        <f>'S24'!T31</f>
        <v/>
      </c>
      <c r="V31" s="53">
        <f>T31-U31</f>
        <v/>
      </c>
      <c r="W31" s="53">
        <f>N31-T31</f>
        <v/>
      </c>
      <c r="X31" s="34" t="n"/>
    </row>
    <row r="32" ht="22" customHeight="1">
      <c r="B32" s="10" t="n">
        <v>28</v>
      </c>
      <c r="C32" s="6" t="inlineStr">
        <is>
          <t>Sidi Kacem</t>
        </is>
      </c>
      <c r="D32" s="10" t="inlineStr">
        <is>
          <t>NOUIRAT</t>
        </is>
      </c>
      <c r="E32" s="10" t="inlineStr">
        <is>
          <t>40-21</t>
        </is>
      </c>
      <c r="F32" s="10" t="inlineStr">
        <is>
          <t>Travaux de pistes</t>
        </is>
      </c>
      <c r="G32" s="10" t="inlineStr">
        <is>
          <t>Entretien des pistes agricoles</t>
        </is>
      </c>
      <c r="H32" s="10" t="inlineStr">
        <is>
          <t>Entretien des pistes agricoles</t>
        </is>
      </c>
      <c r="I32" s="11" t="n">
        <v>670000</v>
      </c>
      <c r="J32" s="12" t="inlineStr">
        <is>
          <t>km</t>
        </is>
      </c>
      <c r="K32" s="13" t="n">
        <v>1</v>
      </c>
      <c r="L32" s="51" t="n"/>
      <c r="M32" s="56">
        <f>'S24'!M32+L32</f>
        <v/>
      </c>
      <c r="N32" s="57">
        <f>IFERROR(M32/K32,0)</f>
        <v/>
      </c>
      <c r="O32" s="58">
        <f>'S24'!N32</f>
        <v/>
      </c>
      <c r="P32" s="57">
        <f>N32-O32</f>
        <v/>
      </c>
      <c r="Q32" s="32" t="n"/>
      <c r="R32" s="32" t="n"/>
      <c r="S32" s="32" t="n"/>
      <c r="T32" s="55" t="n"/>
      <c r="U32" s="58">
        <f>'S24'!T32</f>
        <v/>
      </c>
      <c r="V32" s="57">
        <f>T32-U32</f>
        <v/>
      </c>
      <c r="W32" s="57">
        <f>N32-T32</f>
        <v/>
      </c>
      <c r="X32" s="34" t="n"/>
    </row>
    <row r="33" ht="22" customHeight="1">
      <c r="B33" s="5" t="n">
        <v>29</v>
      </c>
      <c r="C33" s="6" t="inlineStr">
        <is>
          <t>Sidi Kacem</t>
        </is>
      </c>
      <c r="D33" s="5" t="inlineStr">
        <is>
          <t>NOUIRAT</t>
        </is>
      </c>
      <c r="E33" s="5" t="inlineStr">
        <is>
          <t>20-11</t>
        </is>
      </c>
      <c r="F33" s="5" t="inlineStr">
        <is>
          <t>Travaux de réhabilitation des équipements</t>
        </is>
      </c>
      <c r="G33" s="5" t="inlineStr">
        <is>
          <t>Travaux de réhabilitation des ouvrages de génie civil</t>
        </is>
      </c>
      <c r="H33" s="5" t="inlineStr">
        <is>
          <t>Réhabilitation de l'ouvrage( genie civil ,gabiollannage,clapet anti retour et buse) de l'ouvrage de débouche SE1</t>
        </is>
      </c>
      <c r="I33" s="7" t="n">
        <v>2500000</v>
      </c>
      <c r="J33" s="8" t="inlineStr">
        <is>
          <t>U</t>
        </is>
      </c>
      <c r="K33" s="9" t="n">
        <v>5</v>
      </c>
      <c r="L33" s="51" t="n"/>
      <c r="M33" s="52">
        <f>'S24'!M33+L33</f>
        <v/>
      </c>
      <c r="N33" s="53">
        <f>IFERROR(M33/K33,0)</f>
        <v/>
      </c>
      <c r="O33" s="54">
        <f>'S24'!N33</f>
        <v/>
      </c>
      <c r="P33" s="53">
        <f>N33-O33</f>
        <v/>
      </c>
      <c r="Q33" s="32" t="n"/>
      <c r="R33" s="32" t="n"/>
      <c r="S33" s="32" t="n"/>
      <c r="T33" s="55" t="n"/>
      <c r="U33" s="54">
        <f>'S24'!T33</f>
        <v/>
      </c>
      <c r="V33" s="53">
        <f>T33-U33</f>
        <v/>
      </c>
      <c r="W33" s="53">
        <f>N33-T33</f>
        <v/>
      </c>
      <c r="X33" s="34" t="n"/>
    </row>
    <row r="34" ht="22" customHeight="1">
      <c r="B34" s="10" t="n">
        <v>30</v>
      </c>
      <c r="C34" s="6" t="inlineStr">
        <is>
          <t>Sidi Kacem</t>
        </is>
      </c>
      <c r="D34" s="10" t="inlineStr">
        <is>
          <t>NOUIRAT</t>
        </is>
      </c>
      <c r="E34" s="10" t="inlineStr">
        <is>
          <t>50-23</t>
        </is>
      </c>
      <c r="F34" s="10" t="inlineStr">
        <is>
          <t>Entretien et réparation du réseau d'assainissement et de drainage</t>
        </is>
      </c>
      <c r="G34" s="10" t="inlineStr">
        <is>
          <t>Curage des prises sur l’oued, bâche d’aspiration et bassin de régulation.</t>
        </is>
      </c>
      <c r="H34" s="10" t="inlineStr">
        <is>
          <t>Curage des prises sur l’oued de la station de pompage E1.
Nettoyage des grilles de préfiltration des boues colmaté de la station de pompage E1.
Curage de la bâche d’aspiration de la station E1.</t>
        </is>
      </c>
      <c r="I34" s="11" t="n">
        <v>800000</v>
      </c>
      <c r="J34" s="12" t="inlineStr">
        <is>
          <t>ml</t>
        </is>
      </c>
      <c r="K34" s="13" t="n">
        <v>267</v>
      </c>
      <c r="L34" s="51" t="n"/>
      <c r="M34" s="56">
        <f>'S24'!M34+L34</f>
        <v/>
      </c>
      <c r="N34" s="57">
        <f>IFERROR(M34/K34,0)</f>
        <v/>
      </c>
      <c r="O34" s="58">
        <f>'S24'!N34</f>
        <v/>
      </c>
      <c r="P34" s="57">
        <f>N34-O34</f>
        <v/>
      </c>
      <c r="Q34" s="32" t="n"/>
      <c r="R34" s="32" t="n"/>
      <c r="S34" s="32" t="n"/>
      <c r="T34" s="55" t="n"/>
      <c r="U34" s="58">
        <f>'S24'!T34</f>
        <v/>
      </c>
      <c r="V34" s="57">
        <f>T34-U34</f>
        <v/>
      </c>
      <c r="W34" s="57">
        <f>N34-T34</f>
        <v/>
      </c>
      <c r="X34" s="34" t="n"/>
    </row>
    <row r="35" ht="22" customHeight="1">
      <c r="B35" s="5" t="n">
        <v>31</v>
      </c>
      <c r="C35" s="6" t="inlineStr">
        <is>
          <t>Sidi Kacem</t>
        </is>
      </c>
      <c r="D35" s="5" t="inlineStr">
        <is>
          <t>NOUIRAT</t>
        </is>
      </c>
      <c r="E35" s="5" t="inlineStr">
        <is>
          <t>50-21</t>
        </is>
      </c>
      <c r="F35" s="5" t="inlineStr">
        <is>
          <t>Entretien et réparation des stations de pompage</t>
        </is>
      </c>
      <c r="G35" s="5" t="inlineStr">
        <is>
          <t>Prestation de maintenance des débitmètres et leurs équipements annexes installés au niveau des station de pompage</t>
        </is>
      </c>
      <c r="H35" s="5" t="inlineStr">
        <is>
          <t>Changement du débitmètre Ø 1200mm inondé de la station de pompage E1.</t>
        </is>
      </c>
      <c r="I35" s="7" t="n">
        <v>195000</v>
      </c>
      <c r="J35" s="8" t="inlineStr">
        <is>
          <t>U</t>
        </is>
      </c>
      <c r="K35" s="9" t="n">
        <v>2</v>
      </c>
      <c r="L35" s="51" t="n"/>
      <c r="M35" s="52">
        <f>'S24'!M35+L35</f>
        <v/>
      </c>
      <c r="N35" s="53">
        <f>IFERROR(M35/K35,0)</f>
        <v/>
      </c>
      <c r="O35" s="54">
        <f>'S24'!N35</f>
        <v/>
      </c>
      <c r="P35" s="53">
        <f>N35-O35</f>
        <v/>
      </c>
      <c r="Q35" s="32" t="n"/>
      <c r="R35" s="32" t="n"/>
      <c r="S35" s="32" t="n"/>
      <c r="T35" s="55" t="n"/>
      <c r="U35" s="54">
        <f>'S24'!T35</f>
        <v/>
      </c>
      <c r="V35" s="53">
        <f>T35-U35</f>
        <v/>
      </c>
      <c r="W35" s="53">
        <f>N35-T35</f>
        <v/>
      </c>
      <c r="X35" s="34" t="n"/>
    </row>
    <row r="36" ht="22" customHeight="1">
      <c r="B36" s="10" t="n">
        <v>32</v>
      </c>
      <c r="C36" s="6" t="inlineStr">
        <is>
          <t>Sidi Kacem</t>
        </is>
      </c>
      <c r="D36" s="10" t="inlineStr">
        <is>
          <t>NOUIRAT</t>
        </is>
      </c>
      <c r="E36" s="10" t="inlineStr">
        <is>
          <t>50-21</t>
        </is>
      </c>
      <c r="F36" s="10" t="inlineStr">
        <is>
          <t>Entretien et réparation des stations de pompage</t>
        </is>
      </c>
      <c r="G36" s="10" t="inlineStr">
        <is>
          <t>Prestations de maintenance des moteurs électriques des stations de pompage.</t>
        </is>
      </c>
      <c r="H36" s="10" t="inlineStr">
        <is>
          <t>Révision des deux moteurs électriques principaux de la station E1.</t>
        </is>
      </c>
      <c r="I36" s="11" t="n">
        <v>50000</v>
      </c>
      <c r="J36" s="12" t="inlineStr">
        <is>
          <t>U</t>
        </is>
      </c>
      <c r="K36" s="13" t="n">
        <v>2</v>
      </c>
      <c r="L36" s="51" t="n"/>
      <c r="M36" s="56">
        <f>'S24'!M36+L36</f>
        <v/>
      </c>
      <c r="N36" s="57">
        <f>IFERROR(M36/K36,0)</f>
        <v/>
      </c>
      <c r="O36" s="58">
        <f>'S24'!N36</f>
        <v/>
      </c>
      <c r="P36" s="57">
        <f>N36-O36</f>
        <v/>
      </c>
      <c r="Q36" s="32" t="n"/>
      <c r="R36" s="32" t="n"/>
      <c r="S36" s="32" t="n"/>
      <c r="T36" s="55" t="n"/>
      <c r="U36" s="58">
        <f>'S24'!T36</f>
        <v/>
      </c>
      <c r="V36" s="57">
        <f>T36-U36</f>
        <v/>
      </c>
      <c r="W36" s="57">
        <f>N36-T36</f>
        <v/>
      </c>
      <c r="X36" s="34" t="n"/>
    </row>
    <row r="37" ht="22" customHeight="1">
      <c r="B37" s="5" t="n">
        <v>33</v>
      </c>
      <c r="C37" s="6" t="inlineStr">
        <is>
          <t>Sidi Kacem</t>
        </is>
      </c>
      <c r="D37" s="5" t="inlineStr">
        <is>
          <t>NOUIRAT</t>
        </is>
      </c>
      <c r="E37" s="5" t="inlineStr">
        <is>
          <t>50-21</t>
        </is>
      </c>
      <c r="F37" s="5" t="inlineStr">
        <is>
          <t>Entretien et réparation des stations de pompage</t>
        </is>
      </c>
      <c r="G37" s="5" t="inlineStr">
        <is>
          <t>Prestations de maintenance et de réparation mécanique des pompes et des groupes motopompes submersibles des stations de pompage.</t>
        </is>
      </c>
      <c r="H37" s="5" t="inlineStr">
        <is>
          <t>Démontage et expertise des cinq pompes principaux et pompes a vide de la station E1.
Changement des roulements, tresses et organes d’effectués de la station E1.</t>
        </is>
      </c>
      <c r="I37" s="7" t="n">
        <v>245000</v>
      </c>
      <c r="J37" s="8" t="inlineStr">
        <is>
          <t>U</t>
        </is>
      </c>
      <c r="K37" s="9" t="n">
        <v>5</v>
      </c>
      <c r="L37" s="51" t="n"/>
      <c r="M37" s="52">
        <f>'S24'!M37+L37</f>
        <v/>
      </c>
      <c r="N37" s="53">
        <f>IFERROR(M37/K37,0)</f>
        <v/>
      </c>
      <c r="O37" s="54">
        <f>'S24'!N37</f>
        <v/>
      </c>
      <c r="P37" s="53">
        <f>N37-O37</f>
        <v/>
      </c>
      <c r="Q37" s="32" t="n"/>
      <c r="R37" s="32" t="n"/>
      <c r="S37" s="32" t="n"/>
      <c r="T37" s="55" t="n"/>
      <c r="U37" s="54">
        <f>'S24'!T37</f>
        <v/>
      </c>
      <c r="V37" s="53">
        <f>T37-U37</f>
        <v/>
      </c>
      <c r="W37" s="53">
        <f>N37-T37</f>
        <v/>
      </c>
      <c r="X37" s="34" t="n"/>
    </row>
    <row r="38" ht="22" customHeight="1">
      <c r="B38" s="10" t="n">
        <v>34</v>
      </c>
      <c r="C38" s="6" t="inlineStr">
        <is>
          <t>Sidi Kacem</t>
        </is>
      </c>
      <c r="D38" s="10" t="inlineStr">
        <is>
          <t>NOUIRAT</t>
        </is>
      </c>
      <c r="E38" s="10" t="inlineStr">
        <is>
          <t>50-21</t>
        </is>
      </c>
      <c r="F38" s="10" t="inlineStr">
        <is>
          <t>Entretien et réparation des stations de pompage</t>
        </is>
      </c>
      <c r="G38" s="10" t="inlineStr">
        <is>
          <t>Génie civile des locaux des stations de pompage.</t>
        </is>
      </c>
      <c r="H38" s="10" t="inlineStr">
        <is>
          <t>Expertise d’état et d’étanchéité des locaux pompes, commande, puissance de la station de pompage E1.
Renforcement d’étanchéité des locaux pompe sous niveau des oueds de la station de pompage E1.</t>
        </is>
      </c>
      <c r="I38" s="11" t="n">
        <v>1000000</v>
      </c>
      <c r="J38" s="12" t="inlineStr">
        <is>
          <t>U</t>
        </is>
      </c>
      <c r="K38" s="13" t="n">
        <v>1</v>
      </c>
      <c r="L38" s="51" t="n"/>
      <c r="M38" s="56">
        <f>'S24'!M38+L38</f>
        <v/>
      </c>
      <c r="N38" s="57">
        <f>IFERROR(M38/K38,0)</f>
        <v/>
      </c>
      <c r="O38" s="58">
        <f>'S24'!N38</f>
        <v/>
      </c>
      <c r="P38" s="57">
        <f>N38-O38</f>
        <v/>
      </c>
      <c r="Q38" s="32" t="n"/>
      <c r="R38" s="32" t="n"/>
      <c r="S38" s="32" t="n"/>
      <c r="T38" s="55" t="n"/>
      <c r="U38" s="58">
        <f>'S24'!T38</f>
        <v/>
      </c>
      <c r="V38" s="57">
        <f>T38-U38</f>
        <v/>
      </c>
      <c r="W38" s="57">
        <f>N38-T38</f>
        <v/>
      </c>
      <c r="X38" s="34" t="n"/>
    </row>
    <row r="39" ht="22" customHeight="1">
      <c r="B39" s="5" t="n">
        <v>35</v>
      </c>
      <c r="C39" s="6" t="inlineStr">
        <is>
          <t>Sidi Kacem</t>
        </is>
      </c>
      <c r="D39" s="5" t="inlineStr">
        <is>
          <t>RMILAT</t>
        </is>
      </c>
      <c r="E39" s="5" t="inlineStr">
        <is>
          <t>50-23</t>
        </is>
      </c>
      <c r="F39" s="5" t="inlineStr">
        <is>
          <t>Entretien et réparation du réseau d'assainissement et de drainage</t>
        </is>
      </c>
      <c r="G39" s="5" t="inlineStr">
        <is>
          <t>Travaux de curage des canaux en terre</t>
        </is>
      </c>
      <c r="H39" s="5" t="inlineStr">
        <is>
          <t>Curage des collecteurs d'assainissement des secteurs P7</t>
        </is>
      </c>
      <c r="I39" s="7" t="n">
        <v>5024032</v>
      </c>
      <c r="J39" s="8" t="inlineStr">
        <is>
          <t>ml</t>
        </is>
      </c>
      <c r="K39" s="9" t="n">
        <v>2512</v>
      </c>
      <c r="L39" s="51" t="n"/>
      <c r="M39" s="52">
        <f>'S24'!M39+L39</f>
        <v/>
      </c>
      <c r="N39" s="53">
        <f>IFERROR(M39/K39,0)</f>
        <v/>
      </c>
      <c r="O39" s="54">
        <f>'S24'!N39</f>
        <v/>
      </c>
      <c r="P39" s="53">
        <f>N39-O39</f>
        <v/>
      </c>
      <c r="Q39" s="32" t="n"/>
      <c r="R39" s="32" t="n"/>
      <c r="S39" s="32" t="n"/>
      <c r="T39" s="55" t="n"/>
      <c r="U39" s="54">
        <f>'S24'!T39</f>
        <v/>
      </c>
      <c r="V39" s="53">
        <f>T39-U39</f>
        <v/>
      </c>
      <c r="W39" s="53">
        <f>N39-T39</f>
        <v/>
      </c>
      <c r="X39" s="34" t="n"/>
    </row>
    <row r="40" ht="22" customHeight="1">
      <c r="B40" s="10" t="n">
        <v>36</v>
      </c>
      <c r="C40" s="6" t="inlineStr">
        <is>
          <t>Sidi Kacem</t>
        </is>
      </c>
      <c r="D40" s="10" t="inlineStr">
        <is>
          <t>RMILAT</t>
        </is>
      </c>
      <c r="E40" s="10" t="inlineStr">
        <is>
          <t>40-21</t>
        </is>
      </c>
      <c r="F40" s="10" t="inlineStr">
        <is>
          <t>Travaux de pistes</t>
        </is>
      </c>
      <c r="G40" s="10" t="inlineStr">
        <is>
          <t>Entretien des pistes agricoles</t>
        </is>
      </c>
      <c r="H40" s="10" t="inlineStr">
        <is>
          <t>Entretien des pistes agricoles</t>
        </is>
      </c>
      <c r="I40" s="11" t="n">
        <v>400000</v>
      </c>
      <c r="J40" s="12" t="inlineStr">
        <is>
          <t>km</t>
        </is>
      </c>
      <c r="K40" s="13" t="n">
        <v>1</v>
      </c>
      <c r="L40" s="51" t="n"/>
      <c r="M40" s="56">
        <f>'S24'!M40+L40</f>
        <v/>
      </c>
      <c r="N40" s="57">
        <f>IFERROR(M40/K40,0)</f>
        <v/>
      </c>
      <c r="O40" s="58">
        <f>'S24'!N40</f>
        <v/>
      </c>
      <c r="P40" s="57">
        <f>N40-O40</f>
        <v/>
      </c>
      <c r="Q40" s="32" t="n"/>
      <c r="R40" s="32" t="n"/>
      <c r="S40" s="32" t="n"/>
      <c r="T40" s="55" t="n"/>
      <c r="U40" s="58">
        <f>'S24'!T40</f>
        <v/>
      </c>
      <c r="V40" s="57">
        <f>T40-U40</f>
        <v/>
      </c>
      <c r="W40" s="57">
        <f>N40-T40</f>
        <v/>
      </c>
      <c r="X40" s="34" t="n"/>
    </row>
    <row r="41" ht="22" customHeight="1">
      <c r="B41" s="5" t="n">
        <v>37</v>
      </c>
      <c r="C41" s="6" t="inlineStr">
        <is>
          <t>Sidi Kacem</t>
        </is>
      </c>
      <c r="D41" s="5" t="inlineStr">
        <is>
          <t>SAFSAF</t>
        </is>
      </c>
      <c r="E41" s="5" t="inlineStr">
        <is>
          <t>50-23</t>
        </is>
      </c>
      <c r="F41" s="5" t="inlineStr">
        <is>
          <t>Entretien et réparation du réseau d'assainissement et de drainage</t>
        </is>
      </c>
      <c r="G41" s="5" t="inlineStr">
        <is>
          <t>Travaux de curage des canaux en terre</t>
        </is>
      </c>
      <c r="H41" s="5" t="inlineStr">
        <is>
          <t>Curage des collecteurs d'assainissement des secteurs S7, S9 et S11</t>
        </is>
      </c>
      <c r="I41" s="7" t="n">
        <v>6000000</v>
      </c>
      <c r="J41" s="8" t="inlineStr">
        <is>
          <t>ml</t>
        </is>
      </c>
      <c r="K41" s="9" t="n">
        <v>3000</v>
      </c>
      <c r="L41" s="51" t="n"/>
      <c r="M41" s="52">
        <f>'S24'!M41+L41</f>
        <v/>
      </c>
      <c r="N41" s="53">
        <f>IFERROR(M41/K41,0)</f>
        <v/>
      </c>
      <c r="O41" s="54">
        <f>'S24'!N41</f>
        <v/>
      </c>
      <c r="P41" s="53">
        <f>N41-O41</f>
        <v/>
      </c>
      <c r="Q41" s="32" t="n"/>
      <c r="R41" s="32" t="n"/>
      <c r="S41" s="32" t="n"/>
      <c r="T41" s="55" t="n"/>
      <c r="U41" s="54">
        <f>'S24'!T41</f>
        <v/>
      </c>
      <c r="V41" s="53">
        <f>T41-U41</f>
        <v/>
      </c>
      <c r="W41" s="53">
        <f>N41-T41</f>
        <v/>
      </c>
      <c r="X41" s="34" t="n"/>
    </row>
    <row r="42" ht="22" customHeight="1">
      <c r="B42" s="10" t="n">
        <v>38</v>
      </c>
      <c r="C42" s="6" t="inlineStr">
        <is>
          <t>Sidi Kacem</t>
        </is>
      </c>
      <c r="D42" s="10" t="inlineStr">
        <is>
          <t>SAFSAF</t>
        </is>
      </c>
      <c r="E42" s="10" t="inlineStr">
        <is>
          <t>20-11</t>
        </is>
      </c>
      <c r="F42" s="10" t="inlineStr">
        <is>
          <t>Travaux de réhabilitation des équipements</t>
        </is>
      </c>
      <c r="G42" s="10" t="inlineStr">
        <is>
          <t>Travaux de réhabilitation des canaux portés d'irrigation</t>
        </is>
      </c>
      <c r="H42" s="10" t="inlineStr">
        <is>
          <t>Fourniture et  pose de canaux porté et accessoires du réseau S4 du secteur S11</t>
        </is>
      </c>
      <c r="I42" s="11" t="n">
        <v>232266</v>
      </c>
      <c r="J42" s="12" t="inlineStr">
        <is>
          <t>ml</t>
        </is>
      </c>
      <c r="K42" s="13" t="n">
        <v>77</v>
      </c>
      <c r="L42" s="51" t="n"/>
      <c r="M42" s="56">
        <f>'S24'!M42+L42</f>
        <v/>
      </c>
      <c r="N42" s="57">
        <f>IFERROR(M42/K42,0)</f>
        <v/>
      </c>
      <c r="O42" s="58">
        <f>'S24'!N42</f>
        <v/>
      </c>
      <c r="P42" s="57">
        <f>N42-O42</f>
        <v/>
      </c>
      <c r="Q42" s="32" t="n"/>
      <c r="R42" s="32" t="n"/>
      <c r="S42" s="32" t="n"/>
      <c r="T42" s="55" t="n"/>
      <c r="U42" s="58">
        <f>'S24'!T42</f>
        <v/>
      </c>
      <c r="V42" s="57">
        <f>T42-U42</f>
        <v/>
      </c>
      <c r="W42" s="57">
        <f>N42-T42</f>
        <v/>
      </c>
      <c r="X42" s="34" t="n"/>
    </row>
    <row r="43" ht="22" customHeight="1">
      <c r="B43" s="5" t="n">
        <v>39</v>
      </c>
      <c r="C43" s="6" t="inlineStr">
        <is>
          <t>Sidi Kacem</t>
        </is>
      </c>
      <c r="D43" s="5" t="inlineStr">
        <is>
          <t>SAFSAF</t>
        </is>
      </c>
      <c r="E43" s="5" t="inlineStr">
        <is>
          <t>20-11</t>
        </is>
      </c>
      <c r="F43" s="5" t="inlineStr">
        <is>
          <t>Travaux de réhabilitation des équipements</t>
        </is>
      </c>
      <c r="G43" s="5" t="inlineStr"/>
      <c r="H43" s="5" t="inlineStr">
        <is>
          <t>Recalage des canaux portés du réseau T5S5 du secteur S9</t>
        </is>
      </c>
      <c r="I43" s="7" t="n">
        <v>1055025</v>
      </c>
      <c r="J43" s="8" t="inlineStr">
        <is>
          <t>ml</t>
        </is>
      </c>
      <c r="K43" s="9" t="n">
        <v>352</v>
      </c>
      <c r="L43" s="51" t="n"/>
      <c r="M43" s="52">
        <f>'S24'!M43+L43</f>
        <v/>
      </c>
      <c r="N43" s="53">
        <f>IFERROR(M43/K43,0)</f>
        <v/>
      </c>
      <c r="O43" s="54">
        <f>'S24'!N43</f>
        <v/>
      </c>
      <c r="P43" s="53">
        <f>N43-O43</f>
        <v/>
      </c>
      <c r="Q43" s="32" t="n"/>
      <c r="R43" s="32" t="n"/>
      <c r="S43" s="32" t="n"/>
      <c r="T43" s="55" t="n"/>
      <c r="U43" s="54">
        <f>'S24'!T43</f>
        <v/>
      </c>
      <c r="V43" s="53">
        <f>T43-U43</f>
        <v/>
      </c>
      <c r="W43" s="53">
        <f>N43-T43</f>
        <v/>
      </c>
      <c r="X43" s="34" t="n"/>
    </row>
    <row r="44" ht="22" customHeight="1">
      <c r="B44" s="10" t="n">
        <v>40</v>
      </c>
      <c r="C44" s="6" t="inlineStr">
        <is>
          <t>Sidi Kacem</t>
        </is>
      </c>
      <c r="D44" s="10" t="inlineStr">
        <is>
          <t>SAFSAF</t>
        </is>
      </c>
      <c r="E44" s="10" t="inlineStr">
        <is>
          <t>20-11</t>
        </is>
      </c>
      <c r="F44" s="10" t="inlineStr">
        <is>
          <t>Travaux de réhabilitation des équipements</t>
        </is>
      </c>
      <c r="G44" s="10" t="inlineStr"/>
      <c r="H44" s="10" t="inlineStr">
        <is>
          <t>Recalage des canaux portés du réseau T7S5 du secteur S9</t>
        </is>
      </c>
      <c r="I44" s="11" t="n">
        <v>1004535</v>
      </c>
      <c r="J44" s="12" t="inlineStr">
        <is>
          <t>ml</t>
        </is>
      </c>
      <c r="K44" s="13" t="n">
        <v>335</v>
      </c>
      <c r="L44" s="51" t="n"/>
      <c r="M44" s="56">
        <f>'S24'!M44+L44</f>
        <v/>
      </c>
      <c r="N44" s="57">
        <f>IFERROR(M44/K44,0)</f>
        <v/>
      </c>
      <c r="O44" s="58">
        <f>'S24'!N44</f>
        <v/>
      </c>
      <c r="P44" s="57">
        <f>N44-O44</f>
        <v/>
      </c>
      <c r="Q44" s="32" t="n"/>
      <c r="R44" s="32" t="n"/>
      <c r="S44" s="32" t="n"/>
      <c r="T44" s="55" t="n"/>
      <c r="U44" s="58">
        <f>'S24'!T44</f>
        <v/>
      </c>
      <c r="V44" s="57">
        <f>T44-U44</f>
        <v/>
      </c>
      <c r="W44" s="57">
        <f>N44-T44</f>
        <v/>
      </c>
      <c r="X44" s="34" t="n"/>
    </row>
    <row r="45" ht="22" customHeight="1">
      <c r="B45" s="5" t="n">
        <v>41</v>
      </c>
      <c r="C45" s="6" t="inlineStr">
        <is>
          <t>Sidi Kacem</t>
        </is>
      </c>
      <c r="D45" s="5" t="inlineStr">
        <is>
          <t>SAFSAF</t>
        </is>
      </c>
      <c r="E45" s="5" t="inlineStr">
        <is>
          <t>20-11</t>
        </is>
      </c>
      <c r="F45" s="5" t="inlineStr">
        <is>
          <t>Travaux de réhabilitation des équipements</t>
        </is>
      </c>
      <c r="G45" s="5" t="inlineStr"/>
      <c r="H45" s="5" t="inlineStr">
        <is>
          <t>Recalage des canaux portés du réseau T2S5 du secteur S9</t>
        </is>
      </c>
      <c r="I45" s="7" t="n">
        <v>793830</v>
      </c>
      <c r="J45" s="8" t="inlineStr">
        <is>
          <t>ml</t>
        </is>
      </c>
      <c r="K45" s="9" t="n">
        <v>265</v>
      </c>
      <c r="L45" s="51" t="n"/>
      <c r="M45" s="52">
        <f>'S24'!M45+L45</f>
        <v/>
      </c>
      <c r="N45" s="53">
        <f>IFERROR(M45/K45,0)</f>
        <v/>
      </c>
      <c r="O45" s="54">
        <f>'S24'!N45</f>
        <v/>
      </c>
      <c r="P45" s="53">
        <f>N45-O45</f>
        <v/>
      </c>
      <c r="Q45" s="32" t="n"/>
      <c r="R45" s="32" t="n"/>
      <c r="S45" s="32" t="n"/>
      <c r="T45" s="55" t="n"/>
      <c r="U45" s="54">
        <f>'S24'!T45</f>
        <v/>
      </c>
      <c r="V45" s="53">
        <f>T45-U45</f>
        <v/>
      </c>
      <c r="W45" s="53">
        <f>N45-T45</f>
        <v/>
      </c>
      <c r="X45" s="34" t="n"/>
    </row>
    <row r="46" ht="22" customHeight="1">
      <c r="B46" s="10" t="n">
        <v>42</v>
      </c>
      <c r="C46" s="6" t="inlineStr">
        <is>
          <t>Sidi Kacem</t>
        </is>
      </c>
      <c r="D46" s="10" t="inlineStr">
        <is>
          <t>SAFSAF</t>
        </is>
      </c>
      <c r="E46" s="10" t="inlineStr">
        <is>
          <t>40-21</t>
        </is>
      </c>
      <c r="F46" s="10" t="inlineStr">
        <is>
          <t>Travaux de pistes</t>
        </is>
      </c>
      <c r="G46" s="10" t="inlineStr">
        <is>
          <t>Entretien des pistes agricoles</t>
        </is>
      </c>
      <c r="H46" s="10" t="inlineStr">
        <is>
          <t>Entretien des pistes agricoles</t>
        </is>
      </c>
      <c r="I46" s="11" t="n">
        <v>2000000</v>
      </c>
      <c r="J46" s="12" t="inlineStr">
        <is>
          <t>km</t>
        </is>
      </c>
      <c r="K46" s="13" t="n">
        <v>4</v>
      </c>
      <c r="L46" s="51" t="n"/>
      <c r="M46" s="56">
        <f>'S24'!M46+L46</f>
        <v/>
      </c>
      <c r="N46" s="57">
        <f>IFERROR(M46/K46,0)</f>
        <v/>
      </c>
      <c r="O46" s="58">
        <f>'S24'!N46</f>
        <v/>
      </c>
      <c r="P46" s="57">
        <f>N46-O46</f>
        <v/>
      </c>
      <c r="Q46" s="32" t="n"/>
      <c r="R46" s="32" t="n"/>
      <c r="S46" s="32" t="n"/>
      <c r="T46" s="55" t="n"/>
      <c r="U46" s="58">
        <f>'S24'!T46</f>
        <v/>
      </c>
      <c r="V46" s="57">
        <f>T46-U46</f>
        <v/>
      </c>
      <c r="W46" s="57">
        <f>N46-T46</f>
        <v/>
      </c>
      <c r="X46" s="34" t="n"/>
    </row>
    <row r="47" ht="22" customHeight="1">
      <c r="B47" s="5" t="n">
        <v>43</v>
      </c>
      <c r="C47" s="6" t="inlineStr">
        <is>
          <t>Sidi Kacem</t>
        </is>
      </c>
      <c r="D47" s="5" t="inlineStr">
        <is>
          <t>SAFSAF</t>
        </is>
      </c>
      <c r="E47" s="5" t="inlineStr">
        <is>
          <t>50-23</t>
        </is>
      </c>
      <c r="F47" s="5" t="inlineStr">
        <is>
          <t>Entretien et réparation du réseau d'assainissement et de drainage</t>
        </is>
      </c>
      <c r="G47" s="5" t="inlineStr">
        <is>
          <t>Curage des prises sur l’oued, bâche d’aspiration et bassin de régulation.</t>
        </is>
      </c>
      <c r="H47" s="5" t="inlineStr">
        <is>
          <t>Curage des prises sur l’oued des stations de pompage S11, S9, 7D et 7B.
Nettoyage des grilles de préfiltration des boues colmaté des stations de pompage S11, S9, 7D et 7B.
Nettoyage des crépines des boues colmaté de station pompage 7D.
Curage des dalots et bâche d’aspiration des stations de pompage S11, S9, 7B.</t>
        </is>
      </c>
      <c r="I47" s="7" t="n">
        <v>200000</v>
      </c>
      <c r="J47" s="8" t="inlineStr">
        <is>
          <t>ml</t>
        </is>
      </c>
      <c r="K47" s="9" t="n">
        <v>67</v>
      </c>
      <c r="L47" s="51" t="n"/>
      <c r="M47" s="52">
        <f>'S24'!M47+L47</f>
        <v/>
      </c>
      <c r="N47" s="53">
        <f>IFERROR(M47/K47,0)</f>
        <v/>
      </c>
      <c r="O47" s="54">
        <f>'S24'!N47</f>
        <v/>
      </c>
      <c r="P47" s="53">
        <f>N47-O47</f>
        <v/>
      </c>
      <c r="Q47" s="32" t="n"/>
      <c r="R47" s="32" t="n"/>
      <c r="S47" s="32" t="n"/>
      <c r="T47" s="55" t="n"/>
      <c r="U47" s="54">
        <f>'S24'!T47</f>
        <v/>
      </c>
      <c r="V47" s="53">
        <f>T47-U47</f>
        <v/>
      </c>
      <c r="W47" s="53">
        <f>N47-T47</f>
        <v/>
      </c>
      <c r="X47" s="34" t="n"/>
    </row>
    <row r="48" ht="22" customHeight="1">
      <c r="B48" s="10" t="n">
        <v>44</v>
      </c>
      <c r="C48" s="6" t="inlineStr">
        <is>
          <t>Sidi Kacem</t>
        </is>
      </c>
      <c r="D48" s="10" t="inlineStr">
        <is>
          <t>SAFSAF</t>
        </is>
      </c>
      <c r="E48" s="10" t="inlineStr">
        <is>
          <t>50-21</t>
        </is>
      </c>
      <c r="F48" s="10" t="inlineStr">
        <is>
          <t>Entretien et réparation des stations de pompage</t>
        </is>
      </c>
      <c r="G48" s="10" t="inlineStr">
        <is>
          <t>Prestation de maintenance des débitmètres et leurs équipements annexes installés au niveau des station de pompage</t>
        </is>
      </c>
      <c r="H48" s="10" t="inlineStr">
        <is>
          <t>Changements Sept des débitmètres Ø 600mm inondé des deux stations de pompage S11 et S9.</t>
        </is>
      </c>
      <c r="I48" s="11" t="n">
        <v>580000</v>
      </c>
      <c r="J48" s="12" t="inlineStr">
        <is>
          <t>U</t>
        </is>
      </c>
      <c r="K48" s="13" t="n">
        <v>7</v>
      </c>
      <c r="L48" s="51" t="n"/>
      <c r="M48" s="56">
        <f>'S24'!M48+L48</f>
        <v/>
      </c>
      <c r="N48" s="57">
        <f>IFERROR(M48/K48,0)</f>
        <v/>
      </c>
      <c r="O48" s="58">
        <f>'S24'!N48</f>
        <v/>
      </c>
      <c r="P48" s="57">
        <f>N48-O48</f>
        <v/>
      </c>
      <c r="Q48" s="32" t="n"/>
      <c r="R48" s="32" t="n"/>
      <c r="S48" s="32" t="n"/>
      <c r="T48" s="55" t="n"/>
      <c r="U48" s="58">
        <f>'S24'!T48</f>
        <v/>
      </c>
      <c r="V48" s="57">
        <f>T48-U48</f>
        <v/>
      </c>
      <c r="W48" s="57">
        <f>N48-T48</f>
        <v/>
      </c>
      <c r="X48" s="34" t="n"/>
    </row>
    <row r="49" ht="22" customHeight="1">
      <c r="B49" s="5" t="n">
        <v>45</v>
      </c>
      <c r="C49" s="6" t="inlineStr">
        <is>
          <t>Sidi Kacem</t>
        </is>
      </c>
      <c r="D49" s="5" t="inlineStr">
        <is>
          <t>SAFSAF</t>
        </is>
      </c>
      <c r="E49" s="5" t="inlineStr">
        <is>
          <t>50-21</t>
        </is>
      </c>
      <c r="F49" s="5" t="inlineStr">
        <is>
          <t>Entretien et réparation des stations de pompage</t>
        </is>
      </c>
      <c r="G49" s="5" t="inlineStr">
        <is>
          <t>Stabilisation Berge oued</t>
        </is>
      </c>
      <c r="H49" s="5" t="inlineStr">
        <is>
          <t>Pose de murs en gabions et recouvrement du talus par matelas Reno des stations de pompage S11, S9, 7D et 7B .</t>
        </is>
      </c>
      <c r="I49" s="7" t="n">
        <v>4000000</v>
      </c>
      <c r="J49" s="8" t="inlineStr">
        <is>
          <t>m³</t>
        </is>
      </c>
      <c r="K49" s="9" t="n">
        <v>2667</v>
      </c>
      <c r="L49" s="51" t="n"/>
      <c r="M49" s="52">
        <f>'S24'!M49+L49</f>
        <v/>
      </c>
      <c r="N49" s="53">
        <f>IFERROR(M49/K49,0)</f>
        <v/>
      </c>
      <c r="O49" s="54">
        <f>'S24'!N49</f>
        <v/>
      </c>
      <c r="P49" s="53">
        <f>N49-O49</f>
        <v/>
      </c>
      <c r="Q49" s="32" t="n"/>
      <c r="R49" s="32" t="n"/>
      <c r="S49" s="32" t="n"/>
      <c r="T49" s="55" t="n"/>
      <c r="U49" s="54">
        <f>'S24'!T49</f>
        <v/>
      </c>
      <c r="V49" s="53">
        <f>T49-U49</f>
        <v/>
      </c>
      <c r="W49" s="53">
        <f>N49-T49</f>
        <v/>
      </c>
      <c r="X49" s="34" t="n"/>
    </row>
    <row r="50" ht="22" customHeight="1">
      <c r="B50" s="10" t="n">
        <v>46</v>
      </c>
      <c r="C50" s="6" t="inlineStr">
        <is>
          <t>Sidi Kacem</t>
        </is>
      </c>
      <c r="D50" s="10" t="inlineStr">
        <is>
          <t>SIDI AZZOUZ</t>
        </is>
      </c>
      <c r="E50" s="10" t="inlineStr">
        <is>
          <t>40-21</t>
        </is>
      </c>
      <c r="F50" s="10" t="inlineStr">
        <is>
          <t>Travaux de pistes</t>
        </is>
      </c>
      <c r="G50" s="10" t="inlineStr">
        <is>
          <t>Entretien des pistes agricoles</t>
        </is>
      </c>
      <c r="H50" s="10" t="inlineStr">
        <is>
          <t>Entretien des pistes agricoles</t>
        </is>
      </c>
      <c r="I50" s="11" t="n">
        <v>655000</v>
      </c>
      <c r="J50" s="12" t="inlineStr">
        <is>
          <t>km</t>
        </is>
      </c>
      <c r="K50" s="13" t="n">
        <v>1</v>
      </c>
      <c r="L50" s="51" t="n"/>
      <c r="M50" s="56">
        <f>'S24'!M50+L50</f>
        <v/>
      </c>
      <c r="N50" s="57">
        <f>IFERROR(M50/K50,0)</f>
        <v/>
      </c>
      <c r="O50" s="58">
        <f>'S24'!N50</f>
        <v/>
      </c>
      <c r="P50" s="57">
        <f>N50-O50</f>
        <v/>
      </c>
      <c r="Q50" s="32" t="n"/>
      <c r="R50" s="32" t="n"/>
      <c r="S50" s="32" t="n"/>
      <c r="T50" s="55" t="n"/>
      <c r="U50" s="58">
        <f>'S24'!T50</f>
        <v/>
      </c>
      <c r="V50" s="57">
        <f>T50-U50</f>
        <v/>
      </c>
      <c r="W50" s="57">
        <f>N50-T50</f>
        <v/>
      </c>
      <c r="X50" s="34" t="n"/>
    </row>
    <row r="51" ht="22" customHeight="1">
      <c r="B51" s="5" t="n">
        <v>47</v>
      </c>
      <c r="C51" s="6" t="inlineStr">
        <is>
          <t>Sidi Kacem</t>
        </is>
      </c>
      <c r="D51" s="5" t="inlineStr">
        <is>
          <t>SIDI EL KAMEL</t>
        </is>
      </c>
      <c r="E51" s="5" t="inlineStr">
        <is>
          <t>20-11</t>
        </is>
      </c>
      <c r="F51" s="5" t="inlineStr">
        <is>
          <t>Travaux de réhabilitation des équipements</t>
        </is>
      </c>
      <c r="G51" s="5" t="inlineStr">
        <is>
          <t>Travaux de réhabilitation des canaux portés d'irrigation</t>
        </is>
      </c>
      <c r="H51" s="5" t="inlineStr">
        <is>
          <t>Fourniture et de pose de canaux porté et accessoires du réseau SR4 du secteur S3R</t>
        </is>
      </c>
      <c r="I51" s="7" t="n">
        <v>5182920</v>
      </c>
      <c r="J51" s="8" t="inlineStr">
        <is>
          <t>ml</t>
        </is>
      </c>
      <c r="K51" s="9" t="n">
        <v>1728</v>
      </c>
      <c r="L51" s="51" t="n"/>
      <c r="M51" s="52">
        <f>'S24'!M51+L51</f>
        <v/>
      </c>
      <c r="N51" s="53">
        <f>IFERROR(M51/K51,0)</f>
        <v/>
      </c>
      <c r="O51" s="54">
        <f>'S24'!N51</f>
        <v/>
      </c>
      <c r="P51" s="53">
        <f>N51-O51</f>
        <v/>
      </c>
      <c r="Q51" s="32" t="n"/>
      <c r="R51" s="32" t="n"/>
      <c r="S51" s="32" t="n"/>
      <c r="T51" s="55" t="n"/>
      <c r="U51" s="54">
        <f>'S24'!T51</f>
        <v/>
      </c>
      <c r="V51" s="53">
        <f>T51-U51</f>
        <v/>
      </c>
      <c r="W51" s="53">
        <f>N51-T51</f>
        <v/>
      </c>
      <c r="X51" s="34" t="n"/>
    </row>
    <row r="52" ht="22" customHeight="1">
      <c r="B52" s="10" t="n">
        <v>48</v>
      </c>
      <c r="C52" s="6" t="inlineStr">
        <is>
          <t>Sidi Kacem</t>
        </is>
      </c>
      <c r="D52" s="10" t="inlineStr">
        <is>
          <t>SIDI EL KAMEL</t>
        </is>
      </c>
      <c r="E52" s="10" t="inlineStr">
        <is>
          <t>20-11</t>
        </is>
      </c>
      <c r="F52" s="10" t="inlineStr">
        <is>
          <t>Travaux de réhabilitation des équipements</t>
        </is>
      </c>
      <c r="G52" s="10" t="inlineStr"/>
      <c r="H52" s="10" t="inlineStr">
        <is>
          <t>Fourniture et de pose de canaux porté et accessoires du réseau SR6 du secteur S1RIZ</t>
        </is>
      </c>
      <c r="I52" s="11" t="n">
        <v>152818</v>
      </c>
      <c r="J52" s="12" t="inlineStr">
        <is>
          <t>ml</t>
        </is>
      </c>
      <c r="K52" s="13" t="n">
        <v>51</v>
      </c>
      <c r="L52" s="51" t="n"/>
      <c r="M52" s="56">
        <f>'S24'!M52+L52</f>
        <v/>
      </c>
      <c r="N52" s="57">
        <f>IFERROR(M52/K52,0)</f>
        <v/>
      </c>
      <c r="O52" s="58">
        <f>'S24'!N52</f>
        <v/>
      </c>
      <c r="P52" s="57">
        <f>N52-O52</f>
        <v/>
      </c>
      <c r="Q52" s="32" t="n"/>
      <c r="R52" s="32" t="n"/>
      <c r="S52" s="32" t="n"/>
      <c r="T52" s="55" t="n"/>
      <c r="U52" s="58">
        <f>'S24'!T52</f>
        <v/>
      </c>
      <c r="V52" s="57">
        <f>T52-U52</f>
        <v/>
      </c>
      <c r="W52" s="57">
        <f>N52-T52</f>
        <v/>
      </c>
      <c r="X52" s="34" t="n"/>
    </row>
    <row r="53" ht="22" customHeight="1">
      <c r="B53" s="5" t="n">
        <v>49</v>
      </c>
      <c r="C53" s="6" t="inlineStr">
        <is>
          <t>Sidi Kacem</t>
        </is>
      </c>
      <c r="D53" s="5" t="inlineStr">
        <is>
          <t>SIDI EL KAMEL</t>
        </is>
      </c>
      <c r="E53" s="5" t="inlineStr">
        <is>
          <t>20-11</t>
        </is>
      </c>
      <c r="F53" s="5" t="inlineStr">
        <is>
          <t>Travaux de réhabilitation des équipements</t>
        </is>
      </c>
      <c r="G53" s="5" t="inlineStr"/>
      <c r="H53" s="5" t="inlineStr">
        <is>
          <t>Recalage des canaux portés du réseau SR4 du secteur S3R</t>
        </is>
      </c>
      <c r="I53" s="7" t="n">
        <v>1418000</v>
      </c>
      <c r="J53" s="8" t="inlineStr">
        <is>
          <t>ml</t>
        </is>
      </c>
      <c r="K53" s="9" t="n">
        <v>473</v>
      </c>
      <c r="L53" s="51" t="n"/>
      <c r="M53" s="52">
        <f>'S24'!M53+L53</f>
        <v/>
      </c>
      <c r="N53" s="53">
        <f>IFERROR(M53/K53,0)</f>
        <v/>
      </c>
      <c r="O53" s="54">
        <f>'S24'!N53</f>
        <v/>
      </c>
      <c r="P53" s="53">
        <f>N53-O53</f>
        <v/>
      </c>
      <c r="Q53" s="32" t="n"/>
      <c r="R53" s="32" t="n"/>
      <c r="S53" s="32" t="n"/>
      <c r="T53" s="55" t="n"/>
      <c r="U53" s="54">
        <f>'S24'!T53</f>
        <v/>
      </c>
      <c r="V53" s="53">
        <f>T53-U53</f>
        <v/>
      </c>
      <c r="W53" s="53">
        <f>N53-T53</f>
        <v/>
      </c>
      <c r="X53" s="34" t="n"/>
    </row>
    <row r="54" ht="22" customHeight="1">
      <c r="B54" s="10" t="n">
        <v>50</v>
      </c>
      <c r="C54" s="6" t="inlineStr">
        <is>
          <t>Sidi Kacem</t>
        </is>
      </c>
      <c r="D54" s="10" t="inlineStr">
        <is>
          <t>SIDI EL KAMEL</t>
        </is>
      </c>
      <c r="E54" s="10" t="inlineStr">
        <is>
          <t>20-11</t>
        </is>
      </c>
      <c r="F54" s="10" t="inlineStr">
        <is>
          <t>Travaux de réhabilitation des équipements</t>
        </is>
      </c>
      <c r="G54" s="10" t="inlineStr">
        <is>
          <t>Travaux de réhabilitation des ouvrages de génie civil</t>
        </is>
      </c>
      <c r="H54" s="10" t="inlineStr">
        <is>
          <t>Réhabilitation des murs de soutènements des ouvrages de franchissements du canal d'assainissement CS3 secteur S3 et de l’ouvrage de franchissement du canal primaire d’irrigation du secteur S1R au niveau de la route provinciale P4234</t>
        </is>
      </c>
      <c r="I54" s="11" t="n">
        <v>800000</v>
      </c>
      <c r="J54" s="12" t="inlineStr">
        <is>
          <t>ml</t>
        </is>
      </c>
      <c r="K54" s="13" t="n">
        <v>400</v>
      </c>
      <c r="L54" s="51" t="n"/>
      <c r="M54" s="56">
        <f>'S24'!M54+L54</f>
        <v/>
      </c>
      <c r="N54" s="57">
        <f>IFERROR(M54/K54,0)</f>
        <v/>
      </c>
      <c r="O54" s="58">
        <f>'S24'!N54</f>
        <v/>
      </c>
      <c r="P54" s="57">
        <f>N54-O54</f>
        <v/>
      </c>
      <c r="Q54" s="32" t="n"/>
      <c r="R54" s="32" t="n"/>
      <c r="S54" s="32" t="n"/>
      <c r="T54" s="55" t="n"/>
      <c r="U54" s="58">
        <f>'S24'!T54</f>
        <v/>
      </c>
      <c r="V54" s="57">
        <f>T54-U54</f>
        <v/>
      </c>
      <c r="W54" s="57">
        <f>N54-T54</f>
        <v/>
      </c>
      <c r="X54" s="34" t="n"/>
    </row>
    <row r="55" ht="22" customHeight="1">
      <c r="B55" s="5" t="n">
        <v>51</v>
      </c>
      <c r="C55" s="6" t="inlineStr">
        <is>
          <t>Sidi Kacem</t>
        </is>
      </c>
      <c r="D55" s="5" t="inlineStr">
        <is>
          <t>SIDI EL KAMEL</t>
        </is>
      </c>
      <c r="E55" s="5" t="inlineStr">
        <is>
          <t>40-21</t>
        </is>
      </c>
      <c r="F55" s="5" t="inlineStr">
        <is>
          <t>Travaux de pistes</t>
        </is>
      </c>
      <c r="G55" s="5" t="inlineStr">
        <is>
          <t>Entretien des pistes agricoles</t>
        </is>
      </c>
      <c r="H55" s="5" t="inlineStr">
        <is>
          <t>Entretien des pistes agricoles</t>
        </is>
      </c>
      <c r="I55" s="7" t="n">
        <v>3700000</v>
      </c>
      <c r="J55" s="8" t="inlineStr">
        <is>
          <t>km</t>
        </is>
      </c>
      <c r="K55" s="9" t="n">
        <v>7</v>
      </c>
      <c r="L55" s="51" t="n"/>
      <c r="M55" s="52">
        <f>'S24'!M55+L55</f>
        <v/>
      </c>
      <c r="N55" s="53">
        <f>IFERROR(M55/K55,0)</f>
        <v/>
      </c>
      <c r="O55" s="54">
        <f>'S24'!N55</f>
        <v/>
      </c>
      <c r="P55" s="53">
        <f>N55-O55</f>
        <v/>
      </c>
      <c r="Q55" s="32" t="n"/>
      <c r="R55" s="32" t="n"/>
      <c r="S55" s="32" t="n"/>
      <c r="T55" s="55" t="n"/>
      <c r="U55" s="54">
        <f>'S24'!T55</f>
        <v/>
      </c>
      <c r="V55" s="53">
        <f>T55-U55</f>
        <v/>
      </c>
      <c r="W55" s="53">
        <f>N55-T55</f>
        <v/>
      </c>
      <c r="X55" s="34" t="n"/>
    </row>
    <row r="56" ht="22" customHeight="1">
      <c r="B56" s="10" t="n">
        <v>52</v>
      </c>
      <c r="C56" s="6" t="inlineStr">
        <is>
          <t>Sidi Kacem</t>
        </is>
      </c>
      <c r="D56" s="10" t="inlineStr">
        <is>
          <t>SIDI EL KAMEL</t>
        </is>
      </c>
      <c r="E56" s="10" t="inlineStr">
        <is>
          <t>50-21</t>
        </is>
      </c>
      <c r="F56" s="10" t="inlineStr">
        <is>
          <t>Entretien et réparation des stations de pompage</t>
        </is>
      </c>
      <c r="G56" s="10" t="inlineStr">
        <is>
          <t>Prestation de maintenance des débitmètres et leurs équipements annexes installés au niveau des station de pompage</t>
        </is>
      </c>
      <c r="H56" s="10" t="inlineStr">
        <is>
          <t>Changement de quatre débitmètres Ø 500mm et trois Ø 800mm inondé des stations de pompage 1R, 3R et 5R.</t>
        </is>
      </c>
      <c r="I56" s="11" t="n">
        <v>705000</v>
      </c>
      <c r="J56" s="12" t="inlineStr">
        <is>
          <t>U</t>
        </is>
      </c>
      <c r="K56" s="13" t="n">
        <v>3</v>
      </c>
      <c r="L56" s="51" t="n"/>
      <c r="M56" s="56">
        <f>'S24'!M56+L56</f>
        <v/>
      </c>
      <c r="N56" s="57">
        <f>IFERROR(M56/K56,0)</f>
        <v/>
      </c>
      <c r="O56" s="58">
        <f>'S24'!N56</f>
        <v/>
      </c>
      <c r="P56" s="57">
        <f>N56-O56</f>
        <v/>
      </c>
      <c r="Q56" s="32" t="n"/>
      <c r="R56" s="32" t="n"/>
      <c r="S56" s="32" t="n"/>
      <c r="T56" s="55" t="n"/>
      <c r="U56" s="58">
        <f>'S24'!T56</f>
        <v/>
      </c>
      <c r="V56" s="57">
        <f>T56-U56</f>
        <v/>
      </c>
      <c r="W56" s="57">
        <f>N56-T56</f>
        <v/>
      </c>
      <c r="X56" s="34" t="n"/>
    </row>
    <row r="57" ht="22" customHeight="1">
      <c r="B57" s="5" t="n">
        <v>53</v>
      </c>
      <c r="C57" s="6" t="inlineStr">
        <is>
          <t>Sidi Kacem</t>
        </is>
      </c>
      <c r="D57" s="5" t="inlineStr">
        <is>
          <t>SIDI EL KAMEL</t>
        </is>
      </c>
      <c r="E57" s="5" t="inlineStr">
        <is>
          <t>50-21</t>
        </is>
      </c>
      <c r="F57" s="5" t="inlineStr">
        <is>
          <t>Entretien et réparation des stations de pompage</t>
        </is>
      </c>
      <c r="G57" s="5" t="inlineStr">
        <is>
          <t>Mur clôture des stations de pompage.</t>
        </is>
      </c>
      <c r="H57" s="5" t="inlineStr">
        <is>
          <t>Stabilisation et reconstruction des murs clôture cote oued des stations de pompage 7A, 3R et 1R.</t>
        </is>
      </c>
      <c r="I57" s="7" t="n">
        <v>372000</v>
      </c>
      <c r="J57" s="8" t="inlineStr">
        <is>
          <t>ml</t>
        </is>
      </c>
      <c r="K57" s="9" t="n">
        <v>124</v>
      </c>
      <c r="L57" s="51" t="n"/>
      <c r="M57" s="52">
        <f>'S24'!M57+L57</f>
        <v/>
      </c>
      <c r="N57" s="53">
        <f>IFERROR(M57/K57,0)</f>
        <v/>
      </c>
      <c r="O57" s="54">
        <f>'S24'!N57</f>
        <v/>
      </c>
      <c r="P57" s="53">
        <f>N57-O57</f>
        <v/>
      </c>
      <c r="Q57" s="32" t="n"/>
      <c r="R57" s="32" t="n"/>
      <c r="S57" s="32" t="n"/>
      <c r="T57" s="55" t="n"/>
      <c r="U57" s="54">
        <f>'S24'!T57</f>
        <v/>
      </c>
      <c r="V57" s="53">
        <f>T57-U57</f>
        <v/>
      </c>
      <c r="W57" s="53">
        <f>N57-T57</f>
        <v/>
      </c>
      <c r="X57" s="34" t="n"/>
    </row>
    <row r="58" ht="22" customHeight="1">
      <c r="B58" s="10" t="n">
        <v>54</v>
      </c>
      <c r="C58" s="14" t="inlineStr">
        <is>
          <t>Kénitra</t>
        </is>
      </c>
      <c r="D58" s="10" t="inlineStr">
        <is>
          <t>Bni malek</t>
        </is>
      </c>
      <c r="E58" s="10" t="inlineStr">
        <is>
          <t>50-23</t>
        </is>
      </c>
      <c r="F58" s="10" t="inlineStr">
        <is>
          <t>Entretien et réparation du réseau d'assainissement et de drainage</t>
        </is>
      </c>
      <c r="G58" s="10" t="inlineStr">
        <is>
          <t>Travaux de curage des canaux en terre</t>
        </is>
      </c>
      <c r="H58" s="10" t="inlineStr">
        <is>
          <t>Curage des emissaires et colatures secondaire au niveau des secteurs MDA ET N9</t>
        </is>
      </c>
      <c r="I58" s="11" t="n">
        <v>10000000</v>
      </c>
      <c r="J58" s="12" t="inlineStr">
        <is>
          <t>ml</t>
        </is>
      </c>
      <c r="K58" s="13" t="n">
        <v>5000</v>
      </c>
      <c r="L58" s="51" t="n"/>
      <c r="M58" s="56">
        <f>'S24'!M58+L58</f>
        <v/>
      </c>
      <c r="N58" s="57">
        <f>IFERROR(M58/K58,0)</f>
        <v/>
      </c>
      <c r="O58" s="58">
        <f>'S24'!N58</f>
        <v/>
      </c>
      <c r="P58" s="57">
        <f>N58-O58</f>
        <v/>
      </c>
      <c r="Q58" s="32" t="n"/>
      <c r="R58" s="32" t="n"/>
      <c r="S58" s="32" t="n"/>
      <c r="T58" s="55" t="n"/>
      <c r="U58" s="58">
        <f>'S24'!T58</f>
        <v/>
      </c>
      <c r="V58" s="57">
        <f>T58-U58</f>
        <v/>
      </c>
      <c r="W58" s="57">
        <f>N58-T58</f>
        <v/>
      </c>
      <c r="X58" s="34" t="n"/>
    </row>
    <row r="59" ht="22" customHeight="1">
      <c r="B59" s="5" t="n">
        <v>55</v>
      </c>
      <c r="C59" s="14" t="inlineStr">
        <is>
          <t>Kénitra</t>
        </is>
      </c>
      <c r="D59" s="5" t="inlineStr">
        <is>
          <t>Bni malek</t>
        </is>
      </c>
      <c r="E59" s="5" t="inlineStr">
        <is>
          <t>40-21</t>
        </is>
      </c>
      <c r="F59" s="5" t="inlineStr">
        <is>
          <t>Travaux de pistes</t>
        </is>
      </c>
      <c r="G59" s="5" t="inlineStr">
        <is>
          <t>Travaux de réhabilitation des pistes agricoles</t>
        </is>
      </c>
      <c r="H59" s="5" t="inlineStr">
        <is>
          <t>Entretien des pistes agricoles des secteurs MDA et N3</t>
        </is>
      </c>
      <c r="I59" s="7" t="n">
        <v>2000000</v>
      </c>
      <c r="J59" s="8" t="inlineStr">
        <is>
          <t>km</t>
        </is>
      </c>
      <c r="K59" s="9" t="n">
        <v>4</v>
      </c>
      <c r="L59" s="51" t="n"/>
      <c r="M59" s="52">
        <f>'S24'!M59+L59</f>
        <v/>
      </c>
      <c r="N59" s="53">
        <f>IFERROR(M59/K59,0)</f>
        <v/>
      </c>
      <c r="O59" s="54">
        <f>'S24'!N59</f>
        <v/>
      </c>
      <c r="P59" s="53">
        <f>N59-O59</f>
        <v/>
      </c>
      <c r="Q59" s="32" t="n"/>
      <c r="R59" s="32" t="n"/>
      <c r="S59" s="32" t="n"/>
      <c r="T59" s="55" t="n"/>
      <c r="U59" s="54">
        <f>'S24'!T59</f>
        <v/>
      </c>
      <c r="V59" s="53">
        <f>T59-U59</f>
        <v/>
      </c>
      <c r="W59" s="53">
        <f>N59-T59</f>
        <v/>
      </c>
      <c r="X59" s="34" t="n"/>
    </row>
    <row r="60" ht="22" customHeight="1">
      <c r="B60" s="10" t="n">
        <v>56</v>
      </c>
      <c r="C60" s="14" t="inlineStr">
        <is>
          <t>Kénitra</t>
        </is>
      </c>
      <c r="D60" s="10" t="inlineStr">
        <is>
          <t>Bni malek</t>
        </is>
      </c>
      <c r="E60" s="10" t="inlineStr">
        <is>
          <t>50-21</t>
        </is>
      </c>
      <c r="F60" s="10" t="inlineStr">
        <is>
          <t>Entretien et réparation des stations de pompage</t>
        </is>
      </c>
      <c r="G60" s="10" t="inlineStr">
        <is>
          <t>Prestations de maintenance et de réparation mécanique des pompes et des groupes motopompes submersibles des stations de pompage.</t>
        </is>
      </c>
      <c r="H60" s="10" t="inlineStr">
        <is>
          <t>station de pompage MDA secteur MDA</t>
        </is>
      </c>
      <c r="I60" s="11" t="n">
        <v>300000</v>
      </c>
      <c r="J60" s="12" t="inlineStr">
        <is>
          <t>U</t>
        </is>
      </c>
      <c r="K60" s="13" t="n">
        <v>1</v>
      </c>
      <c r="L60" s="51" t="n"/>
      <c r="M60" s="56">
        <f>'S24'!M60+L60</f>
        <v/>
      </c>
      <c r="N60" s="57">
        <f>IFERROR(M60/K60,0)</f>
        <v/>
      </c>
      <c r="O60" s="58">
        <f>'S24'!N60</f>
        <v/>
      </c>
      <c r="P60" s="57">
        <f>N60-O60</f>
        <v/>
      </c>
      <c r="Q60" s="32" t="n"/>
      <c r="R60" s="32" t="n"/>
      <c r="S60" s="32" t="n"/>
      <c r="T60" s="55" t="n"/>
      <c r="U60" s="58">
        <f>'S24'!T60</f>
        <v/>
      </c>
      <c r="V60" s="57">
        <f>T60-U60</f>
        <v/>
      </c>
      <c r="W60" s="57">
        <f>N60-T60</f>
        <v/>
      </c>
      <c r="X60" s="34" t="n"/>
    </row>
    <row r="61" ht="22" customHeight="1">
      <c r="B61" s="5" t="n">
        <v>57</v>
      </c>
      <c r="C61" s="14" t="inlineStr">
        <is>
          <t>Kénitra</t>
        </is>
      </c>
      <c r="D61" s="5" t="inlineStr">
        <is>
          <t>Bni malek</t>
        </is>
      </c>
      <c r="E61" s="5" t="inlineStr">
        <is>
          <t>20-11</t>
        </is>
      </c>
      <c r="F61" s="5" t="inlineStr">
        <is>
          <t>Travaux de réhabilitation des équipements</t>
        </is>
      </c>
      <c r="G61" s="5" t="inlineStr">
        <is>
          <t>Travaux de réhabilitation des ouvrages de génie civil</t>
        </is>
      </c>
      <c r="H61" s="5" t="inlineStr">
        <is>
          <t>Rétablissement des bornes affaissées des secteurs N2 et N3</t>
        </is>
      </c>
      <c r="I61" s="7" t="n">
        <v>100000</v>
      </c>
      <c r="J61" s="8" t="inlineStr">
        <is>
          <t>U</t>
        </is>
      </c>
      <c r="K61" s="9" t="n">
        <v>200</v>
      </c>
      <c r="L61" s="51" t="n"/>
      <c r="M61" s="52">
        <f>'S24'!M61+L61</f>
        <v/>
      </c>
      <c r="N61" s="53">
        <f>IFERROR(M61/K61,0)</f>
        <v/>
      </c>
      <c r="O61" s="54">
        <f>'S24'!N61</f>
        <v/>
      </c>
      <c r="P61" s="53">
        <f>N61-O61</f>
        <v/>
      </c>
      <c r="Q61" s="32" t="n"/>
      <c r="R61" s="32" t="n"/>
      <c r="S61" s="32" t="n"/>
      <c r="T61" s="55" t="n"/>
      <c r="U61" s="54">
        <f>'S24'!T61</f>
        <v/>
      </c>
      <c r="V61" s="53">
        <f>T61-U61</f>
        <v/>
      </c>
      <c r="W61" s="53">
        <f>N61-T61</f>
        <v/>
      </c>
      <c r="X61" s="34" t="n"/>
    </row>
    <row r="62" ht="22" customHeight="1">
      <c r="B62" s="10" t="n">
        <v>58</v>
      </c>
      <c r="C62" s="14" t="inlineStr">
        <is>
          <t>Kénitra</t>
        </is>
      </c>
      <c r="D62" s="10" t="inlineStr">
        <is>
          <t>SOUK TLET</t>
        </is>
      </c>
      <c r="E62" s="10" t="inlineStr">
        <is>
          <t>50-23</t>
        </is>
      </c>
      <c r="F62" s="10" t="inlineStr">
        <is>
          <t>Entretien et réparation du réseau d'assainissement et de drainage</t>
        </is>
      </c>
      <c r="G62" s="10" t="inlineStr">
        <is>
          <t>Travaux de curage des canaux en terre</t>
        </is>
      </c>
      <c r="H62" s="10" t="inlineStr">
        <is>
          <t>curage des emissaires et colatures secondaire au niveau des secteurs N2,N3 ET N4,</t>
        </is>
      </c>
      <c r="I62" s="11" t="n">
        <v>3000000</v>
      </c>
      <c r="J62" s="12" t="inlineStr">
        <is>
          <t>ml</t>
        </is>
      </c>
      <c r="K62" s="13" t="n">
        <v>1500</v>
      </c>
      <c r="L62" s="51" t="n"/>
      <c r="M62" s="56">
        <f>'S24'!M62+L62</f>
        <v/>
      </c>
      <c r="N62" s="57">
        <f>IFERROR(M62/K62,0)</f>
        <v/>
      </c>
      <c r="O62" s="58">
        <f>'S24'!N62</f>
        <v/>
      </c>
      <c r="P62" s="57">
        <f>N62-O62</f>
        <v/>
      </c>
      <c r="Q62" s="32" t="n"/>
      <c r="R62" s="32" t="n"/>
      <c r="S62" s="32" t="n"/>
      <c r="T62" s="55" t="n"/>
      <c r="U62" s="58">
        <f>'S24'!T62</f>
        <v/>
      </c>
      <c r="V62" s="57">
        <f>T62-U62</f>
        <v/>
      </c>
      <c r="W62" s="57">
        <f>N62-T62</f>
        <v/>
      </c>
      <c r="X62" s="34" t="n"/>
    </row>
    <row r="63" ht="22" customHeight="1">
      <c r="B63" s="5" t="n">
        <v>59</v>
      </c>
      <c r="C63" s="14" t="inlineStr">
        <is>
          <t>Kénitra</t>
        </is>
      </c>
      <c r="D63" s="5" t="inlineStr">
        <is>
          <t>SOUK TLET</t>
        </is>
      </c>
      <c r="E63" s="5" t="inlineStr">
        <is>
          <t>40-21</t>
        </is>
      </c>
      <c r="F63" s="5" t="inlineStr">
        <is>
          <t>Travaux de pistes</t>
        </is>
      </c>
      <c r="G63" s="5" t="inlineStr">
        <is>
          <t>Travaux de réhabilitation des pistes agricoles</t>
        </is>
      </c>
      <c r="H63" s="5" t="inlineStr">
        <is>
          <t>Entretien des pistes des secteurs N2,N3,N4 et C4R,</t>
        </is>
      </c>
      <c r="I63" s="7" t="n">
        <v>5000000</v>
      </c>
      <c r="J63" s="8" t="inlineStr">
        <is>
          <t>U</t>
        </is>
      </c>
      <c r="K63" s="9" t="n">
        <v>1</v>
      </c>
      <c r="L63" s="51" t="n"/>
      <c r="M63" s="52">
        <f>'S24'!M63+L63</f>
        <v/>
      </c>
      <c r="N63" s="53">
        <f>IFERROR(M63/K63,0)</f>
        <v/>
      </c>
      <c r="O63" s="54">
        <f>'S24'!N63</f>
        <v/>
      </c>
      <c r="P63" s="53">
        <f>N63-O63</f>
        <v/>
      </c>
      <c r="Q63" s="32" t="n"/>
      <c r="R63" s="32" t="n"/>
      <c r="S63" s="32" t="n"/>
      <c r="T63" s="55" t="n"/>
      <c r="U63" s="54">
        <f>'S24'!T63</f>
        <v/>
      </c>
      <c r="V63" s="53">
        <f>T63-U63</f>
        <v/>
      </c>
      <c r="W63" s="53">
        <f>N63-T63</f>
        <v/>
      </c>
      <c r="X63" s="34" t="n"/>
    </row>
    <row r="64" ht="22" customHeight="1">
      <c r="B64" s="10" t="n">
        <v>60</v>
      </c>
      <c r="C64" s="14" t="inlineStr">
        <is>
          <t>Kénitra</t>
        </is>
      </c>
      <c r="D64" s="10" t="inlineStr">
        <is>
          <t>Sidi Med Lahmar</t>
        </is>
      </c>
      <c r="E64" s="10" t="inlineStr">
        <is>
          <t>50-23</t>
        </is>
      </c>
      <c r="F64" s="10" t="inlineStr">
        <is>
          <t>Entretien et réparation du réseau d'assainissement et de drainage</t>
        </is>
      </c>
      <c r="G64" s="10" t="inlineStr">
        <is>
          <t>Travaux de curage des canaux en terre</t>
        </is>
      </c>
      <c r="H64" s="10" t="inlineStr">
        <is>
          <t>Curage des emissaires et colatures secondaires secteurs N1</t>
        </is>
      </c>
      <c r="I64" s="11" t="n">
        <v>3000000</v>
      </c>
      <c r="J64" s="12" t="inlineStr">
        <is>
          <t>ml</t>
        </is>
      </c>
      <c r="K64" s="13" t="n">
        <v>1500</v>
      </c>
      <c r="L64" s="51" t="n"/>
      <c r="M64" s="56">
        <f>'S24'!M64+L64</f>
        <v/>
      </c>
      <c r="N64" s="57">
        <f>IFERROR(M64/K64,0)</f>
        <v/>
      </c>
      <c r="O64" s="58">
        <f>'S24'!N64</f>
        <v/>
      </c>
      <c r="P64" s="57">
        <f>N64-O64</f>
        <v/>
      </c>
      <c r="Q64" s="32" t="n"/>
      <c r="R64" s="32" t="n"/>
      <c r="S64" s="32" t="n"/>
      <c r="T64" s="55" t="n"/>
      <c r="U64" s="58">
        <f>'S24'!T64</f>
        <v/>
      </c>
      <c r="V64" s="57">
        <f>T64-U64</f>
        <v/>
      </c>
      <c r="W64" s="57">
        <f>N64-T64</f>
        <v/>
      </c>
      <c r="X64" s="34" t="n"/>
    </row>
    <row r="65" ht="22" customHeight="1">
      <c r="B65" s="5" t="n">
        <v>61</v>
      </c>
      <c r="C65" s="14" t="inlineStr">
        <is>
          <t>Kénitra</t>
        </is>
      </c>
      <c r="D65" s="5" t="inlineStr">
        <is>
          <t>Sidi Med Lahmar</t>
        </is>
      </c>
      <c r="E65" s="5" t="inlineStr">
        <is>
          <t>40-21</t>
        </is>
      </c>
      <c r="F65" s="5" t="inlineStr">
        <is>
          <t>Travaux de pistes</t>
        </is>
      </c>
      <c r="G65" s="5" t="inlineStr">
        <is>
          <t>Travaux de réhabilitation des pistes agricoles</t>
        </is>
      </c>
      <c r="H65" s="5" t="inlineStr">
        <is>
          <t>Entretien des pistes agricoles des secteurs N9 et N1</t>
        </is>
      </c>
      <c r="I65" s="7" t="n">
        <v>3000000</v>
      </c>
      <c r="J65" s="8" t="inlineStr">
        <is>
          <t>km</t>
        </is>
      </c>
      <c r="K65" s="9" t="n">
        <v>6</v>
      </c>
      <c r="L65" s="51" t="n"/>
      <c r="M65" s="52">
        <f>'S24'!M65+L65</f>
        <v/>
      </c>
      <c r="N65" s="53">
        <f>IFERROR(M65/K65,0)</f>
        <v/>
      </c>
      <c r="O65" s="54">
        <f>'S24'!N65</f>
        <v/>
      </c>
      <c r="P65" s="53">
        <f>N65-O65</f>
        <v/>
      </c>
      <c r="Q65" s="32" t="n"/>
      <c r="R65" s="32" t="n"/>
      <c r="S65" s="32" t="n"/>
      <c r="T65" s="55" t="n"/>
      <c r="U65" s="54">
        <f>'S24'!T65</f>
        <v/>
      </c>
      <c r="V65" s="53">
        <f>T65-U65</f>
        <v/>
      </c>
      <c r="W65" s="53">
        <f>N65-T65</f>
        <v/>
      </c>
      <c r="X65" s="34" t="n"/>
    </row>
    <row r="66" ht="22" customHeight="1">
      <c r="B66" s="10" t="n">
        <v>62</v>
      </c>
      <c r="C66" s="14" t="inlineStr">
        <is>
          <t>Kénitra</t>
        </is>
      </c>
      <c r="D66" s="10" t="inlineStr">
        <is>
          <t>Mograne</t>
        </is>
      </c>
      <c r="E66" s="10" t="inlineStr">
        <is>
          <t>50-23</t>
        </is>
      </c>
      <c r="F66" s="10" t="inlineStr">
        <is>
          <t>Entretien et réparation du réseau d'assainissement et de drainage</t>
        </is>
      </c>
      <c r="G66" s="10" t="inlineStr">
        <is>
          <t>Travaux de curage des canaux en terre</t>
        </is>
      </c>
      <c r="H66" s="10" t="inlineStr">
        <is>
          <t>Curage des canaux d'assainissement Hors secteur équipé ghoufera et laison beht sebou ,</t>
        </is>
      </c>
      <c r="I66" s="11" t="n">
        <v>6000000</v>
      </c>
      <c r="J66" s="12" t="inlineStr">
        <is>
          <t>ml</t>
        </is>
      </c>
      <c r="K66" s="13" t="n">
        <v>3000</v>
      </c>
      <c r="L66" s="51" t="n"/>
      <c r="M66" s="56">
        <f>'S24'!M66+L66</f>
        <v/>
      </c>
      <c r="N66" s="57">
        <f>IFERROR(M66/K66,0)</f>
        <v/>
      </c>
      <c r="O66" s="58">
        <f>'S24'!N66</f>
        <v/>
      </c>
      <c r="P66" s="57">
        <f>N66-O66</f>
        <v/>
      </c>
      <c r="Q66" s="32" t="n"/>
      <c r="R66" s="32" t="n"/>
      <c r="S66" s="32" t="n"/>
      <c r="T66" s="55" t="n"/>
      <c r="U66" s="58">
        <f>'S24'!T66</f>
        <v/>
      </c>
      <c r="V66" s="57">
        <f>T66-U66</f>
        <v/>
      </c>
      <c r="W66" s="57">
        <f>N66-T66</f>
        <v/>
      </c>
      <c r="X66" s="34" t="n"/>
    </row>
    <row r="67" ht="22" customHeight="1">
      <c r="B67" s="5" t="n">
        <v>63</v>
      </c>
      <c r="C67" s="14" t="inlineStr">
        <is>
          <t>Kénitra</t>
        </is>
      </c>
      <c r="D67" s="5" t="inlineStr">
        <is>
          <t>Mograne</t>
        </is>
      </c>
      <c r="E67" s="5" t="inlineStr">
        <is>
          <t>40-21</t>
        </is>
      </c>
      <c r="F67" s="5" t="inlineStr">
        <is>
          <t>Travaux de pistes</t>
        </is>
      </c>
      <c r="G67" s="5" t="inlineStr">
        <is>
          <t>Travaux de réhabilitation des pistes agricoles</t>
        </is>
      </c>
      <c r="H67" s="5" t="inlineStr">
        <is>
          <t>Entretien des pistes agricoles des secteurs SEBOU1,SEBOU2? BEHT3 et BEHT4</t>
        </is>
      </c>
      <c r="I67" s="7" t="n">
        <v>6000000</v>
      </c>
      <c r="J67" s="8" t="inlineStr">
        <is>
          <t>km</t>
        </is>
      </c>
      <c r="K67" s="9" t="n">
        <v>12</v>
      </c>
      <c r="L67" s="51" t="n"/>
      <c r="M67" s="52">
        <f>'S24'!M67+L67</f>
        <v/>
      </c>
      <c r="N67" s="53">
        <f>IFERROR(M67/K67,0)</f>
        <v/>
      </c>
      <c r="O67" s="54">
        <f>'S24'!N67</f>
        <v/>
      </c>
      <c r="P67" s="53">
        <f>N67-O67</f>
        <v/>
      </c>
      <c r="Q67" s="32" t="n"/>
      <c r="R67" s="32" t="n"/>
      <c r="S67" s="32" t="n"/>
      <c r="T67" s="55" t="n"/>
      <c r="U67" s="54">
        <f>'S24'!T67</f>
        <v/>
      </c>
      <c r="V67" s="53">
        <f>T67-U67</f>
        <v/>
      </c>
      <c r="W67" s="53">
        <f>N67-T67</f>
        <v/>
      </c>
      <c r="X67" s="34" t="n"/>
    </row>
    <row r="68" ht="22" customHeight="1">
      <c r="B68" s="10" t="n">
        <v>64</v>
      </c>
      <c r="C68" s="14" t="inlineStr">
        <is>
          <t>Kénitra</t>
        </is>
      </c>
      <c r="D68" s="10" t="inlineStr">
        <is>
          <t>Sidi allal tazi</t>
        </is>
      </c>
      <c r="E68" s="10" t="inlineStr">
        <is>
          <t>50-23</t>
        </is>
      </c>
      <c r="F68" s="10" t="inlineStr">
        <is>
          <t>Entretien et réparation du réseau d'assainissement et de drainage</t>
        </is>
      </c>
      <c r="G68" s="10" t="inlineStr">
        <is>
          <t>Travaux de curage des canaux en terre</t>
        </is>
      </c>
      <c r="H68" s="10" t="inlineStr">
        <is>
          <t>Curage du canaL d'assainissement CK,</t>
        </is>
      </c>
      <c r="I68" s="11" t="n">
        <v>3000000</v>
      </c>
      <c r="J68" s="12" t="inlineStr">
        <is>
          <t>ml</t>
        </is>
      </c>
      <c r="K68" s="13" t="n">
        <v>1500</v>
      </c>
      <c r="L68" s="51" t="n"/>
      <c r="M68" s="56">
        <f>'S24'!M68+L68</f>
        <v/>
      </c>
      <c r="N68" s="57">
        <f>IFERROR(M68/K68,0)</f>
        <v/>
      </c>
      <c r="O68" s="58">
        <f>'S24'!N68</f>
        <v/>
      </c>
      <c r="P68" s="57">
        <f>N68-O68</f>
        <v/>
      </c>
      <c r="Q68" s="32" t="n"/>
      <c r="R68" s="32" t="n"/>
      <c r="S68" s="32" t="n"/>
      <c r="T68" s="55" t="n"/>
      <c r="U68" s="58">
        <f>'S24'!T68</f>
        <v/>
      </c>
      <c r="V68" s="57">
        <f>T68-U68</f>
        <v/>
      </c>
      <c r="W68" s="57">
        <f>N68-T68</f>
        <v/>
      </c>
      <c r="X68" s="34" t="n"/>
    </row>
    <row r="69" ht="22" customHeight="1">
      <c r="B69" s="5" t="n">
        <v>65</v>
      </c>
      <c r="C69" s="14" t="inlineStr">
        <is>
          <t>Kénitra</t>
        </is>
      </c>
      <c r="D69" s="5" t="inlineStr">
        <is>
          <t>AMEUR SAFLIA</t>
        </is>
      </c>
      <c r="E69" s="5" t="inlineStr">
        <is>
          <t>50-23</t>
        </is>
      </c>
      <c r="F69" s="5" t="inlineStr">
        <is>
          <t>Entretien et réparation du réseau d'assainissement et de drainage</t>
        </is>
      </c>
      <c r="G69" s="5" t="inlineStr">
        <is>
          <t>Travaux de curage des canaux en terre</t>
        </is>
      </c>
      <c r="H69" s="5" t="inlineStr">
        <is>
          <t>Curage des canaux d'assainissement amontTtiflt Sebou,</t>
        </is>
      </c>
      <c r="I69" s="7" t="n">
        <v>1000000</v>
      </c>
      <c r="J69" s="8" t="inlineStr">
        <is>
          <t>ml</t>
        </is>
      </c>
      <c r="K69" s="9" t="n">
        <v>500</v>
      </c>
      <c r="L69" s="51" t="n"/>
      <c r="M69" s="52">
        <f>'S24'!M69+L69</f>
        <v/>
      </c>
      <c r="N69" s="53">
        <f>IFERROR(M69/K69,0)</f>
        <v/>
      </c>
      <c r="O69" s="54">
        <f>'S24'!N69</f>
        <v/>
      </c>
      <c r="P69" s="53">
        <f>N69-O69</f>
        <v/>
      </c>
      <c r="Q69" s="32" t="n"/>
      <c r="R69" s="32" t="n"/>
      <c r="S69" s="32" t="n"/>
      <c r="T69" s="55" t="n"/>
      <c r="U69" s="54">
        <f>'S24'!T69</f>
        <v/>
      </c>
      <c r="V69" s="53">
        <f>T69-U69</f>
        <v/>
      </c>
      <c r="W69" s="53">
        <f>N69-T69</f>
        <v/>
      </c>
      <c r="X69" s="34" t="n"/>
    </row>
    <row r="70" ht="22" customHeight="1">
      <c r="B70" s="10" t="n">
        <v>66</v>
      </c>
      <c r="C70" s="14" t="inlineStr">
        <is>
          <t>Kénitra</t>
        </is>
      </c>
      <c r="D70" s="10" t="inlineStr">
        <is>
          <t>Oulad SLAMA</t>
        </is>
      </c>
      <c r="E70" s="10" t="inlineStr">
        <is>
          <t>50-23</t>
        </is>
      </c>
      <c r="F70" s="10" t="inlineStr">
        <is>
          <t>Entretien et réparation du réseau d'assainissement et de drainage</t>
        </is>
      </c>
      <c r="G70" s="10" t="inlineStr">
        <is>
          <t>Travaux de curage des canaux en terre</t>
        </is>
      </c>
      <c r="H70" s="10" t="inlineStr">
        <is>
          <t>Curage des canaux d'assainissement debouche Tiflt aval,</t>
        </is>
      </c>
      <c r="I70" s="11" t="n">
        <v>1000000</v>
      </c>
      <c r="J70" s="12" t="inlineStr">
        <is>
          <t>ml</t>
        </is>
      </c>
      <c r="K70" s="13" t="n">
        <v>500</v>
      </c>
      <c r="L70" s="51" t="n"/>
      <c r="M70" s="56">
        <f>'S24'!M70+L70</f>
        <v/>
      </c>
      <c r="N70" s="57">
        <f>IFERROR(M70/K70,0)</f>
        <v/>
      </c>
      <c r="O70" s="58">
        <f>'S24'!N70</f>
        <v/>
      </c>
      <c r="P70" s="57">
        <f>N70-O70</f>
        <v/>
      </c>
      <c r="Q70" s="32" t="n"/>
      <c r="R70" s="32" t="n"/>
      <c r="S70" s="32" t="n"/>
      <c r="T70" s="55" t="n"/>
      <c r="U70" s="58">
        <f>'S24'!T70</f>
        <v/>
      </c>
      <c r="V70" s="57">
        <f>T70-U70</f>
        <v/>
      </c>
      <c r="W70" s="57">
        <f>N70-T70</f>
        <v/>
      </c>
      <c r="X70" s="34" t="n"/>
    </row>
    <row r="71" ht="22" customHeight="1">
      <c r="B71" s="5" t="n">
        <v>67</v>
      </c>
      <c r="C71" s="14" t="inlineStr">
        <is>
          <t>Kénitra</t>
        </is>
      </c>
      <c r="D71" s="5" t="inlineStr">
        <is>
          <t>BHARA Oulad AYAD</t>
        </is>
      </c>
      <c r="E71" s="5" t="inlineStr">
        <is>
          <t>50-23</t>
        </is>
      </c>
      <c r="F71" s="5" t="inlineStr">
        <is>
          <t>Entretien et réparation du réseau d'assainissement et de drainage</t>
        </is>
      </c>
      <c r="G71" s="5" t="inlineStr">
        <is>
          <t>Travaux de curage des canaux en terre</t>
        </is>
      </c>
      <c r="H71" s="5" t="inlineStr">
        <is>
          <t>Curage des canaux d'assainissement canal nador bas et haut segmet,</t>
        </is>
      </c>
      <c r="I71" s="7" t="n">
        <v>6600000</v>
      </c>
      <c r="J71" s="8" t="inlineStr">
        <is>
          <t>ml</t>
        </is>
      </c>
      <c r="K71" s="9" t="n">
        <v>3300</v>
      </c>
      <c r="L71" s="51" t="n"/>
      <c r="M71" s="52">
        <f>'S24'!M71+L71</f>
        <v/>
      </c>
      <c r="N71" s="53">
        <f>IFERROR(M71/K71,0)</f>
        <v/>
      </c>
      <c r="O71" s="54">
        <f>'S24'!N71</f>
        <v/>
      </c>
      <c r="P71" s="53">
        <f>N71-O71</f>
        <v/>
      </c>
      <c r="Q71" s="32" t="n"/>
      <c r="R71" s="32" t="n"/>
      <c r="S71" s="32" t="n"/>
      <c r="T71" s="55" t="n"/>
      <c r="U71" s="54">
        <f>'S24'!T71</f>
        <v/>
      </c>
      <c r="V71" s="53">
        <f>T71-U71</f>
        <v/>
      </c>
      <c r="W71" s="53">
        <f>N71-T71</f>
        <v/>
      </c>
      <c r="X71" s="34" t="n"/>
    </row>
    <row r="72" ht="22" customHeight="1">
      <c r="B72" s="10" t="n">
        <v>68</v>
      </c>
      <c r="C72" s="15" t="inlineStr">
        <is>
          <t>Sidi Slimane</t>
        </is>
      </c>
      <c r="D72" s="10" t="inlineStr">
        <is>
          <t>OULED HCEINE</t>
        </is>
      </c>
      <c r="E72" s="10" t="inlineStr">
        <is>
          <t>50-23</t>
        </is>
      </c>
      <c r="F72" s="10" t="inlineStr">
        <is>
          <t>Entretien et réparation du réseau d'assainissement et de drainage</t>
        </is>
      </c>
      <c r="G72" s="10" t="inlineStr">
        <is>
          <t>Travaux de curage des canaux en terre</t>
        </is>
      </c>
      <c r="H72" s="10" t="inlineStr">
        <is>
          <t>Curage des collecteurs d'assainissement du secteur EST4.</t>
        </is>
      </c>
      <c r="I72" s="11" t="n">
        <v>1805475</v>
      </c>
      <c r="J72" s="12" t="inlineStr">
        <is>
          <t>ml</t>
        </is>
      </c>
      <c r="K72" s="13" t="n">
        <v>903</v>
      </c>
      <c r="L72" s="51" t="n"/>
      <c r="M72" s="56">
        <f>'S24'!M72+L72</f>
        <v/>
      </c>
      <c r="N72" s="57">
        <f>IFERROR(M72/K72,0)</f>
        <v/>
      </c>
      <c r="O72" s="58">
        <f>'S24'!N72</f>
        <v/>
      </c>
      <c r="P72" s="57">
        <f>N72-O72</f>
        <v/>
      </c>
      <c r="Q72" s="32" t="n"/>
      <c r="R72" s="32" t="n"/>
      <c r="S72" s="32" t="n"/>
      <c r="T72" s="55" t="n"/>
      <c r="U72" s="58">
        <f>'S24'!T72</f>
        <v/>
      </c>
      <c r="V72" s="57">
        <f>T72-U72</f>
        <v/>
      </c>
      <c r="W72" s="57">
        <f>N72-T72</f>
        <v/>
      </c>
      <c r="X72" s="34" t="n"/>
    </row>
    <row r="73" ht="22" customHeight="1">
      <c r="B73" s="5" t="n">
        <v>69</v>
      </c>
      <c r="C73" s="15" t="inlineStr">
        <is>
          <t>Sidi Slimane</t>
        </is>
      </c>
      <c r="D73" s="5" t="inlineStr">
        <is>
          <t>OULED HCEINE</t>
        </is>
      </c>
      <c r="E73" s="5" t="inlineStr">
        <is>
          <t>50-23</t>
        </is>
      </c>
      <c r="F73" s="5" t="inlineStr">
        <is>
          <t>Entretien et réparation du réseau d'assainissement et de drainage</t>
        </is>
      </c>
      <c r="G73" s="5" t="inlineStr">
        <is>
          <t>Travaux de curage des canaux en terre</t>
        </is>
      </c>
      <c r="H73" s="5" t="inlineStr">
        <is>
          <t>Curage du canal d'assainissement Tihli central.</t>
        </is>
      </c>
      <c r="I73" s="7" t="n">
        <v>2587200</v>
      </c>
      <c r="J73" s="8" t="inlineStr">
        <is>
          <t>ml</t>
        </is>
      </c>
      <c r="K73" s="9" t="n">
        <v>1294</v>
      </c>
      <c r="L73" s="51" t="n"/>
      <c r="M73" s="52">
        <f>'S24'!M73+L73</f>
        <v/>
      </c>
      <c r="N73" s="53">
        <f>IFERROR(M73/K73,0)</f>
        <v/>
      </c>
      <c r="O73" s="54">
        <f>'S24'!N73</f>
        <v/>
      </c>
      <c r="P73" s="53">
        <f>N73-O73</f>
        <v/>
      </c>
      <c r="Q73" s="32" t="n"/>
      <c r="R73" s="32" t="n"/>
      <c r="S73" s="32" t="n"/>
      <c r="T73" s="55" t="n"/>
      <c r="U73" s="54">
        <f>'S24'!T73</f>
        <v/>
      </c>
      <c r="V73" s="53">
        <f>T73-U73</f>
        <v/>
      </c>
      <c r="W73" s="53">
        <f>N73-T73</f>
        <v/>
      </c>
      <c r="X73" s="34" t="n"/>
    </row>
    <row r="74" ht="22" customHeight="1">
      <c r="B74" s="10" t="n">
        <v>70</v>
      </c>
      <c r="C74" s="15" t="inlineStr">
        <is>
          <t>Sidi Slimane</t>
        </is>
      </c>
      <c r="D74" s="10" t="inlineStr">
        <is>
          <t>OULED HCEINE</t>
        </is>
      </c>
      <c r="E74" s="10" t="inlineStr">
        <is>
          <t>40-21</t>
        </is>
      </c>
      <c r="F74" s="10" t="inlineStr">
        <is>
          <t>Travaux de pistes</t>
        </is>
      </c>
      <c r="G74" s="10" t="inlineStr">
        <is>
          <t>Travaux de réhabilitation des pistes agricoles</t>
        </is>
      </c>
      <c r="H74" s="10" t="inlineStr">
        <is>
          <t>Entretien des pistes agricoles</t>
        </is>
      </c>
      <c r="I74" s="11" t="n">
        <v>3500000</v>
      </c>
      <c r="J74" s="12" t="inlineStr">
        <is>
          <t>km</t>
        </is>
      </c>
      <c r="K74" s="13" t="n">
        <v>7</v>
      </c>
      <c r="L74" s="51" t="n"/>
      <c r="M74" s="56">
        <f>'S24'!M74+L74</f>
        <v/>
      </c>
      <c r="N74" s="57">
        <f>IFERROR(M74/K74,0)</f>
        <v/>
      </c>
      <c r="O74" s="58">
        <f>'S24'!N74</f>
        <v/>
      </c>
      <c r="P74" s="57">
        <f>N74-O74</f>
        <v/>
      </c>
      <c r="Q74" s="32" t="n"/>
      <c r="R74" s="32" t="n"/>
      <c r="S74" s="32" t="n"/>
      <c r="T74" s="55" t="n"/>
      <c r="U74" s="58">
        <f>'S24'!T74</f>
        <v/>
      </c>
      <c r="V74" s="57">
        <f>T74-U74</f>
        <v/>
      </c>
      <c r="W74" s="57">
        <f>N74-T74</f>
        <v/>
      </c>
      <c r="X74" s="34" t="n"/>
    </row>
    <row r="75" ht="22" customHeight="1">
      <c r="B75" s="5" t="n">
        <v>71</v>
      </c>
      <c r="C75" s="15" t="inlineStr">
        <is>
          <t>Sidi Slimane</t>
        </is>
      </c>
      <c r="D75" s="5" t="inlineStr">
        <is>
          <t>OULED HCEINE</t>
        </is>
      </c>
      <c r="E75" s="5" t="inlineStr">
        <is>
          <t>50-21</t>
        </is>
      </c>
      <c r="F75" s="5" t="inlineStr">
        <is>
          <t>Entretien et réparation des stations de pompage</t>
        </is>
      </c>
      <c r="G75" s="5" t="inlineStr">
        <is>
          <t>Travaux de réparation des équipements hydromécaniques et éléctriques et entretien de la partie génie civil des stations de pompage.</t>
        </is>
      </c>
      <c r="H75" s="5" t="inlineStr">
        <is>
          <t>Démontage et expertise des roues des  pompes principaux et pompes a vide de la station EST4 et P11/2.
Changement des roulements, tresses et organes d’effectués de la station EST4 et P11/2
Changement deux débitmètre Ø 1200 mm de la station EST4 et un débimétre de la station P11/2.
Changement des capteurs de niveau inondés.
Révision et réparation des moteurs des vannes motorisées inondées.
changement de six contrôleurs de débits DW181 inondés.
Un capteur de débitmètre inondé nécessitent un diagnostic VEGASON  .
Entretien de l'éclairage du local de vide et bâche d’aspiration inondé de la station EST4 et la partie de l’éclairage du local des pompes inondées de la station P11/2.
Pose de gabions et recouvrement du talus par matelas Reno des stations de pompage P11/2</t>
        </is>
      </c>
      <c r="I75" s="7" t="n">
        <v>870000</v>
      </c>
      <c r="J75" s="8" t="inlineStr">
        <is>
          <t>U</t>
        </is>
      </c>
      <c r="K75" s="9" t="n">
        <v>4</v>
      </c>
      <c r="L75" s="51" t="n"/>
      <c r="M75" s="52">
        <f>'S24'!M75+L75</f>
        <v/>
      </c>
      <c r="N75" s="53">
        <f>IFERROR(M75/K75,0)</f>
        <v/>
      </c>
      <c r="O75" s="54">
        <f>'S24'!N75</f>
        <v/>
      </c>
      <c r="P75" s="53">
        <f>N75-O75</f>
        <v/>
      </c>
      <c r="Q75" s="32" t="n"/>
      <c r="R75" s="32" t="n"/>
      <c r="S75" s="32" t="n"/>
      <c r="T75" s="55" t="n"/>
      <c r="U75" s="54">
        <f>'S24'!T75</f>
        <v/>
      </c>
      <c r="V75" s="53">
        <f>T75-U75</f>
        <v/>
      </c>
      <c r="W75" s="53">
        <f>N75-T75</f>
        <v/>
      </c>
      <c r="X75" s="34" t="n"/>
    </row>
    <row r="76" ht="22" customHeight="1">
      <c r="B76" s="10" t="n">
        <v>72</v>
      </c>
      <c r="C76" s="15" t="inlineStr">
        <is>
          <t>Sidi Slimane</t>
        </is>
      </c>
      <c r="D76" s="10" t="inlineStr">
        <is>
          <t>OULED HCEINE</t>
        </is>
      </c>
      <c r="E76" s="10" t="inlineStr">
        <is>
          <t>50-23</t>
        </is>
      </c>
      <c r="F76" s="10" t="inlineStr">
        <is>
          <t>Entretien et réparation du réseau d'assainissement et de drainage</t>
        </is>
      </c>
      <c r="G76" s="10" t="inlineStr">
        <is>
          <t>Travaux de curage des prises des stations de pompage.</t>
        </is>
      </c>
      <c r="H76" s="10" t="inlineStr">
        <is>
          <t>Curage des siphones des station de pompage EST2 et P11/2.</t>
        </is>
      </c>
      <c r="I76" s="11" t="n">
        <v>500000</v>
      </c>
      <c r="J76" s="12" t="inlineStr">
        <is>
          <t>ml</t>
        </is>
      </c>
      <c r="K76" s="13" t="n">
        <v>167</v>
      </c>
      <c r="L76" s="51" t="n"/>
      <c r="M76" s="56">
        <f>'S24'!M76+L76</f>
        <v/>
      </c>
      <c r="N76" s="57">
        <f>IFERROR(M76/K76,0)</f>
        <v/>
      </c>
      <c r="O76" s="58">
        <f>'S24'!N76</f>
        <v/>
      </c>
      <c r="P76" s="57">
        <f>N76-O76</f>
        <v/>
      </c>
      <c r="Q76" s="32" t="n"/>
      <c r="R76" s="32" t="n"/>
      <c r="S76" s="32" t="n"/>
      <c r="T76" s="55" t="n"/>
      <c r="U76" s="58">
        <f>'S24'!T76</f>
        <v/>
      </c>
      <c r="V76" s="57">
        <f>T76-U76</f>
        <v/>
      </c>
      <c r="W76" s="57">
        <f>N76-T76</f>
        <v/>
      </c>
      <c r="X76" s="34" t="n"/>
    </row>
    <row r="77" ht="26" customHeight="1">
      <c r="B77" s="16" t="inlineStr">
        <is>
          <t>TOTAL</t>
        </is>
      </c>
      <c r="C77" s="16" t="n"/>
      <c r="D77" s="16" t="n"/>
      <c r="E77" s="16" t="n"/>
      <c r="F77" s="16" t="n"/>
      <c r="G77" s="16" t="n"/>
      <c r="H77" s="16" t="n"/>
      <c r="I77" s="17">
        <f>SUM(I5:I76)</f>
        <v/>
      </c>
      <c r="J77" s="16" t="n"/>
      <c r="K77" s="16" t="n"/>
      <c r="L77" s="59">
        <f>SUM(L5:L76)</f>
        <v/>
      </c>
      <c r="M77" s="59">
        <f>SUM(M5:M76)</f>
        <v/>
      </c>
      <c r="N77" s="60">
        <f>IFERROR(SUMPRODUCT(N5:N76,I5:I76)/I77,0)</f>
        <v/>
      </c>
      <c r="O77" s="60">
        <f>IFERROR(SUMPRODUCT(O5:O76,I5:I76)/I77,0)</f>
        <v/>
      </c>
      <c r="P77" s="60">
        <f>N77-O77</f>
        <v/>
      </c>
      <c r="Q77" s="17">
        <f>SUM(Q5:Q76)</f>
        <v/>
      </c>
      <c r="R77" s="17">
        <f>SUM(R5:R76)</f>
        <v/>
      </c>
      <c r="S77" s="17">
        <f>SUM(S5:S76)</f>
        <v/>
      </c>
      <c r="T77" s="60">
        <f>IFERROR(SUMPRODUCT(T5:T76,I5:I76)/I77,0)</f>
        <v/>
      </c>
      <c r="U77" s="60">
        <f>IFERROR(SUMPRODUCT(U5:U76,I5:I76)/I77,0)</f>
        <v/>
      </c>
      <c r="V77" s="60">
        <f>T77-U77</f>
        <v/>
      </c>
      <c r="W77" s="60">
        <f>N77-T77</f>
        <v/>
      </c>
      <c r="X77" s="16" t="n"/>
    </row>
  </sheetData>
  <sheetProtection selectLockedCells="0" selectUnlockedCells="0" sheet="1" objects="0" insertRows="1" insertHyperlinks="1" autoFilter="1" scenarios="0" formatColumns="1" deleteColumns="1" insertColumns="1" pivotTables="1" deleteRows="1" formatCells="1" formatRows="1" sort="1" password="CBBE"/>
  <mergeCells count="6">
    <mergeCell ref="E3:I3"/>
    <mergeCell ref="W3:X3"/>
    <mergeCell ref="J3:P3"/>
    <mergeCell ref="B2:X2"/>
    <mergeCell ref="C3:D3"/>
    <mergeCell ref="Q3:V3"/>
  </mergeCells>
  <conditionalFormatting sqref="P5:P76">
    <cfRule type="cellIs" priority="1" operator="greaterThan" dxfId="0">
      <formula>0</formula>
    </cfRule>
    <cfRule type="cellIs" priority="2" operator="lessThan" dxfId="1">
      <formula>0</formula>
    </cfRule>
  </conditionalFormatting>
  <conditionalFormatting sqref="V5:V76">
    <cfRule type="cellIs" priority="3" operator="greaterThan" dxfId="0">
      <formula>0</formula>
    </cfRule>
    <cfRule type="cellIs" priority="4" operator="lessThan" dxfId="1">
      <formula>0</formula>
    </cfRule>
  </conditionalFormatting>
  <conditionalFormatting sqref="W5:W76">
    <cfRule type="cellIs" priority="5" operator="greaterThan" dxfId="0">
      <formula>0.05</formula>
    </cfRule>
    <cfRule type="cellIs" priority="6" operator="lessThan" dxfId="1">
      <formula>-0.05</formula>
    </cfRule>
    <cfRule type="cellIs" priority="7" operator="between" dxfId="2">
      <formula>-0.05</formula>
      <formula>0.05</formula>
    </cfRule>
  </conditionalFormatting>
  <conditionalFormatting sqref="N5:N76">
    <cfRule type="dataBar" priority="8">
      <dataBar showValue="1">
        <cfvo type="num" val="0"/>
        <cfvo type="num" val="1"/>
        <color rgb="001B7D46"/>
      </dataBar>
    </cfRule>
  </conditionalFormatting>
  <conditionalFormatting sqref="T5:T76">
    <cfRule type="dataBar" priority="9">
      <dataBar showValue="1">
        <cfvo type="num" val="0"/>
        <cfvo type="num" val="1"/>
        <color rgb="00D4820A"/>
      </dataBar>
    </cfRule>
  </conditionalFormatting>
  <dataValidations count="2">
    <dataValidation sqref="T5:T76" showDropDown="0" showInputMessage="0" showErrorMessage="0" allowBlank="1" errorTitle="Invalide" error="Valeur entre 0% et 100%" promptTitle="Avancement %" prompt="Entrez 0.25 pour 25%" type="decimal" operator="between">
      <formula1>0</formula1>
      <formula2>1</formula2>
    </dataValidation>
    <dataValidation sqref="L5:L76" showDropDown="0" showInputMessage="0" showErrorMessage="0" allowBlank="1" errorTitle="Invalide" error="Quantité doit être &gt;= 0" promptTitle="Qté Réalisée" prompt="Entrez la quantité réalisée cette semaine" type="decimal" operator="greaterThanOrEqual">
      <formula1>0</formula1>
    </dataValidation>
  </dataValidations>
  <pageMargins left="0.75" right="0.75" top="1" bottom="1" header="0.5" footer="0.5"/>
</worksheet>
</file>

<file path=xl/worksheets/sheet6.xml><?xml version="1.0" encoding="utf-8"?>
<worksheet xmlns="http://schemas.openxmlformats.org/spreadsheetml/2006/main">
  <sheetPr>
    <tabColor rgb="00ED7D31"/>
    <outlinePr summaryBelow="1" summaryRight="1"/>
    <pageSetUpPr/>
  </sheetPr>
  <dimension ref="B2:X77"/>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5" customWidth="1" min="2" max="2"/>
    <col width="14" customWidth="1" min="3" max="3"/>
    <col width="18" customWidth="1" min="4" max="4"/>
    <col width="9" customWidth="1" min="5" max="5"/>
    <col width="32" customWidth="1" min="6" max="6"/>
    <col width="28" customWidth="1" min="7" max="7"/>
    <col width="34" customWidth="1" min="8" max="8"/>
    <col width="14" customWidth="1" min="9" max="9"/>
    <col width="8" customWidth="1" min="10" max="10"/>
    <col width="12" customWidth="1" min="11" max="11"/>
    <col width="14" customWidth="1" min="12" max="12"/>
    <col width="14" customWidth="1" min="13" max="13"/>
    <col width="14" customWidth="1" min="14" max="14"/>
    <col width="14" customWidth="1" min="15" max="15"/>
    <col width="14" customWidth="1" min="16" max="16"/>
    <col width="16" customWidth="1" min="17" max="17"/>
    <col width="16" customWidth="1" min="18" max="18"/>
    <col width="16" customWidth="1" min="19" max="19"/>
    <col width="14" customWidth="1" min="20" max="20"/>
    <col width="14" customWidth="1" min="21" max="21"/>
    <col width="14" customWidth="1" min="22" max="22"/>
    <col width="14" customWidth="1" min="23" max="23"/>
    <col width="24" customWidth="1" min="24" max="24"/>
  </cols>
  <sheetData>
    <row r="1" ht="15" customHeight="1"/>
    <row r="2" ht="32" customHeight="1">
      <c r="B2" s="1" t="inlineStr">
        <is>
          <t>Suivi Hebdomadaire - Semaine 26 (22/06 - 28/06) — Juin 2026 - Exécution Physique et Financière</t>
        </is>
      </c>
    </row>
    <row r="3" ht="22" customHeight="1">
      <c r="B3" s="20" t="inlineStr">
        <is>
          <t>Date :</t>
        </is>
      </c>
      <c r="C3" s="49" t="n">
        <v>46195</v>
      </c>
      <c r="D3" s="50" t="n"/>
      <c r="E3" s="22" t="inlineStr">
        <is>
          <t>IDENTIFICATION</t>
        </is>
      </c>
      <c r="J3" s="23" t="inlineStr">
        <is>
          <t>INDICATEURS PHYSIQUES</t>
        </is>
      </c>
      <c r="Q3" s="24" t="inlineStr">
        <is>
          <t>INDICATEURS FINANCIERS</t>
        </is>
      </c>
      <c r="W3" s="25" t="inlineStr">
        <is>
          <t>SYNTHÈSE</t>
        </is>
      </c>
    </row>
    <row r="4" ht="28" customHeight="1">
      <c r="B4" s="4" t="inlineStr">
        <is>
          <t>N°</t>
        </is>
      </c>
      <c r="C4" s="4" t="inlineStr">
        <is>
          <t>Province</t>
        </is>
      </c>
      <c r="D4" s="4" t="inlineStr">
        <is>
          <t>Commune</t>
        </is>
      </c>
      <c r="E4" s="4" t="inlineStr">
        <is>
          <t>Rubrique</t>
        </is>
      </c>
      <c r="F4" s="4" t="inlineStr">
        <is>
          <t>Intitulé Rubrique</t>
        </is>
      </c>
      <c r="G4" s="4" t="inlineStr">
        <is>
          <t>Projet</t>
        </is>
      </c>
      <c r="H4" s="4" t="inlineStr">
        <is>
          <t>Consistance</t>
        </is>
      </c>
      <c r="I4" s="4" t="inlineStr">
        <is>
          <t>Coût Total (DH)</t>
        </is>
      </c>
      <c r="J4" s="26" t="inlineStr">
        <is>
          <t>Unité</t>
        </is>
      </c>
      <c r="K4" s="26" t="inlineStr">
        <is>
          <t>Qté Prévue</t>
        </is>
      </c>
      <c r="L4" s="26" t="inlineStr">
        <is>
          <t>Qté Réalisée Sem.</t>
        </is>
      </c>
      <c r="M4" s="26" t="inlineStr">
        <is>
          <t>Qté Réalisée Cumul</t>
        </is>
      </c>
      <c r="N4" s="26" t="inlineStr">
        <is>
          <t>Avancement Physique %</t>
        </is>
      </c>
      <c r="O4" s="26" t="inlineStr">
        <is>
          <t>% Phys. Sem. Préc.</t>
        </is>
      </c>
      <c r="P4" s="26" t="inlineStr">
        <is>
          <t>Accroissement Phys. %</t>
        </is>
      </c>
      <c r="Q4" s="27" t="inlineStr">
        <is>
          <t>Montant Décaissé (DH)</t>
        </is>
      </c>
      <c r="R4" s="27" t="inlineStr">
        <is>
          <t>Montant Payé (DH)</t>
        </is>
      </c>
      <c r="S4" s="27" t="inlineStr">
        <is>
          <t>Montant Ordonné (DH)</t>
        </is>
      </c>
      <c r="T4" s="27" t="inlineStr">
        <is>
          <t>Avancement Financier %</t>
        </is>
      </c>
      <c r="U4" s="27" t="inlineStr">
        <is>
          <t>% Fin. Sem. Préc.</t>
        </is>
      </c>
      <c r="V4" s="27" t="inlineStr">
        <is>
          <t>Accroissement Fin. %</t>
        </is>
      </c>
      <c r="W4" s="28" t="inlineStr">
        <is>
          <t>Écart Phys.-Fin.</t>
        </is>
      </c>
      <c r="X4" s="28" t="inlineStr">
        <is>
          <t>Observations</t>
        </is>
      </c>
    </row>
    <row r="5" ht="22" customHeight="1">
      <c r="B5" s="5" t="n">
        <v>1</v>
      </c>
      <c r="C5" s="6" t="inlineStr">
        <is>
          <t>Sidi Kacem</t>
        </is>
      </c>
      <c r="D5" s="5" t="inlineStr">
        <is>
          <t>KHENICHET</t>
        </is>
      </c>
      <c r="E5" s="5" t="inlineStr">
        <is>
          <t>50-23</t>
        </is>
      </c>
      <c r="F5" s="5" t="inlineStr">
        <is>
          <t>Entretien et réparation du réseau d'assainissement et de drainage</t>
        </is>
      </c>
      <c r="G5" s="5" t="inlineStr">
        <is>
          <t>Travaux de curage des canaux en terre</t>
        </is>
      </c>
      <c r="H5" s="5" t="inlineStr">
        <is>
          <t>Curage des collecteurs d'assainissement du secteur EST2</t>
        </is>
      </c>
      <c r="I5" s="7" t="n">
        <v>2091568</v>
      </c>
      <c r="J5" s="8" t="inlineStr">
        <is>
          <t>ml</t>
        </is>
      </c>
      <c r="K5" s="9" t="n">
        <v>1046</v>
      </c>
      <c r="L5" s="51" t="n"/>
      <c r="M5" s="52">
        <f>'S25'!M5+L5</f>
        <v/>
      </c>
      <c r="N5" s="53">
        <f>IFERROR(M5/K5,0)</f>
        <v/>
      </c>
      <c r="O5" s="54">
        <f>'S25'!N5</f>
        <v/>
      </c>
      <c r="P5" s="53">
        <f>N5-O5</f>
        <v/>
      </c>
      <c r="Q5" s="32" t="n"/>
      <c r="R5" s="32" t="n"/>
      <c r="S5" s="32" t="n"/>
      <c r="T5" s="55" t="n"/>
      <c r="U5" s="54">
        <f>'S25'!T5</f>
        <v/>
      </c>
      <c r="V5" s="53">
        <f>T5-U5</f>
        <v/>
      </c>
      <c r="W5" s="53">
        <f>N5-T5</f>
        <v/>
      </c>
      <c r="X5" s="34" t="n"/>
    </row>
    <row r="6" ht="22" customHeight="1">
      <c r="B6" s="10" t="n">
        <v>2</v>
      </c>
      <c r="C6" s="6" t="inlineStr">
        <is>
          <t>Sidi Kacem</t>
        </is>
      </c>
      <c r="D6" s="10" t="inlineStr">
        <is>
          <t>KHENICHET</t>
        </is>
      </c>
      <c r="E6" s="10" t="inlineStr">
        <is>
          <t>40-21</t>
        </is>
      </c>
      <c r="F6" s="10" t="inlineStr">
        <is>
          <t>Travaux de pistes</t>
        </is>
      </c>
      <c r="G6" s="10" t="inlineStr">
        <is>
          <t>Travaux de réhabilitation des pistes agricoles</t>
        </is>
      </c>
      <c r="H6" s="10" t="inlineStr">
        <is>
          <t>Entretien des pistes agricoles Douar Nouagra et Douar ouled Salem</t>
        </is>
      </c>
      <c r="I6" s="11" t="n">
        <v>78000</v>
      </c>
      <c r="J6" s="12" t="inlineStr">
        <is>
          <t>km</t>
        </is>
      </c>
      <c r="K6" s="13" t="n">
        <v>1</v>
      </c>
      <c r="L6" s="51" t="n"/>
      <c r="M6" s="56">
        <f>'S25'!M6+L6</f>
        <v/>
      </c>
      <c r="N6" s="57">
        <f>IFERROR(M6/K6,0)</f>
        <v/>
      </c>
      <c r="O6" s="58">
        <f>'S25'!N6</f>
        <v/>
      </c>
      <c r="P6" s="57">
        <f>N6-O6</f>
        <v/>
      </c>
      <c r="Q6" s="32" t="n"/>
      <c r="R6" s="32" t="n"/>
      <c r="S6" s="32" t="n"/>
      <c r="T6" s="55" t="n"/>
      <c r="U6" s="58">
        <f>'S25'!T6</f>
        <v/>
      </c>
      <c r="V6" s="57">
        <f>T6-U6</f>
        <v/>
      </c>
      <c r="W6" s="57">
        <f>N6-T6</f>
        <v/>
      </c>
      <c r="X6" s="34" t="n"/>
    </row>
    <row r="7" ht="22" customHeight="1">
      <c r="B7" s="5" t="n">
        <v>3</v>
      </c>
      <c r="C7" s="6" t="inlineStr">
        <is>
          <t>Sidi Kacem</t>
        </is>
      </c>
      <c r="D7" s="5" t="inlineStr">
        <is>
          <t>KHENICHET</t>
        </is>
      </c>
      <c r="E7" s="5" t="inlineStr">
        <is>
          <t>50-23</t>
        </is>
      </c>
      <c r="F7" s="5" t="inlineStr">
        <is>
          <t>Entretien et réparation du réseau d'assainissement et de drainage</t>
        </is>
      </c>
      <c r="G7" s="5" t="inlineStr">
        <is>
          <t>Curage des prises sur l’oued, bâche d’aspiration et bassin de régulation.</t>
        </is>
      </c>
      <c r="H7" s="5" t="inlineStr">
        <is>
          <t>Curage de la chambre des joints de démontage des siphonnes  de la station de pompage EST2.</t>
        </is>
      </c>
      <c r="I7" s="7" t="n">
        <v>126000</v>
      </c>
      <c r="J7" s="8" t="inlineStr">
        <is>
          <t>ml</t>
        </is>
      </c>
      <c r="K7" s="9" t="n">
        <v>42</v>
      </c>
      <c r="L7" s="51" t="n"/>
      <c r="M7" s="52">
        <f>'S25'!M7+L7</f>
        <v/>
      </c>
      <c r="N7" s="53">
        <f>IFERROR(M7/K7,0)</f>
        <v/>
      </c>
      <c r="O7" s="54">
        <f>'S25'!N7</f>
        <v/>
      </c>
      <c r="P7" s="53">
        <f>N7-O7</f>
        <v/>
      </c>
      <c r="Q7" s="32" t="n"/>
      <c r="R7" s="32" t="n"/>
      <c r="S7" s="32" t="n"/>
      <c r="T7" s="55" t="n"/>
      <c r="U7" s="54">
        <f>'S25'!T7</f>
        <v/>
      </c>
      <c r="V7" s="53">
        <f>T7-U7</f>
        <v/>
      </c>
      <c r="W7" s="53">
        <f>N7-T7</f>
        <v/>
      </c>
      <c r="X7" s="34" t="n"/>
    </row>
    <row r="8" ht="22" customHeight="1">
      <c r="B8" s="10" t="n">
        <v>4</v>
      </c>
      <c r="C8" s="6" t="inlineStr">
        <is>
          <t>Sidi Kacem</t>
        </is>
      </c>
      <c r="D8" s="10" t="inlineStr">
        <is>
          <t>KHENICHET</t>
        </is>
      </c>
      <c r="E8" s="10" t="inlineStr">
        <is>
          <t>50-21</t>
        </is>
      </c>
      <c r="F8" s="10" t="inlineStr">
        <is>
          <t>Entretien et réparation des stations de pompage</t>
        </is>
      </c>
      <c r="G8" s="10" t="inlineStr">
        <is>
          <t>Prestation de maintenance des débitmètres et leurs équipements annexes installés au niveau des station de pompage</t>
        </is>
      </c>
      <c r="H8" s="10" t="inlineStr">
        <is>
          <t>Changement trois débitmètre Ø 600mm inondés de la station de pompage EST 2 et deux capteurs VEGASON 62</t>
        </is>
      </c>
      <c r="I8" s="11" t="n">
        <v>165500</v>
      </c>
      <c r="J8" s="12" t="inlineStr">
        <is>
          <t>U</t>
        </is>
      </c>
      <c r="K8" s="13" t="n">
        <v>3</v>
      </c>
      <c r="L8" s="51" t="n"/>
      <c r="M8" s="56">
        <f>'S25'!M8+L8</f>
        <v/>
      </c>
      <c r="N8" s="57">
        <f>IFERROR(M8/K8,0)</f>
        <v/>
      </c>
      <c r="O8" s="58">
        <f>'S25'!N8</f>
        <v/>
      </c>
      <c r="P8" s="57">
        <f>N8-O8</f>
        <v/>
      </c>
      <c r="Q8" s="32" t="n"/>
      <c r="R8" s="32" t="n"/>
      <c r="S8" s="32" t="n"/>
      <c r="T8" s="55" t="n"/>
      <c r="U8" s="58">
        <f>'S25'!T8</f>
        <v/>
      </c>
      <c r="V8" s="57">
        <f>T8-U8</f>
        <v/>
      </c>
      <c r="W8" s="57">
        <f>N8-T8</f>
        <v/>
      </c>
      <c r="X8" s="34" t="n"/>
    </row>
    <row r="9" ht="22" customHeight="1">
      <c r="B9" s="5" t="n">
        <v>5</v>
      </c>
      <c r="C9" s="6" t="inlineStr">
        <is>
          <t>Sidi Kacem</t>
        </is>
      </c>
      <c r="D9" s="5" t="inlineStr">
        <is>
          <t>BIR TALEB</t>
        </is>
      </c>
      <c r="E9" s="5" t="inlineStr">
        <is>
          <t>50-23</t>
        </is>
      </c>
      <c r="F9" s="5" t="inlineStr">
        <is>
          <t>Entretien et réparation du réseau d'assainissement et de drainage</t>
        </is>
      </c>
      <c r="G9" s="5" t="inlineStr">
        <is>
          <t>Travaux de curage des canaux en terre</t>
        </is>
      </c>
      <c r="H9" s="5" t="inlineStr">
        <is>
          <t>Curage du canal d'assainisement Tihli Aval</t>
        </is>
      </c>
      <c r="I9" s="7" t="n">
        <v>1000000</v>
      </c>
      <c r="J9" s="8" t="inlineStr">
        <is>
          <t>ml</t>
        </is>
      </c>
      <c r="K9" s="9" t="n">
        <v>500</v>
      </c>
      <c r="L9" s="51" t="n"/>
      <c r="M9" s="52">
        <f>'S25'!M9+L9</f>
        <v/>
      </c>
      <c r="N9" s="53">
        <f>IFERROR(M9/K9,0)</f>
        <v/>
      </c>
      <c r="O9" s="54">
        <f>'S25'!N9</f>
        <v/>
      </c>
      <c r="P9" s="53">
        <f>N9-O9</f>
        <v/>
      </c>
      <c r="Q9" s="32" t="n"/>
      <c r="R9" s="32" t="n"/>
      <c r="S9" s="32" t="n"/>
      <c r="T9" s="55" t="n"/>
      <c r="U9" s="54">
        <f>'S25'!T9</f>
        <v/>
      </c>
      <c r="V9" s="53">
        <f>T9-U9</f>
        <v/>
      </c>
      <c r="W9" s="53">
        <f>N9-T9</f>
        <v/>
      </c>
      <c r="X9" s="34" t="n"/>
    </row>
    <row r="10" ht="22" customHeight="1">
      <c r="B10" s="10" t="n">
        <v>6</v>
      </c>
      <c r="C10" s="6" t="inlineStr">
        <is>
          <t>Sidi Kacem</t>
        </is>
      </c>
      <c r="D10" s="10" t="inlineStr">
        <is>
          <t>BIR TALEB</t>
        </is>
      </c>
      <c r="E10" s="10" t="inlineStr">
        <is>
          <t>50-23</t>
        </is>
      </c>
      <c r="F10" s="10" t="inlineStr">
        <is>
          <t>Entretien et réparation du réseau d'assainissement et de drainage</t>
        </is>
      </c>
      <c r="G10" s="10" t="inlineStr"/>
      <c r="H10" s="10" t="inlineStr">
        <is>
          <t>Curage des collecteurs d'assainissement du secteur P11/1</t>
        </is>
      </c>
      <c r="I10" s="11" t="n">
        <v>846731</v>
      </c>
      <c r="J10" s="12" t="inlineStr">
        <is>
          <t>ml</t>
        </is>
      </c>
      <c r="K10" s="13" t="n">
        <v>423</v>
      </c>
      <c r="L10" s="51" t="n"/>
      <c r="M10" s="56">
        <f>'S25'!M10+L10</f>
        <v/>
      </c>
      <c r="N10" s="57">
        <f>IFERROR(M10/K10,0)</f>
        <v/>
      </c>
      <c r="O10" s="58">
        <f>'S25'!N10</f>
        <v/>
      </c>
      <c r="P10" s="57">
        <f>N10-O10</f>
        <v/>
      </c>
      <c r="Q10" s="32" t="n"/>
      <c r="R10" s="32" t="n"/>
      <c r="S10" s="32" t="n"/>
      <c r="T10" s="55" t="n"/>
      <c r="U10" s="58">
        <f>'S25'!T10</f>
        <v/>
      </c>
      <c r="V10" s="57">
        <f>T10-U10</f>
        <v/>
      </c>
      <c r="W10" s="57">
        <f>N10-T10</f>
        <v/>
      </c>
      <c r="X10" s="34" t="n"/>
    </row>
    <row r="11" ht="22" customHeight="1">
      <c r="B11" s="5" t="n">
        <v>7</v>
      </c>
      <c r="C11" s="6" t="inlineStr">
        <is>
          <t>Sidi Kacem</t>
        </is>
      </c>
      <c r="D11" s="5" t="inlineStr">
        <is>
          <t>BIR TALEB</t>
        </is>
      </c>
      <c r="E11" s="5" t="inlineStr">
        <is>
          <t>50-23</t>
        </is>
      </c>
      <c r="F11" s="5" t="inlineStr">
        <is>
          <t>Entretien et réparation du réseau d'assainissement et de drainage</t>
        </is>
      </c>
      <c r="G11" s="5" t="inlineStr">
        <is>
          <t>Curage des prises sur l’oued, bâche d’aspiration et bassin de régulation.</t>
        </is>
      </c>
      <c r="H11" s="5" t="inlineStr">
        <is>
          <t>Curage des prises sur l’oued de la station de pompage P11/1.</t>
        </is>
      </c>
      <c r="I11" s="7" t="n">
        <v>200000</v>
      </c>
      <c r="J11" s="8" t="inlineStr">
        <is>
          <t>ml</t>
        </is>
      </c>
      <c r="K11" s="9" t="n">
        <v>67</v>
      </c>
      <c r="L11" s="51" t="n"/>
      <c r="M11" s="52">
        <f>'S25'!M11+L11</f>
        <v/>
      </c>
      <c r="N11" s="53">
        <f>IFERROR(M11/K11,0)</f>
        <v/>
      </c>
      <c r="O11" s="54">
        <f>'S25'!N11</f>
        <v/>
      </c>
      <c r="P11" s="53">
        <f>N11-O11</f>
        <v/>
      </c>
      <c r="Q11" s="32" t="n"/>
      <c r="R11" s="32" t="n"/>
      <c r="S11" s="32" t="n"/>
      <c r="T11" s="55" t="n"/>
      <c r="U11" s="54">
        <f>'S25'!T11</f>
        <v/>
      </c>
      <c r="V11" s="53">
        <f>T11-U11</f>
        <v/>
      </c>
      <c r="W11" s="53">
        <f>N11-T11</f>
        <v/>
      </c>
      <c r="X11" s="34" t="n"/>
    </row>
    <row r="12" ht="22" customHeight="1">
      <c r="B12" s="10" t="n">
        <v>8</v>
      </c>
      <c r="C12" s="6" t="inlineStr">
        <is>
          <t>Sidi Kacem</t>
        </is>
      </c>
      <c r="D12" s="10" t="inlineStr">
        <is>
          <t>BIR TALEB</t>
        </is>
      </c>
      <c r="E12" s="10" t="inlineStr">
        <is>
          <t>50-21</t>
        </is>
      </c>
      <c r="F12" s="10" t="inlineStr">
        <is>
          <t>Entretien et réparation des stations de pompage</t>
        </is>
      </c>
      <c r="G12" s="10" t="inlineStr">
        <is>
          <t>Prestation de maintenance des débitmètres et leurs équipements annexes installés au niveau des station de pompage</t>
        </is>
      </c>
      <c r="H12" s="10" t="inlineStr">
        <is>
          <t>Changement trois débitmètre Ø 400mm inondés de la station de pompage P11/1</t>
        </is>
      </c>
      <c r="I12" s="11" t="n">
        <v>141900</v>
      </c>
      <c r="J12" s="12" t="inlineStr">
        <is>
          <t>U</t>
        </is>
      </c>
      <c r="K12" s="13" t="n">
        <v>3</v>
      </c>
      <c r="L12" s="51" t="n"/>
      <c r="M12" s="56">
        <f>'S25'!M12+L12</f>
        <v/>
      </c>
      <c r="N12" s="57">
        <f>IFERROR(M12/K12,0)</f>
        <v/>
      </c>
      <c r="O12" s="58">
        <f>'S25'!N12</f>
        <v/>
      </c>
      <c r="P12" s="57">
        <f>N12-O12</f>
        <v/>
      </c>
      <c r="Q12" s="32" t="n"/>
      <c r="R12" s="32" t="n"/>
      <c r="S12" s="32" t="n"/>
      <c r="T12" s="55" t="n"/>
      <c r="U12" s="58">
        <f>'S25'!T12</f>
        <v/>
      </c>
      <c r="V12" s="57">
        <f>T12-U12</f>
        <v/>
      </c>
      <c r="W12" s="57">
        <f>N12-T12</f>
        <v/>
      </c>
      <c r="X12" s="34" t="n"/>
    </row>
    <row r="13" ht="22" customHeight="1">
      <c r="B13" s="5" t="n">
        <v>9</v>
      </c>
      <c r="C13" s="6" t="inlineStr">
        <is>
          <t>Sidi Kacem</t>
        </is>
      </c>
      <c r="D13" s="5" t="inlineStr">
        <is>
          <t>BIR TALEB</t>
        </is>
      </c>
      <c r="E13" s="5" t="inlineStr">
        <is>
          <t>50-21</t>
        </is>
      </c>
      <c r="F13" s="5" t="inlineStr">
        <is>
          <t>Entretien et réparation des stations de pompage</t>
        </is>
      </c>
      <c r="G13" s="5" t="inlineStr">
        <is>
          <t>Prestations de maintenance et de réparation mécanique des pompes et des groupes motopompes submersibles des stations de pompage.</t>
        </is>
      </c>
      <c r="H13" s="5" t="inlineStr">
        <is>
          <t>Démontage et expertise des roues des  pompes principaux et pompes a vide de la station P11/1
Changement des roulements, tresses et organes d’effectués de la station P11/1</t>
        </is>
      </c>
      <c r="I13" s="7" t="n">
        <v>26700</v>
      </c>
      <c r="J13" s="8" t="inlineStr">
        <is>
          <t>U</t>
        </is>
      </c>
      <c r="K13" s="9" t="n">
        <v>1</v>
      </c>
      <c r="L13" s="51" t="n"/>
      <c r="M13" s="52">
        <f>'S25'!M13+L13</f>
        <v/>
      </c>
      <c r="N13" s="53">
        <f>IFERROR(M13/K13,0)</f>
        <v/>
      </c>
      <c r="O13" s="54">
        <f>'S25'!N13</f>
        <v/>
      </c>
      <c r="P13" s="53">
        <f>N13-O13</f>
        <v/>
      </c>
      <c r="Q13" s="32" t="n"/>
      <c r="R13" s="32" t="n"/>
      <c r="S13" s="32" t="n"/>
      <c r="T13" s="55" t="n"/>
      <c r="U13" s="54">
        <f>'S25'!T13</f>
        <v/>
      </c>
      <c r="V13" s="53">
        <f>T13-U13</f>
        <v/>
      </c>
      <c r="W13" s="53">
        <f>N13-T13</f>
        <v/>
      </c>
      <c r="X13" s="34" t="n"/>
    </row>
    <row r="14" ht="22" customHeight="1">
      <c r="B14" s="10" t="n">
        <v>10</v>
      </c>
      <c r="C14" s="6" t="inlineStr">
        <is>
          <t>Sidi Kacem</t>
        </is>
      </c>
      <c r="D14" s="10" t="inlineStr">
        <is>
          <t>BIR TALEB</t>
        </is>
      </c>
      <c r="E14" s="10" t="inlineStr">
        <is>
          <t>50-21</t>
        </is>
      </c>
      <c r="F14" s="10" t="inlineStr">
        <is>
          <t>Entretien et réparation des stations de pompage</t>
        </is>
      </c>
      <c r="G14" s="10" t="inlineStr">
        <is>
          <t>Stabilisation Berge oued</t>
        </is>
      </c>
      <c r="H14" s="10" t="inlineStr">
        <is>
          <t>Pose de  gabions et recouvrement du talus par matelas Reno des stations de pompage P11/1.</t>
        </is>
      </c>
      <c r="I14" s="11" t="n">
        <v>480000</v>
      </c>
      <c r="J14" s="12" t="inlineStr">
        <is>
          <t>m³</t>
        </is>
      </c>
      <c r="K14" s="13" t="n">
        <v>320</v>
      </c>
      <c r="L14" s="51" t="n"/>
      <c r="M14" s="56">
        <f>'S25'!M14+L14</f>
        <v/>
      </c>
      <c r="N14" s="57">
        <f>IFERROR(M14/K14,0)</f>
        <v/>
      </c>
      <c r="O14" s="58">
        <f>'S25'!N14</f>
        <v/>
      </c>
      <c r="P14" s="57">
        <f>N14-O14</f>
        <v/>
      </c>
      <c r="Q14" s="32" t="n"/>
      <c r="R14" s="32" t="n"/>
      <c r="S14" s="32" t="n"/>
      <c r="T14" s="55" t="n"/>
      <c r="U14" s="58">
        <f>'S25'!T14</f>
        <v/>
      </c>
      <c r="V14" s="57">
        <f>T14-U14</f>
        <v/>
      </c>
      <c r="W14" s="57">
        <f>N14-T14</f>
        <v/>
      </c>
      <c r="X14" s="34" t="n"/>
    </row>
    <row r="15" ht="22" customHeight="1">
      <c r="B15" s="5" t="n">
        <v>11</v>
      </c>
      <c r="C15" s="6" t="inlineStr">
        <is>
          <t>Sidi Kacem</t>
        </is>
      </c>
      <c r="D15" s="5" t="inlineStr">
        <is>
          <t>BIR TALEB</t>
        </is>
      </c>
      <c r="E15" s="5" t="inlineStr">
        <is>
          <t>50-21</t>
        </is>
      </c>
      <c r="F15" s="5" t="inlineStr">
        <is>
          <t>Entretien et réparation des stations de pompage</t>
        </is>
      </c>
      <c r="G15" s="5" t="inlineStr">
        <is>
          <t>Génie civile des locaux des stations de pompage.</t>
        </is>
      </c>
      <c r="H15" s="5" t="inlineStr">
        <is>
          <t>Expertise d’état et d’étanchéité des locaux pompes.
Renforcement d’étanchéité des locaux pompe sous niveau des oueds des stations de pompage P11/1.
Entretien des supports en béton des conduites d’aspiration.</t>
        </is>
      </c>
      <c r="I15" s="7" t="n">
        <v>300000</v>
      </c>
      <c r="J15" s="8" t="inlineStr">
        <is>
          <t>U</t>
        </is>
      </c>
      <c r="K15" s="9" t="n">
        <v>1</v>
      </c>
      <c r="L15" s="51" t="n"/>
      <c r="M15" s="52">
        <f>'S25'!M15+L15</f>
        <v/>
      </c>
      <c r="N15" s="53">
        <f>IFERROR(M15/K15,0)</f>
        <v/>
      </c>
      <c r="O15" s="54">
        <f>'S25'!N15</f>
        <v/>
      </c>
      <c r="P15" s="53">
        <f>N15-O15</f>
        <v/>
      </c>
      <c r="Q15" s="32" t="n"/>
      <c r="R15" s="32" t="n"/>
      <c r="S15" s="32" t="n"/>
      <c r="T15" s="55" t="n"/>
      <c r="U15" s="54">
        <f>'S25'!T15</f>
        <v/>
      </c>
      <c r="V15" s="53">
        <f>T15-U15</f>
        <v/>
      </c>
      <c r="W15" s="53">
        <f>N15-T15</f>
        <v/>
      </c>
      <c r="X15" s="34" t="n"/>
    </row>
    <row r="16" ht="22" customHeight="1">
      <c r="B16" s="10" t="n">
        <v>12</v>
      </c>
      <c r="C16" s="6" t="inlineStr">
        <is>
          <t>Sidi Kacem</t>
        </is>
      </c>
      <c r="D16" s="10" t="inlineStr">
        <is>
          <t>CHEBANAT</t>
        </is>
      </c>
      <c r="E16" s="10" t="inlineStr">
        <is>
          <t>50-23</t>
        </is>
      </c>
      <c r="F16" s="10" t="inlineStr">
        <is>
          <t>Entretien et réparation du réseau d'assainissement et de drainage</t>
        </is>
      </c>
      <c r="G16" s="10" t="inlineStr">
        <is>
          <t>Travaux de curage des canaux en terre</t>
        </is>
      </c>
      <c r="H16" s="10" t="inlineStr">
        <is>
          <t>Curage des collecteurs d'assainissement des secteur SH5 et SH6.</t>
        </is>
      </c>
      <c r="I16" s="11" t="n">
        <v>1000000</v>
      </c>
      <c r="J16" s="12" t="inlineStr">
        <is>
          <t>ml</t>
        </is>
      </c>
      <c r="K16" s="13" t="n">
        <v>500</v>
      </c>
      <c r="L16" s="51" t="n"/>
      <c r="M16" s="56">
        <f>'S25'!M16+L16</f>
        <v/>
      </c>
      <c r="N16" s="57">
        <f>IFERROR(M16/K16,0)</f>
        <v/>
      </c>
      <c r="O16" s="58">
        <f>'S25'!N16</f>
        <v/>
      </c>
      <c r="P16" s="57">
        <f>N16-O16</f>
        <v/>
      </c>
      <c r="Q16" s="32" t="n"/>
      <c r="R16" s="32" t="n"/>
      <c r="S16" s="32" t="n"/>
      <c r="T16" s="55" t="n"/>
      <c r="U16" s="58">
        <f>'S25'!T16</f>
        <v/>
      </c>
      <c r="V16" s="57">
        <f>T16-U16</f>
        <v/>
      </c>
      <c r="W16" s="57">
        <f>N16-T16</f>
        <v/>
      </c>
      <c r="X16" s="34" t="n"/>
    </row>
    <row r="17" ht="22" customHeight="1">
      <c r="B17" s="5" t="n">
        <v>13</v>
      </c>
      <c r="C17" s="6" t="inlineStr">
        <is>
          <t>Sidi Kacem</t>
        </is>
      </c>
      <c r="D17" s="5" t="inlineStr">
        <is>
          <t>CHEBANAT</t>
        </is>
      </c>
      <c r="E17" s="5" t="inlineStr">
        <is>
          <t>50-23</t>
        </is>
      </c>
      <c r="F17" s="5" t="inlineStr">
        <is>
          <t>Entretien et réparation du réseau d'assainissement et de drainage</t>
        </is>
      </c>
      <c r="G17" s="5" t="inlineStr">
        <is>
          <t>Travaux de curage des canaux révetus</t>
        </is>
      </c>
      <c r="H17" s="5" t="inlineStr">
        <is>
          <t>Curage du canal principal d'irrigation beht partie aval 1.</t>
        </is>
      </c>
      <c r="I17" s="7" t="n">
        <v>739200</v>
      </c>
      <c r="J17" s="8" t="inlineStr">
        <is>
          <t>ml</t>
        </is>
      </c>
      <c r="K17" s="9" t="n">
        <v>370</v>
      </c>
      <c r="L17" s="51" t="n"/>
      <c r="M17" s="52">
        <f>'S25'!M17+L17</f>
        <v/>
      </c>
      <c r="N17" s="53">
        <f>IFERROR(M17/K17,0)</f>
        <v/>
      </c>
      <c r="O17" s="54">
        <f>'S25'!N17</f>
        <v/>
      </c>
      <c r="P17" s="53">
        <f>N17-O17</f>
        <v/>
      </c>
      <c r="Q17" s="32" t="n"/>
      <c r="R17" s="32" t="n"/>
      <c r="S17" s="32" t="n"/>
      <c r="T17" s="55" t="n"/>
      <c r="U17" s="54">
        <f>'S25'!T17</f>
        <v/>
      </c>
      <c r="V17" s="53">
        <f>T17-U17</f>
        <v/>
      </c>
      <c r="W17" s="53">
        <f>N17-T17</f>
        <v/>
      </c>
      <c r="X17" s="34" t="n"/>
    </row>
    <row r="18" ht="22" customHeight="1">
      <c r="B18" s="10" t="n">
        <v>14</v>
      </c>
      <c r="C18" s="6" t="inlineStr">
        <is>
          <t>Sidi Kacem</t>
        </is>
      </c>
      <c r="D18" s="10" t="inlineStr">
        <is>
          <t>ZIRARA</t>
        </is>
      </c>
      <c r="E18" s="10" t="inlineStr">
        <is>
          <t>50-23</t>
        </is>
      </c>
      <c r="F18" s="10" t="inlineStr">
        <is>
          <t>Entretien et réparation du réseau d'assainissement et de drainage</t>
        </is>
      </c>
      <c r="G18" s="10" t="inlineStr">
        <is>
          <t>Travaux de curage des canaux révetus</t>
        </is>
      </c>
      <c r="H18" s="10" t="inlineStr">
        <is>
          <t>Curage du canal principal d'irrigation beht partie aval 2.</t>
        </is>
      </c>
      <c r="I18" s="11" t="n">
        <v>1276800</v>
      </c>
      <c r="J18" s="12" t="inlineStr">
        <is>
          <t>ml</t>
        </is>
      </c>
      <c r="K18" s="13" t="n">
        <v>638</v>
      </c>
      <c r="L18" s="51" t="n"/>
      <c r="M18" s="56">
        <f>'S25'!M18+L18</f>
        <v/>
      </c>
      <c r="N18" s="57">
        <f>IFERROR(M18/K18,0)</f>
        <v/>
      </c>
      <c r="O18" s="58">
        <f>'S25'!N18</f>
        <v/>
      </c>
      <c r="P18" s="57">
        <f>N18-O18</f>
        <v/>
      </c>
      <c r="Q18" s="32" t="n"/>
      <c r="R18" s="32" t="n"/>
      <c r="S18" s="32" t="n"/>
      <c r="T18" s="55" t="n"/>
      <c r="U18" s="58">
        <f>'S25'!T18</f>
        <v/>
      </c>
      <c r="V18" s="57">
        <f>T18-U18</f>
        <v/>
      </c>
      <c r="W18" s="57">
        <f>N18-T18</f>
        <v/>
      </c>
      <c r="X18" s="34" t="n"/>
    </row>
    <row r="19" ht="22" customHeight="1">
      <c r="B19" s="5" t="n">
        <v>15</v>
      </c>
      <c r="C19" s="6" t="inlineStr">
        <is>
          <t>Sidi Kacem</t>
        </is>
      </c>
      <c r="D19" s="5" t="inlineStr">
        <is>
          <t>DAR LAASLOUJI</t>
        </is>
      </c>
      <c r="E19" s="5" t="inlineStr">
        <is>
          <t>50-23</t>
        </is>
      </c>
      <c r="F19" s="5" t="inlineStr">
        <is>
          <t>Entretien et réparation du réseau d'assainissement et de drainage</t>
        </is>
      </c>
      <c r="G19" s="5" t="inlineStr">
        <is>
          <t>Travaux de curage des canaux en terre</t>
        </is>
      </c>
      <c r="H19" s="5" t="inlineStr">
        <is>
          <t>Curage des collecteurs d'assainissement des secteurs P8-1 et P8-2</t>
        </is>
      </c>
      <c r="I19" s="7" t="n">
        <v>5796360</v>
      </c>
      <c r="J19" s="8" t="inlineStr">
        <is>
          <t>ml</t>
        </is>
      </c>
      <c r="K19" s="9" t="n">
        <v>2898</v>
      </c>
      <c r="L19" s="51" t="n"/>
      <c r="M19" s="52">
        <f>'S25'!M19+L19</f>
        <v/>
      </c>
      <c r="N19" s="53">
        <f>IFERROR(M19/K19,0)</f>
        <v/>
      </c>
      <c r="O19" s="54">
        <f>'S25'!N19</f>
        <v/>
      </c>
      <c r="P19" s="53">
        <f>N19-O19</f>
        <v/>
      </c>
      <c r="Q19" s="32" t="n"/>
      <c r="R19" s="32" t="n"/>
      <c r="S19" s="32" t="n"/>
      <c r="T19" s="55" t="n"/>
      <c r="U19" s="54">
        <f>'S25'!T19</f>
        <v/>
      </c>
      <c r="V19" s="53">
        <f>T19-U19</f>
        <v/>
      </c>
      <c r="W19" s="53">
        <f>N19-T19</f>
        <v/>
      </c>
      <c r="X19" s="34" t="n"/>
    </row>
    <row r="20" ht="22" customHeight="1">
      <c r="B20" s="10" t="n">
        <v>16</v>
      </c>
      <c r="C20" s="6" t="inlineStr">
        <is>
          <t>Sidi Kacem</t>
        </is>
      </c>
      <c r="D20" s="10" t="inlineStr">
        <is>
          <t>DAR LAASLOUJI</t>
        </is>
      </c>
      <c r="E20" s="10" t="inlineStr">
        <is>
          <t>40-21</t>
        </is>
      </c>
      <c r="F20" s="10" t="inlineStr">
        <is>
          <t>Travaux de pistes</t>
        </is>
      </c>
      <c r="G20" s="10" t="inlineStr">
        <is>
          <t>Entretien des pistes agricoles</t>
        </is>
      </c>
      <c r="H20" s="10" t="inlineStr">
        <is>
          <t>Entretien des pistes agricoles</t>
        </is>
      </c>
      <c r="I20" s="11" t="n">
        <v>340000</v>
      </c>
      <c r="J20" s="12" t="inlineStr">
        <is>
          <t>km</t>
        </is>
      </c>
      <c r="K20" s="13" t="n">
        <v>1</v>
      </c>
      <c r="L20" s="51" t="n"/>
      <c r="M20" s="56">
        <f>'S25'!M20+L20</f>
        <v/>
      </c>
      <c r="N20" s="57">
        <f>IFERROR(M20/K20,0)</f>
        <v/>
      </c>
      <c r="O20" s="58">
        <f>'S25'!N20</f>
        <v/>
      </c>
      <c r="P20" s="57">
        <f>N20-O20</f>
        <v/>
      </c>
      <c r="Q20" s="32" t="n"/>
      <c r="R20" s="32" t="n"/>
      <c r="S20" s="32" t="n"/>
      <c r="T20" s="55" t="n"/>
      <c r="U20" s="58">
        <f>'S25'!T20</f>
        <v/>
      </c>
      <c r="V20" s="57">
        <f>T20-U20</f>
        <v/>
      </c>
      <c r="W20" s="57">
        <f>N20-T20</f>
        <v/>
      </c>
      <c r="X20" s="34" t="n"/>
    </row>
    <row r="21" ht="22" customHeight="1">
      <c r="B21" s="5" t="n">
        <v>17</v>
      </c>
      <c r="C21" s="6" t="inlineStr">
        <is>
          <t>Sidi Kacem</t>
        </is>
      </c>
      <c r="D21" s="5" t="inlineStr">
        <is>
          <t>HOUAFATE</t>
        </is>
      </c>
      <c r="E21" s="5" t="inlineStr">
        <is>
          <t>20-11</t>
        </is>
      </c>
      <c r="F21" s="5" t="inlineStr">
        <is>
          <t>Travaux de réhabilitation des équipements</t>
        </is>
      </c>
      <c r="G21" s="5" t="inlineStr">
        <is>
          <t>Travaux de réhabilitation des canaux portés d'irrigation</t>
        </is>
      </c>
      <c r="H21" s="5" t="inlineStr">
        <is>
          <t>Fourniture et de pose de canaux porté et accessoires du réseau S3 du secteur S13</t>
        </is>
      </c>
      <c r="I21" s="7" t="n">
        <v>397934</v>
      </c>
      <c r="J21" s="8" t="inlineStr">
        <is>
          <t>ml</t>
        </is>
      </c>
      <c r="K21" s="9" t="n">
        <v>133</v>
      </c>
      <c r="L21" s="51" t="n"/>
      <c r="M21" s="52">
        <f>'S25'!M21+L21</f>
        <v/>
      </c>
      <c r="N21" s="53">
        <f>IFERROR(M21/K21,0)</f>
        <v/>
      </c>
      <c r="O21" s="54">
        <f>'S25'!N21</f>
        <v/>
      </c>
      <c r="P21" s="53">
        <f>N21-O21</f>
        <v/>
      </c>
      <c r="Q21" s="32" t="n"/>
      <c r="R21" s="32" t="n"/>
      <c r="S21" s="32" t="n"/>
      <c r="T21" s="55" t="n"/>
      <c r="U21" s="54">
        <f>'S25'!T21</f>
        <v/>
      </c>
      <c r="V21" s="53">
        <f>T21-U21</f>
        <v/>
      </c>
      <c r="W21" s="53">
        <f>N21-T21</f>
        <v/>
      </c>
      <c r="X21" s="34" t="n"/>
    </row>
    <row r="22" ht="22" customHeight="1">
      <c r="B22" s="10" t="n">
        <v>18</v>
      </c>
      <c r="C22" s="6" t="inlineStr">
        <is>
          <t>Sidi Kacem</t>
        </is>
      </c>
      <c r="D22" s="10" t="inlineStr">
        <is>
          <t>HOUAFATE</t>
        </is>
      </c>
      <c r="E22" s="10" t="inlineStr">
        <is>
          <t>20-11</t>
        </is>
      </c>
      <c r="F22" s="10" t="inlineStr">
        <is>
          <t>Travaux de réhabilitation des équipements</t>
        </is>
      </c>
      <c r="G22" s="10" t="inlineStr"/>
      <c r="H22" s="10" t="inlineStr">
        <is>
          <t>Fourniture et de pose de canaux porté et accessoires du réseau T2S1 du secteur S13</t>
        </is>
      </c>
      <c r="I22" s="11" t="n">
        <v>207575</v>
      </c>
      <c r="J22" s="12" t="inlineStr">
        <is>
          <t>ml</t>
        </is>
      </c>
      <c r="K22" s="13" t="n">
        <v>69</v>
      </c>
      <c r="L22" s="51" t="n"/>
      <c r="M22" s="56">
        <f>'S25'!M22+L22</f>
        <v/>
      </c>
      <c r="N22" s="57">
        <f>IFERROR(M22/K22,0)</f>
        <v/>
      </c>
      <c r="O22" s="58">
        <f>'S25'!N22</f>
        <v/>
      </c>
      <c r="P22" s="57">
        <f>N22-O22</f>
        <v/>
      </c>
      <c r="Q22" s="32" t="n"/>
      <c r="R22" s="32" t="n"/>
      <c r="S22" s="32" t="n"/>
      <c r="T22" s="55" t="n"/>
      <c r="U22" s="58">
        <f>'S25'!T22</f>
        <v/>
      </c>
      <c r="V22" s="57">
        <f>T22-U22</f>
        <v/>
      </c>
      <c r="W22" s="57">
        <f>N22-T22</f>
        <v/>
      </c>
      <c r="X22" s="34" t="n"/>
    </row>
    <row r="23" ht="22" customHeight="1">
      <c r="B23" s="5" t="n">
        <v>19</v>
      </c>
      <c r="C23" s="6" t="inlineStr">
        <is>
          <t>Sidi Kacem</t>
        </is>
      </c>
      <c r="D23" s="5" t="inlineStr">
        <is>
          <t>HOUAFATE</t>
        </is>
      </c>
      <c r="E23" s="5" t="inlineStr">
        <is>
          <t>40-21</t>
        </is>
      </c>
      <c r="F23" s="5" t="inlineStr">
        <is>
          <t>Travaux de pistes</t>
        </is>
      </c>
      <c r="G23" s="5" t="inlineStr">
        <is>
          <t>Entretien des pistes agricoles</t>
        </is>
      </c>
      <c r="H23" s="5" t="inlineStr">
        <is>
          <t>Entretien des pistes agricoles</t>
        </is>
      </c>
      <c r="I23" s="7" t="n">
        <v>2200000</v>
      </c>
      <c r="J23" s="8" t="inlineStr">
        <is>
          <t>km</t>
        </is>
      </c>
      <c r="K23" s="9" t="n">
        <v>4</v>
      </c>
      <c r="L23" s="51" t="n"/>
      <c r="M23" s="52">
        <f>'S25'!M23+L23</f>
        <v/>
      </c>
      <c r="N23" s="53">
        <f>IFERROR(M23/K23,0)</f>
        <v/>
      </c>
      <c r="O23" s="54">
        <f>'S25'!N23</f>
        <v/>
      </c>
      <c r="P23" s="53">
        <f>N23-O23</f>
        <v/>
      </c>
      <c r="Q23" s="32" t="n"/>
      <c r="R23" s="32" t="n"/>
      <c r="S23" s="32" t="n"/>
      <c r="T23" s="55" t="n"/>
      <c r="U23" s="54">
        <f>'S25'!T23</f>
        <v/>
      </c>
      <c r="V23" s="53">
        <f>T23-U23</f>
        <v/>
      </c>
      <c r="W23" s="53">
        <f>N23-T23</f>
        <v/>
      </c>
      <c r="X23" s="34" t="n"/>
    </row>
    <row r="24" ht="22" customHeight="1">
      <c r="B24" s="10" t="n">
        <v>20</v>
      </c>
      <c r="C24" s="6" t="inlineStr">
        <is>
          <t>Sidi Kacem</t>
        </is>
      </c>
      <c r="D24" s="10" t="inlineStr">
        <is>
          <t>HOUAFATE</t>
        </is>
      </c>
      <c r="E24" s="10" t="inlineStr">
        <is>
          <t>50-23</t>
        </is>
      </c>
      <c r="F24" s="10" t="inlineStr">
        <is>
          <t>Entretien et réparation du réseau d'assainissement et de drainage</t>
        </is>
      </c>
      <c r="G24" s="10" t="inlineStr">
        <is>
          <t>Curage des prises sur l’oued, bâche d’aspiration et bassin de régulation.</t>
        </is>
      </c>
      <c r="H24" s="10" t="inlineStr">
        <is>
          <t>Curage des prises sur l’oued de la station de pompage S17 et S13.
Nettoyage des grilles de préfiltration des boues colmaté de la station de pompage S17 et S13.
Curage de la bâche d’aspiration de la station S17 et S13.</t>
        </is>
      </c>
      <c r="I24" s="11" t="n">
        <v>300000</v>
      </c>
      <c r="J24" s="12" t="inlineStr">
        <is>
          <t>ml</t>
        </is>
      </c>
      <c r="K24" s="13" t="n">
        <v>100</v>
      </c>
      <c r="L24" s="51" t="n"/>
      <c r="M24" s="56">
        <f>'S25'!M24+L24</f>
        <v/>
      </c>
      <c r="N24" s="57">
        <f>IFERROR(M24/K24,0)</f>
        <v/>
      </c>
      <c r="O24" s="58">
        <f>'S25'!N24</f>
        <v/>
      </c>
      <c r="P24" s="57">
        <f>N24-O24</f>
        <v/>
      </c>
      <c r="Q24" s="32" t="n"/>
      <c r="R24" s="32" t="n"/>
      <c r="S24" s="32" t="n"/>
      <c r="T24" s="55" t="n"/>
      <c r="U24" s="58">
        <f>'S25'!T24</f>
        <v/>
      </c>
      <c r="V24" s="57">
        <f>T24-U24</f>
        <v/>
      </c>
      <c r="W24" s="57">
        <f>N24-T24</f>
        <v/>
      </c>
      <c r="X24" s="34" t="n"/>
    </row>
    <row r="25" ht="22" customHeight="1">
      <c r="B25" s="5" t="n">
        <v>21</v>
      </c>
      <c r="C25" s="6" t="inlineStr">
        <is>
          <t>Sidi Kacem</t>
        </is>
      </c>
      <c r="D25" s="5" t="inlineStr">
        <is>
          <t>HOUAFATE</t>
        </is>
      </c>
      <c r="E25" s="5" t="inlineStr">
        <is>
          <t>50-21</t>
        </is>
      </c>
      <c r="F25" s="5" t="inlineStr">
        <is>
          <t>Entretien et réparation des stations de pompage</t>
        </is>
      </c>
      <c r="G25" s="5" t="inlineStr">
        <is>
          <t>Prestation de maintenance des débitmètres et leurs équipements annexes installés au niveau des station de pompage</t>
        </is>
      </c>
      <c r="H25" s="5" t="inlineStr">
        <is>
          <t>Changement trois débitmètre Ø 600mm inondés de la station de pompage S13.</t>
        </is>
      </c>
      <c r="I25" s="7" t="n">
        <v>250000</v>
      </c>
      <c r="J25" s="8" t="inlineStr">
        <is>
          <t>U</t>
        </is>
      </c>
      <c r="K25" s="9" t="n">
        <v>3</v>
      </c>
      <c r="L25" s="51" t="n"/>
      <c r="M25" s="52">
        <f>'S25'!M25+L25</f>
        <v/>
      </c>
      <c r="N25" s="53">
        <f>IFERROR(M25/K25,0)</f>
        <v/>
      </c>
      <c r="O25" s="54">
        <f>'S25'!N25</f>
        <v/>
      </c>
      <c r="P25" s="53">
        <f>N25-O25</f>
        <v/>
      </c>
      <c r="Q25" s="32" t="n"/>
      <c r="R25" s="32" t="n"/>
      <c r="S25" s="32" t="n"/>
      <c r="T25" s="55" t="n"/>
      <c r="U25" s="54">
        <f>'S25'!T25</f>
        <v/>
      </c>
      <c r="V25" s="53">
        <f>T25-U25</f>
        <v/>
      </c>
      <c r="W25" s="53">
        <f>N25-T25</f>
        <v/>
      </c>
      <c r="X25" s="34" t="n"/>
    </row>
    <row r="26" ht="22" customHeight="1">
      <c r="B26" s="10" t="n">
        <v>22</v>
      </c>
      <c r="C26" s="6" t="inlineStr">
        <is>
          <t>Sidi Kacem</t>
        </is>
      </c>
      <c r="D26" s="10" t="inlineStr">
        <is>
          <t>HOUAFATE</t>
        </is>
      </c>
      <c r="E26" s="10" t="inlineStr">
        <is>
          <t>50-21</t>
        </is>
      </c>
      <c r="F26" s="10" t="inlineStr">
        <is>
          <t>Entretien et réparation des stations de pompage</t>
        </is>
      </c>
      <c r="G26" s="10" t="inlineStr">
        <is>
          <t>Prestations de maintenance des moteurs électriques des stations de pompage.</t>
        </is>
      </c>
      <c r="H26" s="10" t="inlineStr">
        <is>
          <t>Révision des trois moteurs électriques 200 KW principaux de la station S13. 
Révision des deux moteurs électriques 5,5 KW groupes vide de la station S13.</t>
        </is>
      </c>
      <c r="I26" s="11" t="n">
        <v>25000</v>
      </c>
      <c r="J26" s="12" t="inlineStr">
        <is>
          <t>U</t>
        </is>
      </c>
      <c r="K26" s="13" t="n">
        <v>3</v>
      </c>
      <c r="L26" s="51" t="n"/>
      <c r="M26" s="56">
        <f>'S25'!M26+L26</f>
        <v/>
      </c>
      <c r="N26" s="57">
        <f>IFERROR(M26/K26,0)</f>
        <v/>
      </c>
      <c r="O26" s="58">
        <f>'S25'!N26</f>
        <v/>
      </c>
      <c r="P26" s="57">
        <f>N26-O26</f>
        <v/>
      </c>
      <c r="Q26" s="32" t="n"/>
      <c r="R26" s="32" t="n"/>
      <c r="S26" s="32" t="n"/>
      <c r="T26" s="55" t="n"/>
      <c r="U26" s="58">
        <f>'S25'!T26</f>
        <v/>
      </c>
      <c r="V26" s="57">
        <f>T26-U26</f>
        <v/>
      </c>
      <c r="W26" s="57">
        <f>N26-T26</f>
        <v/>
      </c>
      <c r="X26" s="34" t="n"/>
    </row>
    <row r="27" ht="22" customHeight="1">
      <c r="B27" s="5" t="n">
        <v>23</v>
      </c>
      <c r="C27" s="6" t="inlineStr">
        <is>
          <t>Sidi Kacem</t>
        </is>
      </c>
      <c r="D27" s="5" t="inlineStr">
        <is>
          <t>HOUAFATE</t>
        </is>
      </c>
      <c r="E27" s="5" t="inlineStr">
        <is>
          <t>50-21</t>
        </is>
      </c>
      <c r="F27" s="5" t="inlineStr">
        <is>
          <t>Entretien et réparation des stations de pompage</t>
        </is>
      </c>
      <c r="G27" s="5" t="inlineStr">
        <is>
          <t>Prestations de maintenance et de réparation mécanique des pompes et des groupes motopompes submersibles des stations de pompage.</t>
        </is>
      </c>
      <c r="H27" s="5" t="inlineStr">
        <is>
          <t>Démontage et expertise des roues des  pompes principaux et pompes a vide de la station S13.
Changement des roulements, tresses et organes d’effectués de la station S13.</t>
        </is>
      </c>
      <c r="I27" s="7" t="n">
        <v>38000</v>
      </c>
      <c r="J27" s="8" t="inlineStr">
        <is>
          <t>U</t>
        </is>
      </c>
      <c r="K27" s="9" t="n">
        <v>1</v>
      </c>
      <c r="L27" s="51" t="n"/>
      <c r="M27" s="52">
        <f>'S25'!M27+L27</f>
        <v/>
      </c>
      <c r="N27" s="53">
        <f>IFERROR(M27/K27,0)</f>
        <v/>
      </c>
      <c r="O27" s="54">
        <f>'S25'!N27</f>
        <v/>
      </c>
      <c r="P27" s="53">
        <f>N27-O27</f>
        <v/>
      </c>
      <c r="Q27" s="32" t="n"/>
      <c r="R27" s="32" t="n"/>
      <c r="S27" s="32" t="n"/>
      <c r="T27" s="55" t="n"/>
      <c r="U27" s="54">
        <f>'S25'!T27</f>
        <v/>
      </c>
      <c r="V27" s="53">
        <f>T27-U27</f>
        <v/>
      </c>
      <c r="W27" s="53">
        <f>N27-T27</f>
        <v/>
      </c>
      <c r="X27" s="34" t="n"/>
    </row>
    <row r="28" ht="22" customHeight="1">
      <c r="B28" s="10" t="n">
        <v>24</v>
      </c>
      <c r="C28" s="6" t="inlineStr">
        <is>
          <t>Sidi Kacem</t>
        </is>
      </c>
      <c r="D28" s="10" t="inlineStr">
        <is>
          <t>HOUAFATE</t>
        </is>
      </c>
      <c r="E28" s="10" t="inlineStr">
        <is>
          <t>50-21</t>
        </is>
      </c>
      <c r="F28" s="10" t="inlineStr">
        <is>
          <t>Entretien et réparation des stations de pompage</t>
        </is>
      </c>
      <c r="G28" s="10" t="inlineStr">
        <is>
          <t>Stabilisation Berge oued</t>
        </is>
      </c>
      <c r="H28" s="10" t="inlineStr">
        <is>
          <t>Pose de  gabions et recouvrement du talus par matelas Reno des stations de pompage S13.</t>
        </is>
      </c>
      <c r="I28" s="11" t="n">
        <v>10560000</v>
      </c>
      <c r="J28" s="12" t="inlineStr">
        <is>
          <t>m³</t>
        </is>
      </c>
      <c r="K28" s="13" t="n">
        <v>7040</v>
      </c>
      <c r="L28" s="51" t="n"/>
      <c r="M28" s="56">
        <f>'S25'!M28+L28</f>
        <v/>
      </c>
      <c r="N28" s="57">
        <f>IFERROR(M28/K28,0)</f>
        <v/>
      </c>
      <c r="O28" s="58">
        <f>'S25'!N28</f>
        <v/>
      </c>
      <c r="P28" s="57">
        <f>N28-O28</f>
        <v/>
      </c>
      <c r="Q28" s="32" t="n"/>
      <c r="R28" s="32" t="n"/>
      <c r="S28" s="32" t="n"/>
      <c r="T28" s="55" t="n"/>
      <c r="U28" s="58">
        <f>'S25'!T28</f>
        <v/>
      </c>
      <c r="V28" s="57">
        <f>T28-U28</f>
        <v/>
      </c>
      <c r="W28" s="57">
        <f>N28-T28</f>
        <v/>
      </c>
      <c r="X28" s="34" t="n"/>
    </row>
    <row r="29" ht="22" customHeight="1">
      <c r="B29" s="5" t="n">
        <v>25</v>
      </c>
      <c r="C29" s="6" t="inlineStr">
        <is>
          <t>Sidi Kacem</t>
        </is>
      </c>
      <c r="D29" s="5" t="inlineStr">
        <is>
          <t>HOUAFATE</t>
        </is>
      </c>
      <c r="E29" s="5" t="inlineStr">
        <is>
          <t>50-21</t>
        </is>
      </c>
      <c r="F29" s="5" t="inlineStr">
        <is>
          <t>Entretien et réparation des stations de pompage</t>
        </is>
      </c>
      <c r="G29" s="5" t="inlineStr">
        <is>
          <t>Mur clôture des stations de pompage.</t>
        </is>
      </c>
      <c r="H29" s="5" t="inlineStr">
        <is>
          <t>Stabilisation du sol et reconstruction des murs clôture (270m) cote oued de la station S17.</t>
        </is>
      </c>
      <c r="I29" s="7" t="n">
        <v>144000</v>
      </c>
      <c r="J29" s="8" t="inlineStr">
        <is>
          <t>ml</t>
        </is>
      </c>
      <c r="K29" s="9" t="n">
        <v>270</v>
      </c>
      <c r="L29" s="51" t="n"/>
      <c r="M29" s="52">
        <f>'S25'!M29+L29</f>
        <v/>
      </c>
      <c r="N29" s="53">
        <f>IFERROR(M29/K29,0)</f>
        <v/>
      </c>
      <c r="O29" s="54">
        <f>'S25'!N29</f>
        <v/>
      </c>
      <c r="P29" s="53">
        <f>N29-O29</f>
        <v/>
      </c>
      <c r="Q29" s="32" t="n"/>
      <c r="R29" s="32" t="n"/>
      <c r="S29" s="32" t="n"/>
      <c r="T29" s="55" t="n"/>
      <c r="U29" s="54">
        <f>'S25'!T29</f>
        <v/>
      </c>
      <c r="V29" s="53">
        <f>T29-U29</f>
        <v/>
      </c>
      <c r="W29" s="53">
        <f>N29-T29</f>
        <v/>
      </c>
      <c r="X29" s="34" t="n"/>
    </row>
    <row r="30" ht="22" customHeight="1">
      <c r="B30" s="10" t="n">
        <v>26</v>
      </c>
      <c r="C30" s="6" t="inlineStr">
        <is>
          <t>Sidi Kacem</t>
        </is>
      </c>
      <c r="D30" s="10" t="inlineStr">
        <is>
          <t>HOUAFATE</t>
        </is>
      </c>
      <c r="E30" s="10" t="inlineStr">
        <is>
          <t>50-21</t>
        </is>
      </c>
      <c r="F30" s="10" t="inlineStr">
        <is>
          <t>Entretien et réparation des stations de pompage</t>
        </is>
      </c>
      <c r="G30" s="10" t="inlineStr">
        <is>
          <t>Génie civile des locaux des stations de pompage.</t>
        </is>
      </c>
      <c r="H30" s="10" t="inlineStr">
        <is>
          <t>Expertise d’état et d’étanchéité des locaux pompes, commande, puissance des stations de pompage S17 et S13.
Renforcement d’étanchéité des locaux pompe sous niveau des oueds des stations de pompage S17 et S13.</t>
        </is>
      </c>
      <c r="I30" s="11" t="n">
        <v>800000</v>
      </c>
      <c r="J30" s="12" t="inlineStr">
        <is>
          <t>U</t>
        </is>
      </c>
      <c r="K30" s="13" t="n">
        <v>1</v>
      </c>
      <c r="L30" s="51" t="n"/>
      <c r="M30" s="56">
        <f>'S25'!M30+L30</f>
        <v/>
      </c>
      <c r="N30" s="57">
        <f>IFERROR(M30/K30,0)</f>
        <v/>
      </c>
      <c r="O30" s="58">
        <f>'S25'!N30</f>
        <v/>
      </c>
      <c r="P30" s="57">
        <f>N30-O30</f>
        <v/>
      </c>
      <c r="Q30" s="32" t="n"/>
      <c r="R30" s="32" t="n"/>
      <c r="S30" s="32" t="n"/>
      <c r="T30" s="55" t="n"/>
      <c r="U30" s="58">
        <f>'S25'!T30</f>
        <v/>
      </c>
      <c r="V30" s="57">
        <f>T30-U30</f>
        <v/>
      </c>
      <c r="W30" s="57">
        <f>N30-T30</f>
        <v/>
      </c>
      <c r="X30" s="34" t="n"/>
    </row>
    <row r="31" ht="22" customHeight="1">
      <c r="B31" s="5" t="n">
        <v>27</v>
      </c>
      <c r="C31" s="6" t="inlineStr">
        <is>
          <t>Sidi Kacem</t>
        </is>
      </c>
      <c r="D31" s="5" t="inlineStr">
        <is>
          <t>NOUIRAT</t>
        </is>
      </c>
      <c r="E31" s="5" t="inlineStr">
        <is>
          <t>50-23</t>
        </is>
      </c>
      <c r="F31" s="5" t="inlineStr">
        <is>
          <t>Entretien et réparation du réseau d'assainissement et de drainage</t>
        </is>
      </c>
      <c r="G31" s="5" t="inlineStr">
        <is>
          <t>Travaux de curage des canaux en terre</t>
        </is>
      </c>
      <c r="H31" s="5" t="inlineStr">
        <is>
          <t>Curage des collecteurs d'assainissement des secteurs EST1 et N5</t>
        </is>
      </c>
      <c r="I31" s="7" t="n">
        <v>1733306</v>
      </c>
      <c r="J31" s="8" t="inlineStr">
        <is>
          <t>ml</t>
        </is>
      </c>
      <c r="K31" s="9" t="n">
        <v>867</v>
      </c>
      <c r="L31" s="51" t="n"/>
      <c r="M31" s="52">
        <f>'S25'!M31+L31</f>
        <v/>
      </c>
      <c r="N31" s="53">
        <f>IFERROR(M31/K31,0)</f>
        <v/>
      </c>
      <c r="O31" s="54">
        <f>'S25'!N31</f>
        <v/>
      </c>
      <c r="P31" s="53">
        <f>N31-O31</f>
        <v/>
      </c>
      <c r="Q31" s="32" t="n"/>
      <c r="R31" s="32" t="n"/>
      <c r="S31" s="32" t="n"/>
      <c r="T31" s="55" t="n"/>
      <c r="U31" s="54">
        <f>'S25'!T31</f>
        <v/>
      </c>
      <c r="V31" s="53">
        <f>T31-U31</f>
        <v/>
      </c>
      <c r="W31" s="53">
        <f>N31-T31</f>
        <v/>
      </c>
      <c r="X31" s="34" t="n"/>
    </row>
    <row r="32" ht="22" customHeight="1">
      <c r="B32" s="10" t="n">
        <v>28</v>
      </c>
      <c r="C32" s="6" t="inlineStr">
        <is>
          <t>Sidi Kacem</t>
        </is>
      </c>
      <c r="D32" s="10" t="inlineStr">
        <is>
          <t>NOUIRAT</t>
        </is>
      </c>
      <c r="E32" s="10" t="inlineStr">
        <is>
          <t>40-21</t>
        </is>
      </c>
      <c r="F32" s="10" t="inlineStr">
        <is>
          <t>Travaux de pistes</t>
        </is>
      </c>
      <c r="G32" s="10" t="inlineStr">
        <is>
          <t>Entretien des pistes agricoles</t>
        </is>
      </c>
      <c r="H32" s="10" t="inlineStr">
        <is>
          <t>Entretien des pistes agricoles</t>
        </is>
      </c>
      <c r="I32" s="11" t="n">
        <v>670000</v>
      </c>
      <c r="J32" s="12" t="inlineStr">
        <is>
          <t>km</t>
        </is>
      </c>
      <c r="K32" s="13" t="n">
        <v>1</v>
      </c>
      <c r="L32" s="51" t="n"/>
      <c r="M32" s="56">
        <f>'S25'!M32+L32</f>
        <v/>
      </c>
      <c r="N32" s="57">
        <f>IFERROR(M32/K32,0)</f>
        <v/>
      </c>
      <c r="O32" s="58">
        <f>'S25'!N32</f>
        <v/>
      </c>
      <c r="P32" s="57">
        <f>N32-O32</f>
        <v/>
      </c>
      <c r="Q32" s="32" t="n"/>
      <c r="R32" s="32" t="n"/>
      <c r="S32" s="32" t="n"/>
      <c r="T32" s="55" t="n"/>
      <c r="U32" s="58">
        <f>'S25'!T32</f>
        <v/>
      </c>
      <c r="V32" s="57">
        <f>T32-U32</f>
        <v/>
      </c>
      <c r="W32" s="57">
        <f>N32-T32</f>
        <v/>
      </c>
      <c r="X32" s="34" t="n"/>
    </row>
    <row r="33" ht="22" customHeight="1">
      <c r="B33" s="5" t="n">
        <v>29</v>
      </c>
      <c r="C33" s="6" t="inlineStr">
        <is>
          <t>Sidi Kacem</t>
        </is>
      </c>
      <c r="D33" s="5" t="inlineStr">
        <is>
          <t>NOUIRAT</t>
        </is>
      </c>
      <c r="E33" s="5" t="inlineStr">
        <is>
          <t>20-11</t>
        </is>
      </c>
      <c r="F33" s="5" t="inlineStr">
        <is>
          <t>Travaux de réhabilitation des équipements</t>
        </is>
      </c>
      <c r="G33" s="5" t="inlineStr">
        <is>
          <t>Travaux de réhabilitation des ouvrages de génie civil</t>
        </is>
      </c>
      <c r="H33" s="5" t="inlineStr">
        <is>
          <t>Réhabilitation de l'ouvrage( genie civil ,gabiollannage,clapet anti retour et buse) de l'ouvrage de débouche SE1</t>
        </is>
      </c>
      <c r="I33" s="7" t="n">
        <v>2500000</v>
      </c>
      <c r="J33" s="8" t="inlineStr">
        <is>
          <t>U</t>
        </is>
      </c>
      <c r="K33" s="9" t="n">
        <v>5</v>
      </c>
      <c r="L33" s="51" t="n"/>
      <c r="M33" s="52">
        <f>'S25'!M33+L33</f>
        <v/>
      </c>
      <c r="N33" s="53">
        <f>IFERROR(M33/K33,0)</f>
        <v/>
      </c>
      <c r="O33" s="54">
        <f>'S25'!N33</f>
        <v/>
      </c>
      <c r="P33" s="53">
        <f>N33-O33</f>
        <v/>
      </c>
      <c r="Q33" s="32" t="n"/>
      <c r="R33" s="32" t="n"/>
      <c r="S33" s="32" t="n"/>
      <c r="T33" s="55" t="n"/>
      <c r="U33" s="54">
        <f>'S25'!T33</f>
        <v/>
      </c>
      <c r="V33" s="53">
        <f>T33-U33</f>
        <v/>
      </c>
      <c r="W33" s="53">
        <f>N33-T33</f>
        <v/>
      </c>
      <c r="X33" s="34" t="n"/>
    </row>
    <row r="34" ht="22" customHeight="1">
      <c r="B34" s="10" t="n">
        <v>30</v>
      </c>
      <c r="C34" s="6" t="inlineStr">
        <is>
          <t>Sidi Kacem</t>
        </is>
      </c>
      <c r="D34" s="10" t="inlineStr">
        <is>
          <t>NOUIRAT</t>
        </is>
      </c>
      <c r="E34" s="10" t="inlineStr">
        <is>
          <t>50-23</t>
        </is>
      </c>
      <c r="F34" s="10" t="inlineStr">
        <is>
          <t>Entretien et réparation du réseau d'assainissement et de drainage</t>
        </is>
      </c>
      <c r="G34" s="10" t="inlineStr">
        <is>
          <t>Curage des prises sur l’oued, bâche d’aspiration et bassin de régulation.</t>
        </is>
      </c>
      <c r="H34" s="10" t="inlineStr">
        <is>
          <t>Curage des prises sur l’oued de la station de pompage E1.
Nettoyage des grilles de préfiltration des boues colmaté de la station de pompage E1.
Curage de la bâche d’aspiration de la station E1.</t>
        </is>
      </c>
      <c r="I34" s="11" t="n">
        <v>800000</v>
      </c>
      <c r="J34" s="12" t="inlineStr">
        <is>
          <t>ml</t>
        </is>
      </c>
      <c r="K34" s="13" t="n">
        <v>267</v>
      </c>
      <c r="L34" s="51" t="n"/>
      <c r="M34" s="56">
        <f>'S25'!M34+L34</f>
        <v/>
      </c>
      <c r="N34" s="57">
        <f>IFERROR(M34/K34,0)</f>
        <v/>
      </c>
      <c r="O34" s="58">
        <f>'S25'!N34</f>
        <v/>
      </c>
      <c r="P34" s="57">
        <f>N34-O34</f>
        <v/>
      </c>
      <c r="Q34" s="32" t="n"/>
      <c r="R34" s="32" t="n"/>
      <c r="S34" s="32" t="n"/>
      <c r="T34" s="55" t="n"/>
      <c r="U34" s="58">
        <f>'S25'!T34</f>
        <v/>
      </c>
      <c r="V34" s="57">
        <f>T34-U34</f>
        <v/>
      </c>
      <c r="W34" s="57">
        <f>N34-T34</f>
        <v/>
      </c>
      <c r="X34" s="34" t="n"/>
    </row>
    <row r="35" ht="22" customHeight="1">
      <c r="B35" s="5" t="n">
        <v>31</v>
      </c>
      <c r="C35" s="6" t="inlineStr">
        <is>
          <t>Sidi Kacem</t>
        </is>
      </c>
      <c r="D35" s="5" t="inlineStr">
        <is>
          <t>NOUIRAT</t>
        </is>
      </c>
      <c r="E35" s="5" t="inlineStr">
        <is>
          <t>50-21</t>
        </is>
      </c>
      <c r="F35" s="5" t="inlineStr">
        <is>
          <t>Entretien et réparation des stations de pompage</t>
        </is>
      </c>
      <c r="G35" s="5" t="inlineStr">
        <is>
          <t>Prestation de maintenance des débitmètres et leurs équipements annexes installés au niveau des station de pompage</t>
        </is>
      </c>
      <c r="H35" s="5" t="inlineStr">
        <is>
          <t>Changement du débitmètre Ø 1200mm inondé de la station de pompage E1.</t>
        </is>
      </c>
      <c r="I35" s="7" t="n">
        <v>195000</v>
      </c>
      <c r="J35" s="8" t="inlineStr">
        <is>
          <t>U</t>
        </is>
      </c>
      <c r="K35" s="9" t="n">
        <v>2</v>
      </c>
      <c r="L35" s="51" t="n"/>
      <c r="M35" s="52">
        <f>'S25'!M35+L35</f>
        <v/>
      </c>
      <c r="N35" s="53">
        <f>IFERROR(M35/K35,0)</f>
        <v/>
      </c>
      <c r="O35" s="54">
        <f>'S25'!N35</f>
        <v/>
      </c>
      <c r="P35" s="53">
        <f>N35-O35</f>
        <v/>
      </c>
      <c r="Q35" s="32" t="n"/>
      <c r="R35" s="32" t="n"/>
      <c r="S35" s="32" t="n"/>
      <c r="T35" s="55" t="n"/>
      <c r="U35" s="54">
        <f>'S25'!T35</f>
        <v/>
      </c>
      <c r="V35" s="53">
        <f>T35-U35</f>
        <v/>
      </c>
      <c r="W35" s="53">
        <f>N35-T35</f>
        <v/>
      </c>
      <c r="X35" s="34" t="n"/>
    </row>
    <row r="36" ht="22" customHeight="1">
      <c r="B36" s="10" t="n">
        <v>32</v>
      </c>
      <c r="C36" s="6" t="inlineStr">
        <is>
          <t>Sidi Kacem</t>
        </is>
      </c>
      <c r="D36" s="10" t="inlineStr">
        <is>
          <t>NOUIRAT</t>
        </is>
      </c>
      <c r="E36" s="10" t="inlineStr">
        <is>
          <t>50-21</t>
        </is>
      </c>
      <c r="F36" s="10" t="inlineStr">
        <is>
          <t>Entretien et réparation des stations de pompage</t>
        </is>
      </c>
      <c r="G36" s="10" t="inlineStr">
        <is>
          <t>Prestations de maintenance des moteurs électriques des stations de pompage.</t>
        </is>
      </c>
      <c r="H36" s="10" t="inlineStr">
        <is>
          <t>Révision des deux moteurs électriques principaux de la station E1.</t>
        </is>
      </c>
      <c r="I36" s="11" t="n">
        <v>50000</v>
      </c>
      <c r="J36" s="12" t="inlineStr">
        <is>
          <t>U</t>
        </is>
      </c>
      <c r="K36" s="13" t="n">
        <v>2</v>
      </c>
      <c r="L36" s="51" t="n"/>
      <c r="M36" s="56">
        <f>'S25'!M36+L36</f>
        <v/>
      </c>
      <c r="N36" s="57">
        <f>IFERROR(M36/K36,0)</f>
        <v/>
      </c>
      <c r="O36" s="58">
        <f>'S25'!N36</f>
        <v/>
      </c>
      <c r="P36" s="57">
        <f>N36-O36</f>
        <v/>
      </c>
      <c r="Q36" s="32" t="n"/>
      <c r="R36" s="32" t="n"/>
      <c r="S36" s="32" t="n"/>
      <c r="T36" s="55" t="n"/>
      <c r="U36" s="58">
        <f>'S25'!T36</f>
        <v/>
      </c>
      <c r="V36" s="57">
        <f>T36-U36</f>
        <v/>
      </c>
      <c r="W36" s="57">
        <f>N36-T36</f>
        <v/>
      </c>
      <c r="X36" s="34" t="n"/>
    </row>
    <row r="37" ht="22" customHeight="1">
      <c r="B37" s="5" t="n">
        <v>33</v>
      </c>
      <c r="C37" s="6" t="inlineStr">
        <is>
          <t>Sidi Kacem</t>
        </is>
      </c>
      <c r="D37" s="5" t="inlineStr">
        <is>
          <t>NOUIRAT</t>
        </is>
      </c>
      <c r="E37" s="5" t="inlineStr">
        <is>
          <t>50-21</t>
        </is>
      </c>
      <c r="F37" s="5" t="inlineStr">
        <is>
          <t>Entretien et réparation des stations de pompage</t>
        </is>
      </c>
      <c r="G37" s="5" t="inlineStr">
        <is>
          <t>Prestations de maintenance et de réparation mécanique des pompes et des groupes motopompes submersibles des stations de pompage.</t>
        </is>
      </c>
      <c r="H37" s="5" t="inlineStr">
        <is>
          <t>Démontage et expertise des cinq pompes principaux et pompes a vide de la station E1.
Changement des roulements, tresses et organes d’effectués de la station E1.</t>
        </is>
      </c>
      <c r="I37" s="7" t="n">
        <v>245000</v>
      </c>
      <c r="J37" s="8" t="inlineStr">
        <is>
          <t>U</t>
        </is>
      </c>
      <c r="K37" s="9" t="n">
        <v>5</v>
      </c>
      <c r="L37" s="51" t="n"/>
      <c r="M37" s="52">
        <f>'S25'!M37+L37</f>
        <v/>
      </c>
      <c r="N37" s="53">
        <f>IFERROR(M37/K37,0)</f>
        <v/>
      </c>
      <c r="O37" s="54">
        <f>'S25'!N37</f>
        <v/>
      </c>
      <c r="P37" s="53">
        <f>N37-O37</f>
        <v/>
      </c>
      <c r="Q37" s="32" t="n"/>
      <c r="R37" s="32" t="n"/>
      <c r="S37" s="32" t="n"/>
      <c r="T37" s="55" t="n"/>
      <c r="U37" s="54">
        <f>'S25'!T37</f>
        <v/>
      </c>
      <c r="V37" s="53">
        <f>T37-U37</f>
        <v/>
      </c>
      <c r="W37" s="53">
        <f>N37-T37</f>
        <v/>
      </c>
      <c r="X37" s="34" t="n"/>
    </row>
    <row r="38" ht="22" customHeight="1">
      <c r="B38" s="10" t="n">
        <v>34</v>
      </c>
      <c r="C38" s="6" t="inlineStr">
        <is>
          <t>Sidi Kacem</t>
        </is>
      </c>
      <c r="D38" s="10" t="inlineStr">
        <is>
          <t>NOUIRAT</t>
        </is>
      </c>
      <c r="E38" s="10" t="inlineStr">
        <is>
          <t>50-21</t>
        </is>
      </c>
      <c r="F38" s="10" t="inlineStr">
        <is>
          <t>Entretien et réparation des stations de pompage</t>
        </is>
      </c>
      <c r="G38" s="10" t="inlineStr">
        <is>
          <t>Génie civile des locaux des stations de pompage.</t>
        </is>
      </c>
      <c r="H38" s="10" t="inlineStr">
        <is>
          <t>Expertise d’état et d’étanchéité des locaux pompes, commande, puissance de la station de pompage E1.
Renforcement d’étanchéité des locaux pompe sous niveau des oueds de la station de pompage E1.</t>
        </is>
      </c>
      <c r="I38" s="11" t="n">
        <v>1000000</v>
      </c>
      <c r="J38" s="12" t="inlineStr">
        <is>
          <t>U</t>
        </is>
      </c>
      <c r="K38" s="13" t="n">
        <v>1</v>
      </c>
      <c r="L38" s="51" t="n"/>
      <c r="M38" s="56">
        <f>'S25'!M38+L38</f>
        <v/>
      </c>
      <c r="N38" s="57">
        <f>IFERROR(M38/K38,0)</f>
        <v/>
      </c>
      <c r="O38" s="58">
        <f>'S25'!N38</f>
        <v/>
      </c>
      <c r="P38" s="57">
        <f>N38-O38</f>
        <v/>
      </c>
      <c r="Q38" s="32" t="n"/>
      <c r="R38" s="32" t="n"/>
      <c r="S38" s="32" t="n"/>
      <c r="T38" s="55" t="n"/>
      <c r="U38" s="58">
        <f>'S25'!T38</f>
        <v/>
      </c>
      <c r="V38" s="57">
        <f>T38-U38</f>
        <v/>
      </c>
      <c r="W38" s="57">
        <f>N38-T38</f>
        <v/>
      </c>
      <c r="X38" s="34" t="n"/>
    </row>
    <row r="39" ht="22" customHeight="1">
      <c r="B39" s="5" t="n">
        <v>35</v>
      </c>
      <c r="C39" s="6" t="inlineStr">
        <is>
          <t>Sidi Kacem</t>
        </is>
      </c>
      <c r="D39" s="5" t="inlineStr">
        <is>
          <t>RMILAT</t>
        </is>
      </c>
      <c r="E39" s="5" t="inlineStr">
        <is>
          <t>50-23</t>
        </is>
      </c>
      <c r="F39" s="5" t="inlineStr">
        <is>
          <t>Entretien et réparation du réseau d'assainissement et de drainage</t>
        </is>
      </c>
      <c r="G39" s="5" t="inlineStr">
        <is>
          <t>Travaux de curage des canaux en terre</t>
        </is>
      </c>
      <c r="H39" s="5" t="inlineStr">
        <is>
          <t>Curage des collecteurs d'assainissement des secteurs P7</t>
        </is>
      </c>
      <c r="I39" s="7" t="n">
        <v>5024032</v>
      </c>
      <c r="J39" s="8" t="inlineStr">
        <is>
          <t>ml</t>
        </is>
      </c>
      <c r="K39" s="9" t="n">
        <v>2512</v>
      </c>
      <c r="L39" s="51" t="n"/>
      <c r="M39" s="52">
        <f>'S25'!M39+L39</f>
        <v/>
      </c>
      <c r="N39" s="53">
        <f>IFERROR(M39/K39,0)</f>
        <v/>
      </c>
      <c r="O39" s="54">
        <f>'S25'!N39</f>
        <v/>
      </c>
      <c r="P39" s="53">
        <f>N39-O39</f>
        <v/>
      </c>
      <c r="Q39" s="32" t="n"/>
      <c r="R39" s="32" t="n"/>
      <c r="S39" s="32" t="n"/>
      <c r="T39" s="55" t="n"/>
      <c r="U39" s="54">
        <f>'S25'!T39</f>
        <v/>
      </c>
      <c r="V39" s="53">
        <f>T39-U39</f>
        <v/>
      </c>
      <c r="W39" s="53">
        <f>N39-T39</f>
        <v/>
      </c>
      <c r="X39" s="34" t="n"/>
    </row>
    <row r="40" ht="22" customHeight="1">
      <c r="B40" s="10" t="n">
        <v>36</v>
      </c>
      <c r="C40" s="6" t="inlineStr">
        <is>
          <t>Sidi Kacem</t>
        </is>
      </c>
      <c r="D40" s="10" t="inlineStr">
        <is>
          <t>RMILAT</t>
        </is>
      </c>
      <c r="E40" s="10" t="inlineStr">
        <is>
          <t>40-21</t>
        </is>
      </c>
      <c r="F40" s="10" t="inlineStr">
        <is>
          <t>Travaux de pistes</t>
        </is>
      </c>
      <c r="G40" s="10" t="inlineStr">
        <is>
          <t>Entretien des pistes agricoles</t>
        </is>
      </c>
      <c r="H40" s="10" t="inlineStr">
        <is>
          <t>Entretien des pistes agricoles</t>
        </is>
      </c>
      <c r="I40" s="11" t="n">
        <v>400000</v>
      </c>
      <c r="J40" s="12" t="inlineStr">
        <is>
          <t>km</t>
        </is>
      </c>
      <c r="K40" s="13" t="n">
        <v>1</v>
      </c>
      <c r="L40" s="51" t="n"/>
      <c r="M40" s="56">
        <f>'S25'!M40+L40</f>
        <v/>
      </c>
      <c r="N40" s="57">
        <f>IFERROR(M40/K40,0)</f>
        <v/>
      </c>
      <c r="O40" s="58">
        <f>'S25'!N40</f>
        <v/>
      </c>
      <c r="P40" s="57">
        <f>N40-O40</f>
        <v/>
      </c>
      <c r="Q40" s="32" t="n"/>
      <c r="R40" s="32" t="n"/>
      <c r="S40" s="32" t="n"/>
      <c r="T40" s="55" t="n"/>
      <c r="U40" s="58">
        <f>'S25'!T40</f>
        <v/>
      </c>
      <c r="V40" s="57">
        <f>T40-U40</f>
        <v/>
      </c>
      <c r="W40" s="57">
        <f>N40-T40</f>
        <v/>
      </c>
      <c r="X40" s="34" t="n"/>
    </row>
    <row r="41" ht="22" customHeight="1">
      <c r="B41" s="5" t="n">
        <v>37</v>
      </c>
      <c r="C41" s="6" t="inlineStr">
        <is>
          <t>Sidi Kacem</t>
        </is>
      </c>
      <c r="D41" s="5" t="inlineStr">
        <is>
          <t>SAFSAF</t>
        </is>
      </c>
      <c r="E41" s="5" t="inlineStr">
        <is>
          <t>50-23</t>
        </is>
      </c>
      <c r="F41" s="5" t="inlineStr">
        <is>
          <t>Entretien et réparation du réseau d'assainissement et de drainage</t>
        </is>
      </c>
      <c r="G41" s="5" t="inlineStr">
        <is>
          <t>Travaux de curage des canaux en terre</t>
        </is>
      </c>
      <c r="H41" s="5" t="inlineStr">
        <is>
          <t>Curage des collecteurs d'assainissement des secteurs S7, S9 et S11</t>
        </is>
      </c>
      <c r="I41" s="7" t="n">
        <v>6000000</v>
      </c>
      <c r="J41" s="8" t="inlineStr">
        <is>
          <t>ml</t>
        </is>
      </c>
      <c r="K41" s="9" t="n">
        <v>3000</v>
      </c>
      <c r="L41" s="51" t="n"/>
      <c r="M41" s="52">
        <f>'S25'!M41+L41</f>
        <v/>
      </c>
      <c r="N41" s="53">
        <f>IFERROR(M41/K41,0)</f>
        <v/>
      </c>
      <c r="O41" s="54">
        <f>'S25'!N41</f>
        <v/>
      </c>
      <c r="P41" s="53">
        <f>N41-O41</f>
        <v/>
      </c>
      <c r="Q41" s="32" t="n"/>
      <c r="R41" s="32" t="n"/>
      <c r="S41" s="32" t="n"/>
      <c r="T41" s="55" t="n"/>
      <c r="U41" s="54">
        <f>'S25'!T41</f>
        <v/>
      </c>
      <c r="V41" s="53">
        <f>T41-U41</f>
        <v/>
      </c>
      <c r="W41" s="53">
        <f>N41-T41</f>
        <v/>
      </c>
      <c r="X41" s="34" t="n"/>
    </row>
    <row r="42" ht="22" customHeight="1">
      <c r="B42" s="10" t="n">
        <v>38</v>
      </c>
      <c r="C42" s="6" t="inlineStr">
        <is>
          <t>Sidi Kacem</t>
        </is>
      </c>
      <c r="D42" s="10" t="inlineStr">
        <is>
          <t>SAFSAF</t>
        </is>
      </c>
      <c r="E42" s="10" t="inlineStr">
        <is>
          <t>20-11</t>
        </is>
      </c>
      <c r="F42" s="10" t="inlineStr">
        <is>
          <t>Travaux de réhabilitation des équipements</t>
        </is>
      </c>
      <c r="G42" s="10" t="inlineStr">
        <is>
          <t>Travaux de réhabilitation des canaux portés d'irrigation</t>
        </is>
      </c>
      <c r="H42" s="10" t="inlineStr">
        <is>
          <t>Fourniture et  pose de canaux porté et accessoires du réseau S4 du secteur S11</t>
        </is>
      </c>
      <c r="I42" s="11" t="n">
        <v>232266</v>
      </c>
      <c r="J42" s="12" t="inlineStr">
        <is>
          <t>ml</t>
        </is>
      </c>
      <c r="K42" s="13" t="n">
        <v>77</v>
      </c>
      <c r="L42" s="51" t="n"/>
      <c r="M42" s="56">
        <f>'S25'!M42+L42</f>
        <v/>
      </c>
      <c r="N42" s="57">
        <f>IFERROR(M42/K42,0)</f>
        <v/>
      </c>
      <c r="O42" s="58">
        <f>'S25'!N42</f>
        <v/>
      </c>
      <c r="P42" s="57">
        <f>N42-O42</f>
        <v/>
      </c>
      <c r="Q42" s="32" t="n"/>
      <c r="R42" s="32" t="n"/>
      <c r="S42" s="32" t="n"/>
      <c r="T42" s="55" t="n"/>
      <c r="U42" s="58">
        <f>'S25'!T42</f>
        <v/>
      </c>
      <c r="V42" s="57">
        <f>T42-U42</f>
        <v/>
      </c>
      <c r="W42" s="57">
        <f>N42-T42</f>
        <v/>
      </c>
      <c r="X42" s="34" t="n"/>
    </row>
    <row r="43" ht="22" customHeight="1">
      <c r="B43" s="5" t="n">
        <v>39</v>
      </c>
      <c r="C43" s="6" t="inlineStr">
        <is>
          <t>Sidi Kacem</t>
        </is>
      </c>
      <c r="D43" s="5" t="inlineStr">
        <is>
          <t>SAFSAF</t>
        </is>
      </c>
      <c r="E43" s="5" t="inlineStr">
        <is>
          <t>20-11</t>
        </is>
      </c>
      <c r="F43" s="5" t="inlineStr">
        <is>
          <t>Travaux de réhabilitation des équipements</t>
        </is>
      </c>
      <c r="G43" s="5" t="inlineStr"/>
      <c r="H43" s="5" t="inlineStr">
        <is>
          <t>Recalage des canaux portés du réseau T5S5 du secteur S9</t>
        </is>
      </c>
      <c r="I43" s="7" t="n">
        <v>1055025</v>
      </c>
      <c r="J43" s="8" t="inlineStr">
        <is>
          <t>ml</t>
        </is>
      </c>
      <c r="K43" s="9" t="n">
        <v>352</v>
      </c>
      <c r="L43" s="51" t="n"/>
      <c r="M43" s="52">
        <f>'S25'!M43+L43</f>
        <v/>
      </c>
      <c r="N43" s="53">
        <f>IFERROR(M43/K43,0)</f>
        <v/>
      </c>
      <c r="O43" s="54">
        <f>'S25'!N43</f>
        <v/>
      </c>
      <c r="P43" s="53">
        <f>N43-O43</f>
        <v/>
      </c>
      <c r="Q43" s="32" t="n"/>
      <c r="R43" s="32" t="n"/>
      <c r="S43" s="32" t="n"/>
      <c r="T43" s="55" t="n"/>
      <c r="U43" s="54">
        <f>'S25'!T43</f>
        <v/>
      </c>
      <c r="V43" s="53">
        <f>T43-U43</f>
        <v/>
      </c>
      <c r="W43" s="53">
        <f>N43-T43</f>
        <v/>
      </c>
      <c r="X43" s="34" t="n"/>
    </row>
    <row r="44" ht="22" customHeight="1">
      <c r="B44" s="10" t="n">
        <v>40</v>
      </c>
      <c r="C44" s="6" t="inlineStr">
        <is>
          <t>Sidi Kacem</t>
        </is>
      </c>
      <c r="D44" s="10" t="inlineStr">
        <is>
          <t>SAFSAF</t>
        </is>
      </c>
      <c r="E44" s="10" t="inlineStr">
        <is>
          <t>20-11</t>
        </is>
      </c>
      <c r="F44" s="10" t="inlineStr">
        <is>
          <t>Travaux de réhabilitation des équipements</t>
        </is>
      </c>
      <c r="G44" s="10" t="inlineStr"/>
      <c r="H44" s="10" t="inlineStr">
        <is>
          <t>Recalage des canaux portés du réseau T7S5 du secteur S9</t>
        </is>
      </c>
      <c r="I44" s="11" t="n">
        <v>1004535</v>
      </c>
      <c r="J44" s="12" t="inlineStr">
        <is>
          <t>ml</t>
        </is>
      </c>
      <c r="K44" s="13" t="n">
        <v>335</v>
      </c>
      <c r="L44" s="51" t="n"/>
      <c r="M44" s="56">
        <f>'S25'!M44+L44</f>
        <v/>
      </c>
      <c r="N44" s="57">
        <f>IFERROR(M44/K44,0)</f>
        <v/>
      </c>
      <c r="O44" s="58">
        <f>'S25'!N44</f>
        <v/>
      </c>
      <c r="P44" s="57">
        <f>N44-O44</f>
        <v/>
      </c>
      <c r="Q44" s="32" t="n"/>
      <c r="R44" s="32" t="n"/>
      <c r="S44" s="32" t="n"/>
      <c r="T44" s="55" t="n"/>
      <c r="U44" s="58">
        <f>'S25'!T44</f>
        <v/>
      </c>
      <c r="V44" s="57">
        <f>T44-U44</f>
        <v/>
      </c>
      <c r="W44" s="57">
        <f>N44-T44</f>
        <v/>
      </c>
      <c r="X44" s="34" t="n"/>
    </row>
    <row r="45" ht="22" customHeight="1">
      <c r="B45" s="5" t="n">
        <v>41</v>
      </c>
      <c r="C45" s="6" t="inlineStr">
        <is>
          <t>Sidi Kacem</t>
        </is>
      </c>
      <c r="D45" s="5" t="inlineStr">
        <is>
          <t>SAFSAF</t>
        </is>
      </c>
      <c r="E45" s="5" t="inlineStr">
        <is>
          <t>20-11</t>
        </is>
      </c>
      <c r="F45" s="5" t="inlineStr">
        <is>
          <t>Travaux de réhabilitation des équipements</t>
        </is>
      </c>
      <c r="G45" s="5" t="inlineStr"/>
      <c r="H45" s="5" t="inlineStr">
        <is>
          <t>Recalage des canaux portés du réseau T2S5 du secteur S9</t>
        </is>
      </c>
      <c r="I45" s="7" t="n">
        <v>793830</v>
      </c>
      <c r="J45" s="8" t="inlineStr">
        <is>
          <t>ml</t>
        </is>
      </c>
      <c r="K45" s="9" t="n">
        <v>265</v>
      </c>
      <c r="L45" s="51" t="n"/>
      <c r="M45" s="52">
        <f>'S25'!M45+L45</f>
        <v/>
      </c>
      <c r="N45" s="53">
        <f>IFERROR(M45/K45,0)</f>
        <v/>
      </c>
      <c r="O45" s="54">
        <f>'S25'!N45</f>
        <v/>
      </c>
      <c r="P45" s="53">
        <f>N45-O45</f>
        <v/>
      </c>
      <c r="Q45" s="32" t="n"/>
      <c r="R45" s="32" t="n"/>
      <c r="S45" s="32" t="n"/>
      <c r="T45" s="55" t="n"/>
      <c r="U45" s="54">
        <f>'S25'!T45</f>
        <v/>
      </c>
      <c r="V45" s="53">
        <f>T45-U45</f>
        <v/>
      </c>
      <c r="W45" s="53">
        <f>N45-T45</f>
        <v/>
      </c>
      <c r="X45" s="34" t="n"/>
    </row>
    <row r="46" ht="22" customHeight="1">
      <c r="B46" s="10" t="n">
        <v>42</v>
      </c>
      <c r="C46" s="6" t="inlineStr">
        <is>
          <t>Sidi Kacem</t>
        </is>
      </c>
      <c r="D46" s="10" t="inlineStr">
        <is>
          <t>SAFSAF</t>
        </is>
      </c>
      <c r="E46" s="10" t="inlineStr">
        <is>
          <t>40-21</t>
        </is>
      </c>
      <c r="F46" s="10" t="inlineStr">
        <is>
          <t>Travaux de pistes</t>
        </is>
      </c>
      <c r="G46" s="10" t="inlineStr">
        <is>
          <t>Entretien des pistes agricoles</t>
        </is>
      </c>
      <c r="H46" s="10" t="inlineStr">
        <is>
          <t>Entretien des pistes agricoles</t>
        </is>
      </c>
      <c r="I46" s="11" t="n">
        <v>2000000</v>
      </c>
      <c r="J46" s="12" t="inlineStr">
        <is>
          <t>km</t>
        </is>
      </c>
      <c r="K46" s="13" t="n">
        <v>4</v>
      </c>
      <c r="L46" s="51" t="n"/>
      <c r="M46" s="56">
        <f>'S25'!M46+L46</f>
        <v/>
      </c>
      <c r="N46" s="57">
        <f>IFERROR(M46/K46,0)</f>
        <v/>
      </c>
      <c r="O46" s="58">
        <f>'S25'!N46</f>
        <v/>
      </c>
      <c r="P46" s="57">
        <f>N46-O46</f>
        <v/>
      </c>
      <c r="Q46" s="32" t="n"/>
      <c r="R46" s="32" t="n"/>
      <c r="S46" s="32" t="n"/>
      <c r="T46" s="55" t="n"/>
      <c r="U46" s="58">
        <f>'S25'!T46</f>
        <v/>
      </c>
      <c r="V46" s="57">
        <f>T46-U46</f>
        <v/>
      </c>
      <c r="W46" s="57">
        <f>N46-T46</f>
        <v/>
      </c>
      <c r="X46" s="34" t="n"/>
    </row>
    <row r="47" ht="22" customHeight="1">
      <c r="B47" s="5" t="n">
        <v>43</v>
      </c>
      <c r="C47" s="6" t="inlineStr">
        <is>
          <t>Sidi Kacem</t>
        </is>
      </c>
      <c r="D47" s="5" t="inlineStr">
        <is>
          <t>SAFSAF</t>
        </is>
      </c>
      <c r="E47" s="5" t="inlineStr">
        <is>
          <t>50-23</t>
        </is>
      </c>
      <c r="F47" s="5" t="inlineStr">
        <is>
          <t>Entretien et réparation du réseau d'assainissement et de drainage</t>
        </is>
      </c>
      <c r="G47" s="5" t="inlineStr">
        <is>
          <t>Curage des prises sur l’oued, bâche d’aspiration et bassin de régulation.</t>
        </is>
      </c>
      <c r="H47" s="5" t="inlineStr">
        <is>
          <t>Curage des prises sur l’oued des stations de pompage S11, S9, 7D et 7B.
Nettoyage des grilles de préfiltration des boues colmaté des stations de pompage S11, S9, 7D et 7B.
Nettoyage des crépines des boues colmaté de station pompage 7D.
Curage des dalots et bâche d’aspiration des stations de pompage S11, S9, 7B.</t>
        </is>
      </c>
      <c r="I47" s="7" t="n">
        <v>200000</v>
      </c>
      <c r="J47" s="8" t="inlineStr">
        <is>
          <t>ml</t>
        </is>
      </c>
      <c r="K47" s="9" t="n">
        <v>67</v>
      </c>
      <c r="L47" s="51" t="n"/>
      <c r="M47" s="52">
        <f>'S25'!M47+L47</f>
        <v/>
      </c>
      <c r="N47" s="53">
        <f>IFERROR(M47/K47,0)</f>
        <v/>
      </c>
      <c r="O47" s="54">
        <f>'S25'!N47</f>
        <v/>
      </c>
      <c r="P47" s="53">
        <f>N47-O47</f>
        <v/>
      </c>
      <c r="Q47" s="32" t="n"/>
      <c r="R47" s="32" t="n"/>
      <c r="S47" s="32" t="n"/>
      <c r="T47" s="55" t="n"/>
      <c r="U47" s="54">
        <f>'S25'!T47</f>
        <v/>
      </c>
      <c r="V47" s="53">
        <f>T47-U47</f>
        <v/>
      </c>
      <c r="W47" s="53">
        <f>N47-T47</f>
        <v/>
      </c>
      <c r="X47" s="34" t="n"/>
    </row>
    <row r="48" ht="22" customHeight="1">
      <c r="B48" s="10" t="n">
        <v>44</v>
      </c>
      <c r="C48" s="6" t="inlineStr">
        <is>
          <t>Sidi Kacem</t>
        </is>
      </c>
      <c r="D48" s="10" t="inlineStr">
        <is>
          <t>SAFSAF</t>
        </is>
      </c>
      <c r="E48" s="10" t="inlineStr">
        <is>
          <t>50-21</t>
        </is>
      </c>
      <c r="F48" s="10" t="inlineStr">
        <is>
          <t>Entretien et réparation des stations de pompage</t>
        </is>
      </c>
      <c r="G48" s="10" t="inlineStr">
        <is>
          <t>Prestation de maintenance des débitmètres et leurs équipements annexes installés au niveau des station de pompage</t>
        </is>
      </c>
      <c r="H48" s="10" t="inlineStr">
        <is>
          <t>Changements Sept des débitmètres Ø 600mm inondé des deux stations de pompage S11 et S9.</t>
        </is>
      </c>
      <c r="I48" s="11" t="n">
        <v>580000</v>
      </c>
      <c r="J48" s="12" t="inlineStr">
        <is>
          <t>U</t>
        </is>
      </c>
      <c r="K48" s="13" t="n">
        <v>7</v>
      </c>
      <c r="L48" s="51" t="n"/>
      <c r="M48" s="56">
        <f>'S25'!M48+L48</f>
        <v/>
      </c>
      <c r="N48" s="57">
        <f>IFERROR(M48/K48,0)</f>
        <v/>
      </c>
      <c r="O48" s="58">
        <f>'S25'!N48</f>
        <v/>
      </c>
      <c r="P48" s="57">
        <f>N48-O48</f>
        <v/>
      </c>
      <c r="Q48" s="32" t="n"/>
      <c r="R48" s="32" t="n"/>
      <c r="S48" s="32" t="n"/>
      <c r="T48" s="55" t="n"/>
      <c r="U48" s="58">
        <f>'S25'!T48</f>
        <v/>
      </c>
      <c r="V48" s="57">
        <f>T48-U48</f>
        <v/>
      </c>
      <c r="W48" s="57">
        <f>N48-T48</f>
        <v/>
      </c>
      <c r="X48" s="34" t="n"/>
    </row>
    <row r="49" ht="22" customHeight="1">
      <c r="B49" s="5" t="n">
        <v>45</v>
      </c>
      <c r="C49" s="6" t="inlineStr">
        <is>
          <t>Sidi Kacem</t>
        </is>
      </c>
      <c r="D49" s="5" t="inlineStr">
        <is>
          <t>SAFSAF</t>
        </is>
      </c>
      <c r="E49" s="5" t="inlineStr">
        <is>
          <t>50-21</t>
        </is>
      </c>
      <c r="F49" s="5" t="inlineStr">
        <is>
          <t>Entretien et réparation des stations de pompage</t>
        </is>
      </c>
      <c r="G49" s="5" t="inlineStr">
        <is>
          <t>Stabilisation Berge oued</t>
        </is>
      </c>
      <c r="H49" s="5" t="inlineStr">
        <is>
          <t>Pose de murs en gabions et recouvrement du talus par matelas Reno des stations de pompage S11, S9, 7D et 7B .</t>
        </is>
      </c>
      <c r="I49" s="7" t="n">
        <v>4000000</v>
      </c>
      <c r="J49" s="8" t="inlineStr">
        <is>
          <t>m³</t>
        </is>
      </c>
      <c r="K49" s="9" t="n">
        <v>2667</v>
      </c>
      <c r="L49" s="51" t="n"/>
      <c r="M49" s="52">
        <f>'S25'!M49+L49</f>
        <v/>
      </c>
      <c r="N49" s="53">
        <f>IFERROR(M49/K49,0)</f>
        <v/>
      </c>
      <c r="O49" s="54">
        <f>'S25'!N49</f>
        <v/>
      </c>
      <c r="P49" s="53">
        <f>N49-O49</f>
        <v/>
      </c>
      <c r="Q49" s="32" t="n"/>
      <c r="R49" s="32" t="n"/>
      <c r="S49" s="32" t="n"/>
      <c r="T49" s="55" t="n"/>
      <c r="U49" s="54">
        <f>'S25'!T49</f>
        <v/>
      </c>
      <c r="V49" s="53">
        <f>T49-U49</f>
        <v/>
      </c>
      <c r="W49" s="53">
        <f>N49-T49</f>
        <v/>
      </c>
      <c r="X49" s="34" t="n"/>
    </row>
    <row r="50" ht="22" customHeight="1">
      <c r="B50" s="10" t="n">
        <v>46</v>
      </c>
      <c r="C50" s="6" t="inlineStr">
        <is>
          <t>Sidi Kacem</t>
        </is>
      </c>
      <c r="D50" s="10" t="inlineStr">
        <is>
          <t>SIDI AZZOUZ</t>
        </is>
      </c>
      <c r="E50" s="10" t="inlineStr">
        <is>
          <t>40-21</t>
        </is>
      </c>
      <c r="F50" s="10" t="inlineStr">
        <is>
          <t>Travaux de pistes</t>
        </is>
      </c>
      <c r="G50" s="10" t="inlineStr">
        <is>
          <t>Entretien des pistes agricoles</t>
        </is>
      </c>
      <c r="H50" s="10" t="inlineStr">
        <is>
          <t>Entretien des pistes agricoles</t>
        </is>
      </c>
      <c r="I50" s="11" t="n">
        <v>655000</v>
      </c>
      <c r="J50" s="12" t="inlineStr">
        <is>
          <t>km</t>
        </is>
      </c>
      <c r="K50" s="13" t="n">
        <v>1</v>
      </c>
      <c r="L50" s="51" t="n"/>
      <c r="M50" s="56">
        <f>'S25'!M50+L50</f>
        <v/>
      </c>
      <c r="N50" s="57">
        <f>IFERROR(M50/K50,0)</f>
        <v/>
      </c>
      <c r="O50" s="58">
        <f>'S25'!N50</f>
        <v/>
      </c>
      <c r="P50" s="57">
        <f>N50-O50</f>
        <v/>
      </c>
      <c r="Q50" s="32" t="n"/>
      <c r="R50" s="32" t="n"/>
      <c r="S50" s="32" t="n"/>
      <c r="T50" s="55" t="n"/>
      <c r="U50" s="58">
        <f>'S25'!T50</f>
        <v/>
      </c>
      <c r="V50" s="57">
        <f>T50-U50</f>
        <v/>
      </c>
      <c r="W50" s="57">
        <f>N50-T50</f>
        <v/>
      </c>
      <c r="X50" s="34" t="n"/>
    </row>
    <row r="51" ht="22" customHeight="1">
      <c r="B51" s="5" t="n">
        <v>47</v>
      </c>
      <c r="C51" s="6" t="inlineStr">
        <is>
          <t>Sidi Kacem</t>
        </is>
      </c>
      <c r="D51" s="5" t="inlineStr">
        <is>
          <t>SIDI EL KAMEL</t>
        </is>
      </c>
      <c r="E51" s="5" t="inlineStr">
        <is>
          <t>20-11</t>
        </is>
      </c>
      <c r="F51" s="5" t="inlineStr">
        <is>
          <t>Travaux de réhabilitation des équipements</t>
        </is>
      </c>
      <c r="G51" s="5" t="inlineStr">
        <is>
          <t>Travaux de réhabilitation des canaux portés d'irrigation</t>
        </is>
      </c>
      <c r="H51" s="5" t="inlineStr">
        <is>
          <t>Fourniture et de pose de canaux porté et accessoires du réseau SR4 du secteur S3R</t>
        </is>
      </c>
      <c r="I51" s="7" t="n">
        <v>5182920</v>
      </c>
      <c r="J51" s="8" t="inlineStr">
        <is>
          <t>ml</t>
        </is>
      </c>
      <c r="K51" s="9" t="n">
        <v>1728</v>
      </c>
      <c r="L51" s="51" t="n"/>
      <c r="M51" s="52">
        <f>'S25'!M51+L51</f>
        <v/>
      </c>
      <c r="N51" s="53">
        <f>IFERROR(M51/K51,0)</f>
        <v/>
      </c>
      <c r="O51" s="54">
        <f>'S25'!N51</f>
        <v/>
      </c>
      <c r="P51" s="53">
        <f>N51-O51</f>
        <v/>
      </c>
      <c r="Q51" s="32" t="n"/>
      <c r="R51" s="32" t="n"/>
      <c r="S51" s="32" t="n"/>
      <c r="T51" s="55" t="n"/>
      <c r="U51" s="54">
        <f>'S25'!T51</f>
        <v/>
      </c>
      <c r="V51" s="53">
        <f>T51-U51</f>
        <v/>
      </c>
      <c r="W51" s="53">
        <f>N51-T51</f>
        <v/>
      </c>
      <c r="X51" s="34" t="n"/>
    </row>
    <row r="52" ht="22" customHeight="1">
      <c r="B52" s="10" t="n">
        <v>48</v>
      </c>
      <c r="C52" s="6" t="inlineStr">
        <is>
          <t>Sidi Kacem</t>
        </is>
      </c>
      <c r="D52" s="10" t="inlineStr">
        <is>
          <t>SIDI EL KAMEL</t>
        </is>
      </c>
      <c r="E52" s="10" t="inlineStr">
        <is>
          <t>20-11</t>
        </is>
      </c>
      <c r="F52" s="10" t="inlineStr">
        <is>
          <t>Travaux de réhabilitation des équipements</t>
        </is>
      </c>
      <c r="G52" s="10" t="inlineStr"/>
      <c r="H52" s="10" t="inlineStr">
        <is>
          <t>Fourniture et de pose de canaux porté et accessoires du réseau SR6 du secteur S1RIZ</t>
        </is>
      </c>
      <c r="I52" s="11" t="n">
        <v>152818</v>
      </c>
      <c r="J52" s="12" t="inlineStr">
        <is>
          <t>ml</t>
        </is>
      </c>
      <c r="K52" s="13" t="n">
        <v>51</v>
      </c>
      <c r="L52" s="51" t="n"/>
      <c r="M52" s="56">
        <f>'S25'!M52+L52</f>
        <v/>
      </c>
      <c r="N52" s="57">
        <f>IFERROR(M52/K52,0)</f>
        <v/>
      </c>
      <c r="O52" s="58">
        <f>'S25'!N52</f>
        <v/>
      </c>
      <c r="P52" s="57">
        <f>N52-O52</f>
        <v/>
      </c>
      <c r="Q52" s="32" t="n"/>
      <c r="R52" s="32" t="n"/>
      <c r="S52" s="32" t="n"/>
      <c r="T52" s="55" t="n"/>
      <c r="U52" s="58">
        <f>'S25'!T52</f>
        <v/>
      </c>
      <c r="V52" s="57">
        <f>T52-U52</f>
        <v/>
      </c>
      <c r="W52" s="57">
        <f>N52-T52</f>
        <v/>
      </c>
      <c r="X52" s="34" t="n"/>
    </row>
    <row r="53" ht="22" customHeight="1">
      <c r="B53" s="5" t="n">
        <v>49</v>
      </c>
      <c r="C53" s="6" t="inlineStr">
        <is>
          <t>Sidi Kacem</t>
        </is>
      </c>
      <c r="D53" s="5" t="inlineStr">
        <is>
          <t>SIDI EL KAMEL</t>
        </is>
      </c>
      <c r="E53" s="5" t="inlineStr">
        <is>
          <t>20-11</t>
        </is>
      </c>
      <c r="F53" s="5" t="inlineStr">
        <is>
          <t>Travaux de réhabilitation des équipements</t>
        </is>
      </c>
      <c r="G53" s="5" t="inlineStr"/>
      <c r="H53" s="5" t="inlineStr">
        <is>
          <t>Recalage des canaux portés du réseau SR4 du secteur S3R</t>
        </is>
      </c>
      <c r="I53" s="7" t="n">
        <v>1418000</v>
      </c>
      <c r="J53" s="8" t="inlineStr">
        <is>
          <t>ml</t>
        </is>
      </c>
      <c r="K53" s="9" t="n">
        <v>473</v>
      </c>
      <c r="L53" s="51" t="n"/>
      <c r="M53" s="52">
        <f>'S25'!M53+L53</f>
        <v/>
      </c>
      <c r="N53" s="53">
        <f>IFERROR(M53/K53,0)</f>
        <v/>
      </c>
      <c r="O53" s="54">
        <f>'S25'!N53</f>
        <v/>
      </c>
      <c r="P53" s="53">
        <f>N53-O53</f>
        <v/>
      </c>
      <c r="Q53" s="32" t="n"/>
      <c r="R53" s="32" t="n"/>
      <c r="S53" s="32" t="n"/>
      <c r="T53" s="55" t="n"/>
      <c r="U53" s="54">
        <f>'S25'!T53</f>
        <v/>
      </c>
      <c r="V53" s="53">
        <f>T53-U53</f>
        <v/>
      </c>
      <c r="W53" s="53">
        <f>N53-T53</f>
        <v/>
      </c>
      <c r="X53" s="34" t="n"/>
    </row>
    <row r="54" ht="22" customHeight="1">
      <c r="B54" s="10" t="n">
        <v>50</v>
      </c>
      <c r="C54" s="6" t="inlineStr">
        <is>
          <t>Sidi Kacem</t>
        </is>
      </c>
      <c r="D54" s="10" t="inlineStr">
        <is>
          <t>SIDI EL KAMEL</t>
        </is>
      </c>
      <c r="E54" s="10" t="inlineStr">
        <is>
          <t>20-11</t>
        </is>
      </c>
      <c r="F54" s="10" t="inlineStr">
        <is>
          <t>Travaux de réhabilitation des équipements</t>
        </is>
      </c>
      <c r="G54" s="10" t="inlineStr">
        <is>
          <t>Travaux de réhabilitation des ouvrages de génie civil</t>
        </is>
      </c>
      <c r="H54" s="10" t="inlineStr">
        <is>
          <t>Réhabilitation des murs de soutènements des ouvrages de franchissements du canal d'assainissement CS3 secteur S3 et de l’ouvrage de franchissement du canal primaire d’irrigation du secteur S1R au niveau de la route provinciale P4234</t>
        </is>
      </c>
      <c r="I54" s="11" t="n">
        <v>800000</v>
      </c>
      <c r="J54" s="12" t="inlineStr">
        <is>
          <t>ml</t>
        </is>
      </c>
      <c r="K54" s="13" t="n">
        <v>400</v>
      </c>
      <c r="L54" s="51" t="n"/>
      <c r="M54" s="56">
        <f>'S25'!M54+L54</f>
        <v/>
      </c>
      <c r="N54" s="57">
        <f>IFERROR(M54/K54,0)</f>
        <v/>
      </c>
      <c r="O54" s="58">
        <f>'S25'!N54</f>
        <v/>
      </c>
      <c r="P54" s="57">
        <f>N54-O54</f>
        <v/>
      </c>
      <c r="Q54" s="32" t="n"/>
      <c r="R54" s="32" t="n"/>
      <c r="S54" s="32" t="n"/>
      <c r="T54" s="55" t="n"/>
      <c r="U54" s="58">
        <f>'S25'!T54</f>
        <v/>
      </c>
      <c r="V54" s="57">
        <f>T54-U54</f>
        <v/>
      </c>
      <c r="W54" s="57">
        <f>N54-T54</f>
        <v/>
      </c>
      <c r="X54" s="34" t="n"/>
    </row>
    <row r="55" ht="22" customHeight="1">
      <c r="B55" s="5" t="n">
        <v>51</v>
      </c>
      <c r="C55" s="6" t="inlineStr">
        <is>
          <t>Sidi Kacem</t>
        </is>
      </c>
      <c r="D55" s="5" t="inlineStr">
        <is>
          <t>SIDI EL KAMEL</t>
        </is>
      </c>
      <c r="E55" s="5" t="inlineStr">
        <is>
          <t>40-21</t>
        </is>
      </c>
      <c r="F55" s="5" t="inlineStr">
        <is>
          <t>Travaux de pistes</t>
        </is>
      </c>
      <c r="G55" s="5" t="inlineStr">
        <is>
          <t>Entretien des pistes agricoles</t>
        </is>
      </c>
      <c r="H55" s="5" t="inlineStr">
        <is>
          <t>Entretien des pistes agricoles</t>
        </is>
      </c>
      <c r="I55" s="7" t="n">
        <v>3700000</v>
      </c>
      <c r="J55" s="8" t="inlineStr">
        <is>
          <t>km</t>
        </is>
      </c>
      <c r="K55" s="9" t="n">
        <v>7</v>
      </c>
      <c r="L55" s="51" t="n"/>
      <c r="M55" s="52">
        <f>'S25'!M55+L55</f>
        <v/>
      </c>
      <c r="N55" s="53">
        <f>IFERROR(M55/K55,0)</f>
        <v/>
      </c>
      <c r="O55" s="54">
        <f>'S25'!N55</f>
        <v/>
      </c>
      <c r="P55" s="53">
        <f>N55-O55</f>
        <v/>
      </c>
      <c r="Q55" s="32" t="n"/>
      <c r="R55" s="32" t="n"/>
      <c r="S55" s="32" t="n"/>
      <c r="T55" s="55" t="n"/>
      <c r="U55" s="54">
        <f>'S25'!T55</f>
        <v/>
      </c>
      <c r="V55" s="53">
        <f>T55-U55</f>
        <v/>
      </c>
      <c r="W55" s="53">
        <f>N55-T55</f>
        <v/>
      </c>
      <c r="X55" s="34" t="n"/>
    </row>
    <row r="56" ht="22" customHeight="1">
      <c r="B56" s="10" t="n">
        <v>52</v>
      </c>
      <c r="C56" s="6" t="inlineStr">
        <is>
          <t>Sidi Kacem</t>
        </is>
      </c>
      <c r="D56" s="10" t="inlineStr">
        <is>
          <t>SIDI EL KAMEL</t>
        </is>
      </c>
      <c r="E56" s="10" t="inlineStr">
        <is>
          <t>50-21</t>
        </is>
      </c>
      <c r="F56" s="10" t="inlineStr">
        <is>
          <t>Entretien et réparation des stations de pompage</t>
        </is>
      </c>
      <c r="G56" s="10" t="inlineStr">
        <is>
          <t>Prestation de maintenance des débitmètres et leurs équipements annexes installés au niveau des station de pompage</t>
        </is>
      </c>
      <c r="H56" s="10" t="inlineStr">
        <is>
          <t>Changement de quatre débitmètres Ø 500mm et trois Ø 800mm inondé des stations de pompage 1R, 3R et 5R.</t>
        </is>
      </c>
      <c r="I56" s="11" t="n">
        <v>705000</v>
      </c>
      <c r="J56" s="12" t="inlineStr">
        <is>
          <t>U</t>
        </is>
      </c>
      <c r="K56" s="13" t="n">
        <v>3</v>
      </c>
      <c r="L56" s="51" t="n"/>
      <c r="M56" s="56">
        <f>'S25'!M56+L56</f>
        <v/>
      </c>
      <c r="N56" s="57">
        <f>IFERROR(M56/K56,0)</f>
        <v/>
      </c>
      <c r="O56" s="58">
        <f>'S25'!N56</f>
        <v/>
      </c>
      <c r="P56" s="57">
        <f>N56-O56</f>
        <v/>
      </c>
      <c r="Q56" s="32" t="n"/>
      <c r="R56" s="32" t="n"/>
      <c r="S56" s="32" t="n"/>
      <c r="T56" s="55" t="n"/>
      <c r="U56" s="58">
        <f>'S25'!T56</f>
        <v/>
      </c>
      <c r="V56" s="57">
        <f>T56-U56</f>
        <v/>
      </c>
      <c r="W56" s="57">
        <f>N56-T56</f>
        <v/>
      </c>
      <c r="X56" s="34" t="n"/>
    </row>
    <row r="57" ht="22" customHeight="1">
      <c r="B57" s="5" t="n">
        <v>53</v>
      </c>
      <c r="C57" s="6" t="inlineStr">
        <is>
          <t>Sidi Kacem</t>
        </is>
      </c>
      <c r="D57" s="5" t="inlineStr">
        <is>
          <t>SIDI EL KAMEL</t>
        </is>
      </c>
      <c r="E57" s="5" t="inlineStr">
        <is>
          <t>50-21</t>
        </is>
      </c>
      <c r="F57" s="5" t="inlineStr">
        <is>
          <t>Entretien et réparation des stations de pompage</t>
        </is>
      </c>
      <c r="G57" s="5" t="inlineStr">
        <is>
          <t>Mur clôture des stations de pompage.</t>
        </is>
      </c>
      <c r="H57" s="5" t="inlineStr">
        <is>
          <t>Stabilisation et reconstruction des murs clôture cote oued des stations de pompage 7A, 3R et 1R.</t>
        </is>
      </c>
      <c r="I57" s="7" t="n">
        <v>372000</v>
      </c>
      <c r="J57" s="8" t="inlineStr">
        <is>
          <t>ml</t>
        </is>
      </c>
      <c r="K57" s="9" t="n">
        <v>124</v>
      </c>
      <c r="L57" s="51" t="n"/>
      <c r="M57" s="52">
        <f>'S25'!M57+L57</f>
        <v/>
      </c>
      <c r="N57" s="53">
        <f>IFERROR(M57/K57,0)</f>
        <v/>
      </c>
      <c r="O57" s="54">
        <f>'S25'!N57</f>
        <v/>
      </c>
      <c r="P57" s="53">
        <f>N57-O57</f>
        <v/>
      </c>
      <c r="Q57" s="32" t="n"/>
      <c r="R57" s="32" t="n"/>
      <c r="S57" s="32" t="n"/>
      <c r="T57" s="55" t="n"/>
      <c r="U57" s="54">
        <f>'S25'!T57</f>
        <v/>
      </c>
      <c r="V57" s="53">
        <f>T57-U57</f>
        <v/>
      </c>
      <c r="W57" s="53">
        <f>N57-T57</f>
        <v/>
      </c>
      <c r="X57" s="34" t="n"/>
    </row>
    <row r="58" ht="22" customHeight="1">
      <c r="B58" s="10" t="n">
        <v>54</v>
      </c>
      <c r="C58" s="14" t="inlineStr">
        <is>
          <t>Kénitra</t>
        </is>
      </c>
      <c r="D58" s="10" t="inlineStr">
        <is>
          <t>Bni malek</t>
        </is>
      </c>
      <c r="E58" s="10" t="inlineStr">
        <is>
          <t>50-23</t>
        </is>
      </c>
      <c r="F58" s="10" t="inlineStr">
        <is>
          <t>Entretien et réparation du réseau d'assainissement et de drainage</t>
        </is>
      </c>
      <c r="G58" s="10" t="inlineStr">
        <is>
          <t>Travaux de curage des canaux en terre</t>
        </is>
      </c>
      <c r="H58" s="10" t="inlineStr">
        <is>
          <t>Curage des emissaires et colatures secondaire au niveau des secteurs MDA ET N9</t>
        </is>
      </c>
      <c r="I58" s="11" t="n">
        <v>10000000</v>
      </c>
      <c r="J58" s="12" t="inlineStr">
        <is>
          <t>ml</t>
        </is>
      </c>
      <c r="K58" s="13" t="n">
        <v>5000</v>
      </c>
      <c r="L58" s="51" t="n"/>
      <c r="M58" s="56">
        <f>'S25'!M58+L58</f>
        <v/>
      </c>
      <c r="N58" s="57">
        <f>IFERROR(M58/K58,0)</f>
        <v/>
      </c>
      <c r="O58" s="58">
        <f>'S25'!N58</f>
        <v/>
      </c>
      <c r="P58" s="57">
        <f>N58-O58</f>
        <v/>
      </c>
      <c r="Q58" s="32" t="n"/>
      <c r="R58" s="32" t="n"/>
      <c r="S58" s="32" t="n"/>
      <c r="T58" s="55" t="n"/>
      <c r="U58" s="58">
        <f>'S25'!T58</f>
        <v/>
      </c>
      <c r="V58" s="57">
        <f>T58-U58</f>
        <v/>
      </c>
      <c r="W58" s="57">
        <f>N58-T58</f>
        <v/>
      </c>
      <c r="X58" s="34" t="n"/>
    </row>
    <row r="59" ht="22" customHeight="1">
      <c r="B59" s="5" t="n">
        <v>55</v>
      </c>
      <c r="C59" s="14" t="inlineStr">
        <is>
          <t>Kénitra</t>
        </is>
      </c>
      <c r="D59" s="5" t="inlineStr">
        <is>
          <t>Bni malek</t>
        </is>
      </c>
      <c r="E59" s="5" t="inlineStr">
        <is>
          <t>40-21</t>
        </is>
      </c>
      <c r="F59" s="5" t="inlineStr">
        <is>
          <t>Travaux de pistes</t>
        </is>
      </c>
      <c r="G59" s="5" t="inlineStr">
        <is>
          <t>Travaux de réhabilitation des pistes agricoles</t>
        </is>
      </c>
      <c r="H59" s="5" t="inlineStr">
        <is>
          <t>Entretien des pistes agricoles des secteurs MDA et N3</t>
        </is>
      </c>
      <c r="I59" s="7" t="n">
        <v>2000000</v>
      </c>
      <c r="J59" s="8" t="inlineStr">
        <is>
          <t>km</t>
        </is>
      </c>
      <c r="K59" s="9" t="n">
        <v>4</v>
      </c>
      <c r="L59" s="51" t="n"/>
      <c r="M59" s="52">
        <f>'S25'!M59+L59</f>
        <v/>
      </c>
      <c r="N59" s="53">
        <f>IFERROR(M59/K59,0)</f>
        <v/>
      </c>
      <c r="O59" s="54">
        <f>'S25'!N59</f>
        <v/>
      </c>
      <c r="P59" s="53">
        <f>N59-O59</f>
        <v/>
      </c>
      <c r="Q59" s="32" t="n"/>
      <c r="R59" s="32" t="n"/>
      <c r="S59" s="32" t="n"/>
      <c r="T59" s="55" t="n"/>
      <c r="U59" s="54">
        <f>'S25'!T59</f>
        <v/>
      </c>
      <c r="V59" s="53">
        <f>T59-U59</f>
        <v/>
      </c>
      <c r="W59" s="53">
        <f>N59-T59</f>
        <v/>
      </c>
      <c r="X59" s="34" t="n"/>
    </row>
    <row r="60" ht="22" customHeight="1">
      <c r="B60" s="10" t="n">
        <v>56</v>
      </c>
      <c r="C60" s="14" t="inlineStr">
        <is>
          <t>Kénitra</t>
        </is>
      </c>
      <c r="D60" s="10" t="inlineStr">
        <is>
          <t>Bni malek</t>
        </is>
      </c>
      <c r="E60" s="10" t="inlineStr">
        <is>
          <t>50-21</t>
        </is>
      </c>
      <c r="F60" s="10" t="inlineStr">
        <is>
          <t>Entretien et réparation des stations de pompage</t>
        </is>
      </c>
      <c r="G60" s="10" t="inlineStr">
        <is>
          <t>Prestations de maintenance et de réparation mécanique des pompes et des groupes motopompes submersibles des stations de pompage.</t>
        </is>
      </c>
      <c r="H60" s="10" t="inlineStr">
        <is>
          <t>station de pompage MDA secteur MDA</t>
        </is>
      </c>
      <c r="I60" s="11" t="n">
        <v>300000</v>
      </c>
      <c r="J60" s="12" t="inlineStr">
        <is>
          <t>U</t>
        </is>
      </c>
      <c r="K60" s="13" t="n">
        <v>1</v>
      </c>
      <c r="L60" s="51" t="n"/>
      <c r="M60" s="56">
        <f>'S25'!M60+L60</f>
        <v/>
      </c>
      <c r="N60" s="57">
        <f>IFERROR(M60/K60,0)</f>
        <v/>
      </c>
      <c r="O60" s="58">
        <f>'S25'!N60</f>
        <v/>
      </c>
      <c r="P60" s="57">
        <f>N60-O60</f>
        <v/>
      </c>
      <c r="Q60" s="32" t="n"/>
      <c r="R60" s="32" t="n"/>
      <c r="S60" s="32" t="n"/>
      <c r="T60" s="55" t="n"/>
      <c r="U60" s="58">
        <f>'S25'!T60</f>
        <v/>
      </c>
      <c r="V60" s="57">
        <f>T60-U60</f>
        <v/>
      </c>
      <c r="W60" s="57">
        <f>N60-T60</f>
        <v/>
      </c>
      <c r="X60" s="34" t="n"/>
    </row>
    <row r="61" ht="22" customHeight="1">
      <c r="B61" s="5" t="n">
        <v>57</v>
      </c>
      <c r="C61" s="14" t="inlineStr">
        <is>
          <t>Kénitra</t>
        </is>
      </c>
      <c r="D61" s="5" t="inlineStr">
        <is>
          <t>Bni malek</t>
        </is>
      </c>
      <c r="E61" s="5" t="inlineStr">
        <is>
          <t>20-11</t>
        </is>
      </c>
      <c r="F61" s="5" t="inlineStr">
        <is>
          <t>Travaux de réhabilitation des équipements</t>
        </is>
      </c>
      <c r="G61" s="5" t="inlineStr">
        <is>
          <t>Travaux de réhabilitation des ouvrages de génie civil</t>
        </is>
      </c>
      <c r="H61" s="5" t="inlineStr">
        <is>
          <t>Rétablissement des bornes affaissées des secteurs N2 et N3</t>
        </is>
      </c>
      <c r="I61" s="7" t="n">
        <v>100000</v>
      </c>
      <c r="J61" s="8" t="inlineStr">
        <is>
          <t>U</t>
        </is>
      </c>
      <c r="K61" s="9" t="n">
        <v>200</v>
      </c>
      <c r="L61" s="51" t="n"/>
      <c r="M61" s="52">
        <f>'S25'!M61+L61</f>
        <v/>
      </c>
      <c r="N61" s="53">
        <f>IFERROR(M61/K61,0)</f>
        <v/>
      </c>
      <c r="O61" s="54">
        <f>'S25'!N61</f>
        <v/>
      </c>
      <c r="P61" s="53">
        <f>N61-O61</f>
        <v/>
      </c>
      <c r="Q61" s="32" t="n"/>
      <c r="R61" s="32" t="n"/>
      <c r="S61" s="32" t="n"/>
      <c r="T61" s="55" t="n"/>
      <c r="U61" s="54">
        <f>'S25'!T61</f>
        <v/>
      </c>
      <c r="V61" s="53">
        <f>T61-U61</f>
        <v/>
      </c>
      <c r="W61" s="53">
        <f>N61-T61</f>
        <v/>
      </c>
      <c r="X61" s="34" t="n"/>
    </row>
    <row r="62" ht="22" customHeight="1">
      <c r="B62" s="10" t="n">
        <v>58</v>
      </c>
      <c r="C62" s="14" t="inlineStr">
        <is>
          <t>Kénitra</t>
        </is>
      </c>
      <c r="D62" s="10" t="inlineStr">
        <is>
          <t>SOUK TLET</t>
        </is>
      </c>
      <c r="E62" s="10" t="inlineStr">
        <is>
          <t>50-23</t>
        </is>
      </c>
      <c r="F62" s="10" t="inlineStr">
        <is>
          <t>Entretien et réparation du réseau d'assainissement et de drainage</t>
        </is>
      </c>
      <c r="G62" s="10" t="inlineStr">
        <is>
          <t>Travaux de curage des canaux en terre</t>
        </is>
      </c>
      <c r="H62" s="10" t="inlineStr">
        <is>
          <t>curage des emissaires et colatures secondaire au niveau des secteurs N2,N3 ET N4,</t>
        </is>
      </c>
      <c r="I62" s="11" t="n">
        <v>3000000</v>
      </c>
      <c r="J62" s="12" t="inlineStr">
        <is>
          <t>ml</t>
        </is>
      </c>
      <c r="K62" s="13" t="n">
        <v>1500</v>
      </c>
      <c r="L62" s="51" t="n"/>
      <c r="M62" s="56">
        <f>'S25'!M62+L62</f>
        <v/>
      </c>
      <c r="N62" s="57">
        <f>IFERROR(M62/K62,0)</f>
        <v/>
      </c>
      <c r="O62" s="58">
        <f>'S25'!N62</f>
        <v/>
      </c>
      <c r="P62" s="57">
        <f>N62-O62</f>
        <v/>
      </c>
      <c r="Q62" s="32" t="n"/>
      <c r="R62" s="32" t="n"/>
      <c r="S62" s="32" t="n"/>
      <c r="T62" s="55" t="n"/>
      <c r="U62" s="58">
        <f>'S25'!T62</f>
        <v/>
      </c>
      <c r="V62" s="57">
        <f>T62-U62</f>
        <v/>
      </c>
      <c r="W62" s="57">
        <f>N62-T62</f>
        <v/>
      </c>
      <c r="X62" s="34" t="n"/>
    </row>
    <row r="63" ht="22" customHeight="1">
      <c r="B63" s="5" t="n">
        <v>59</v>
      </c>
      <c r="C63" s="14" t="inlineStr">
        <is>
          <t>Kénitra</t>
        </is>
      </c>
      <c r="D63" s="5" t="inlineStr">
        <is>
          <t>SOUK TLET</t>
        </is>
      </c>
      <c r="E63" s="5" t="inlineStr">
        <is>
          <t>40-21</t>
        </is>
      </c>
      <c r="F63" s="5" t="inlineStr">
        <is>
          <t>Travaux de pistes</t>
        </is>
      </c>
      <c r="G63" s="5" t="inlineStr">
        <is>
          <t>Travaux de réhabilitation des pistes agricoles</t>
        </is>
      </c>
      <c r="H63" s="5" t="inlineStr">
        <is>
          <t>Entretien des pistes des secteurs N2,N3,N4 et C4R,</t>
        </is>
      </c>
      <c r="I63" s="7" t="n">
        <v>5000000</v>
      </c>
      <c r="J63" s="8" t="inlineStr">
        <is>
          <t>U</t>
        </is>
      </c>
      <c r="K63" s="9" t="n">
        <v>1</v>
      </c>
      <c r="L63" s="51" t="n"/>
      <c r="M63" s="52">
        <f>'S25'!M63+L63</f>
        <v/>
      </c>
      <c r="N63" s="53">
        <f>IFERROR(M63/K63,0)</f>
        <v/>
      </c>
      <c r="O63" s="54">
        <f>'S25'!N63</f>
        <v/>
      </c>
      <c r="P63" s="53">
        <f>N63-O63</f>
        <v/>
      </c>
      <c r="Q63" s="32" t="n"/>
      <c r="R63" s="32" t="n"/>
      <c r="S63" s="32" t="n"/>
      <c r="T63" s="55" t="n"/>
      <c r="U63" s="54">
        <f>'S25'!T63</f>
        <v/>
      </c>
      <c r="V63" s="53">
        <f>T63-U63</f>
        <v/>
      </c>
      <c r="W63" s="53">
        <f>N63-T63</f>
        <v/>
      </c>
      <c r="X63" s="34" t="n"/>
    </row>
    <row r="64" ht="22" customHeight="1">
      <c r="B64" s="10" t="n">
        <v>60</v>
      </c>
      <c r="C64" s="14" t="inlineStr">
        <is>
          <t>Kénitra</t>
        </is>
      </c>
      <c r="D64" s="10" t="inlineStr">
        <is>
          <t>Sidi Med Lahmar</t>
        </is>
      </c>
      <c r="E64" s="10" t="inlineStr">
        <is>
          <t>50-23</t>
        </is>
      </c>
      <c r="F64" s="10" t="inlineStr">
        <is>
          <t>Entretien et réparation du réseau d'assainissement et de drainage</t>
        </is>
      </c>
      <c r="G64" s="10" t="inlineStr">
        <is>
          <t>Travaux de curage des canaux en terre</t>
        </is>
      </c>
      <c r="H64" s="10" t="inlineStr">
        <is>
          <t>Curage des emissaires et colatures secondaires secteurs N1</t>
        </is>
      </c>
      <c r="I64" s="11" t="n">
        <v>3000000</v>
      </c>
      <c r="J64" s="12" t="inlineStr">
        <is>
          <t>ml</t>
        </is>
      </c>
      <c r="K64" s="13" t="n">
        <v>1500</v>
      </c>
      <c r="L64" s="51" t="n"/>
      <c r="M64" s="56">
        <f>'S25'!M64+L64</f>
        <v/>
      </c>
      <c r="N64" s="57">
        <f>IFERROR(M64/K64,0)</f>
        <v/>
      </c>
      <c r="O64" s="58">
        <f>'S25'!N64</f>
        <v/>
      </c>
      <c r="P64" s="57">
        <f>N64-O64</f>
        <v/>
      </c>
      <c r="Q64" s="32" t="n"/>
      <c r="R64" s="32" t="n"/>
      <c r="S64" s="32" t="n"/>
      <c r="T64" s="55" t="n"/>
      <c r="U64" s="58">
        <f>'S25'!T64</f>
        <v/>
      </c>
      <c r="V64" s="57">
        <f>T64-U64</f>
        <v/>
      </c>
      <c r="W64" s="57">
        <f>N64-T64</f>
        <v/>
      </c>
      <c r="X64" s="34" t="n"/>
    </row>
    <row r="65" ht="22" customHeight="1">
      <c r="B65" s="5" t="n">
        <v>61</v>
      </c>
      <c r="C65" s="14" t="inlineStr">
        <is>
          <t>Kénitra</t>
        </is>
      </c>
      <c r="D65" s="5" t="inlineStr">
        <is>
          <t>Sidi Med Lahmar</t>
        </is>
      </c>
      <c r="E65" s="5" t="inlineStr">
        <is>
          <t>40-21</t>
        </is>
      </c>
      <c r="F65" s="5" t="inlineStr">
        <is>
          <t>Travaux de pistes</t>
        </is>
      </c>
      <c r="G65" s="5" t="inlineStr">
        <is>
          <t>Travaux de réhabilitation des pistes agricoles</t>
        </is>
      </c>
      <c r="H65" s="5" t="inlineStr">
        <is>
          <t>Entretien des pistes agricoles des secteurs N9 et N1</t>
        </is>
      </c>
      <c r="I65" s="7" t="n">
        <v>3000000</v>
      </c>
      <c r="J65" s="8" t="inlineStr">
        <is>
          <t>km</t>
        </is>
      </c>
      <c r="K65" s="9" t="n">
        <v>6</v>
      </c>
      <c r="L65" s="51" t="n"/>
      <c r="M65" s="52">
        <f>'S25'!M65+L65</f>
        <v/>
      </c>
      <c r="N65" s="53">
        <f>IFERROR(M65/K65,0)</f>
        <v/>
      </c>
      <c r="O65" s="54">
        <f>'S25'!N65</f>
        <v/>
      </c>
      <c r="P65" s="53">
        <f>N65-O65</f>
        <v/>
      </c>
      <c r="Q65" s="32" t="n"/>
      <c r="R65" s="32" t="n"/>
      <c r="S65" s="32" t="n"/>
      <c r="T65" s="55" t="n"/>
      <c r="U65" s="54">
        <f>'S25'!T65</f>
        <v/>
      </c>
      <c r="V65" s="53">
        <f>T65-U65</f>
        <v/>
      </c>
      <c r="W65" s="53">
        <f>N65-T65</f>
        <v/>
      </c>
      <c r="X65" s="34" t="n"/>
    </row>
    <row r="66" ht="22" customHeight="1">
      <c r="B66" s="10" t="n">
        <v>62</v>
      </c>
      <c r="C66" s="14" t="inlineStr">
        <is>
          <t>Kénitra</t>
        </is>
      </c>
      <c r="D66" s="10" t="inlineStr">
        <is>
          <t>Mograne</t>
        </is>
      </c>
      <c r="E66" s="10" t="inlineStr">
        <is>
          <t>50-23</t>
        </is>
      </c>
      <c r="F66" s="10" t="inlineStr">
        <is>
          <t>Entretien et réparation du réseau d'assainissement et de drainage</t>
        </is>
      </c>
      <c r="G66" s="10" t="inlineStr">
        <is>
          <t>Travaux de curage des canaux en terre</t>
        </is>
      </c>
      <c r="H66" s="10" t="inlineStr">
        <is>
          <t>Curage des canaux d'assainissement Hors secteur équipé ghoufera et laison beht sebou ,</t>
        </is>
      </c>
      <c r="I66" s="11" t="n">
        <v>6000000</v>
      </c>
      <c r="J66" s="12" t="inlineStr">
        <is>
          <t>ml</t>
        </is>
      </c>
      <c r="K66" s="13" t="n">
        <v>3000</v>
      </c>
      <c r="L66" s="51" t="n"/>
      <c r="M66" s="56">
        <f>'S25'!M66+L66</f>
        <v/>
      </c>
      <c r="N66" s="57">
        <f>IFERROR(M66/K66,0)</f>
        <v/>
      </c>
      <c r="O66" s="58">
        <f>'S25'!N66</f>
        <v/>
      </c>
      <c r="P66" s="57">
        <f>N66-O66</f>
        <v/>
      </c>
      <c r="Q66" s="32" t="n"/>
      <c r="R66" s="32" t="n"/>
      <c r="S66" s="32" t="n"/>
      <c r="T66" s="55" t="n"/>
      <c r="U66" s="58">
        <f>'S25'!T66</f>
        <v/>
      </c>
      <c r="V66" s="57">
        <f>T66-U66</f>
        <v/>
      </c>
      <c r="W66" s="57">
        <f>N66-T66</f>
        <v/>
      </c>
      <c r="X66" s="34" t="n"/>
    </row>
    <row r="67" ht="22" customHeight="1">
      <c r="B67" s="5" t="n">
        <v>63</v>
      </c>
      <c r="C67" s="14" t="inlineStr">
        <is>
          <t>Kénitra</t>
        </is>
      </c>
      <c r="D67" s="5" t="inlineStr">
        <is>
          <t>Mograne</t>
        </is>
      </c>
      <c r="E67" s="5" t="inlineStr">
        <is>
          <t>40-21</t>
        </is>
      </c>
      <c r="F67" s="5" t="inlineStr">
        <is>
          <t>Travaux de pistes</t>
        </is>
      </c>
      <c r="G67" s="5" t="inlineStr">
        <is>
          <t>Travaux de réhabilitation des pistes agricoles</t>
        </is>
      </c>
      <c r="H67" s="5" t="inlineStr">
        <is>
          <t>Entretien des pistes agricoles des secteurs SEBOU1,SEBOU2? BEHT3 et BEHT4</t>
        </is>
      </c>
      <c r="I67" s="7" t="n">
        <v>6000000</v>
      </c>
      <c r="J67" s="8" t="inlineStr">
        <is>
          <t>km</t>
        </is>
      </c>
      <c r="K67" s="9" t="n">
        <v>12</v>
      </c>
      <c r="L67" s="51" t="n"/>
      <c r="M67" s="52">
        <f>'S25'!M67+L67</f>
        <v/>
      </c>
      <c r="N67" s="53">
        <f>IFERROR(M67/K67,0)</f>
        <v/>
      </c>
      <c r="O67" s="54">
        <f>'S25'!N67</f>
        <v/>
      </c>
      <c r="P67" s="53">
        <f>N67-O67</f>
        <v/>
      </c>
      <c r="Q67" s="32" t="n"/>
      <c r="R67" s="32" t="n"/>
      <c r="S67" s="32" t="n"/>
      <c r="T67" s="55" t="n"/>
      <c r="U67" s="54">
        <f>'S25'!T67</f>
        <v/>
      </c>
      <c r="V67" s="53">
        <f>T67-U67</f>
        <v/>
      </c>
      <c r="W67" s="53">
        <f>N67-T67</f>
        <v/>
      </c>
      <c r="X67" s="34" t="n"/>
    </row>
    <row r="68" ht="22" customHeight="1">
      <c r="B68" s="10" t="n">
        <v>64</v>
      </c>
      <c r="C68" s="14" t="inlineStr">
        <is>
          <t>Kénitra</t>
        </is>
      </c>
      <c r="D68" s="10" t="inlineStr">
        <is>
          <t>Sidi allal tazi</t>
        </is>
      </c>
      <c r="E68" s="10" t="inlineStr">
        <is>
          <t>50-23</t>
        </is>
      </c>
      <c r="F68" s="10" t="inlineStr">
        <is>
          <t>Entretien et réparation du réseau d'assainissement et de drainage</t>
        </is>
      </c>
      <c r="G68" s="10" t="inlineStr">
        <is>
          <t>Travaux de curage des canaux en terre</t>
        </is>
      </c>
      <c r="H68" s="10" t="inlineStr">
        <is>
          <t>Curage du canaL d'assainissement CK,</t>
        </is>
      </c>
      <c r="I68" s="11" t="n">
        <v>3000000</v>
      </c>
      <c r="J68" s="12" t="inlineStr">
        <is>
          <t>ml</t>
        </is>
      </c>
      <c r="K68" s="13" t="n">
        <v>1500</v>
      </c>
      <c r="L68" s="51" t="n"/>
      <c r="M68" s="56">
        <f>'S25'!M68+L68</f>
        <v/>
      </c>
      <c r="N68" s="57">
        <f>IFERROR(M68/K68,0)</f>
        <v/>
      </c>
      <c r="O68" s="58">
        <f>'S25'!N68</f>
        <v/>
      </c>
      <c r="P68" s="57">
        <f>N68-O68</f>
        <v/>
      </c>
      <c r="Q68" s="32" t="n"/>
      <c r="R68" s="32" t="n"/>
      <c r="S68" s="32" t="n"/>
      <c r="T68" s="55" t="n"/>
      <c r="U68" s="58">
        <f>'S25'!T68</f>
        <v/>
      </c>
      <c r="V68" s="57">
        <f>T68-U68</f>
        <v/>
      </c>
      <c r="W68" s="57">
        <f>N68-T68</f>
        <v/>
      </c>
      <c r="X68" s="34" t="n"/>
    </row>
    <row r="69" ht="22" customHeight="1">
      <c r="B69" s="5" t="n">
        <v>65</v>
      </c>
      <c r="C69" s="14" t="inlineStr">
        <is>
          <t>Kénitra</t>
        </is>
      </c>
      <c r="D69" s="5" t="inlineStr">
        <is>
          <t>AMEUR SAFLIA</t>
        </is>
      </c>
      <c r="E69" s="5" t="inlineStr">
        <is>
          <t>50-23</t>
        </is>
      </c>
      <c r="F69" s="5" t="inlineStr">
        <is>
          <t>Entretien et réparation du réseau d'assainissement et de drainage</t>
        </is>
      </c>
      <c r="G69" s="5" t="inlineStr">
        <is>
          <t>Travaux de curage des canaux en terre</t>
        </is>
      </c>
      <c r="H69" s="5" t="inlineStr">
        <is>
          <t>Curage des canaux d'assainissement amontTtiflt Sebou,</t>
        </is>
      </c>
      <c r="I69" s="7" t="n">
        <v>1000000</v>
      </c>
      <c r="J69" s="8" t="inlineStr">
        <is>
          <t>ml</t>
        </is>
      </c>
      <c r="K69" s="9" t="n">
        <v>500</v>
      </c>
      <c r="L69" s="51" t="n"/>
      <c r="M69" s="52">
        <f>'S25'!M69+L69</f>
        <v/>
      </c>
      <c r="N69" s="53">
        <f>IFERROR(M69/K69,0)</f>
        <v/>
      </c>
      <c r="O69" s="54">
        <f>'S25'!N69</f>
        <v/>
      </c>
      <c r="P69" s="53">
        <f>N69-O69</f>
        <v/>
      </c>
      <c r="Q69" s="32" t="n"/>
      <c r="R69" s="32" t="n"/>
      <c r="S69" s="32" t="n"/>
      <c r="T69" s="55" t="n"/>
      <c r="U69" s="54">
        <f>'S25'!T69</f>
        <v/>
      </c>
      <c r="V69" s="53">
        <f>T69-U69</f>
        <v/>
      </c>
      <c r="W69" s="53">
        <f>N69-T69</f>
        <v/>
      </c>
      <c r="X69" s="34" t="n"/>
    </row>
    <row r="70" ht="22" customHeight="1">
      <c r="B70" s="10" t="n">
        <v>66</v>
      </c>
      <c r="C70" s="14" t="inlineStr">
        <is>
          <t>Kénitra</t>
        </is>
      </c>
      <c r="D70" s="10" t="inlineStr">
        <is>
          <t>Oulad SLAMA</t>
        </is>
      </c>
      <c r="E70" s="10" t="inlineStr">
        <is>
          <t>50-23</t>
        </is>
      </c>
      <c r="F70" s="10" t="inlineStr">
        <is>
          <t>Entretien et réparation du réseau d'assainissement et de drainage</t>
        </is>
      </c>
      <c r="G70" s="10" t="inlineStr">
        <is>
          <t>Travaux de curage des canaux en terre</t>
        </is>
      </c>
      <c r="H70" s="10" t="inlineStr">
        <is>
          <t>Curage des canaux d'assainissement debouche Tiflt aval,</t>
        </is>
      </c>
      <c r="I70" s="11" t="n">
        <v>1000000</v>
      </c>
      <c r="J70" s="12" t="inlineStr">
        <is>
          <t>ml</t>
        </is>
      </c>
      <c r="K70" s="13" t="n">
        <v>500</v>
      </c>
      <c r="L70" s="51" t="n"/>
      <c r="M70" s="56">
        <f>'S25'!M70+L70</f>
        <v/>
      </c>
      <c r="N70" s="57">
        <f>IFERROR(M70/K70,0)</f>
        <v/>
      </c>
      <c r="O70" s="58">
        <f>'S25'!N70</f>
        <v/>
      </c>
      <c r="P70" s="57">
        <f>N70-O70</f>
        <v/>
      </c>
      <c r="Q70" s="32" t="n"/>
      <c r="R70" s="32" t="n"/>
      <c r="S70" s="32" t="n"/>
      <c r="T70" s="55" t="n"/>
      <c r="U70" s="58">
        <f>'S25'!T70</f>
        <v/>
      </c>
      <c r="V70" s="57">
        <f>T70-U70</f>
        <v/>
      </c>
      <c r="W70" s="57">
        <f>N70-T70</f>
        <v/>
      </c>
      <c r="X70" s="34" t="n"/>
    </row>
    <row r="71" ht="22" customHeight="1">
      <c r="B71" s="5" t="n">
        <v>67</v>
      </c>
      <c r="C71" s="14" t="inlineStr">
        <is>
          <t>Kénitra</t>
        </is>
      </c>
      <c r="D71" s="5" t="inlineStr">
        <is>
          <t>BHARA Oulad AYAD</t>
        </is>
      </c>
      <c r="E71" s="5" t="inlineStr">
        <is>
          <t>50-23</t>
        </is>
      </c>
      <c r="F71" s="5" t="inlineStr">
        <is>
          <t>Entretien et réparation du réseau d'assainissement et de drainage</t>
        </is>
      </c>
      <c r="G71" s="5" t="inlineStr">
        <is>
          <t>Travaux de curage des canaux en terre</t>
        </is>
      </c>
      <c r="H71" s="5" t="inlineStr">
        <is>
          <t>Curage des canaux d'assainissement canal nador bas et haut segmet,</t>
        </is>
      </c>
      <c r="I71" s="7" t="n">
        <v>6600000</v>
      </c>
      <c r="J71" s="8" t="inlineStr">
        <is>
          <t>ml</t>
        </is>
      </c>
      <c r="K71" s="9" t="n">
        <v>3300</v>
      </c>
      <c r="L71" s="51" t="n"/>
      <c r="M71" s="52">
        <f>'S25'!M71+L71</f>
        <v/>
      </c>
      <c r="N71" s="53">
        <f>IFERROR(M71/K71,0)</f>
        <v/>
      </c>
      <c r="O71" s="54">
        <f>'S25'!N71</f>
        <v/>
      </c>
      <c r="P71" s="53">
        <f>N71-O71</f>
        <v/>
      </c>
      <c r="Q71" s="32" t="n"/>
      <c r="R71" s="32" t="n"/>
      <c r="S71" s="32" t="n"/>
      <c r="T71" s="55" t="n"/>
      <c r="U71" s="54">
        <f>'S25'!T71</f>
        <v/>
      </c>
      <c r="V71" s="53">
        <f>T71-U71</f>
        <v/>
      </c>
      <c r="W71" s="53">
        <f>N71-T71</f>
        <v/>
      </c>
      <c r="X71" s="34" t="n"/>
    </row>
    <row r="72" ht="22" customHeight="1">
      <c r="B72" s="10" t="n">
        <v>68</v>
      </c>
      <c r="C72" s="15" t="inlineStr">
        <is>
          <t>Sidi Slimane</t>
        </is>
      </c>
      <c r="D72" s="10" t="inlineStr">
        <is>
          <t>OULED HCEINE</t>
        </is>
      </c>
      <c r="E72" s="10" t="inlineStr">
        <is>
          <t>50-23</t>
        </is>
      </c>
      <c r="F72" s="10" t="inlineStr">
        <is>
          <t>Entretien et réparation du réseau d'assainissement et de drainage</t>
        </is>
      </c>
      <c r="G72" s="10" t="inlineStr">
        <is>
          <t>Travaux de curage des canaux en terre</t>
        </is>
      </c>
      <c r="H72" s="10" t="inlineStr">
        <is>
          <t>Curage des collecteurs d'assainissement du secteur EST4.</t>
        </is>
      </c>
      <c r="I72" s="11" t="n">
        <v>1805475</v>
      </c>
      <c r="J72" s="12" t="inlineStr">
        <is>
          <t>ml</t>
        </is>
      </c>
      <c r="K72" s="13" t="n">
        <v>903</v>
      </c>
      <c r="L72" s="51" t="n"/>
      <c r="M72" s="56">
        <f>'S25'!M72+L72</f>
        <v/>
      </c>
      <c r="N72" s="57">
        <f>IFERROR(M72/K72,0)</f>
        <v/>
      </c>
      <c r="O72" s="58">
        <f>'S25'!N72</f>
        <v/>
      </c>
      <c r="P72" s="57">
        <f>N72-O72</f>
        <v/>
      </c>
      <c r="Q72" s="32" t="n"/>
      <c r="R72" s="32" t="n"/>
      <c r="S72" s="32" t="n"/>
      <c r="T72" s="55" t="n"/>
      <c r="U72" s="58">
        <f>'S25'!T72</f>
        <v/>
      </c>
      <c r="V72" s="57">
        <f>T72-U72</f>
        <v/>
      </c>
      <c r="W72" s="57">
        <f>N72-T72</f>
        <v/>
      </c>
      <c r="X72" s="34" t="n"/>
    </row>
    <row r="73" ht="22" customHeight="1">
      <c r="B73" s="5" t="n">
        <v>69</v>
      </c>
      <c r="C73" s="15" t="inlineStr">
        <is>
          <t>Sidi Slimane</t>
        </is>
      </c>
      <c r="D73" s="5" t="inlineStr">
        <is>
          <t>OULED HCEINE</t>
        </is>
      </c>
      <c r="E73" s="5" t="inlineStr">
        <is>
          <t>50-23</t>
        </is>
      </c>
      <c r="F73" s="5" t="inlineStr">
        <is>
          <t>Entretien et réparation du réseau d'assainissement et de drainage</t>
        </is>
      </c>
      <c r="G73" s="5" t="inlineStr">
        <is>
          <t>Travaux de curage des canaux en terre</t>
        </is>
      </c>
      <c r="H73" s="5" t="inlineStr">
        <is>
          <t>Curage du canal d'assainissement Tihli central.</t>
        </is>
      </c>
      <c r="I73" s="7" t="n">
        <v>2587200</v>
      </c>
      <c r="J73" s="8" t="inlineStr">
        <is>
          <t>ml</t>
        </is>
      </c>
      <c r="K73" s="9" t="n">
        <v>1294</v>
      </c>
      <c r="L73" s="51" t="n"/>
      <c r="M73" s="52">
        <f>'S25'!M73+L73</f>
        <v/>
      </c>
      <c r="N73" s="53">
        <f>IFERROR(M73/K73,0)</f>
        <v/>
      </c>
      <c r="O73" s="54">
        <f>'S25'!N73</f>
        <v/>
      </c>
      <c r="P73" s="53">
        <f>N73-O73</f>
        <v/>
      </c>
      <c r="Q73" s="32" t="n"/>
      <c r="R73" s="32" t="n"/>
      <c r="S73" s="32" t="n"/>
      <c r="T73" s="55" t="n"/>
      <c r="U73" s="54">
        <f>'S25'!T73</f>
        <v/>
      </c>
      <c r="V73" s="53">
        <f>T73-U73</f>
        <v/>
      </c>
      <c r="W73" s="53">
        <f>N73-T73</f>
        <v/>
      </c>
      <c r="X73" s="34" t="n"/>
    </row>
    <row r="74" ht="22" customHeight="1">
      <c r="B74" s="10" t="n">
        <v>70</v>
      </c>
      <c r="C74" s="15" t="inlineStr">
        <is>
          <t>Sidi Slimane</t>
        </is>
      </c>
      <c r="D74" s="10" t="inlineStr">
        <is>
          <t>OULED HCEINE</t>
        </is>
      </c>
      <c r="E74" s="10" t="inlineStr">
        <is>
          <t>40-21</t>
        </is>
      </c>
      <c r="F74" s="10" t="inlineStr">
        <is>
          <t>Travaux de pistes</t>
        </is>
      </c>
      <c r="G74" s="10" t="inlineStr">
        <is>
          <t>Travaux de réhabilitation des pistes agricoles</t>
        </is>
      </c>
      <c r="H74" s="10" t="inlineStr">
        <is>
          <t>Entretien des pistes agricoles</t>
        </is>
      </c>
      <c r="I74" s="11" t="n">
        <v>3500000</v>
      </c>
      <c r="J74" s="12" t="inlineStr">
        <is>
          <t>km</t>
        </is>
      </c>
      <c r="K74" s="13" t="n">
        <v>7</v>
      </c>
      <c r="L74" s="51" t="n"/>
      <c r="M74" s="56">
        <f>'S25'!M74+L74</f>
        <v/>
      </c>
      <c r="N74" s="57">
        <f>IFERROR(M74/K74,0)</f>
        <v/>
      </c>
      <c r="O74" s="58">
        <f>'S25'!N74</f>
        <v/>
      </c>
      <c r="P74" s="57">
        <f>N74-O74</f>
        <v/>
      </c>
      <c r="Q74" s="32" t="n"/>
      <c r="R74" s="32" t="n"/>
      <c r="S74" s="32" t="n"/>
      <c r="T74" s="55" t="n"/>
      <c r="U74" s="58">
        <f>'S25'!T74</f>
        <v/>
      </c>
      <c r="V74" s="57">
        <f>T74-U74</f>
        <v/>
      </c>
      <c r="W74" s="57">
        <f>N74-T74</f>
        <v/>
      </c>
      <c r="X74" s="34" t="n"/>
    </row>
    <row r="75" ht="22" customHeight="1">
      <c r="B75" s="5" t="n">
        <v>71</v>
      </c>
      <c r="C75" s="15" t="inlineStr">
        <is>
          <t>Sidi Slimane</t>
        </is>
      </c>
      <c r="D75" s="5" t="inlineStr">
        <is>
          <t>OULED HCEINE</t>
        </is>
      </c>
      <c r="E75" s="5" t="inlineStr">
        <is>
          <t>50-21</t>
        </is>
      </c>
      <c r="F75" s="5" t="inlineStr">
        <is>
          <t>Entretien et réparation des stations de pompage</t>
        </is>
      </c>
      <c r="G75" s="5" t="inlineStr">
        <is>
          <t>Travaux de réparation des équipements hydromécaniques et éléctriques et entretien de la partie génie civil des stations de pompage.</t>
        </is>
      </c>
      <c r="H75" s="5" t="inlineStr">
        <is>
          <t>Démontage et expertise des roues des  pompes principaux et pompes a vide de la station EST4 et P11/2.
Changement des roulements, tresses et organes d’effectués de la station EST4 et P11/2
Changement deux débitmètre Ø 1200 mm de la station EST4 et un débimétre de la station P11/2.
Changement des capteurs de niveau inondés.
Révision et réparation des moteurs des vannes motorisées inondées.
changement de six contrôleurs de débits DW181 inondés.
Un capteur de débitmètre inondé nécessitent un diagnostic VEGASON  .
Entretien de l'éclairage du local de vide et bâche d’aspiration inondé de la station EST4 et la partie de l’éclairage du local des pompes inondées de la station P11/2.
Pose de gabions et recouvrement du talus par matelas Reno des stations de pompage P11/2</t>
        </is>
      </c>
      <c r="I75" s="7" t="n">
        <v>870000</v>
      </c>
      <c r="J75" s="8" t="inlineStr">
        <is>
          <t>U</t>
        </is>
      </c>
      <c r="K75" s="9" t="n">
        <v>4</v>
      </c>
      <c r="L75" s="51" t="n"/>
      <c r="M75" s="52">
        <f>'S25'!M75+L75</f>
        <v/>
      </c>
      <c r="N75" s="53">
        <f>IFERROR(M75/K75,0)</f>
        <v/>
      </c>
      <c r="O75" s="54">
        <f>'S25'!N75</f>
        <v/>
      </c>
      <c r="P75" s="53">
        <f>N75-O75</f>
        <v/>
      </c>
      <c r="Q75" s="32" t="n"/>
      <c r="R75" s="32" t="n"/>
      <c r="S75" s="32" t="n"/>
      <c r="T75" s="55" t="n"/>
      <c r="U75" s="54">
        <f>'S25'!T75</f>
        <v/>
      </c>
      <c r="V75" s="53">
        <f>T75-U75</f>
        <v/>
      </c>
      <c r="W75" s="53">
        <f>N75-T75</f>
        <v/>
      </c>
      <c r="X75" s="34" t="n"/>
    </row>
    <row r="76" ht="22" customHeight="1">
      <c r="B76" s="10" t="n">
        <v>72</v>
      </c>
      <c r="C76" s="15" t="inlineStr">
        <is>
          <t>Sidi Slimane</t>
        </is>
      </c>
      <c r="D76" s="10" t="inlineStr">
        <is>
          <t>OULED HCEINE</t>
        </is>
      </c>
      <c r="E76" s="10" t="inlineStr">
        <is>
          <t>50-23</t>
        </is>
      </c>
      <c r="F76" s="10" t="inlineStr">
        <is>
          <t>Entretien et réparation du réseau d'assainissement et de drainage</t>
        </is>
      </c>
      <c r="G76" s="10" t="inlineStr">
        <is>
          <t>Travaux de curage des prises des stations de pompage.</t>
        </is>
      </c>
      <c r="H76" s="10" t="inlineStr">
        <is>
          <t>Curage des siphones des station de pompage EST2 et P11/2.</t>
        </is>
      </c>
      <c r="I76" s="11" t="n">
        <v>500000</v>
      </c>
      <c r="J76" s="12" t="inlineStr">
        <is>
          <t>ml</t>
        </is>
      </c>
      <c r="K76" s="13" t="n">
        <v>167</v>
      </c>
      <c r="L76" s="51" t="n"/>
      <c r="M76" s="56">
        <f>'S25'!M76+L76</f>
        <v/>
      </c>
      <c r="N76" s="57">
        <f>IFERROR(M76/K76,0)</f>
        <v/>
      </c>
      <c r="O76" s="58">
        <f>'S25'!N76</f>
        <v/>
      </c>
      <c r="P76" s="57">
        <f>N76-O76</f>
        <v/>
      </c>
      <c r="Q76" s="32" t="n"/>
      <c r="R76" s="32" t="n"/>
      <c r="S76" s="32" t="n"/>
      <c r="T76" s="55" t="n"/>
      <c r="U76" s="58">
        <f>'S25'!T76</f>
        <v/>
      </c>
      <c r="V76" s="57">
        <f>T76-U76</f>
        <v/>
      </c>
      <c r="W76" s="57">
        <f>N76-T76</f>
        <v/>
      </c>
      <c r="X76" s="34" t="n"/>
    </row>
    <row r="77" ht="26" customHeight="1">
      <c r="B77" s="16" t="inlineStr">
        <is>
          <t>TOTAL</t>
        </is>
      </c>
      <c r="C77" s="16" t="n"/>
      <c r="D77" s="16" t="n"/>
      <c r="E77" s="16" t="n"/>
      <c r="F77" s="16" t="n"/>
      <c r="G77" s="16" t="n"/>
      <c r="H77" s="16" t="n"/>
      <c r="I77" s="17">
        <f>SUM(I5:I76)</f>
        <v/>
      </c>
      <c r="J77" s="16" t="n"/>
      <c r="K77" s="16" t="n"/>
      <c r="L77" s="59">
        <f>SUM(L5:L76)</f>
        <v/>
      </c>
      <c r="M77" s="59">
        <f>SUM(M5:M76)</f>
        <v/>
      </c>
      <c r="N77" s="60">
        <f>IFERROR(SUMPRODUCT(N5:N76,I5:I76)/I77,0)</f>
        <v/>
      </c>
      <c r="O77" s="60">
        <f>IFERROR(SUMPRODUCT(O5:O76,I5:I76)/I77,0)</f>
        <v/>
      </c>
      <c r="P77" s="60">
        <f>N77-O77</f>
        <v/>
      </c>
      <c r="Q77" s="17">
        <f>SUM(Q5:Q76)</f>
        <v/>
      </c>
      <c r="R77" s="17">
        <f>SUM(R5:R76)</f>
        <v/>
      </c>
      <c r="S77" s="17">
        <f>SUM(S5:S76)</f>
        <v/>
      </c>
      <c r="T77" s="60">
        <f>IFERROR(SUMPRODUCT(T5:T76,I5:I76)/I77,0)</f>
        <v/>
      </c>
      <c r="U77" s="60">
        <f>IFERROR(SUMPRODUCT(U5:U76,I5:I76)/I77,0)</f>
        <v/>
      </c>
      <c r="V77" s="60">
        <f>T77-U77</f>
        <v/>
      </c>
      <c r="W77" s="60">
        <f>N77-T77</f>
        <v/>
      </c>
      <c r="X77" s="16" t="n"/>
    </row>
  </sheetData>
  <sheetProtection selectLockedCells="0" selectUnlockedCells="0" sheet="1" objects="0" insertRows="1" insertHyperlinks="1" autoFilter="1" scenarios="0" formatColumns="1" deleteColumns="1" insertColumns="1" pivotTables="1" deleteRows="1" formatCells="1" formatRows="1" sort="1" password="CBBE"/>
  <mergeCells count="6">
    <mergeCell ref="E3:I3"/>
    <mergeCell ref="W3:X3"/>
    <mergeCell ref="J3:P3"/>
    <mergeCell ref="B2:X2"/>
    <mergeCell ref="C3:D3"/>
    <mergeCell ref="Q3:V3"/>
  </mergeCells>
  <conditionalFormatting sqref="P5:P76">
    <cfRule type="cellIs" priority="1" operator="greaterThan" dxfId="0">
      <formula>0</formula>
    </cfRule>
    <cfRule type="cellIs" priority="2" operator="lessThan" dxfId="1">
      <formula>0</formula>
    </cfRule>
  </conditionalFormatting>
  <conditionalFormatting sqref="V5:V76">
    <cfRule type="cellIs" priority="3" operator="greaterThan" dxfId="0">
      <formula>0</formula>
    </cfRule>
    <cfRule type="cellIs" priority="4" operator="lessThan" dxfId="1">
      <formula>0</formula>
    </cfRule>
  </conditionalFormatting>
  <conditionalFormatting sqref="W5:W76">
    <cfRule type="cellIs" priority="5" operator="greaterThan" dxfId="0">
      <formula>0.05</formula>
    </cfRule>
    <cfRule type="cellIs" priority="6" operator="lessThan" dxfId="1">
      <formula>-0.05</formula>
    </cfRule>
    <cfRule type="cellIs" priority="7" operator="between" dxfId="2">
      <formula>-0.05</formula>
      <formula>0.05</formula>
    </cfRule>
  </conditionalFormatting>
  <conditionalFormatting sqref="N5:N76">
    <cfRule type="dataBar" priority="8">
      <dataBar showValue="1">
        <cfvo type="num" val="0"/>
        <cfvo type="num" val="1"/>
        <color rgb="001B7D46"/>
      </dataBar>
    </cfRule>
  </conditionalFormatting>
  <conditionalFormatting sqref="T5:T76">
    <cfRule type="dataBar" priority="9">
      <dataBar showValue="1">
        <cfvo type="num" val="0"/>
        <cfvo type="num" val="1"/>
        <color rgb="00D4820A"/>
      </dataBar>
    </cfRule>
  </conditionalFormatting>
  <dataValidations count="2">
    <dataValidation sqref="T5:T76" showDropDown="0" showInputMessage="0" showErrorMessage="0" allowBlank="1" errorTitle="Invalide" error="Valeur entre 0% et 100%" promptTitle="Avancement %" prompt="Entrez 0.25 pour 25%" type="decimal" operator="between">
      <formula1>0</formula1>
      <formula2>1</formula2>
    </dataValidation>
    <dataValidation sqref="L5:L76" showDropDown="0" showInputMessage="0" showErrorMessage="0" allowBlank="1" errorTitle="Invalide" error="Quantité doit être &gt;= 0" promptTitle="Qté Réalisée" prompt="Entrez la quantité réalisée cette semaine" type="decimal" operator="greaterThanOrEqual">
      <formula1>0</formula1>
    </dataValidation>
  </dataValidations>
  <pageMargins left="0.75" right="0.75" top="1" bottom="1" header="0.5" footer="0.5"/>
</worksheet>
</file>

<file path=xl/worksheets/sheet7.xml><?xml version="1.0" encoding="utf-8"?>
<worksheet xmlns="http://schemas.openxmlformats.org/spreadsheetml/2006/main">
  <sheetPr>
    <tabColor rgb="00ED7D31"/>
    <outlinePr summaryBelow="1" summaryRight="1"/>
    <pageSetUpPr/>
  </sheetPr>
  <dimension ref="B2:X77"/>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5" customWidth="1" min="2" max="2"/>
    <col width="14" customWidth="1" min="3" max="3"/>
    <col width="18" customWidth="1" min="4" max="4"/>
    <col width="9" customWidth="1" min="5" max="5"/>
    <col width="32" customWidth="1" min="6" max="6"/>
    <col width="28" customWidth="1" min="7" max="7"/>
    <col width="34" customWidth="1" min="8" max="8"/>
    <col width="14" customWidth="1" min="9" max="9"/>
    <col width="8" customWidth="1" min="10" max="10"/>
    <col width="12" customWidth="1" min="11" max="11"/>
    <col width="14" customWidth="1" min="12" max="12"/>
    <col width="14" customWidth="1" min="13" max="13"/>
    <col width="14" customWidth="1" min="14" max="14"/>
    <col width="14" customWidth="1" min="15" max="15"/>
    <col width="14" customWidth="1" min="16" max="16"/>
    <col width="16" customWidth="1" min="17" max="17"/>
    <col width="16" customWidth="1" min="18" max="18"/>
    <col width="16" customWidth="1" min="19" max="19"/>
    <col width="14" customWidth="1" min="20" max="20"/>
    <col width="14" customWidth="1" min="21" max="21"/>
    <col width="14" customWidth="1" min="22" max="22"/>
    <col width="14" customWidth="1" min="23" max="23"/>
    <col width="24" customWidth="1" min="24" max="24"/>
  </cols>
  <sheetData>
    <row r="1" ht="15" customHeight="1"/>
    <row r="2" ht="32" customHeight="1">
      <c r="B2" s="1" t="inlineStr">
        <is>
          <t>Suivi Hebdomadaire - Semaine 27 (29/06 - 05/07) — Juin 2026 - Exécution Physique et Financière</t>
        </is>
      </c>
    </row>
    <row r="3" ht="22" customHeight="1">
      <c r="B3" s="20" t="inlineStr">
        <is>
          <t>Date :</t>
        </is>
      </c>
      <c r="C3" s="49" t="n">
        <v>46202</v>
      </c>
      <c r="D3" s="50" t="n"/>
      <c r="E3" s="22" t="inlineStr">
        <is>
          <t>IDENTIFICATION</t>
        </is>
      </c>
      <c r="J3" s="23" t="inlineStr">
        <is>
          <t>INDICATEURS PHYSIQUES</t>
        </is>
      </c>
      <c r="Q3" s="24" t="inlineStr">
        <is>
          <t>INDICATEURS FINANCIERS</t>
        </is>
      </c>
      <c r="W3" s="25" t="inlineStr">
        <is>
          <t>SYNTHÈSE</t>
        </is>
      </c>
    </row>
    <row r="4" ht="28" customHeight="1">
      <c r="B4" s="4" t="inlineStr">
        <is>
          <t>N°</t>
        </is>
      </c>
      <c r="C4" s="4" t="inlineStr">
        <is>
          <t>Province</t>
        </is>
      </c>
      <c r="D4" s="4" t="inlineStr">
        <is>
          <t>Commune</t>
        </is>
      </c>
      <c r="E4" s="4" t="inlineStr">
        <is>
          <t>Rubrique</t>
        </is>
      </c>
      <c r="F4" s="4" t="inlineStr">
        <is>
          <t>Intitulé Rubrique</t>
        </is>
      </c>
      <c r="G4" s="4" t="inlineStr">
        <is>
          <t>Projet</t>
        </is>
      </c>
      <c r="H4" s="4" t="inlineStr">
        <is>
          <t>Consistance</t>
        </is>
      </c>
      <c r="I4" s="4" t="inlineStr">
        <is>
          <t>Coût Total (DH)</t>
        </is>
      </c>
      <c r="J4" s="26" t="inlineStr">
        <is>
          <t>Unité</t>
        </is>
      </c>
      <c r="K4" s="26" t="inlineStr">
        <is>
          <t>Qté Prévue</t>
        </is>
      </c>
      <c r="L4" s="26" t="inlineStr">
        <is>
          <t>Qté Réalisée Sem.</t>
        </is>
      </c>
      <c r="M4" s="26" t="inlineStr">
        <is>
          <t>Qté Réalisée Cumul</t>
        </is>
      </c>
      <c r="N4" s="26" t="inlineStr">
        <is>
          <t>Avancement Physique %</t>
        </is>
      </c>
      <c r="O4" s="26" t="inlineStr">
        <is>
          <t>% Phys. Sem. Préc.</t>
        </is>
      </c>
      <c r="P4" s="26" t="inlineStr">
        <is>
          <t>Accroissement Phys. %</t>
        </is>
      </c>
      <c r="Q4" s="27" t="inlineStr">
        <is>
          <t>Montant Décaissé (DH)</t>
        </is>
      </c>
      <c r="R4" s="27" t="inlineStr">
        <is>
          <t>Montant Payé (DH)</t>
        </is>
      </c>
      <c r="S4" s="27" t="inlineStr">
        <is>
          <t>Montant Ordonné (DH)</t>
        </is>
      </c>
      <c r="T4" s="27" t="inlineStr">
        <is>
          <t>Avancement Financier %</t>
        </is>
      </c>
      <c r="U4" s="27" t="inlineStr">
        <is>
          <t>% Fin. Sem. Préc.</t>
        </is>
      </c>
      <c r="V4" s="27" t="inlineStr">
        <is>
          <t>Accroissement Fin. %</t>
        </is>
      </c>
      <c r="W4" s="28" t="inlineStr">
        <is>
          <t>Écart Phys.-Fin.</t>
        </is>
      </c>
      <c r="X4" s="28" t="inlineStr">
        <is>
          <t>Observations</t>
        </is>
      </c>
    </row>
    <row r="5" ht="22" customHeight="1">
      <c r="B5" s="5" t="n">
        <v>1</v>
      </c>
      <c r="C5" s="6" t="inlineStr">
        <is>
          <t>Sidi Kacem</t>
        </is>
      </c>
      <c r="D5" s="5" t="inlineStr">
        <is>
          <t>KHENICHET</t>
        </is>
      </c>
      <c r="E5" s="5" t="inlineStr">
        <is>
          <t>50-23</t>
        </is>
      </c>
      <c r="F5" s="5" t="inlineStr">
        <is>
          <t>Entretien et réparation du réseau d'assainissement et de drainage</t>
        </is>
      </c>
      <c r="G5" s="5" t="inlineStr">
        <is>
          <t>Travaux de curage des canaux en terre</t>
        </is>
      </c>
      <c r="H5" s="5" t="inlineStr">
        <is>
          <t>Curage des collecteurs d'assainissement du secteur EST2</t>
        </is>
      </c>
      <c r="I5" s="7" t="n">
        <v>2091568</v>
      </c>
      <c r="J5" s="8" t="inlineStr">
        <is>
          <t>ml</t>
        </is>
      </c>
      <c r="K5" s="9" t="n">
        <v>1046</v>
      </c>
      <c r="L5" s="51" t="n"/>
      <c r="M5" s="52">
        <f>'S26'!M5+L5</f>
        <v/>
      </c>
      <c r="N5" s="53">
        <f>IFERROR(M5/K5,0)</f>
        <v/>
      </c>
      <c r="O5" s="54">
        <f>'S26'!N5</f>
        <v/>
      </c>
      <c r="P5" s="53">
        <f>N5-O5</f>
        <v/>
      </c>
      <c r="Q5" s="32" t="n"/>
      <c r="R5" s="32" t="n"/>
      <c r="S5" s="32" t="n"/>
      <c r="T5" s="55" t="n"/>
      <c r="U5" s="54">
        <f>'S26'!T5</f>
        <v/>
      </c>
      <c r="V5" s="53">
        <f>T5-U5</f>
        <v/>
      </c>
      <c r="W5" s="53">
        <f>N5-T5</f>
        <v/>
      </c>
      <c r="X5" s="34" t="n"/>
    </row>
    <row r="6" ht="22" customHeight="1">
      <c r="B6" s="10" t="n">
        <v>2</v>
      </c>
      <c r="C6" s="6" t="inlineStr">
        <is>
          <t>Sidi Kacem</t>
        </is>
      </c>
      <c r="D6" s="10" t="inlineStr">
        <is>
          <t>KHENICHET</t>
        </is>
      </c>
      <c r="E6" s="10" t="inlineStr">
        <is>
          <t>40-21</t>
        </is>
      </c>
      <c r="F6" s="10" t="inlineStr">
        <is>
          <t>Travaux de pistes</t>
        </is>
      </c>
      <c r="G6" s="10" t="inlineStr">
        <is>
          <t>Travaux de réhabilitation des pistes agricoles</t>
        </is>
      </c>
      <c r="H6" s="10" t="inlineStr">
        <is>
          <t>Entretien des pistes agricoles Douar Nouagra et Douar ouled Salem</t>
        </is>
      </c>
      <c r="I6" s="11" t="n">
        <v>78000</v>
      </c>
      <c r="J6" s="12" t="inlineStr">
        <is>
          <t>km</t>
        </is>
      </c>
      <c r="K6" s="13" t="n">
        <v>1</v>
      </c>
      <c r="L6" s="51" t="n"/>
      <c r="M6" s="56">
        <f>'S26'!M6+L6</f>
        <v/>
      </c>
      <c r="N6" s="57">
        <f>IFERROR(M6/K6,0)</f>
        <v/>
      </c>
      <c r="O6" s="58">
        <f>'S26'!N6</f>
        <v/>
      </c>
      <c r="P6" s="57">
        <f>N6-O6</f>
        <v/>
      </c>
      <c r="Q6" s="32" t="n"/>
      <c r="R6" s="32" t="n"/>
      <c r="S6" s="32" t="n"/>
      <c r="T6" s="55" t="n"/>
      <c r="U6" s="58">
        <f>'S26'!T6</f>
        <v/>
      </c>
      <c r="V6" s="57">
        <f>T6-U6</f>
        <v/>
      </c>
      <c r="W6" s="57">
        <f>N6-T6</f>
        <v/>
      </c>
      <c r="X6" s="34" t="n"/>
    </row>
    <row r="7" ht="22" customHeight="1">
      <c r="B7" s="5" t="n">
        <v>3</v>
      </c>
      <c r="C7" s="6" t="inlineStr">
        <is>
          <t>Sidi Kacem</t>
        </is>
      </c>
      <c r="D7" s="5" t="inlineStr">
        <is>
          <t>KHENICHET</t>
        </is>
      </c>
      <c r="E7" s="5" t="inlineStr">
        <is>
          <t>50-23</t>
        </is>
      </c>
      <c r="F7" s="5" t="inlineStr">
        <is>
          <t>Entretien et réparation du réseau d'assainissement et de drainage</t>
        </is>
      </c>
      <c r="G7" s="5" t="inlineStr">
        <is>
          <t>Curage des prises sur l’oued, bâche d’aspiration et bassin de régulation.</t>
        </is>
      </c>
      <c r="H7" s="5" t="inlineStr">
        <is>
          <t>Curage de la chambre des joints de démontage des siphonnes  de la station de pompage EST2.</t>
        </is>
      </c>
      <c r="I7" s="7" t="n">
        <v>126000</v>
      </c>
      <c r="J7" s="8" t="inlineStr">
        <is>
          <t>ml</t>
        </is>
      </c>
      <c r="K7" s="9" t="n">
        <v>42</v>
      </c>
      <c r="L7" s="51" t="n"/>
      <c r="M7" s="52">
        <f>'S26'!M7+L7</f>
        <v/>
      </c>
      <c r="N7" s="53">
        <f>IFERROR(M7/K7,0)</f>
        <v/>
      </c>
      <c r="O7" s="54">
        <f>'S26'!N7</f>
        <v/>
      </c>
      <c r="P7" s="53">
        <f>N7-O7</f>
        <v/>
      </c>
      <c r="Q7" s="32" t="n"/>
      <c r="R7" s="32" t="n"/>
      <c r="S7" s="32" t="n"/>
      <c r="T7" s="55" t="n"/>
      <c r="U7" s="54">
        <f>'S26'!T7</f>
        <v/>
      </c>
      <c r="V7" s="53">
        <f>T7-U7</f>
        <v/>
      </c>
      <c r="W7" s="53">
        <f>N7-T7</f>
        <v/>
      </c>
      <c r="X7" s="34" t="n"/>
    </row>
    <row r="8" ht="22" customHeight="1">
      <c r="B8" s="10" t="n">
        <v>4</v>
      </c>
      <c r="C8" s="6" t="inlineStr">
        <is>
          <t>Sidi Kacem</t>
        </is>
      </c>
      <c r="D8" s="10" t="inlineStr">
        <is>
          <t>KHENICHET</t>
        </is>
      </c>
      <c r="E8" s="10" t="inlineStr">
        <is>
          <t>50-21</t>
        </is>
      </c>
      <c r="F8" s="10" t="inlineStr">
        <is>
          <t>Entretien et réparation des stations de pompage</t>
        </is>
      </c>
      <c r="G8" s="10" t="inlineStr">
        <is>
          <t>Prestation de maintenance des débitmètres et leurs équipements annexes installés au niveau des station de pompage</t>
        </is>
      </c>
      <c r="H8" s="10" t="inlineStr">
        <is>
          <t>Changement trois débitmètre Ø 600mm inondés de la station de pompage EST 2 et deux capteurs VEGASON 62</t>
        </is>
      </c>
      <c r="I8" s="11" t="n">
        <v>165500</v>
      </c>
      <c r="J8" s="12" t="inlineStr">
        <is>
          <t>U</t>
        </is>
      </c>
      <c r="K8" s="13" t="n">
        <v>3</v>
      </c>
      <c r="L8" s="51" t="n"/>
      <c r="M8" s="56">
        <f>'S26'!M8+L8</f>
        <v/>
      </c>
      <c r="N8" s="57">
        <f>IFERROR(M8/K8,0)</f>
        <v/>
      </c>
      <c r="O8" s="58">
        <f>'S26'!N8</f>
        <v/>
      </c>
      <c r="P8" s="57">
        <f>N8-O8</f>
        <v/>
      </c>
      <c r="Q8" s="32" t="n"/>
      <c r="R8" s="32" t="n"/>
      <c r="S8" s="32" t="n"/>
      <c r="T8" s="55" t="n"/>
      <c r="U8" s="58">
        <f>'S26'!T8</f>
        <v/>
      </c>
      <c r="V8" s="57">
        <f>T8-U8</f>
        <v/>
      </c>
      <c r="W8" s="57">
        <f>N8-T8</f>
        <v/>
      </c>
      <c r="X8" s="34" t="n"/>
    </row>
    <row r="9" ht="22" customHeight="1">
      <c r="B9" s="5" t="n">
        <v>5</v>
      </c>
      <c r="C9" s="6" t="inlineStr">
        <is>
          <t>Sidi Kacem</t>
        </is>
      </c>
      <c r="D9" s="5" t="inlineStr">
        <is>
          <t>BIR TALEB</t>
        </is>
      </c>
      <c r="E9" s="5" t="inlineStr">
        <is>
          <t>50-23</t>
        </is>
      </c>
      <c r="F9" s="5" t="inlineStr">
        <is>
          <t>Entretien et réparation du réseau d'assainissement et de drainage</t>
        </is>
      </c>
      <c r="G9" s="5" t="inlineStr">
        <is>
          <t>Travaux de curage des canaux en terre</t>
        </is>
      </c>
      <c r="H9" s="5" t="inlineStr">
        <is>
          <t>Curage du canal d'assainisement Tihli Aval</t>
        </is>
      </c>
      <c r="I9" s="7" t="n">
        <v>1000000</v>
      </c>
      <c r="J9" s="8" t="inlineStr">
        <is>
          <t>ml</t>
        </is>
      </c>
      <c r="K9" s="9" t="n">
        <v>500</v>
      </c>
      <c r="L9" s="51" t="n"/>
      <c r="M9" s="52">
        <f>'S26'!M9+L9</f>
        <v/>
      </c>
      <c r="N9" s="53">
        <f>IFERROR(M9/K9,0)</f>
        <v/>
      </c>
      <c r="O9" s="54">
        <f>'S26'!N9</f>
        <v/>
      </c>
      <c r="P9" s="53">
        <f>N9-O9</f>
        <v/>
      </c>
      <c r="Q9" s="32" t="n"/>
      <c r="R9" s="32" t="n"/>
      <c r="S9" s="32" t="n"/>
      <c r="T9" s="55" t="n"/>
      <c r="U9" s="54">
        <f>'S26'!T9</f>
        <v/>
      </c>
      <c r="V9" s="53">
        <f>T9-U9</f>
        <v/>
      </c>
      <c r="W9" s="53">
        <f>N9-T9</f>
        <v/>
      </c>
      <c r="X9" s="34" t="n"/>
    </row>
    <row r="10" ht="22" customHeight="1">
      <c r="B10" s="10" t="n">
        <v>6</v>
      </c>
      <c r="C10" s="6" t="inlineStr">
        <is>
          <t>Sidi Kacem</t>
        </is>
      </c>
      <c r="D10" s="10" t="inlineStr">
        <is>
          <t>BIR TALEB</t>
        </is>
      </c>
      <c r="E10" s="10" t="inlineStr">
        <is>
          <t>50-23</t>
        </is>
      </c>
      <c r="F10" s="10" t="inlineStr">
        <is>
          <t>Entretien et réparation du réseau d'assainissement et de drainage</t>
        </is>
      </c>
      <c r="G10" s="10" t="inlineStr"/>
      <c r="H10" s="10" t="inlineStr">
        <is>
          <t>Curage des collecteurs d'assainissement du secteur P11/1</t>
        </is>
      </c>
      <c r="I10" s="11" t="n">
        <v>846731</v>
      </c>
      <c r="J10" s="12" t="inlineStr">
        <is>
          <t>ml</t>
        </is>
      </c>
      <c r="K10" s="13" t="n">
        <v>423</v>
      </c>
      <c r="L10" s="51" t="n"/>
      <c r="M10" s="56">
        <f>'S26'!M10+L10</f>
        <v/>
      </c>
      <c r="N10" s="57">
        <f>IFERROR(M10/K10,0)</f>
        <v/>
      </c>
      <c r="O10" s="58">
        <f>'S26'!N10</f>
        <v/>
      </c>
      <c r="P10" s="57">
        <f>N10-O10</f>
        <v/>
      </c>
      <c r="Q10" s="32" t="n"/>
      <c r="R10" s="32" t="n"/>
      <c r="S10" s="32" t="n"/>
      <c r="T10" s="55" t="n"/>
      <c r="U10" s="58">
        <f>'S26'!T10</f>
        <v/>
      </c>
      <c r="V10" s="57">
        <f>T10-U10</f>
        <v/>
      </c>
      <c r="W10" s="57">
        <f>N10-T10</f>
        <v/>
      </c>
      <c r="X10" s="34" t="n"/>
    </row>
    <row r="11" ht="22" customHeight="1">
      <c r="B11" s="5" t="n">
        <v>7</v>
      </c>
      <c r="C11" s="6" t="inlineStr">
        <is>
          <t>Sidi Kacem</t>
        </is>
      </c>
      <c r="D11" s="5" t="inlineStr">
        <is>
          <t>BIR TALEB</t>
        </is>
      </c>
      <c r="E11" s="5" t="inlineStr">
        <is>
          <t>50-23</t>
        </is>
      </c>
      <c r="F11" s="5" t="inlineStr">
        <is>
          <t>Entretien et réparation du réseau d'assainissement et de drainage</t>
        </is>
      </c>
      <c r="G11" s="5" t="inlineStr">
        <is>
          <t>Curage des prises sur l’oued, bâche d’aspiration et bassin de régulation.</t>
        </is>
      </c>
      <c r="H11" s="5" t="inlineStr">
        <is>
          <t>Curage des prises sur l’oued de la station de pompage P11/1.</t>
        </is>
      </c>
      <c r="I11" s="7" t="n">
        <v>200000</v>
      </c>
      <c r="J11" s="8" t="inlineStr">
        <is>
          <t>ml</t>
        </is>
      </c>
      <c r="K11" s="9" t="n">
        <v>67</v>
      </c>
      <c r="L11" s="51" t="n"/>
      <c r="M11" s="52">
        <f>'S26'!M11+L11</f>
        <v/>
      </c>
      <c r="N11" s="53">
        <f>IFERROR(M11/K11,0)</f>
        <v/>
      </c>
      <c r="O11" s="54">
        <f>'S26'!N11</f>
        <v/>
      </c>
      <c r="P11" s="53">
        <f>N11-O11</f>
        <v/>
      </c>
      <c r="Q11" s="32" t="n"/>
      <c r="R11" s="32" t="n"/>
      <c r="S11" s="32" t="n"/>
      <c r="T11" s="55" t="n"/>
      <c r="U11" s="54">
        <f>'S26'!T11</f>
        <v/>
      </c>
      <c r="V11" s="53">
        <f>T11-U11</f>
        <v/>
      </c>
      <c r="W11" s="53">
        <f>N11-T11</f>
        <v/>
      </c>
      <c r="X11" s="34" t="n"/>
    </row>
    <row r="12" ht="22" customHeight="1">
      <c r="B12" s="10" t="n">
        <v>8</v>
      </c>
      <c r="C12" s="6" t="inlineStr">
        <is>
          <t>Sidi Kacem</t>
        </is>
      </c>
      <c r="D12" s="10" t="inlineStr">
        <is>
          <t>BIR TALEB</t>
        </is>
      </c>
      <c r="E12" s="10" t="inlineStr">
        <is>
          <t>50-21</t>
        </is>
      </c>
      <c r="F12" s="10" t="inlineStr">
        <is>
          <t>Entretien et réparation des stations de pompage</t>
        </is>
      </c>
      <c r="G12" s="10" t="inlineStr">
        <is>
          <t>Prestation de maintenance des débitmètres et leurs équipements annexes installés au niveau des station de pompage</t>
        </is>
      </c>
      <c r="H12" s="10" t="inlineStr">
        <is>
          <t>Changement trois débitmètre Ø 400mm inondés de la station de pompage P11/1</t>
        </is>
      </c>
      <c r="I12" s="11" t="n">
        <v>141900</v>
      </c>
      <c r="J12" s="12" t="inlineStr">
        <is>
          <t>U</t>
        </is>
      </c>
      <c r="K12" s="13" t="n">
        <v>3</v>
      </c>
      <c r="L12" s="51" t="n"/>
      <c r="M12" s="56">
        <f>'S26'!M12+L12</f>
        <v/>
      </c>
      <c r="N12" s="57">
        <f>IFERROR(M12/K12,0)</f>
        <v/>
      </c>
      <c r="O12" s="58">
        <f>'S26'!N12</f>
        <v/>
      </c>
      <c r="P12" s="57">
        <f>N12-O12</f>
        <v/>
      </c>
      <c r="Q12" s="32" t="n"/>
      <c r="R12" s="32" t="n"/>
      <c r="S12" s="32" t="n"/>
      <c r="T12" s="55" t="n"/>
      <c r="U12" s="58">
        <f>'S26'!T12</f>
        <v/>
      </c>
      <c r="V12" s="57">
        <f>T12-U12</f>
        <v/>
      </c>
      <c r="W12" s="57">
        <f>N12-T12</f>
        <v/>
      </c>
      <c r="X12" s="34" t="n"/>
    </row>
    <row r="13" ht="22" customHeight="1">
      <c r="B13" s="5" t="n">
        <v>9</v>
      </c>
      <c r="C13" s="6" t="inlineStr">
        <is>
          <t>Sidi Kacem</t>
        </is>
      </c>
      <c r="D13" s="5" t="inlineStr">
        <is>
          <t>BIR TALEB</t>
        </is>
      </c>
      <c r="E13" s="5" t="inlineStr">
        <is>
          <t>50-21</t>
        </is>
      </c>
      <c r="F13" s="5" t="inlineStr">
        <is>
          <t>Entretien et réparation des stations de pompage</t>
        </is>
      </c>
      <c r="G13" s="5" t="inlineStr">
        <is>
          <t>Prestations de maintenance et de réparation mécanique des pompes et des groupes motopompes submersibles des stations de pompage.</t>
        </is>
      </c>
      <c r="H13" s="5" t="inlineStr">
        <is>
          <t>Démontage et expertise des roues des  pompes principaux et pompes a vide de la station P11/1
Changement des roulements, tresses et organes d’effectués de la station P11/1</t>
        </is>
      </c>
      <c r="I13" s="7" t="n">
        <v>26700</v>
      </c>
      <c r="J13" s="8" t="inlineStr">
        <is>
          <t>U</t>
        </is>
      </c>
      <c r="K13" s="9" t="n">
        <v>1</v>
      </c>
      <c r="L13" s="51" t="n"/>
      <c r="M13" s="52">
        <f>'S26'!M13+L13</f>
        <v/>
      </c>
      <c r="N13" s="53">
        <f>IFERROR(M13/K13,0)</f>
        <v/>
      </c>
      <c r="O13" s="54">
        <f>'S26'!N13</f>
        <v/>
      </c>
      <c r="P13" s="53">
        <f>N13-O13</f>
        <v/>
      </c>
      <c r="Q13" s="32" t="n"/>
      <c r="R13" s="32" t="n"/>
      <c r="S13" s="32" t="n"/>
      <c r="T13" s="55" t="n"/>
      <c r="U13" s="54">
        <f>'S26'!T13</f>
        <v/>
      </c>
      <c r="V13" s="53">
        <f>T13-U13</f>
        <v/>
      </c>
      <c r="W13" s="53">
        <f>N13-T13</f>
        <v/>
      </c>
      <c r="X13" s="34" t="n"/>
    </row>
    <row r="14" ht="22" customHeight="1">
      <c r="B14" s="10" t="n">
        <v>10</v>
      </c>
      <c r="C14" s="6" t="inlineStr">
        <is>
          <t>Sidi Kacem</t>
        </is>
      </c>
      <c r="D14" s="10" t="inlineStr">
        <is>
          <t>BIR TALEB</t>
        </is>
      </c>
      <c r="E14" s="10" t="inlineStr">
        <is>
          <t>50-21</t>
        </is>
      </c>
      <c r="F14" s="10" t="inlineStr">
        <is>
          <t>Entretien et réparation des stations de pompage</t>
        </is>
      </c>
      <c r="G14" s="10" t="inlineStr">
        <is>
          <t>Stabilisation Berge oued</t>
        </is>
      </c>
      <c r="H14" s="10" t="inlineStr">
        <is>
          <t>Pose de  gabions et recouvrement du talus par matelas Reno des stations de pompage P11/1.</t>
        </is>
      </c>
      <c r="I14" s="11" t="n">
        <v>480000</v>
      </c>
      <c r="J14" s="12" t="inlineStr">
        <is>
          <t>m³</t>
        </is>
      </c>
      <c r="K14" s="13" t="n">
        <v>320</v>
      </c>
      <c r="L14" s="51" t="n"/>
      <c r="M14" s="56">
        <f>'S26'!M14+L14</f>
        <v/>
      </c>
      <c r="N14" s="57">
        <f>IFERROR(M14/K14,0)</f>
        <v/>
      </c>
      <c r="O14" s="58">
        <f>'S26'!N14</f>
        <v/>
      </c>
      <c r="P14" s="57">
        <f>N14-O14</f>
        <v/>
      </c>
      <c r="Q14" s="32" t="n"/>
      <c r="R14" s="32" t="n"/>
      <c r="S14" s="32" t="n"/>
      <c r="T14" s="55" t="n"/>
      <c r="U14" s="58">
        <f>'S26'!T14</f>
        <v/>
      </c>
      <c r="V14" s="57">
        <f>T14-U14</f>
        <v/>
      </c>
      <c r="W14" s="57">
        <f>N14-T14</f>
        <v/>
      </c>
      <c r="X14" s="34" t="n"/>
    </row>
    <row r="15" ht="22" customHeight="1">
      <c r="B15" s="5" t="n">
        <v>11</v>
      </c>
      <c r="C15" s="6" t="inlineStr">
        <is>
          <t>Sidi Kacem</t>
        </is>
      </c>
      <c r="D15" s="5" t="inlineStr">
        <is>
          <t>BIR TALEB</t>
        </is>
      </c>
      <c r="E15" s="5" t="inlineStr">
        <is>
          <t>50-21</t>
        </is>
      </c>
      <c r="F15" s="5" t="inlineStr">
        <is>
          <t>Entretien et réparation des stations de pompage</t>
        </is>
      </c>
      <c r="G15" s="5" t="inlineStr">
        <is>
          <t>Génie civile des locaux des stations de pompage.</t>
        </is>
      </c>
      <c r="H15" s="5" t="inlineStr">
        <is>
          <t>Expertise d’état et d’étanchéité des locaux pompes.
Renforcement d’étanchéité des locaux pompe sous niveau des oueds des stations de pompage P11/1.
Entretien des supports en béton des conduites d’aspiration.</t>
        </is>
      </c>
      <c r="I15" s="7" t="n">
        <v>300000</v>
      </c>
      <c r="J15" s="8" t="inlineStr">
        <is>
          <t>U</t>
        </is>
      </c>
      <c r="K15" s="9" t="n">
        <v>1</v>
      </c>
      <c r="L15" s="51" t="n"/>
      <c r="M15" s="52">
        <f>'S26'!M15+L15</f>
        <v/>
      </c>
      <c r="N15" s="53">
        <f>IFERROR(M15/K15,0)</f>
        <v/>
      </c>
      <c r="O15" s="54">
        <f>'S26'!N15</f>
        <v/>
      </c>
      <c r="P15" s="53">
        <f>N15-O15</f>
        <v/>
      </c>
      <c r="Q15" s="32" t="n"/>
      <c r="R15" s="32" t="n"/>
      <c r="S15" s="32" t="n"/>
      <c r="T15" s="55" t="n"/>
      <c r="U15" s="54">
        <f>'S26'!T15</f>
        <v/>
      </c>
      <c r="V15" s="53">
        <f>T15-U15</f>
        <v/>
      </c>
      <c r="W15" s="53">
        <f>N15-T15</f>
        <v/>
      </c>
      <c r="X15" s="34" t="n"/>
    </row>
    <row r="16" ht="22" customHeight="1">
      <c r="B16" s="10" t="n">
        <v>12</v>
      </c>
      <c r="C16" s="6" t="inlineStr">
        <is>
          <t>Sidi Kacem</t>
        </is>
      </c>
      <c r="D16" s="10" t="inlineStr">
        <is>
          <t>CHEBANAT</t>
        </is>
      </c>
      <c r="E16" s="10" t="inlineStr">
        <is>
          <t>50-23</t>
        </is>
      </c>
      <c r="F16" s="10" t="inlineStr">
        <is>
          <t>Entretien et réparation du réseau d'assainissement et de drainage</t>
        </is>
      </c>
      <c r="G16" s="10" t="inlineStr">
        <is>
          <t>Travaux de curage des canaux en terre</t>
        </is>
      </c>
      <c r="H16" s="10" t="inlineStr">
        <is>
          <t>Curage des collecteurs d'assainissement des secteur SH5 et SH6.</t>
        </is>
      </c>
      <c r="I16" s="11" t="n">
        <v>1000000</v>
      </c>
      <c r="J16" s="12" t="inlineStr">
        <is>
          <t>ml</t>
        </is>
      </c>
      <c r="K16" s="13" t="n">
        <v>500</v>
      </c>
      <c r="L16" s="51" t="n"/>
      <c r="M16" s="56">
        <f>'S26'!M16+L16</f>
        <v/>
      </c>
      <c r="N16" s="57">
        <f>IFERROR(M16/K16,0)</f>
        <v/>
      </c>
      <c r="O16" s="58">
        <f>'S26'!N16</f>
        <v/>
      </c>
      <c r="P16" s="57">
        <f>N16-O16</f>
        <v/>
      </c>
      <c r="Q16" s="32" t="n"/>
      <c r="R16" s="32" t="n"/>
      <c r="S16" s="32" t="n"/>
      <c r="T16" s="55" t="n"/>
      <c r="U16" s="58">
        <f>'S26'!T16</f>
        <v/>
      </c>
      <c r="V16" s="57">
        <f>T16-U16</f>
        <v/>
      </c>
      <c r="W16" s="57">
        <f>N16-T16</f>
        <v/>
      </c>
      <c r="X16" s="34" t="n"/>
    </row>
    <row r="17" ht="22" customHeight="1">
      <c r="B17" s="5" t="n">
        <v>13</v>
      </c>
      <c r="C17" s="6" t="inlineStr">
        <is>
          <t>Sidi Kacem</t>
        </is>
      </c>
      <c r="D17" s="5" t="inlineStr">
        <is>
          <t>CHEBANAT</t>
        </is>
      </c>
      <c r="E17" s="5" t="inlineStr">
        <is>
          <t>50-23</t>
        </is>
      </c>
      <c r="F17" s="5" t="inlineStr">
        <is>
          <t>Entretien et réparation du réseau d'assainissement et de drainage</t>
        </is>
      </c>
      <c r="G17" s="5" t="inlineStr">
        <is>
          <t>Travaux de curage des canaux révetus</t>
        </is>
      </c>
      <c r="H17" s="5" t="inlineStr">
        <is>
          <t>Curage du canal principal d'irrigation beht partie aval 1.</t>
        </is>
      </c>
      <c r="I17" s="7" t="n">
        <v>739200</v>
      </c>
      <c r="J17" s="8" t="inlineStr">
        <is>
          <t>ml</t>
        </is>
      </c>
      <c r="K17" s="9" t="n">
        <v>370</v>
      </c>
      <c r="L17" s="51" t="n"/>
      <c r="M17" s="52">
        <f>'S26'!M17+L17</f>
        <v/>
      </c>
      <c r="N17" s="53">
        <f>IFERROR(M17/K17,0)</f>
        <v/>
      </c>
      <c r="O17" s="54">
        <f>'S26'!N17</f>
        <v/>
      </c>
      <c r="P17" s="53">
        <f>N17-O17</f>
        <v/>
      </c>
      <c r="Q17" s="32" t="n"/>
      <c r="R17" s="32" t="n"/>
      <c r="S17" s="32" t="n"/>
      <c r="T17" s="55" t="n"/>
      <c r="U17" s="54">
        <f>'S26'!T17</f>
        <v/>
      </c>
      <c r="V17" s="53">
        <f>T17-U17</f>
        <v/>
      </c>
      <c r="W17" s="53">
        <f>N17-T17</f>
        <v/>
      </c>
      <c r="X17" s="34" t="n"/>
    </row>
    <row r="18" ht="22" customHeight="1">
      <c r="B18" s="10" t="n">
        <v>14</v>
      </c>
      <c r="C18" s="6" t="inlineStr">
        <is>
          <t>Sidi Kacem</t>
        </is>
      </c>
      <c r="D18" s="10" t="inlineStr">
        <is>
          <t>ZIRARA</t>
        </is>
      </c>
      <c r="E18" s="10" t="inlineStr">
        <is>
          <t>50-23</t>
        </is>
      </c>
      <c r="F18" s="10" t="inlineStr">
        <is>
          <t>Entretien et réparation du réseau d'assainissement et de drainage</t>
        </is>
      </c>
      <c r="G18" s="10" t="inlineStr">
        <is>
          <t>Travaux de curage des canaux révetus</t>
        </is>
      </c>
      <c r="H18" s="10" t="inlineStr">
        <is>
          <t>Curage du canal principal d'irrigation beht partie aval 2.</t>
        </is>
      </c>
      <c r="I18" s="11" t="n">
        <v>1276800</v>
      </c>
      <c r="J18" s="12" t="inlineStr">
        <is>
          <t>ml</t>
        </is>
      </c>
      <c r="K18" s="13" t="n">
        <v>638</v>
      </c>
      <c r="L18" s="51" t="n"/>
      <c r="M18" s="56">
        <f>'S26'!M18+L18</f>
        <v/>
      </c>
      <c r="N18" s="57">
        <f>IFERROR(M18/K18,0)</f>
        <v/>
      </c>
      <c r="O18" s="58">
        <f>'S26'!N18</f>
        <v/>
      </c>
      <c r="P18" s="57">
        <f>N18-O18</f>
        <v/>
      </c>
      <c r="Q18" s="32" t="n"/>
      <c r="R18" s="32" t="n"/>
      <c r="S18" s="32" t="n"/>
      <c r="T18" s="55" t="n"/>
      <c r="U18" s="58">
        <f>'S26'!T18</f>
        <v/>
      </c>
      <c r="V18" s="57">
        <f>T18-U18</f>
        <v/>
      </c>
      <c r="W18" s="57">
        <f>N18-T18</f>
        <v/>
      </c>
      <c r="X18" s="34" t="n"/>
    </row>
    <row r="19" ht="22" customHeight="1">
      <c r="B19" s="5" t="n">
        <v>15</v>
      </c>
      <c r="C19" s="6" t="inlineStr">
        <is>
          <t>Sidi Kacem</t>
        </is>
      </c>
      <c r="D19" s="5" t="inlineStr">
        <is>
          <t>DAR LAASLOUJI</t>
        </is>
      </c>
      <c r="E19" s="5" t="inlineStr">
        <is>
          <t>50-23</t>
        </is>
      </c>
      <c r="F19" s="5" t="inlineStr">
        <is>
          <t>Entretien et réparation du réseau d'assainissement et de drainage</t>
        </is>
      </c>
      <c r="G19" s="5" t="inlineStr">
        <is>
          <t>Travaux de curage des canaux en terre</t>
        </is>
      </c>
      <c r="H19" s="5" t="inlineStr">
        <is>
          <t>Curage des collecteurs d'assainissement des secteurs P8-1 et P8-2</t>
        </is>
      </c>
      <c r="I19" s="7" t="n">
        <v>5796360</v>
      </c>
      <c r="J19" s="8" t="inlineStr">
        <is>
          <t>ml</t>
        </is>
      </c>
      <c r="K19" s="9" t="n">
        <v>2898</v>
      </c>
      <c r="L19" s="51" t="n"/>
      <c r="M19" s="52">
        <f>'S26'!M19+L19</f>
        <v/>
      </c>
      <c r="N19" s="53">
        <f>IFERROR(M19/K19,0)</f>
        <v/>
      </c>
      <c r="O19" s="54">
        <f>'S26'!N19</f>
        <v/>
      </c>
      <c r="P19" s="53">
        <f>N19-O19</f>
        <v/>
      </c>
      <c r="Q19" s="32" t="n"/>
      <c r="R19" s="32" t="n"/>
      <c r="S19" s="32" t="n"/>
      <c r="T19" s="55" t="n"/>
      <c r="U19" s="54">
        <f>'S26'!T19</f>
        <v/>
      </c>
      <c r="V19" s="53">
        <f>T19-U19</f>
        <v/>
      </c>
      <c r="W19" s="53">
        <f>N19-T19</f>
        <v/>
      </c>
      <c r="X19" s="34" t="n"/>
    </row>
    <row r="20" ht="22" customHeight="1">
      <c r="B20" s="10" t="n">
        <v>16</v>
      </c>
      <c r="C20" s="6" t="inlineStr">
        <is>
          <t>Sidi Kacem</t>
        </is>
      </c>
      <c r="D20" s="10" t="inlineStr">
        <is>
          <t>DAR LAASLOUJI</t>
        </is>
      </c>
      <c r="E20" s="10" t="inlineStr">
        <is>
          <t>40-21</t>
        </is>
      </c>
      <c r="F20" s="10" t="inlineStr">
        <is>
          <t>Travaux de pistes</t>
        </is>
      </c>
      <c r="G20" s="10" t="inlineStr">
        <is>
          <t>Entretien des pistes agricoles</t>
        </is>
      </c>
      <c r="H20" s="10" t="inlineStr">
        <is>
          <t>Entretien des pistes agricoles</t>
        </is>
      </c>
      <c r="I20" s="11" t="n">
        <v>340000</v>
      </c>
      <c r="J20" s="12" t="inlineStr">
        <is>
          <t>km</t>
        </is>
      </c>
      <c r="K20" s="13" t="n">
        <v>1</v>
      </c>
      <c r="L20" s="51" t="n"/>
      <c r="M20" s="56">
        <f>'S26'!M20+L20</f>
        <v/>
      </c>
      <c r="N20" s="57">
        <f>IFERROR(M20/K20,0)</f>
        <v/>
      </c>
      <c r="O20" s="58">
        <f>'S26'!N20</f>
        <v/>
      </c>
      <c r="P20" s="57">
        <f>N20-O20</f>
        <v/>
      </c>
      <c r="Q20" s="32" t="n"/>
      <c r="R20" s="32" t="n"/>
      <c r="S20" s="32" t="n"/>
      <c r="T20" s="55" t="n"/>
      <c r="U20" s="58">
        <f>'S26'!T20</f>
        <v/>
      </c>
      <c r="V20" s="57">
        <f>T20-U20</f>
        <v/>
      </c>
      <c r="W20" s="57">
        <f>N20-T20</f>
        <v/>
      </c>
      <c r="X20" s="34" t="n"/>
    </row>
    <row r="21" ht="22" customHeight="1">
      <c r="B21" s="5" t="n">
        <v>17</v>
      </c>
      <c r="C21" s="6" t="inlineStr">
        <is>
          <t>Sidi Kacem</t>
        </is>
      </c>
      <c r="D21" s="5" t="inlineStr">
        <is>
          <t>HOUAFATE</t>
        </is>
      </c>
      <c r="E21" s="5" t="inlineStr">
        <is>
          <t>20-11</t>
        </is>
      </c>
      <c r="F21" s="5" t="inlineStr">
        <is>
          <t>Travaux de réhabilitation des équipements</t>
        </is>
      </c>
      <c r="G21" s="5" t="inlineStr">
        <is>
          <t>Travaux de réhabilitation des canaux portés d'irrigation</t>
        </is>
      </c>
      <c r="H21" s="5" t="inlineStr">
        <is>
          <t>Fourniture et de pose de canaux porté et accessoires du réseau S3 du secteur S13</t>
        </is>
      </c>
      <c r="I21" s="7" t="n">
        <v>397934</v>
      </c>
      <c r="J21" s="8" t="inlineStr">
        <is>
          <t>ml</t>
        </is>
      </c>
      <c r="K21" s="9" t="n">
        <v>133</v>
      </c>
      <c r="L21" s="51" t="n"/>
      <c r="M21" s="52">
        <f>'S26'!M21+L21</f>
        <v/>
      </c>
      <c r="N21" s="53">
        <f>IFERROR(M21/K21,0)</f>
        <v/>
      </c>
      <c r="O21" s="54">
        <f>'S26'!N21</f>
        <v/>
      </c>
      <c r="P21" s="53">
        <f>N21-O21</f>
        <v/>
      </c>
      <c r="Q21" s="32" t="n"/>
      <c r="R21" s="32" t="n"/>
      <c r="S21" s="32" t="n"/>
      <c r="T21" s="55" t="n"/>
      <c r="U21" s="54">
        <f>'S26'!T21</f>
        <v/>
      </c>
      <c r="V21" s="53">
        <f>T21-U21</f>
        <v/>
      </c>
      <c r="W21" s="53">
        <f>N21-T21</f>
        <v/>
      </c>
      <c r="X21" s="34" t="n"/>
    </row>
    <row r="22" ht="22" customHeight="1">
      <c r="B22" s="10" t="n">
        <v>18</v>
      </c>
      <c r="C22" s="6" t="inlineStr">
        <is>
          <t>Sidi Kacem</t>
        </is>
      </c>
      <c r="D22" s="10" t="inlineStr">
        <is>
          <t>HOUAFATE</t>
        </is>
      </c>
      <c r="E22" s="10" t="inlineStr">
        <is>
          <t>20-11</t>
        </is>
      </c>
      <c r="F22" s="10" t="inlineStr">
        <is>
          <t>Travaux de réhabilitation des équipements</t>
        </is>
      </c>
      <c r="G22" s="10" t="inlineStr"/>
      <c r="H22" s="10" t="inlineStr">
        <is>
          <t>Fourniture et de pose de canaux porté et accessoires du réseau T2S1 du secteur S13</t>
        </is>
      </c>
      <c r="I22" s="11" t="n">
        <v>207575</v>
      </c>
      <c r="J22" s="12" t="inlineStr">
        <is>
          <t>ml</t>
        </is>
      </c>
      <c r="K22" s="13" t="n">
        <v>69</v>
      </c>
      <c r="L22" s="51" t="n"/>
      <c r="M22" s="56">
        <f>'S26'!M22+L22</f>
        <v/>
      </c>
      <c r="N22" s="57">
        <f>IFERROR(M22/K22,0)</f>
        <v/>
      </c>
      <c r="O22" s="58">
        <f>'S26'!N22</f>
        <v/>
      </c>
      <c r="P22" s="57">
        <f>N22-O22</f>
        <v/>
      </c>
      <c r="Q22" s="32" t="n"/>
      <c r="R22" s="32" t="n"/>
      <c r="S22" s="32" t="n"/>
      <c r="T22" s="55" t="n"/>
      <c r="U22" s="58">
        <f>'S26'!T22</f>
        <v/>
      </c>
      <c r="V22" s="57">
        <f>T22-U22</f>
        <v/>
      </c>
      <c r="W22" s="57">
        <f>N22-T22</f>
        <v/>
      </c>
      <c r="X22" s="34" t="n"/>
    </row>
    <row r="23" ht="22" customHeight="1">
      <c r="B23" s="5" t="n">
        <v>19</v>
      </c>
      <c r="C23" s="6" t="inlineStr">
        <is>
          <t>Sidi Kacem</t>
        </is>
      </c>
      <c r="D23" s="5" t="inlineStr">
        <is>
          <t>HOUAFATE</t>
        </is>
      </c>
      <c r="E23" s="5" t="inlineStr">
        <is>
          <t>40-21</t>
        </is>
      </c>
      <c r="F23" s="5" t="inlineStr">
        <is>
          <t>Travaux de pistes</t>
        </is>
      </c>
      <c r="G23" s="5" t="inlineStr">
        <is>
          <t>Entretien des pistes agricoles</t>
        </is>
      </c>
      <c r="H23" s="5" t="inlineStr">
        <is>
          <t>Entretien des pistes agricoles</t>
        </is>
      </c>
      <c r="I23" s="7" t="n">
        <v>2200000</v>
      </c>
      <c r="J23" s="8" t="inlineStr">
        <is>
          <t>km</t>
        </is>
      </c>
      <c r="K23" s="9" t="n">
        <v>4</v>
      </c>
      <c r="L23" s="51" t="n"/>
      <c r="M23" s="52">
        <f>'S26'!M23+L23</f>
        <v/>
      </c>
      <c r="N23" s="53">
        <f>IFERROR(M23/K23,0)</f>
        <v/>
      </c>
      <c r="O23" s="54">
        <f>'S26'!N23</f>
        <v/>
      </c>
      <c r="P23" s="53">
        <f>N23-O23</f>
        <v/>
      </c>
      <c r="Q23" s="32" t="n"/>
      <c r="R23" s="32" t="n"/>
      <c r="S23" s="32" t="n"/>
      <c r="T23" s="55" t="n"/>
      <c r="U23" s="54">
        <f>'S26'!T23</f>
        <v/>
      </c>
      <c r="V23" s="53">
        <f>T23-U23</f>
        <v/>
      </c>
      <c r="W23" s="53">
        <f>N23-T23</f>
        <v/>
      </c>
      <c r="X23" s="34" t="n"/>
    </row>
    <row r="24" ht="22" customHeight="1">
      <c r="B24" s="10" t="n">
        <v>20</v>
      </c>
      <c r="C24" s="6" t="inlineStr">
        <is>
          <t>Sidi Kacem</t>
        </is>
      </c>
      <c r="D24" s="10" t="inlineStr">
        <is>
          <t>HOUAFATE</t>
        </is>
      </c>
      <c r="E24" s="10" t="inlineStr">
        <is>
          <t>50-23</t>
        </is>
      </c>
      <c r="F24" s="10" t="inlineStr">
        <is>
          <t>Entretien et réparation du réseau d'assainissement et de drainage</t>
        </is>
      </c>
      <c r="G24" s="10" t="inlineStr">
        <is>
          <t>Curage des prises sur l’oued, bâche d’aspiration et bassin de régulation.</t>
        </is>
      </c>
      <c r="H24" s="10" t="inlineStr">
        <is>
          <t>Curage des prises sur l’oued de la station de pompage S17 et S13.
Nettoyage des grilles de préfiltration des boues colmaté de la station de pompage S17 et S13.
Curage de la bâche d’aspiration de la station S17 et S13.</t>
        </is>
      </c>
      <c r="I24" s="11" t="n">
        <v>300000</v>
      </c>
      <c r="J24" s="12" t="inlineStr">
        <is>
          <t>ml</t>
        </is>
      </c>
      <c r="K24" s="13" t="n">
        <v>100</v>
      </c>
      <c r="L24" s="51" t="n"/>
      <c r="M24" s="56">
        <f>'S26'!M24+L24</f>
        <v/>
      </c>
      <c r="N24" s="57">
        <f>IFERROR(M24/K24,0)</f>
        <v/>
      </c>
      <c r="O24" s="58">
        <f>'S26'!N24</f>
        <v/>
      </c>
      <c r="P24" s="57">
        <f>N24-O24</f>
        <v/>
      </c>
      <c r="Q24" s="32" t="n"/>
      <c r="R24" s="32" t="n"/>
      <c r="S24" s="32" t="n"/>
      <c r="T24" s="55" t="n"/>
      <c r="U24" s="58">
        <f>'S26'!T24</f>
        <v/>
      </c>
      <c r="V24" s="57">
        <f>T24-U24</f>
        <v/>
      </c>
      <c r="W24" s="57">
        <f>N24-T24</f>
        <v/>
      </c>
      <c r="X24" s="34" t="n"/>
    </row>
    <row r="25" ht="22" customHeight="1">
      <c r="B25" s="5" t="n">
        <v>21</v>
      </c>
      <c r="C25" s="6" t="inlineStr">
        <is>
          <t>Sidi Kacem</t>
        </is>
      </c>
      <c r="D25" s="5" t="inlineStr">
        <is>
          <t>HOUAFATE</t>
        </is>
      </c>
      <c r="E25" s="5" t="inlineStr">
        <is>
          <t>50-21</t>
        </is>
      </c>
      <c r="F25" s="5" t="inlineStr">
        <is>
          <t>Entretien et réparation des stations de pompage</t>
        </is>
      </c>
      <c r="G25" s="5" t="inlineStr">
        <is>
          <t>Prestation de maintenance des débitmètres et leurs équipements annexes installés au niveau des station de pompage</t>
        </is>
      </c>
      <c r="H25" s="5" t="inlineStr">
        <is>
          <t>Changement trois débitmètre Ø 600mm inondés de la station de pompage S13.</t>
        </is>
      </c>
      <c r="I25" s="7" t="n">
        <v>250000</v>
      </c>
      <c r="J25" s="8" t="inlineStr">
        <is>
          <t>U</t>
        </is>
      </c>
      <c r="K25" s="9" t="n">
        <v>3</v>
      </c>
      <c r="L25" s="51" t="n"/>
      <c r="M25" s="52">
        <f>'S26'!M25+L25</f>
        <v/>
      </c>
      <c r="N25" s="53">
        <f>IFERROR(M25/K25,0)</f>
        <v/>
      </c>
      <c r="O25" s="54">
        <f>'S26'!N25</f>
        <v/>
      </c>
      <c r="P25" s="53">
        <f>N25-O25</f>
        <v/>
      </c>
      <c r="Q25" s="32" t="n"/>
      <c r="R25" s="32" t="n"/>
      <c r="S25" s="32" t="n"/>
      <c r="T25" s="55" t="n"/>
      <c r="U25" s="54">
        <f>'S26'!T25</f>
        <v/>
      </c>
      <c r="V25" s="53">
        <f>T25-U25</f>
        <v/>
      </c>
      <c r="W25" s="53">
        <f>N25-T25</f>
        <v/>
      </c>
      <c r="X25" s="34" t="n"/>
    </row>
    <row r="26" ht="22" customHeight="1">
      <c r="B26" s="10" t="n">
        <v>22</v>
      </c>
      <c r="C26" s="6" t="inlineStr">
        <is>
          <t>Sidi Kacem</t>
        </is>
      </c>
      <c r="D26" s="10" t="inlineStr">
        <is>
          <t>HOUAFATE</t>
        </is>
      </c>
      <c r="E26" s="10" t="inlineStr">
        <is>
          <t>50-21</t>
        </is>
      </c>
      <c r="F26" s="10" t="inlineStr">
        <is>
          <t>Entretien et réparation des stations de pompage</t>
        </is>
      </c>
      <c r="G26" s="10" t="inlineStr">
        <is>
          <t>Prestations de maintenance des moteurs électriques des stations de pompage.</t>
        </is>
      </c>
      <c r="H26" s="10" t="inlineStr">
        <is>
          <t>Révision des trois moteurs électriques 200 KW principaux de la station S13. 
Révision des deux moteurs électriques 5,5 KW groupes vide de la station S13.</t>
        </is>
      </c>
      <c r="I26" s="11" t="n">
        <v>25000</v>
      </c>
      <c r="J26" s="12" t="inlineStr">
        <is>
          <t>U</t>
        </is>
      </c>
      <c r="K26" s="13" t="n">
        <v>3</v>
      </c>
      <c r="L26" s="51" t="n"/>
      <c r="M26" s="56">
        <f>'S26'!M26+L26</f>
        <v/>
      </c>
      <c r="N26" s="57">
        <f>IFERROR(M26/K26,0)</f>
        <v/>
      </c>
      <c r="O26" s="58">
        <f>'S26'!N26</f>
        <v/>
      </c>
      <c r="P26" s="57">
        <f>N26-O26</f>
        <v/>
      </c>
      <c r="Q26" s="32" t="n"/>
      <c r="R26" s="32" t="n"/>
      <c r="S26" s="32" t="n"/>
      <c r="T26" s="55" t="n"/>
      <c r="U26" s="58">
        <f>'S26'!T26</f>
        <v/>
      </c>
      <c r="V26" s="57">
        <f>T26-U26</f>
        <v/>
      </c>
      <c r="W26" s="57">
        <f>N26-T26</f>
        <v/>
      </c>
      <c r="X26" s="34" t="n"/>
    </row>
    <row r="27" ht="22" customHeight="1">
      <c r="B27" s="5" t="n">
        <v>23</v>
      </c>
      <c r="C27" s="6" t="inlineStr">
        <is>
          <t>Sidi Kacem</t>
        </is>
      </c>
      <c r="D27" s="5" t="inlineStr">
        <is>
          <t>HOUAFATE</t>
        </is>
      </c>
      <c r="E27" s="5" t="inlineStr">
        <is>
          <t>50-21</t>
        </is>
      </c>
      <c r="F27" s="5" t="inlineStr">
        <is>
          <t>Entretien et réparation des stations de pompage</t>
        </is>
      </c>
      <c r="G27" s="5" t="inlineStr">
        <is>
          <t>Prestations de maintenance et de réparation mécanique des pompes et des groupes motopompes submersibles des stations de pompage.</t>
        </is>
      </c>
      <c r="H27" s="5" t="inlineStr">
        <is>
          <t>Démontage et expertise des roues des  pompes principaux et pompes a vide de la station S13.
Changement des roulements, tresses et organes d’effectués de la station S13.</t>
        </is>
      </c>
      <c r="I27" s="7" t="n">
        <v>38000</v>
      </c>
      <c r="J27" s="8" t="inlineStr">
        <is>
          <t>U</t>
        </is>
      </c>
      <c r="K27" s="9" t="n">
        <v>1</v>
      </c>
      <c r="L27" s="51" t="n"/>
      <c r="M27" s="52">
        <f>'S26'!M27+L27</f>
        <v/>
      </c>
      <c r="N27" s="53">
        <f>IFERROR(M27/K27,0)</f>
        <v/>
      </c>
      <c r="O27" s="54">
        <f>'S26'!N27</f>
        <v/>
      </c>
      <c r="P27" s="53">
        <f>N27-O27</f>
        <v/>
      </c>
      <c r="Q27" s="32" t="n"/>
      <c r="R27" s="32" t="n"/>
      <c r="S27" s="32" t="n"/>
      <c r="T27" s="55" t="n"/>
      <c r="U27" s="54">
        <f>'S26'!T27</f>
        <v/>
      </c>
      <c r="V27" s="53">
        <f>T27-U27</f>
        <v/>
      </c>
      <c r="W27" s="53">
        <f>N27-T27</f>
        <v/>
      </c>
      <c r="X27" s="34" t="n"/>
    </row>
    <row r="28" ht="22" customHeight="1">
      <c r="B28" s="10" t="n">
        <v>24</v>
      </c>
      <c r="C28" s="6" t="inlineStr">
        <is>
          <t>Sidi Kacem</t>
        </is>
      </c>
      <c r="D28" s="10" t="inlineStr">
        <is>
          <t>HOUAFATE</t>
        </is>
      </c>
      <c r="E28" s="10" t="inlineStr">
        <is>
          <t>50-21</t>
        </is>
      </c>
      <c r="F28" s="10" t="inlineStr">
        <is>
          <t>Entretien et réparation des stations de pompage</t>
        </is>
      </c>
      <c r="G28" s="10" t="inlineStr">
        <is>
          <t>Stabilisation Berge oued</t>
        </is>
      </c>
      <c r="H28" s="10" t="inlineStr">
        <is>
          <t>Pose de  gabions et recouvrement du talus par matelas Reno des stations de pompage S13.</t>
        </is>
      </c>
      <c r="I28" s="11" t="n">
        <v>10560000</v>
      </c>
      <c r="J28" s="12" t="inlineStr">
        <is>
          <t>m³</t>
        </is>
      </c>
      <c r="K28" s="13" t="n">
        <v>7040</v>
      </c>
      <c r="L28" s="51" t="n"/>
      <c r="M28" s="56">
        <f>'S26'!M28+L28</f>
        <v/>
      </c>
      <c r="N28" s="57">
        <f>IFERROR(M28/K28,0)</f>
        <v/>
      </c>
      <c r="O28" s="58">
        <f>'S26'!N28</f>
        <v/>
      </c>
      <c r="P28" s="57">
        <f>N28-O28</f>
        <v/>
      </c>
      <c r="Q28" s="32" t="n"/>
      <c r="R28" s="32" t="n"/>
      <c r="S28" s="32" t="n"/>
      <c r="T28" s="55" t="n"/>
      <c r="U28" s="58">
        <f>'S26'!T28</f>
        <v/>
      </c>
      <c r="V28" s="57">
        <f>T28-U28</f>
        <v/>
      </c>
      <c r="W28" s="57">
        <f>N28-T28</f>
        <v/>
      </c>
      <c r="X28" s="34" t="n"/>
    </row>
    <row r="29" ht="22" customHeight="1">
      <c r="B29" s="5" t="n">
        <v>25</v>
      </c>
      <c r="C29" s="6" t="inlineStr">
        <is>
          <t>Sidi Kacem</t>
        </is>
      </c>
      <c r="D29" s="5" t="inlineStr">
        <is>
          <t>HOUAFATE</t>
        </is>
      </c>
      <c r="E29" s="5" t="inlineStr">
        <is>
          <t>50-21</t>
        </is>
      </c>
      <c r="F29" s="5" t="inlineStr">
        <is>
          <t>Entretien et réparation des stations de pompage</t>
        </is>
      </c>
      <c r="G29" s="5" t="inlineStr">
        <is>
          <t>Mur clôture des stations de pompage.</t>
        </is>
      </c>
      <c r="H29" s="5" t="inlineStr">
        <is>
          <t>Stabilisation du sol et reconstruction des murs clôture (270m) cote oued de la station S17.</t>
        </is>
      </c>
      <c r="I29" s="7" t="n">
        <v>144000</v>
      </c>
      <c r="J29" s="8" t="inlineStr">
        <is>
          <t>ml</t>
        </is>
      </c>
      <c r="K29" s="9" t="n">
        <v>270</v>
      </c>
      <c r="L29" s="51" t="n"/>
      <c r="M29" s="52">
        <f>'S26'!M29+L29</f>
        <v/>
      </c>
      <c r="N29" s="53">
        <f>IFERROR(M29/K29,0)</f>
        <v/>
      </c>
      <c r="O29" s="54">
        <f>'S26'!N29</f>
        <v/>
      </c>
      <c r="P29" s="53">
        <f>N29-O29</f>
        <v/>
      </c>
      <c r="Q29" s="32" t="n"/>
      <c r="R29" s="32" t="n"/>
      <c r="S29" s="32" t="n"/>
      <c r="T29" s="55" t="n"/>
      <c r="U29" s="54">
        <f>'S26'!T29</f>
        <v/>
      </c>
      <c r="V29" s="53">
        <f>T29-U29</f>
        <v/>
      </c>
      <c r="W29" s="53">
        <f>N29-T29</f>
        <v/>
      </c>
      <c r="X29" s="34" t="n"/>
    </row>
    <row r="30" ht="22" customHeight="1">
      <c r="B30" s="10" t="n">
        <v>26</v>
      </c>
      <c r="C30" s="6" t="inlineStr">
        <is>
          <t>Sidi Kacem</t>
        </is>
      </c>
      <c r="D30" s="10" t="inlineStr">
        <is>
          <t>HOUAFATE</t>
        </is>
      </c>
      <c r="E30" s="10" t="inlineStr">
        <is>
          <t>50-21</t>
        </is>
      </c>
      <c r="F30" s="10" t="inlineStr">
        <is>
          <t>Entretien et réparation des stations de pompage</t>
        </is>
      </c>
      <c r="G30" s="10" t="inlineStr">
        <is>
          <t>Génie civile des locaux des stations de pompage.</t>
        </is>
      </c>
      <c r="H30" s="10" t="inlineStr">
        <is>
          <t>Expertise d’état et d’étanchéité des locaux pompes, commande, puissance des stations de pompage S17 et S13.
Renforcement d’étanchéité des locaux pompe sous niveau des oueds des stations de pompage S17 et S13.</t>
        </is>
      </c>
      <c r="I30" s="11" t="n">
        <v>800000</v>
      </c>
      <c r="J30" s="12" t="inlineStr">
        <is>
          <t>U</t>
        </is>
      </c>
      <c r="K30" s="13" t="n">
        <v>1</v>
      </c>
      <c r="L30" s="51" t="n"/>
      <c r="M30" s="56">
        <f>'S26'!M30+L30</f>
        <v/>
      </c>
      <c r="N30" s="57">
        <f>IFERROR(M30/K30,0)</f>
        <v/>
      </c>
      <c r="O30" s="58">
        <f>'S26'!N30</f>
        <v/>
      </c>
      <c r="P30" s="57">
        <f>N30-O30</f>
        <v/>
      </c>
      <c r="Q30" s="32" t="n"/>
      <c r="R30" s="32" t="n"/>
      <c r="S30" s="32" t="n"/>
      <c r="T30" s="55" t="n"/>
      <c r="U30" s="58">
        <f>'S26'!T30</f>
        <v/>
      </c>
      <c r="V30" s="57">
        <f>T30-U30</f>
        <v/>
      </c>
      <c r="W30" s="57">
        <f>N30-T30</f>
        <v/>
      </c>
      <c r="X30" s="34" t="n"/>
    </row>
    <row r="31" ht="22" customHeight="1">
      <c r="B31" s="5" t="n">
        <v>27</v>
      </c>
      <c r="C31" s="6" t="inlineStr">
        <is>
          <t>Sidi Kacem</t>
        </is>
      </c>
      <c r="D31" s="5" t="inlineStr">
        <is>
          <t>NOUIRAT</t>
        </is>
      </c>
      <c r="E31" s="5" t="inlineStr">
        <is>
          <t>50-23</t>
        </is>
      </c>
      <c r="F31" s="5" t="inlineStr">
        <is>
          <t>Entretien et réparation du réseau d'assainissement et de drainage</t>
        </is>
      </c>
      <c r="G31" s="5" t="inlineStr">
        <is>
          <t>Travaux de curage des canaux en terre</t>
        </is>
      </c>
      <c r="H31" s="5" t="inlineStr">
        <is>
          <t>Curage des collecteurs d'assainissement des secteurs EST1 et N5</t>
        </is>
      </c>
      <c r="I31" s="7" t="n">
        <v>1733306</v>
      </c>
      <c r="J31" s="8" t="inlineStr">
        <is>
          <t>ml</t>
        </is>
      </c>
      <c r="K31" s="9" t="n">
        <v>867</v>
      </c>
      <c r="L31" s="51" t="n"/>
      <c r="M31" s="52">
        <f>'S26'!M31+L31</f>
        <v/>
      </c>
      <c r="N31" s="53">
        <f>IFERROR(M31/K31,0)</f>
        <v/>
      </c>
      <c r="O31" s="54">
        <f>'S26'!N31</f>
        <v/>
      </c>
      <c r="P31" s="53">
        <f>N31-O31</f>
        <v/>
      </c>
      <c r="Q31" s="32" t="n"/>
      <c r="R31" s="32" t="n"/>
      <c r="S31" s="32" t="n"/>
      <c r="T31" s="55" t="n"/>
      <c r="U31" s="54">
        <f>'S26'!T31</f>
        <v/>
      </c>
      <c r="V31" s="53">
        <f>T31-U31</f>
        <v/>
      </c>
      <c r="W31" s="53">
        <f>N31-T31</f>
        <v/>
      </c>
      <c r="X31" s="34" t="n"/>
    </row>
    <row r="32" ht="22" customHeight="1">
      <c r="B32" s="10" t="n">
        <v>28</v>
      </c>
      <c r="C32" s="6" t="inlineStr">
        <is>
          <t>Sidi Kacem</t>
        </is>
      </c>
      <c r="D32" s="10" t="inlineStr">
        <is>
          <t>NOUIRAT</t>
        </is>
      </c>
      <c r="E32" s="10" t="inlineStr">
        <is>
          <t>40-21</t>
        </is>
      </c>
      <c r="F32" s="10" t="inlineStr">
        <is>
          <t>Travaux de pistes</t>
        </is>
      </c>
      <c r="G32" s="10" t="inlineStr">
        <is>
          <t>Entretien des pistes agricoles</t>
        </is>
      </c>
      <c r="H32" s="10" t="inlineStr">
        <is>
          <t>Entretien des pistes agricoles</t>
        </is>
      </c>
      <c r="I32" s="11" t="n">
        <v>670000</v>
      </c>
      <c r="J32" s="12" t="inlineStr">
        <is>
          <t>km</t>
        </is>
      </c>
      <c r="K32" s="13" t="n">
        <v>1</v>
      </c>
      <c r="L32" s="51" t="n"/>
      <c r="M32" s="56">
        <f>'S26'!M32+L32</f>
        <v/>
      </c>
      <c r="N32" s="57">
        <f>IFERROR(M32/K32,0)</f>
        <v/>
      </c>
      <c r="O32" s="58">
        <f>'S26'!N32</f>
        <v/>
      </c>
      <c r="P32" s="57">
        <f>N32-O32</f>
        <v/>
      </c>
      <c r="Q32" s="32" t="n"/>
      <c r="R32" s="32" t="n"/>
      <c r="S32" s="32" t="n"/>
      <c r="T32" s="55" t="n"/>
      <c r="U32" s="58">
        <f>'S26'!T32</f>
        <v/>
      </c>
      <c r="V32" s="57">
        <f>T32-U32</f>
        <v/>
      </c>
      <c r="W32" s="57">
        <f>N32-T32</f>
        <v/>
      </c>
      <c r="X32" s="34" t="n"/>
    </row>
    <row r="33" ht="22" customHeight="1">
      <c r="B33" s="5" t="n">
        <v>29</v>
      </c>
      <c r="C33" s="6" t="inlineStr">
        <is>
          <t>Sidi Kacem</t>
        </is>
      </c>
      <c r="D33" s="5" t="inlineStr">
        <is>
          <t>NOUIRAT</t>
        </is>
      </c>
      <c r="E33" s="5" t="inlineStr">
        <is>
          <t>20-11</t>
        </is>
      </c>
      <c r="F33" s="5" t="inlineStr">
        <is>
          <t>Travaux de réhabilitation des équipements</t>
        </is>
      </c>
      <c r="G33" s="5" t="inlineStr">
        <is>
          <t>Travaux de réhabilitation des ouvrages de génie civil</t>
        </is>
      </c>
      <c r="H33" s="5" t="inlineStr">
        <is>
          <t>Réhabilitation de l'ouvrage( genie civil ,gabiollannage,clapet anti retour et buse) de l'ouvrage de débouche SE1</t>
        </is>
      </c>
      <c r="I33" s="7" t="n">
        <v>2500000</v>
      </c>
      <c r="J33" s="8" t="inlineStr">
        <is>
          <t>U</t>
        </is>
      </c>
      <c r="K33" s="9" t="n">
        <v>5</v>
      </c>
      <c r="L33" s="51" t="n"/>
      <c r="M33" s="52">
        <f>'S26'!M33+L33</f>
        <v/>
      </c>
      <c r="N33" s="53">
        <f>IFERROR(M33/K33,0)</f>
        <v/>
      </c>
      <c r="O33" s="54">
        <f>'S26'!N33</f>
        <v/>
      </c>
      <c r="P33" s="53">
        <f>N33-O33</f>
        <v/>
      </c>
      <c r="Q33" s="32" t="n"/>
      <c r="R33" s="32" t="n"/>
      <c r="S33" s="32" t="n"/>
      <c r="T33" s="55" t="n"/>
      <c r="U33" s="54">
        <f>'S26'!T33</f>
        <v/>
      </c>
      <c r="V33" s="53">
        <f>T33-U33</f>
        <v/>
      </c>
      <c r="W33" s="53">
        <f>N33-T33</f>
        <v/>
      </c>
      <c r="X33" s="34" t="n"/>
    </row>
    <row r="34" ht="22" customHeight="1">
      <c r="B34" s="10" t="n">
        <v>30</v>
      </c>
      <c r="C34" s="6" t="inlineStr">
        <is>
          <t>Sidi Kacem</t>
        </is>
      </c>
      <c r="D34" s="10" t="inlineStr">
        <is>
          <t>NOUIRAT</t>
        </is>
      </c>
      <c r="E34" s="10" t="inlineStr">
        <is>
          <t>50-23</t>
        </is>
      </c>
      <c r="F34" s="10" t="inlineStr">
        <is>
          <t>Entretien et réparation du réseau d'assainissement et de drainage</t>
        </is>
      </c>
      <c r="G34" s="10" t="inlineStr">
        <is>
          <t>Curage des prises sur l’oued, bâche d’aspiration et bassin de régulation.</t>
        </is>
      </c>
      <c r="H34" s="10" t="inlineStr">
        <is>
          <t>Curage des prises sur l’oued de la station de pompage E1.
Nettoyage des grilles de préfiltration des boues colmaté de la station de pompage E1.
Curage de la bâche d’aspiration de la station E1.</t>
        </is>
      </c>
      <c r="I34" s="11" t="n">
        <v>800000</v>
      </c>
      <c r="J34" s="12" t="inlineStr">
        <is>
          <t>ml</t>
        </is>
      </c>
      <c r="K34" s="13" t="n">
        <v>267</v>
      </c>
      <c r="L34" s="51" t="n"/>
      <c r="M34" s="56">
        <f>'S26'!M34+L34</f>
        <v/>
      </c>
      <c r="N34" s="57">
        <f>IFERROR(M34/K34,0)</f>
        <v/>
      </c>
      <c r="O34" s="58">
        <f>'S26'!N34</f>
        <v/>
      </c>
      <c r="P34" s="57">
        <f>N34-O34</f>
        <v/>
      </c>
      <c r="Q34" s="32" t="n"/>
      <c r="R34" s="32" t="n"/>
      <c r="S34" s="32" t="n"/>
      <c r="T34" s="55" t="n"/>
      <c r="U34" s="58">
        <f>'S26'!T34</f>
        <v/>
      </c>
      <c r="V34" s="57">
        <f>T34-U34</f>
        <v/>
      </c>
      <c r="W34" s="57">
        <f>N34-T34</f>
        <v/>
      </c>
      <c r="X34" s="34" t="n"/>
    </row>
    <row r="35" ht="22" customHeight="1">
      <c r="B35" s="5" t="n">
        <v>31</v>
      </c>
      <c r="C35" s="6" t="inlineStr">
        <is>
          <t>Sidi Kacem</t>
        </is>
      </c>
      <c r="D35" s="5" t="inlineStr">
        <is>
          <t>NOUIRAT</t>
        </is>
      </c>
      <c r="E35" s="5" t="inlineStr">
        <is>
          <t>50-21</t>
        </is>
      </c>
      <c r="F35" s="5" t="inlineStr">
        <is>
          <t>Entretien et réparation des stations de pompage</t>
        </is>
      </c>
      <c r="G35" s="5" t="inlineStr">
        <is>
          <t>Prestation de maintenance des débitmètres et leurs équipements annexes installés au niveau des station de pompage</t>
        </is>
      </c>
      <c r="H35" s="5" t="inlineStr">
        <is>
          <t>Changement du débitmètre Ø 1200mm inondé de la station de pompage E1.</t>
        </is>
      </c>
      <c r="I35" s="7" t="n">
        <v>195000</v>
      </c>
      <c r="J35" s="8" t="inlineStr">
        <is>
          <t>U</t>
        </is>
      </c>
      <c r="K35" s="9" t="n">
        <v>2</v>
      </c>
      <c r="L35" s="51" t="n"/>
      <c r="M35" s="52">
        <f>'S26'!M35+L35</f>
        <v/>
      </c>
      <c r="N35" s="53">
        <f>IFERROR(M35/K35,0)</f>
        <v/>
      </c>
      <c r="O35" s="54">
        <f>'S26'!N35</f>
        <v/>
      </c>
      <c r="P35" s="53">
        <f>N35-O35</f>
        <v/>
      </c>
      <c r="Q35" s="32" t="n"/>
      <c r="R35" s="32" t="n"/>
      <c r="S35" s="32" t="n"/>
      <c r="T35" s="55" t="n"/>
      <c r="U35" s="54">
        <f>'S26'!T35</f>
        <v/>
      </c>
      <c r="V35" s="53">
        <f>T35-U35</f>
        <v/>
      </c>
      <c r="W35" s="53">
        <f>N35-T35</f>
        <v/>
      </c>
      <c r="X35" s="34" t="n"/>
    </row>
    <row r="36" ht="22" customHeight="1">
      <c r="B36" s="10" t="n">
        <v>32</v>
      </c>
      <c r="C36" s="6" t="inlineStr">
        <is>
          <t>Sidi Kacem</t>
        </is>
      </c>
      <c r="D36" s="10" t="inlineStr">
        <is>
          <t>NOUIRAT</t>
        </is>
      </c>
      <c r="E36" s="10" t="inlineStr">
        <is>
          <t>50-21</t>
        </is>
      </c>
      <c r="F36" s="10" t="inlineStr">
        <is>
          <t>Entretien et réparation des stations de pompage</t>
        </is>
      </c>
      <c r="G36" s="10" t="inlineStr">
        <is>
          <t>Prestations de maintenance des moteurs électriques des stations de pompage.</t>
        </is>
      </c>
      <c r="H36" s="10" t="inlineStr">
        <is>
          <t>Révision des deux moteurs électriques principaux de la station E1.</t>
        </is>
      </c>
      <c r="I36" s="11" t="n">
        <v>50000</v>
      </c>
      <c r="J36" s="12" t="inlineStr">
        <is>
          <t>U</t>
        </is>
      </c>
      <c r="K36" s="13" t="n">
        <v>2</v>
      </c>
      <c r="L36" s="51" t="n"/>
      <c r="M36" s="56">
        <f>'S26'!M36+L36</f>
        <v/>
      </c>
      <c r="N36" s="57">
        <f>IFERROR(M36/K36,0)</f>
        <v/>
      </c>
      <c r="O36" s="58">
        <f>'S26'!N36</f>
        <v/>
      </c>
      <c r="P36" s="57">
        <f>N36-O36</f>
        <v/>
      </c>
      <c r="Q36" s="32" t="n"/>
      <c r="R36" s="32" t="n"/>
      <c r="S36" s="32" t="n"/>
      <c r="T36" s="55" t="n"/>
      <c r="U36" s="58">
        <f>'S26'!T36</f>
        <v/>
      </c>
      <c r="V36" s="57">
        <f>T36-U36</f>
        <v/>
      </c>
      <c r="W36" s="57">
        <f>N36-T36</f>
        <v/>
      </c>
      <c r="X36" s="34" t="n"/>
    </row>
    <row r="37" ht="22" customHeight="1">
      <c r="B37" s="5" t="n">
        <v>33</v>
      </c>
      <c r="C37" s="6" t="inlineStr">
        <is>
          <t>Sidi Kacem</t>
        </is>
      </c>
      <c r="D37" s="5" t="inlineStr">
        <is>
          <t>NOUIRAT</t>
        </is>
      </c>
      <c r="E37" s="5" t="inlineStr">
        <is>
          <t>50-21</t>
        </is>
      </c>
      <c r="F37" s="5" t="inlineStr">
        <is>
          <t>Entretien et réparation des stations de pompage</t>
        </is>
      </c>
      <c r="G37" s="5" t="inlineStr">
        <is>
          <t>Prestations de maintenance et de réparation mécanique des pompes et des groupes motopompes submersibles des stations de pompage.</t>
        </is>
      </c>
      <c r="H37" s="5" t="inlineStr">
        <is>
          <t>Démontage et expertise des cinq pompes principaux et pompes a vide de la station E1.
Changement des roulements, tresses et organes d’effectués de la station E1.</t>
        </is>
      </c>
      <c r="I37" s="7" t="n">
        <v>245000</v>
      </c>
      <c r="J37" s="8" t="inlineStr">
        <is>
          <t>U</t>
        </is>
      </c>
      <c r="K37" s="9" t="n">
        <v>5</v>
      </c>
      <c r="L37" s="51" t="n"/>
      <c r="M37" s="52">
        <f>'S26'!M37+L37</f>
        <v/>
      </c>
      <c r="N37" s="53">
        <f>IFERROR(M37/K37,0)</f>
        <v/>
      </c>
      <c r="O37" s="54">
        <f>'S26'!N37</f>
        <v/>
      </c>
      <c r="P37" s="53">
        <f>N37-O37</f>
        <v/>
      </c>
      <c r="Q37" s="32" t="n"/>
      <c r="R37" s="32" t="n"/>
      <c r="S37" s="32" t="n"/>
      <c r="T37" s="55" t="n"/>
      <c r="U37" s="54">
        <f>'S26'!T37</f>
        <v/>
      </c>
      <c r="V37" s="53">
        <f>T37-U37</f>
        <v/>
      </c>
      <c r="W37" s="53">
        <f>N37-T37</f>
        <v/>
      </c>
      <c r="X37" s="34" t="n"/>
    </row>
    <row r="38" ht="22" customHeight="1">
      <c r="B38" s="10" t="n">
        <v>34</v>
      </c>
      <c r="C38" s="6" t="inlineStr">
        <is>
          <t>Sidi Kacem</t>
        </is>
      </c>
      <c r="D38" s="10" t="inlineStr">
        <is>
          <t>NOUIRAT</t>
        </is>
      </c>
      <c r="E38" s="10" t="inlineStr">
        <is>
          <t>50-21</t>
        </is>
      </c>
      <c r="F38" s="10" t="inlineStr">
        <is>
          <t>Entretien et réparation des stations de pompage</t>
        </is>
      </c>
      <c r="G38" s="10" t="inlineStr">
        <is>
          <t>Génie civile des locaux des stations de pompage.</t>
        </is>
      </c>
      <c r="H38" s="10" t="inlineStr">
        <is>
          <t>Expertise d’état et d’étanchéité des locaux pompes, commande, puissance de la station de pompage E1.
Renforcement d’étanchéité des locaux pompe sous niveau des oueds de la station de pompage E1.</t>
        </is>
      </c>
      <c r="I38" s="11" t="n">
        <v>1000000</v>
      </c>
      <c r="J38" s="12" t="inlineStr">
        <is>
          <t>U</t>
        </is>
      </c>
      <c r="K38" s="13" t="n">
        <v>1</v>
      </c>
      <c r="L38" s="51" t="n"/>
      <c r="M38" s="56">
        <f>'S26'!M38+L38</f>
        <v/>
      </c>
      <c r="N38" s="57">
        <f>IFERROR(M38/K38,0)</f>
        <v/>
      </c>
      <c r="O38" s="58">
        <f>'S26'!N38</f>
        <v/>
      </c>
      <c r="P38" s="57">
        <f>N38-O38</f>
        <v/>
      </c>
      <c r="Q38" s="32" t="n"/>
      <c r="R38" s="32" t="n"/>
      <c r="S38" s="32" t="n"/>
      <c r="T38" s="55" t="n"/>
      <c r="U38" s="58">
        <f>'S26'!T38</f>
        <v/>
      </c>
      <c r="V38" s="57">
        <f>T38-U38</f>
        <v/>
      </c>
      <c r="W38" s="57">
        <f>N38-T38</f>
        <v/>
      </c>
      <c r="X38" s="34" t="n"/>
    </row>
    <row r="39" ht="22" customHeight="1">
      <c r="B39" s="5" t="n">
        <v>35</v>
      </c>
      <c r="C39" s="6" t="inlineStr">
        <is>
          <t>Sidi Kacem</t>
        </is>
      </c>
      <c r="D39" s="5" t="inlineStr">
        <is>
          <t>RMILAT</t>
        </is>
      </c>
      <c r="E39" s="5" t="inlineStr">
        <is>
          <t>50-23</t>
        </is>
      </c>
      <c r="F39" s="5" t="inlineStr">
        <is>
          <t>Entretien et réparation du réseau d'assainissement et de drainage</t>
        </is>
      </c>
      <c r="G39" s="5" t="inlineStr">
        <is>
          <t>Travaux de curage des canaux en terre</t>
        </is>
      </c>
      <c r="H39" s="5" t="inlineStr">
        <is>
          <t>Curage des collecteurs d'assainissement des secteurs P7</t>
        </is>
      </c>
      <c r="I39" s="7" t="n">
        <v>5024032</v>
      </c>
      <c r="J39" s="8" t="inlineStr">
        <is>
          <t>ml</t>
        </is>
      </c>
      <c r="K39" s="9" t="n">
        <v>2512</v>
      </c>
      <c r="L39" s="51" t="n"/>
      <c r="M39" s="52">
        <f>'S26'!M39+L39</f>
        <v/>
      </c>
      <c r="N39" s="53">
        <f>IFERROR(M39/K39,0)</f>
        <v/>
      </c>
      <c r="O39" s="54">
        <f>'S26'!N39</f>
        <v/>
      </c>
      <c r="P39" s="53">
        <f>N39-O39</f>
        <v/>
      </c>
      <c r="Q39" s="32" t="n"/>
      <c r="R39" s="32" t="n"/>
      <c r="S39" s="32" t="n"/>
      <c r="T39" s="55" t="n"/>
      <c r="U39" s="54">
        <f>'S26'!T39</f>
        <v/>
      </c>
      <c r="V39" s="53">
        <f>T39-U39</f>
        <v/>
      </c>
      <c r="W39" s="53">
        <f>N39-T39</f>
        <v/>
      </c>
      <c r="X39" s="34" t="n"/>
    </row>
    <row r="40" ht="22" customHeight="1">
      <c r="B40" s="10" t="n">
        <v>36</v>
      </c>
      <c r="C40" s="6" t="inlineStr">
        <is>
          <t>Sidi Kacem</t>
        </is>
      </c>
      <c r="D40" s="10" t="inlineStr">
        <is>
          <t>RMILAT</t>
        </is>
      </c>
      <c r="E40" s="10" t="inlineStr">
        <is>
          <t>40-21</t>
        </is>
      </c>
      <c r="F40" s="10" t="inlineStr">
        <is>
          <t>Travaux de pistes</t>
        </is>
      </c>
      <c r="G40" s="10" t="inlineStr">
        <is>
          <t>Entretien des pistes agricoles</t>
        </is>
      </c>
      <c r="H40" s="10" t="inlineStr">
        <is>
          <t>Entretien des pistes agricoles</t>
        </is>
      </c>
      <c r="I40" s="11" t="n">
        <v>400000</v>
      </c>
      <c r="J40" s="12" t="inlineStr">
        <is>
          <t>km</t>
        </is>
      </c>
      <c r="K40" s="13" t="n">
        <v>1</v>
      </c>
      <c r="L40" s="51" t="n"/>
      <c r="M40" s="56">
        <f>'S26'!M40+L40</f>
        <v/>
      </c>
      <c r="N40" s="57">
        <f>IFERROR(M40/K40,0)</f>
        <v/>
      </c>
      <c r="O40" s="58">
        <f>'S26'!N40</f>
        <v/>
      </c>
      <c r="P40" s="57">
        <f>N40-O40</f>
        <v/>
      </c>
      <c r="Q40" s="32" t="n"/>
      <c r="R40" s="32" t="n"/>
      <c r="S40" s="32" t="n"/>
      <c r="T40" s="55" t="n"/>
      <c r="U40" s="58">
        <f>'S26'!T40</f>
        <v/>
      </c>
      <c r="V40" s="57">
        <f>T40-U40</f>
        <v/>
      </c>
      <c r="W40" s="57">
        <f>N40-T40</f>
        <v/>
      </c>
      <c r="X40" s="34" t="n"/>
    </row>
    <row r="41" ht="22" customHeight="1">
      <c r="B41" s="5" t="n">
        <v>37</v>
      </c>
      <c r="C41" s="6" t="inlineStr">
        <is>
          <t>Sidi Kacem</t>
        </is>
      </c>
      <c r="D41" s="5" t="inlineStr">
        <is>
          <t>SAFSAF</t>
        </is>
      </c>
      <c r="E41" s="5" t="inlineStr">
        <is>
          <t>50-23</t>
        </is>
      </c>
      <c r="F41" s="5" t="inlineStr">
        <is>
          <t>Entretien et réparation du réseau d'assainissement et de drainage</t>
        </is>
      </c>
      <c r="G41" s="5" t="inlineStr">
        <is>
          <t>Travaux de curage des canaux en terre</t>
        </is>
      </c>
      <c r="H41" s="5" t="inlineStr">
        <is>
          <t>Curage des collecteurs d'assainissement des secteurs S7, S9 et S11</t>
        </is>
      </c>
      <c r="I41" s="7" t="n">
        <v>6000000</v>
      </c>
      <c r="J41" s="8" t="inlineStr">
        <is>
          <t>ml</t>
        </is>
      </c>
      <c r="K41" s="9" t="n">
        <v>3000</v>
      </c>
      <c r="L41" s="51" t="n"/>
      <c r="M41" s="52">
        <f>'S26'!M41+L41</f>
        <v/>
      </c>
      <c r="N41" s="53">
        <f>IFERROR(M41/K41,0)</f>
        <v/>
      </c>
      <c r="O41" s="54">
        <f>'S26'!N41</f>
        <v/>
      </c>
      <c r="P41" s="53">
        <f>N41-O41</f>
        <v/>
      </c>
      <c r="Q41" s="32" t="n"/>
      <c r="R41" s="32" t="n"/>
      <c r="S41" s="32" t="n"/>
      <c r="T41" s="55" t="n"/>
      <c r="U41" s="54">
        <f>'S26'!T41</f>
        <v/>
      </c>
      <c r="V41" s="53">
        <f>T41-U41</f>
        <v/>
      </c>
      <c r="W41" s="53">
        <f>N41-T41</f>
        <v/>
      </c>
      <c r="X41" s="34" t="n"/>
    </row>
    <row r="42" ht="22" customHeight="1">
      <c r="B42" s="10" t="n">
        <v>38</v>
      </c>
      <c r="C42" s="6" t="inlineStr">
        <is>
          <t>Sidi Kacem</t>
        </is>
      </c>
      <c r="D42" s="10" t="inlineStr">
        <is>
          <t>SAFSAF</t>
        </is>
      </c>
      <c r="E42" s="10" t="inlineStr">
        <is>
          <t>20-11</t>
        </is>
      </c>
      <c r="F42" s="10" t="inlineStr">
        <is>
          <t>Travaux de réhabilitation des équipements</t>
        </is>
      </c>
      <c r="G42" s="10" t="inlineStr">
        <is>
          <t>Travaux de réhabilitation des canaux portés d'irrigation</t>
        </is>
      </c>
      <c r="H42" s="10" t="inlineStr">
        <is>
          <t>Fourniture et  pose de canaux porté et accessoires du réseau S4 du secteur S11</t>
        </is>
      </c>
      <c r="I42" s="11" t="n">
        <v>232266</v>
      </c>
      <c r="J42" s="12" t="inlineStr">
        <is>
          <t>ml</t>
        </is>
      </c>
      <c r="K42" s="13" t="n">
        <v>77</v>
      </c>
      <c r="L42" s="51" t="n"/>
      <c r="M42" s="56">
        <f>'S26'!M42+L42</f>
        <v/>
      </c>
      <c r="N42" s="57">
        <f>IFERROR(M42/K42,0)</f>
        <v/>
      </c>
      <c r="O42" s="58">
        <f>'S26'!N42</f>
        <v/>
      </c>
      <c r="P42" s="57">
        <f>N42-O42</f>
        <v/>
      </c>
      <c r="Q42" s="32" t="n"/>
      <c r="R42" s="32" t="n"/>
      <c r="S42" s="32" t="n"/>
      <c r="T42" s="55" t="n"/>
      <c r="U42" s="58">
        <f>'S26'!T42</f>
        <v/>
      </c>
      <c r="V42" s="57">
        <f>T42-U42</f>
        <v/>
      </c>
      <c r="W42" s="57">
        <f>N42-T42</f>
        <v/>
      </c>
      <c r="X42" s="34" t="n"/>
    </row>
    <row r="43" ht="22" customHeight="1">
      <c r="B43" s="5" t="n">
        <v>39</v>
      </c>
      <c r="C43" s="6" t="inlineStr">
        <is>
          <t>Sidi Kacem</t>
        </is>
      </c>
      <c r="D43" s="5" t="inlineStr">
        <is>
          <t>SAFSAF</t>
        </is>
      </c>
      <c r="E43" s="5" t="inlineStr">
        <is>
          <t>20-11</t>
        </is>
      </c>
      <c r="F43" s="5" t="inlineStr">
        <is>
          <t>Travaux de réhabilitation des équipements</t>
        </is>
      </c>
      <c r="G43" s="5" t="inlineStr"/>
      <c r="H43" s="5" t="inlineStr">
        <is>
          <t>Recalage des canaux portés du réseau T5S5 du secteur S9</t>
        </is>
      </c>
      <c r="I43" s="7" t="n">
        <v>1055025</v>
      </c>
      <c r="J43" s="8" t="inlineStr">
        <is>
          <t>ml</t>
        </is>
      </c>
      <c r="K43" s="9" t="n">
        <v>352</v>
      </c>
      <c r="L43" s="51" t="n"/>
      <c r="M43" s="52">
        <f>'S26'!M43+L43</f>
        <v/>
      </c>
      <c r="N43" s="53">
        <f>IFERROR(M43/K43,0)</f>
        <v/>
      </c>
      <c r="O43" s="54">
        <f>'S26'!N43</f>
        <v/>
      </c>
      <c r="P43" s="53">
        <f>N43-O43</f>
        <v/>
      </c>
      <c r="Q43" s="32" t="n"/>
      <c r="R43" s="32" t="n"/>
      <c r="S43" s="32" t="n"/>
      <c r="T43" s="55" t="n"/>
      <c r="U43" s="54">
        <f>'S26'!T43</f>
        <v/>
      </c>
      <c r="V43" s="53">
        <f>T43-U43</f>
        <v/>
      </c>
      <c r="W43" s="53">
        <f>N43-T43</f>
        <v/>
      </c>
      <c r="X43" s="34" t="n"/>
    </row>
    <row r="44" ht="22" customHeight="1">
      <c r="B44" s="10" t="n">
        <v>40</v>
      </c>
      <c r="C44" s="6" t="inlineStr">
        <is>
          <t>Sidi Kacem</t>
        </is>
      </c>
      <c r="D44" s="10" t="inlineStr">
        <is>
          <t>SAFSAF</t>
        </is>
      </c>
      <c r="E44" s="10" t="inlineStr">
        <is>
          <t>20-11</t>
        </is>
      </c>
      <c r="F44" s="10" t="inlineStr">
        <is>
          <t>Travaux de réhabilitation des équipements</t>
        </is>
      </c>
      <c r="G44" s="10" t="inlineStr"/>
      <c r="H44" s="10" t="inlineStr">
        <is>
          <t>Recalage des canaux portés du réseau T7S5 du secteur S9</t>
        </is>
      </c>
      <c r="I44" s="11" t="n">
        <v>1004535</v>
      </c>
      <c r="J44" s="12" t="inlineStr">
        <is>
          <t>ml</t>
        </is>
      </c>
      <c r="K44" s="13" t="n">
        <v>335</v>
      </c>
      <c r="L44" s="51" t="n"/>
      <c r="M44" s="56">
        <f>'S26'!M44+L44</f>
        <v/>
      </c>
      <c r="N44" s="57">
        <f>IFERROR(M44/K44,0)</f>
        <v/>
      </c>
      <c r="O44" s="58">
        <f>'S26'!N44</f>
        <v/>
      </c>
      <c r="P44" s="57">
        <f>N44-O44</f>
        <v/>
      </c>
      <c r="Q44" s="32" t="n"/>
      <c r="R44" s="32" t="n"/>
      <c r="S44" s="32" t="n"/>
      <c r="T44" s="55" t="n"/>
      <c r="U44" s="58">
        <f>'S26'!T44</f>
        <v/>
      </c>
      <c r="V44" s="57">
        <f>T44-U44</f>
        <v/>
      </c>
      <c r="W44" s="57">
        <f>N44-T44</f>
        <v/>
      </c>
      <c r="X44" s="34" t="n"/>
    </row>
    <row r="45" ht="22" customHeight="1">
      <c r="B45" s="5" t="n">
        <v>41</v>
      </c>
      <c r="C45" s="6" t="inlineStr">
        <is>
          <t>Sidi Kacem</t>
        </is>
      </c>
      <c r="D45" s="5" t="inlineStr">
        <is>
          <t>SAFSAF</t>
        </is>
      </c>
      <c r="E45" s="5" t="inlineStr">
        <is>
          <t>20-11</t>
        </is>
      </c>
      <c r="F45" s="5" t="inlineStr">
        <is>
          <t>Travaux de réhabilitation des équipements</t>
        </is>
      </c>
      <c r="G45" s="5" t="inlineStr"/>
      <c r="H45" s="5" t="inlineStr">
        <is>
          <t>Recalage des canaux portés du réseau T2S5 du secteur S9</t>
        </is>
      </c>
      <c r="I45" s="7" t="n">
        <v>793830</v>
      </c>
      <c r="J45" s="8" t="inlineStr">
        <is>
          <t>ml</t>
        </is>
      </c>
      <c r="K45" s="9" t="n">
        <v>265</v>
      </c>
      <c r="L45" s="51" t="n"/>
      <c r="M45" s="52">
        <f>'S26'!M45+L45</f>
        <v/>
      </c>
      <c r="N45" s="53">
        <f>IFERROR(M45/K45,0)</f>
        <v/>
      </c>
      <c r="O45" s="54">
        <f>'S26'!N45</f>
        <v/>
      </c>
      <c r="P45" s="53">
        <f>N45-O45</f>
        <v/>
      </c>
      <c r="Q45" s="32" t="n"/>
      <c r="R45" s="32" t="n"/>
      <c r="S45" s="32" t="n"/>
      <c r="T45" s="55" t="n"/>
      <c r="U45" s="54">
        <f>'S26'!T45</f>
        <v/>
      </c>
      <c r="V45" s="53">
        <f>T45-U45</f>
        <v/>
      </c>
      <c r="W45" s="53">
        <f>N45-T45</f>
        <v/>
      </c>
      <c r="X45" s="34" t="n"/>
    </row>
    <row r="46" ht="22" customHeight="1">
      <c r="B46" s="10" t="n">
        <v>42</v>
      </c>
      <c r="C46" s="6" t="inlineStr">
        <is>
          <t>Sidi Kacem</t>
        </is>
      </c>
      <c r="D46" s="10" t="inlineStr">
        <is>
          <t>SAFSAF</t>
        </is>
      </c>
      <c r="E46" s="10" t="inlineStr">
        <is>
          <t>40-21</t>
        </is>
      </c>
      <c r="F46" s="10" t="inlineStr">
        <is>
          <t>Travaux de pistes</t>
        </is>
      </c>
      <c r="G46" s="10" t="inlineStr">
        <is>
          <t>Entretien des pistes agricoles</t>
        </is>
      </c>
      <c r="H46" s="10" t="inlineStr">
        <is>
          <t>Entretien des pistes agricoles</t>
        </is>
      </c>
      <c r="I46" s="11" t="n">
        <v>2000000</v>
      </c>
      <c r="J46" s="12" t="inlineStr">
        <is>
          <t>km</t>
        </is>
      </c>
      <c r="K46" s="13" t="n">
        <v>4</v>
      </c>
      <c r="L46" s="51" t="n"/>
      <c r="M46" s="56">
        <f>'S26'!M46+L46</f>
        <v/>
      </c>
      <c r="N46" s="57">
        <f>IFERROR(M46/K46,0)</f>
        <v/>
      </c>
      <c r="O46" s="58">
        <f>'S26'!N46</f>
        <v/>
      </c>
      <c r="P46" s="57">
        <f>N46-O46</f>
        <v/>
      </c>
      <c r="Q46" s="32" t="n"/>
      <c r="R46" s="32" t="n"/>
      <c r="S46" s="32" t="n"/>
      <c r="T46" s="55" t="n"/>
      <c r="U46" s="58">
        <f>'S26'!T46</f>
        <v/>
      </c>
      <c r="V46" s="57">
        <f>T46-U46</f>
        <v/>
      </c>
      <c r="W46" s="57">
        <f>N46-T46</f>
        <v/>
      </c>
      <c r="X46" s="34" t="n"/>
    </row>
    <row r="47" ht="22" customHeight="1">
      <c r="B47" s="5" t="n">
        <v>43</v>
      </c>
      <c r="C47" s="6" t="inlineStr">
        <is>
          <t>Sidi Kacem</t>
        </is>
      </c>
      <c r="D47" s="5" t="inlineStr">
        <is>
          <t>SAFSAF</t>
        </is>
      </c>
      <c r="E47" s="5" t="inlineStr">
        <is>
          <t>50-23</t>
        </is>
      </c>
      <c r="F47" s="5" t="inlineStr">
        <is>
          <t>Entretien et réparation du réseau d'assainissement et de drainage</t>
        </is>
      </c>
      <c r="G47" s="5" t="inlineStr">
        <is>
          <t>Curage des prises sur l’oued, bâche d’aspiration et bassin de régulation.</t>
        </is>
      </c>
      <c r="H47" s="5" t="inlineStr">
        <is>
          <t>Curage des prises sur l’oued des stations de pompage S11, S9, 7D et 7B.
Nettoyage des grilles de préfiltration des boues colmaté des stations de pompage S11, S9, 7D et 7B.
Nettoyage des crépines des boues colmaté de station pompage 7D.
Curage des dalots et bâche d’aspiration des stations de pompage S11, S9, 7B.</t>
        </is>
      </c>
      <c r="I47" s="7" t="n">
        <v>200000</v>
      </c>
      <c r="J47" s="8" t="inlineStr">
        <is>
          <t>ml</t>
        </is>
      </c>
      <c r="K47" s="9" t="n">
        <v>67</v>
      </c>
      <c r="L47" s="51" t="n"/>
      <c r="M47" s="52">
        <f>'S26'!M47+L47</f>
        <v/>
      </c>
      <c r="N47" s="53">
        <f>IFERROR(M47/K47,0)</f>
        <v/>
      </c>
      <c r="O47" s="54">
        <f>'S26'!N47</f>
        <v/>
      </c>
      <c r="P47" s="53">
        <f>N47-O47</f>
        <v/>
      </c>
      <c r="Q47" s="32" t="n"/>
      <c r="R47" s="32" t="n"/>
      <c r="S47" s="32" t="n"/>
      <c r="T47" s="55" t="n"/>
      <c r="U47" s="54">
        <f>'S26'!T47</f>
        <v/>
      </c>
      <c r="V47" s="53">
        <f>T47-U47</f>
        <v/>
      </c>
      <c r="W47" s="53">
        <f>N47-T47</f>
        <v/>
      </c>
      <c r="X47" s="34" t="n"/>
    </row>
    <row r="48" ht="22" customHeight="1">
      <c r="B48" s="10" t="n">
        <v>44</v>
      </c>
      <c r="C48" s="6" t="inlineStr">
        <is>
          <t>Sidi Kacem</t>
        </is>
      </c>
      <c r="D48" s="10" t="inlineStr">
        <is>
          <t>SAFSAF</t>
        </is>
      </c>
      <c r="E48" s="10" t="inlineStr">
        <is>
          <t>50-21</t>
        </is>
      </c>
      <c r="F48" s="10" t="inlineStr">
        <is>
          <t>Entretien et réparation des stations de pompage</t>
        </is>
      </c>
      <c r="G48" s="10" t="inlineStr">
        <is>
          <t>Prestation de maintenance des débitmètres et leurs équipements annexes installés au niveau des station de pompage</t>
        </is>
      </c>
      <c r="H48" s="10" t="inlineStr">
        <is>
          <t>Changements Sept des débitmètres Ø 600mm inondé des deux stations de pompage S11 et S9.</t>
        </is>
      </c>
      <c r="I48" s="11" t="n">
        <v>580000</v>
      </c>
      <c r="J48" s="12" t="inlineStr">
        <is>
          <t>U</t>
        </is>
      </c>
      <c r="K48" s="13" t="n">
        <v>7</v>
      </c>
      <c r="L48" s="51" t="n"/>
      <c r="M48" s="56">
        <f>'S26'!M48+L48</f>
        <v/>
      </c>
      <c r="N48" s="57">
        <f>IFERROR(M48/K48,0)</f>
        <v/>
      </c>
      <c r="O48" s="58">
        <f>'S26'!N48</f>
        <v/>
      </c>
      <c r="P48" s="57">
        <f>N48-O48</f>
        <v/>
      </c>
      <c r="Q48" s="32" t="n"/>
      <c r="R48" s="32" t="n"/>
      <c r="S48" s="32" t="n"/>
      <c r="T48" s="55" t="n"/>
      <c r="U48" s="58">
        <f>'S26'!T48</f>
        <v/>
      </c>
      <c r="V48" s="57">
        <f>T48-U48</f>
        <v/>
      </c>
      <c r="W48" s="57">
        <f>N48-T48</f>
        <v/>
      </c>
      <c r="X48" s="34" t="n"/>
    </row>
    <row r="49" ht="22" customHeight="1">
      <c r="B49" s="5" t="n">
        <v>45</v>
      </c>
      <c r="C49" s="6" t="inlineStr">
        <is>
          <t>Sidi Kacem</t>
        </is>
      </c>
      <c r="D49" s="5" t="inlineStr">
        <is>
          <t>SAFSAF</t>
        </is>
      </c>
      <c r="E49" s="5" t="inlineStr">
        <is>
          <t>50-21</t>
        </is>
      </c>
      <c r="F49" s="5" t="inlineStr">
        <is>
          <t>Entretien et réparation des stations de pompage</t>
        </is>
      </c>
      <c r="G49" s="5" t="inlineStr">
        <is>
          <t>Stabilisation Berge oued</t>
        </is>
      </c>
      <c r="H49" s="5" t="inlineStr">
        <is>
          <t>Pose de murs en gabions et recouvrement du talus par matelas Reno des stations de pompage S11, S9, 7D et 7B .</t>
        </is>
      </c>
      <c r="I49" s="7" t="n">
        <v>4000000</v>
      </c>
      <c r="J49" s="8" t="inlineStr">
        <is>
          <t>m³</t>
        </is>
      </c>
      <c r="K49" s="9" t="n">
        <v>2667</v>
      </c>
      <c r="L49" s="51" t="n"/>
      <c r="M49" s="52">
        <f>'S26'!M49+L49</f>
        <v/>
      </c>
      <c r="N49" s="53">
        <f>IFERROR(M49/K49,0)</f>
        <v/>
      </c>
      <c r="O49" s="54">
        <f>'S26'!N49</f>
        <v/>
      </c>
      <c r="P49" s="53">
        <f>N49-O49</f>
        <v/>
      </c>
      <c r="Q49" s="32" t="n"/>
      <c r="R49" s="32" t="n"/>
      <c r="S49" s="32" t="n"/>
      <c r="T49" s="55" t="n"/>
      <c r="U49" s="54">
        <f>'S26'!T49</f>
        <v/>
      </c>
      <c r="V49" s="53">
        <f>T49-U49</f>
        <v/>
      </c>
      <c r="W49" s="53">
        <f>N49-T49</f>
        <v/>
      </c>
      <c r="X49" s="34" t="n"/>
    </row>
    <row r="50" ht="22" customHeight="1">
      <c r="B50" s="10" t="n">
        <v>46</v>
      </c>
      <c r="C50" s="6" t="inlineStr">
        <is>
          <t>Sidi Kacem</t>
        </is>
      </c>
      <c r="D50" s="10" t="inlineStr">
        <is>
          <t>SIDI AZZOUZ</t>
        </is>
      </c>
      <c r="E50" s="10" t="inlineStr">
        <is>
          <t>40-21</t>
        </is>
      </c>
      <c r="F50" s="10" t="inlineStr">
        <is>
          <t>Travaux de pistes</t>
        </is>
      </c>
      <c r="G50" s="10" t="inlineStr">
        <is>
          <t>Entretien des pistes agricoles</t>
        </is>
      </c>
      <c r="H50" s="10" t="inlineStr">
        <is>
          <t>Entretien des pistes agricoles</t>
        </is>
      </c>
      <c r="I50" s="11" t="n">
        <v>655000</v>
      </c>
      <c r="J50" s="12" t="inlineStr">
        <is>
          <t>km</t>
        </is>
      </c>
      <c r="K50" s="13" t="n">
        <v>1</v>
      </c>
      <c r="L50" s="51" t="n"/>
      <c r="M50" s="56">
        <f>'S26'!M50+L50</f>
        <v/>
      </c>
      <c r="N50" s="57">
        <f>IFERROR(M50/K50,0)</f>
        <v/>
      </c>
      <c r="O50" s="58">
        <f>'S26'!N50</f>
        <v/>
      </c>
      <c r="P50" s="57">
        <f>N50-O50</f>
        <v/>
      </c>
      <c r="Q50" s="32" t="n"/>
      <c r="R50" s="32" t="n"/>
      <c r="S50" s="32" t="n"/>
      <c r="T50" s="55" t="n"/>
      <c r="U50" s="58">
        <f>'S26'!T50</f>
        <v/>
      </c>
      <c r="V50" s="57">
        <f>T50-U50</f>
        <v/>
      </c>
      <c r="W50" s="57">
        <f>N50-T50</f>
        <v/>
      </c>
      <c r="X50" s="34" t="n"/>
    </row>
    <row r="51" ht="22" customHeight="1">
      <c r="B51" s="5" t="n">
        <v>47</v>
      </c>
      <c r="C51" s="6" t="inlineStr">
        <is>
          <t>Sidi Kacem</t>
        </is>
      </c>
      <c r="D51" s="5" t="inlineStr">
        <is>
          <t>SIDI EL KAMEL</t>
        </is>
      </c>
      <c r="E51" s="5" t="inlineStr">
        <is>
          <t>20-11</t>
        </is>
      </c>
      <c r="F51" s="5" t="inlineStr">
        <is>
          <t>Travaux de réhabilitation des équipements</t>
        </is>
      </c>
      <c r="G51" s="5" t="inlineStr">
        <is>
          <t>Travaux de réhabilitation des canaux portés d'irrigation</t>
        </is>
      </c>
      <c r="H51" s="5" t="inlineStr">
        <is>
          <t>Fourniture et de pose de canaux porté et accessoires du réseau SR4 du secteur S3R</t>
        </is>
      </c>
      <c r="I51" s="7" t="n">
        <v>5182920</v>
      </c>
      <c r="J51" s="8" t="inlineStr">
        <is>
          <t>ml</t>
        </is>
      </c>
      <c r="K51" s="9" t="n">
        <v>1728</v>
      </c>
      <c r="L51" s="51" t="n"/>
      <c r="M51" s="52">
        <f>'S26'!M51+L51</f>
        <v/>
      </c>
      <c r="N51" s="53">
        <f>IFERROR(M51/K51,0)</f>
        <v/>
      </c>
      <c r="O51" s="54">
        <f>'S26'!N51</f>
        <v/>
      </c>
      <c r="P51" s="53">
        <f>N51-O51</f>
        <v/>
      </c>
      <c r="Q51" s="32" t="n"/>
      <c r="R51" s="32" t="n"/>
      <c r="S51" s="32" t="n"/>
      <c r="T51" s="55" t="n"/>
      <c r="U51" s="54">
        <f>'S26'!T51</f>
        <v/>
      </c>
      <c r="V51" s="53">
        <f>T51-U51</f>
        <v/>
      </c>
      <c r="W51" s="53">
        <f>N51-T51</f>
        <v/>
      </c>
      <c r="X51" s="34" t="n"/>
    </row>
    <row r="52" ht="22" customHeight="1">
      <c r="B52" s="10" t="n">
        <v>48</v>
      </c>
      <c r="C52" s="6" t="inlineStr">
        <is>
          <t>Sidi Kacem</t>
        </is>
      </c>
      <c r="D52" s="10" t="inlineStr">
        <is>
          <t>SIDI EL KAMEL</t>
        </is>
      </c>
      <c r="E52" s="10" t="inlineStr">
        <is>
          <t>20-11</t>
        </is>
      </c>
      <c r="F52" s="10" t="inlineStr">
        <is>
          <t>Travaux de réhabilitation des équipements</t>
        </is>
      </c>
      <c r="G52" s="10" t="inlineStr"/>
      <c r="H52" s="10" t="inlineStr">
        <is>
          <t>Fourniture et de pose de canaux porté et accessoires du réseau SR6 du secteur S1RIZ</t>
        </is>
      </c>
      <c r="I52" s="11" t="n">
        <v>152818</v>
      </c>
      <c r="J52" s="12" t="inlineStr">
        <is>
          <t>ml</t>
        </is>
      </c>
      <c r="K52" s="13" t="n">
        <v>51</v>
      </c>
      <c r="L52" s="51" t="n"/>
      <c r="M52" s="56">
        <f>'S26'!M52+L52</f>
        <v/>
      </c>
      <c r="N52" s="57">
        <f>IFERROR(M52/K52,0)</f>
        <v/>
      </c>
      <c r="O52" s="58">
        <f>'S26'!N52</f>
        <v/>
      </c>
      <c r="P52" s="57">
        <f>N52-O52</f>
        <v/>
      </c>
      <c r="Q52" s="32" t="n"/>
      <c r="R52" s="32" t="n"/>
      <c r="S52" s="32" t="n"/>
      <c r="T52" s="55" t="n"/>
      <c r="U52" s="58">
        <f>'S26'!T52</f>
        <v/>
      </c>
      <c r="V52" s="57">
        <f>T52-U52</f>
        <v/>
      </c>
      <c r="W52" s="57">
        <f>N52-T52</f>
        <v/>
      </c>
      <c r="X52" s="34" t="n"/>
    </row>
    <row r="53" ht="22" customHeight="1">
      <c r="B53" s="5" t="n">
        <v>49</v>
      </c>
      <c r="C53" s="6" t="inlineStr">
        <is>
          <t>Sidi Kacem</t>
        </is>
      </c>
      <c r="D53" s="5" t="inlineStr">
        <is>
          <t>SIDI EL KAMEL</t>
        </is>
      </c>
      <c r="E53" s="5" t="inlineStr">
        <is>
          <t>20-11</t>
        </is>
      </c>
      <c r="F53" s="5" t="inlineStr">
        <is>
          <t>Travaux de réhabilitation des équipements</t>
        </is>
      </c>
      <c r="G53" s="5" t="inlineStr"/>
      <c r="H53" s="5" t="inlineStr">
        <is>
          <t>Recalage des canaux portés du réseau SR4 du secteur S3R</t>
        </is>
      </c>
      <c r="I53" s="7" t="n">
        <v>1418000</v>
      </c>
      <c r="J53" s="8" t="inlineStr">
        <is>
          <t>ml</t>
        </is>
      </c>
      <c r="K53" s="9" t="n">
        <v>473</v>
      </c>
      <c r="L53" s="51" t="n"/>
      <c r="M53" s="52">
        <f>'S26'!M53+L53</f>
        <v/>
      </c>
      <c r="N53" s="53">
        <f>IFERROR(M53/K53,0)</f>
        <v/>
      </c>
      <c r="O53" s="54">
        <f>'S26'!N53</f>
        <v/>
      </c>
      <c r="P53" s="53">
        <f>N53-O53</f>
        <v/>
      </c>
      <c r="Q53" s="32" t="n"/>
      <c r="R53" s="32" t="n"/>
      <c r="S53" s="32" t="n"/>
      <c r="T53" s="55" t="n"/>
      <c r="U53" s="54">
        <f>'S26'!T53</f>
        <v/>
      </c>
      <c r="V53" s="53">
        <f>T53-U53</f>
        <v/>
      </c>
      <c r="W53" s="53">
        <f>N53-T53</f>
        <v/>
      </c>
      <c r="X53" s="34" t="n"/>
    </row>
    <row r="54" ht="22" customHeight="1">
      <c r="B54" s="10" t="n">
        <v>50</v>
      </c>
      <c r="C54" s="6" t="inlineStr">
        <is>
          <t>Sidi Kacem</t>
        </is>
      </c>
      <c r="D54" s="10" t="inlineStr">
        <is>
          <t>SIDI EL KAMEL</t>
        </is>
      </c>
      <c r="E54" s="10" t="inlineStr">
        <is>
          <t>20-11</t>
        </is>
      </c>
      <c r="F54" s="10" t="inlineStr">
        <is>
          <t>Travaux de réhabilitation des équipements</t>
        </is>
      </c>
      <c r="G54" s="10" t="inlineStr">
        <is>
          <t>Travaux de réhabilitation des ouvrages de génie civil</t>
        </is>
      </c>
      <c r="H54" s="10" t="inlineStr">
        <is>
          <t>Réhabilitation des murs de soutènements des ouvrages de franchissements du canal d'assainissement CS3 secteur S3 et de l’ouvrage de franchissement du canal primaire d’irrigation du secteur S1R au niveau de la route provinciale P4234</t>
        </is>
      </c>
      <c r="I54" s="11" t="n">
        <v>800000</v>
      </c>
      <c r="J54" s="12" t="inlineStr">
        <is>
          <t>ml</t>
        </is>
      </c>
      <c r="K54" s="13" t="n">
        <v>400</v>
      </c>
      <c r="L54" s="51" t="n"/>
      <c r="M54" s="56">
        <f>'S26'!M54+L54</f>
        <v/>
      </c>
      <c r="N54" s="57">
        <f>IFERROR(M54/K54,0)</f>
        <v/>
      </c>
      <c r="O54" s="58">
        <f>'S26'!N54</f>
        <v/>
      </c>
      <c r="P54" s="57">
        <f>N54-O54</f>
        <v/>
      </c>
      <c r="Q54" s="32" t="n"/>
      <c r="R54" s="32" t="n"/>
      <c r="S54" s="32" t="n"/>
      <c r="T54" s="55" t="n"/>
      <c r="U54" s="58">
        <f>'S26'!T54</f>
        <v/>
      </c>
      <c r="V54" s="57">
        <f>T54-U54</f>
        <v/>
      </c>
      <c r="W54" s="57">
        <f>N54-T54</f>
        <v/>
      </c>
      <c r="X54" s="34" t="n"/>
    </row>
    <row r="55" ht="22" customHeight="1">
      <c r="B55" s="5" t="n">
        <v>51</v>
      </c>
      <c r="C55" s="6" t="inlineStr">
        <is>
          <t>Sidi Kacem</t>
        </is>
      </c>
      <c r="D55" s="5" t="inlineStr">
        <is>
          <t>SIDI EL KAMEL</t>
        </is>
      </c>
      <c r="E55" s="5" t="inlineStr">
        <is>
          <t>40-21</t>
        </is>
      </c>
      <c r="F55" s="5" t="inlineStr">
        <is>
          <t>Travaux de pistes</t>
        </is>
      </c>
      <c r="G55" s="5" t="inlineStr">
        <is>
          <t>Entretien des pistes agricoles</t>
        </is>
      </c>
      <c r="H55" s="5" t="inlineStr">
        <is>
          <t>Entretien des pistes agricoles</t>
        </is>
      </c>
      <c r="I55" s="7" t="n">
        <v>3700000</v>
      </c>
      <c r="J55" s="8" t="inlineStr">
        <is>
          <t>km</t>
        </is>
      </c>
      <c r="K55" s="9" t="n">
        <v>7</v>
      </c>
      <c r="L55" s="51" t="n"/>
      <c r="M55" s="52">
        <f>'S26'!M55+L55</f>
        <v/>
      </c>
      <c r="N55" s="53">
        <f>IFERROR(M55/K55,0)</f>
        <v/>
      </c>
      <c r="O55" s="54">
        <f>'S26'!N55</f>
        <v/>
      </c>
      <c r="P55" s="53">
        <f>N55-O55</f>
        <v/>
      </c>
      <c r="Q55" s="32" t="n"/>
      <c r="R55" s="32" t="n"/>
      <c r="S55" s="32" t="n"/>
      <c r="T55" s="55" t="n"/>
      <c r="U55" s="54">
        <f>'S26'!T55</f>
        <v/>
      </c>
      <c r="V55" s="53">
        <f>T55-U55</f>
        <v/>
      </c>
      <c r="W55" s="53">
        <f>N55-T55</f>
        <v/>
      </c>
      <c r="X55" s="34" t="n"/>
    </row>
    <row r="56" ht="22" customHeight="1">
      <c r="B56" s="10" t="n">
        <v>52</v>
      </c>
      <c r="C56" s="6" t="inlineStr">
        <is>
          <t>Sidi Kacem</t>
        </is>
      </c>
      <c r="D56" s="10" t="inlineStr">
        <is>
          <t>SIDI EL KAMEL</t>
        </is>
      </c>
      <c r="E56" s="10" t="inlineStr">
        <is>
          <t>50-21</t>
        </is>
      </c>
      <c r="F56" s="10" t="inlineStr">
        <is>
          <t>Entretien et réparation des stations de pompage</t>
        </is>
      </c>
      <c r="G56" s="10" t="inlineStr">
        <is>
          <t>Prestation de maintenance des débitmètres et leurs équipements annexes installés au niveau des station de pompage</t>
        </is>
      </c>
      <c r="H56" s="10" t="inlineStr">
        <is>
          <t>Changement de quatre débitmètres Ø 500mm et trois Ø 800mm inondé des stations de pompage 1R, 3R et 5R.</t>
        </is>
      </c>
      <c r="I56" s="11" t="n">
        <v>705000</v>
      </c>
      <c r="J56" s="12" t="inlineStr">
        <is>
          <t>U</t>
        </is>
      </c>
      <c r="K56" s="13" t="n">
        <v>3</v>
      </c>
      <c r="L56" s="51" t="n"/>
      <c r="M56" s="56">
        <f>'S26'!M56+L56</f>
        <v/>
      </c>
      <c r="N56" s="57">
        <f>IFERROR(M56/K56,0)</f>
        <v/>
      </c>
      <c r="O56" s="58">
        <f>'S26'!N56</f>
        <v/>
      </c>
      <c r="P56" s="57">
        <f>N56-O56</f>
        <v/>
      </c>
      <c r="Q56" s="32" t="n"/>
      <c r="R56" s="32" t="n"/>
      <c r="S56" s="32" t="n"/>
      <c r="T56" s="55" t="n"/>
      <c r="U56" s="58">
        <f>'S26'!T56</f>
        <v/>
      </c>
      <c r="V56" s="57">
        <f>T56-U56</f>
        <v/>
      </c>
      <c r="W56" s="57">
        <f>N56-T56</f>
        <v/>
      </c>
      <c r="X56" s="34" t="n"/>
    </row>
    <row r="57" ht="22" customHeight="1">
      <c r="B57" s="5" t="n">
        <v>53</v>
      </c>
      <c r="C57" s="6" t="inlineStr">
        <is>
          <t>Sidi Kacem</t>
        </is>
      </c>
      <c r="D57" s="5" t="inlineStr">
        <is>
          <t>SIDI EL KAMEL</t>
        </is>
      </c>
      <c r="E57" s="5" t="inlineStr">
        <is>
          <t>50-21</t>
        </is>
      </c>
      <c r="F57" s="5" t="inlineStr">
        <is>
          <t>Entretien et réparation des stations de pompage</t>
        </is>
      </c>
      <c r="G57" s="5" t="inlineStr">
        <is>
          <t>Mur clôture des stations de pompage.</t>
        </is>
      </c>
      <c r="H57" s="5" t="inlineStr">
        <is>
          <t>Stabilisation et reconstruction des murs clôture cote oued des stations de pompage 7A, 3R et 1R.</t>
        </is>
      </c>
      <c r="I57" s="7" t="n">
        <v>372000</v>
      </c>
      <c r="J57" s="8" t="inlineStr">
        <is>
          <t>ml</t>
        </is>
      </c>
      <c r="K57" s="9" t="n">
        <v>124</v>
      </c>
      <c r="L57" s="51" t="n"/>
      <c r="M57" s="52">
        <f>'S26'!M57+L57</f>
        <v/>
      </c>
      <c r="N57" s="53">
        <f>IFERROR(M57/K57,0)</f>
        <v/>
      </c>
      <c r="O57" s="54">
        <f>'S26'!N57</f>
        <v/>
      </c>
      <c r="P57" s="53">
        <f>N57-O57</f>
        <v/>
      </c>
      <c r="Q57" s="32" t="n"/>
      <c r="R57" s="32" t="n"/>
      <c r="S57" s="32" t="n"/>
      <c r="T57" s="55" t="n"/>
      <c r="U57" s="54">
        <f>'S26'!T57</f>
        <v/>
      </c>
      <c r="V57" s="53">
        <f>T57-U57</f>
        <v/>
      </c>
      <c r="W57" s="53">
        <f>N57-T57</f>
        <v/>
      </c>
      <c r="X57" s="34" t="n"/>
    </row>
    <row r="58" ht="22" customHeight="1">
      <c r="B58" s="10" t="n">
        <v>54</v>
      </c>
      <c r="C58" s="14" t="inlineStr">
        <is>
          <t>Kénitra</t>
        </is>
      </c>
      <c r="D58" s="10" t="inlineStr">
        <is>
          <t>Bni malek</t>
        </is>
      </c>
      <c r="E58" s="10" t="inlineStr">
        <is>
          <t>50-23</t>
        </is>
      </c>
      <c r="F58" s="10" t="inlineStr">
        <is>
          <t>Entretien et réparation du réseau d'assainissement et de drainage</t>
        </is>
      </c>
      <c r="G58" s="10" t="inlineStr">
        <is>
          <t>Travaux de curage des canaux en terre</t>
        </is>
      </c>
      <c r="H58" s="10" t="inlineStr">
        <is>
          <t>Curage des emissaires et colatures secondaire au niveau des secteurs MDA ET N9</t>
        </is>
      </c>
      <c r="I58" s="11" t="n">
        <v>10000000</v>
      </c>
      <c r="J58" s="12" t="inlineStr">
        <is>
          <t>ml</t>
        </is>
      </c>
      <c r="K58" s="13" t="n">
        <v>5000</v>
      </c>
      <c r="L58" s="51" t="n"/>
      <c r="M58" s="56">
        <f>'S26'!M58+L58</f>
        <v/>
      </c>
      <c r="N58" s="57">
        <f>IFERROR(M58/K58,0)</f>
        <v/>
      </c>
      <c r="O58" s="58">
        <f>'S26'!N58</f>
        <v/>
      </c>
      <c r="P58" s="57">
        <f>N58-O58</f>
        <v/>
      </c>
      <c r="Q58" s="32" t="n"/>
      <c r="R58" s="32" t="n"/>
      <c r="S58" s="32" t="n"/>
      <c r="T58" s="55" t="n"/>
      <c r="U58" s="58">
        <f>'S26'!T58</f>
        <v/>
      </c>
      <c r="V58" s="57">
        <f>T58-U58</f>
        <v/>
      </c>
      <c r="W58" s="57">
        <f>N58-T58</f>
        <v/>
      </c>
      <c r="X58" s="34" t="n"/>
    </row>
    <row r="59" ht="22" customHeight="1">
      <c r="B59" s="5" t="n">
        <v>55</v>
      </c>
      <c r="C59" s="14" t="inlineStr">
        <is>
          <t>Kénitra</t>
        </is>
      </c>
      <c r="D59" s="5" t="inlineStr">
        <is>
          <t>Bni malek</t>
        </is>
      </c>
      <c r="E59" s="5" t="inlineStr">
        <is>
          <t>40-21</t>
        </is>
      </c>
      <c r="F59" s="5" t="inlineStr">
        <is>
          <t>Travaux de pistes</t>
        </is>
      </c>
      <c r="G59" s="5" t="inlineStr">
        <is>
          <t>Travaux de réhabilitation des pistes agricoles</t>
        </is>
      </c>
      <c r="H59" s="5" t="inlineStr">
        <is>
          <t>Entretien des pistes agricoles des secteurs MDA et N3</t>
        </is>
      </c>
      <c r="I59" s="7" t="n">
        <v>2000000</v>
      </c>
      <c r="J59" s="8" t="inlineStr">
        <is>
          <t>km</t>
        </is>
      </c>
      <c r="K59" s="9" t="n">
        <v>4</v>
      </c>
      <c r="L59" s="51" t="n"/>
      <c r="M59" s="52">
        <f>'S26'!M59+L59</f>
        <v/>
      </c>
      <c r="N59" s="53">
        <f>IFERROR(M59/K59,0)</f>
        <v/>
      </c>
      <c r="O59" s="54">
        <f>'S26'!N59</f>
        <v/>
      </c>
      <c r="P59" s="53">
        <f>N59-O59</f>
        <v/>
      </c>
      <c r="Q59" s="32" t="n"/>
      <c r="R59" s="32" t="n"/>
      <c r="S59" s="32" t="n"/>
      <c r="T59" s="55" t="n"/>
      <c r="U59" s="54">
        <f>'S26'!T59</f>
        <v/>
      </c>
      <c r="V59" s="53">
        <f>T59-U59</f>
        <v/>
      </c>
      <c r="W59" s="53">
        <f>N59-T59</f>
        <v/>
      </c>
      <c r="X59" s="34" t="n"/>
    </row>
    <row r="60" ht="22" customHeight="1">
      <c r="B60" s="10" t="n">
        <v>56</v>
      </c>
      <c r="C60" s="14" t="inlineStr">
        <is>
          <t>Kénitra</t>
        </is>
      </c>
      <c r="D60" s="10" t="inlineStr">
        <is>
          <t>Bni malek</t>
        </is>
      </c>
      <c r="E60" s="10" t="inlineStr">
        <is>
          <t>50-21</t>
        </is>
      </c>
      <c r="F60" s="10" t="inlineStr">
        <is>
          <t>Entretien et réparation des stations de pompage</t>
        </is>
      </c>
      <c r="G60" s="10" t="inlineStr">
        <is>
          <t>Prestations de maintenance et de réparation mécanique des pompes et des groupes motopompes submersibles des stations de pompage.</t>
        </is>
      </c>
      <c r="H60" s="10" t="inlineStr">
        <is>
          <t>station de pompage MDA secteur MDA</t>
        </is>
      </c>
      <c r="I60" s="11" t="n">
        <v>300000</v>
      </c>
      <c r="J60" s="12" t="inlineStr">
        <is>
          <t>U</t>
        </is>
      </c>
      <c r="K60" s="13" t="n">
        <v>1</v>
      </c>
      <c r="L60" s="51" t="n"/>
      <c r="M60" s="56">
        <f>'S26'!M60+L60</f>
        <v/>
      </c>
      <c r="N60" s="57">
        <f>IFERROR(M60/K60,0)</f>
        <v/>
      </c>
      <c r="O60" s="58">
        <f>'S26'!N60</f>
        <v/>
      </c>
      <c r="P60" s="57">
        <f>N60-O60</f>
        <v/>
      </c>
      <c r="Q60" s="32" t="n"/>
      <c r="R60" s="32" t="n"/>
      <c r="S60" s="32" t="n"/>
      <c r="T60" s="55" t="n"/>
      <c r="U60" s="58">
        <f>'S26'!T60</f>
        <v/>
      </c>
      <c r="V60" s="57">
        <f>T60-U60</f>
        <v/>
      </c>
      <c r="W60" s="57">
        <f>N60-T60</f>
        <v/>
      </c>
      <c r="X60" s="34" t="n"/>
    </row>
    <row r="61" ht="22" customHeight="1">
      <c r="B61" s="5" t="n">
        <v>57</v>
      </c>
      <c r="C61" s="14" t="inlineStr">
        <is>
          <t>Kénitra</t>
        </is>
      </c>
      <c r="D61" s="5" t="inlineStr">
        <is>
          <t>Bni malek</t>
        </is>
      </c>
      <c r="E61" s="5" t="inlineStr">
        <is>
          <t>20-11</t>
        </is>
      </c>
      <c r="F61" s="5" t="inlineStr">
        <is>
          <t>Travaux de réhabilitation des équipements</t>
        </is>
      </c>
      <c r="G61" s="5" t="inlineStr">
        <is>
          <t>Travaux de réhabilitation des ouvrages de génie civil</t>
        </is>
      </c>
      <c r="H61" s="5" t="inlineStr">
        <is>
          <t>Rétablissement des bornes affaissées des secteurs N2 et N3</t>
        </is>
      </c>
      <c r="I61" s="7" t="n">
        <v>100000</v>
      </c>
      <c r="J61" s="8" t="inlineStr">
        <is>
          <t>U</t>
        </is>
      </c>
      <c r="K61" s="9" t="n">
        <v>200</v>
      </c>
      <c r="L61" s="51" t="n"/>
      <c r="M61" s="52">
        <f>'S26'!M61+L61</f>
        <v/>
      </c>
      <c r="N61" s="53">
        <f>IFERROR(M61/K61,0)</f>
        <v/>
      </c>
      <c r="O61" s="54">
        <f>'S26'!N61</f>
        <v/>
      </c>
      <c r="P61" s="53">
        <f>N61-O61</f>
        <v/>
      </c>
      <c r="Q61" s="32" t="n"/>
      <c r="R61" s="32" t="n"/>
      <c r="S61" s="32" t="n"/>
      <c r="T61" s="55" t="n"/>
      <c r="U61" s="54">
        <f>'S26'!T61</f>
        <v/>
      </c>
      <c r="V61" s="53">
        <f>T61-U61</f>
        <v/>
      </c>
      <c r="W61" s="53">
        <f>N61-T61</f>
        <v/>
      </c>
      <c r="X61" s="34" t="n"/>
    </row>
    <row r="62" ht="22" customHeight="1">
      <c r="B62" s="10" t="n">
        <v>58</v>
      </c>
      <c r="C62" s="14" t="inlineStr">
        <is>
          <t>Kénitra</t>
        </is>
      </c>
      <c r="D62" s="10" t="inlineStr">
        <is>
          <t>SOUK TLET</t>
        </is>
      </c>
      <c r="E62" s="10" t="inlineStr">
        <is>
          <t>50-23</t>
        </is>
      </c>
      <c r="F62" s="10" t="inlineStr">
        <is>
          <t>Entretien et réparation du réseau d'assainissement et de drainage</t>
        </is>
      </c>
      <c r="G62" s="10" t="inlineStr">
        <is>
          <t>Travaux de curage des canaux en terre</t>
        </is>
      </c>
      <c r="H62" s="10" t="inlineStr">
        <is>
          <t>curage des emissaires et colatures secondaire au niveau des secteurs N2,N3 ET N4,</t>
        </is>
      </c>
      <c r="I62" s="11" t="n">
        <v>3000000</v>
      </c>
      <c r="J62" s="12" t="inlineStr">
        <is>
          <t>ml</t>
        </is>
      </c>
      <c r="K62" s="13" t="n">
        <v>1500</v>
      </c>
      <c r="L62" s="51" t="n"/>
      <c r="M62" s="56">
        <f>'S26'!M62+L62</f>
        <v/>
      </c>
      <c r="N62" s="57">
        <f>IFERROR(M62/K62,0)</f>
        <v/>
      </c>
      <c r="O62" s="58">
        <f>'S26'!N62</f>
        <v/>
      </c>
      <c r="P62" s="57">
        <f>N62-O62</f>
        <v/>
      </c>
      <c r="Q62" s="32" t="n"/>
      <c r="R62" s="32" t="n"/>
      <c r="S62" s="32" t="n"/>
      <c r="T62" s="55" t="n"/>
      <c r="U62" s="58">
        <f>'S26'!T62</f>
        <v/>
      </c>
      <c r="V62" s="57">
        <f>T62-U62</f>
        <v/>
      </c>
      <c r="W62" s="57">
        <f>N62-T62</f>
        <v/>
      </c>
      <c r="X62" s="34" t="n"/>
    </row>
    <row r="63" ht="22" customHeight="1">
      <c r="B63" s="5" t="n">
        <v>59</v>
      </c>
      <c r="C63" s="14" t="inlineStr">
        <is>
          <t>Kénitra</t>
        </is>
      </c>
      <c r="D63" s="5" t="inlineStr">
        <is>
          <t>SOUK TLET</t>
        </is>
      </c>
      <c r="E63" s="5" t="inlineStr">
        <is>
          <t>40-21</t>
        </is>
      </c>
      <c r="F63" s="5" t="inlineStr">
        <is>
          <t>Travaux de pistes</t>
        </is>
      </c>
      <c r="G63" s="5" t="inlineStr">
        <is>
          <t>Travaux de réhabilitation des pistes agricoles</t>
        </is>
      </c>
      <c r="H63" s="5" t="inlineStr">
        <is>
          <t>Entretien des pistes des secteurs N2,N3,N4 et C4R,</t>
        </is>
      </c>
      <c r="I63" s="7" t="n">
        <v>5000000</v>
      </c>
      <c r="J63" s="8" t="inlineStr">
        <is>
          <t>U</t>
        </is>
      </c>
      <c r="K63" s="9" t="n">
        <v>1</v>
      </c>
      <c r="L63" s="51" t="n"/>
      <c r="M63" s="52">
        <f>'S26'!M63+L63</f>
        <v/>
      </c>
      <c r="N63" s="53">
        <f>IFERROR(M63/K63,0)</f>
        <v/>
      </c>
      <c r="O63" s="54">
        <f>'S26'!N63</f>
        <v/>
      </c>
      <c r="P63" s="53">
        <f>N63-O63</f>
        <v/>
      </c>
      <c r="Q63" s="32" t="n"/>
      <c r="R63" s="32" t="n"/>
      <c r="S63" s="32" t="n"/>
      <c r="T63" s="55" t="n"/>
      <c r="U63" s="54">
        <f>'S26'!T63</f>
        <v/>
      </c>
      <c r="V63" s="53">
        <f>T63-U63</f>
        <v/>
      </c>
      <c r="W63" s="53">
        <f>N63-T63</f>
        <v/>
      </c>
      <c r="X63" s="34" t="n"/>
    </row>
    <row r="64" ht="22" customHeight="1">
      <c r="B64" s="10" t="n">
        <v>60</v>
      </c>
      <c r="C64" s="14" t="inlineStr">
        <is>
          <t>Kénitra</t>
        </is>
      </c>
      <c r="D64" s="10" t="inlineStr">
        <is>
          <t>Sidi Med Lahmar</t>
        </is>
      </c>
      <c r="E64" s="10" t="inlineStr">
        <is>
          <t>50-23</t>
        </is>
      </c>
      <c r="F64" s="10" t="inlineStr">
        <is>
          <t>Entretien et réparation du réseau d'assainissement et de drainage</t>
        </is>
      </c>
      <c r="G64" s="10" t="inlineStr">
        <is>
          <t>Travaux de curage des canaux en terre</t>
        </is>
      </c>
      <c r="H64" s="10" t="inlineStr">
        <is>
          <t>Curage des emissaires et colatures secondaires secteurs N1</t>
        </is>
      </c>
      <c r="I64" s="11" t="n">
        <v>3000000</v>
      </c>
      <c r="J64" s="12" t="inlineStr">
        <is>
          <t>ml</t>
        </is>
      </c>
      <c r="K64" s="13" t="n">
        <v>1500</v>
      </c>
      <c r="L64" s="51" t="n"/>
      <c r="M64" s="56">
        <f>'S26'!M64+L64</f>
        <v/>
      </c>
      <c r="N64" s="57">
        <f>IFERROR(M64/K64,0)</f>
        <v/>
      </c>
      <c r="O64" s="58">
        <f>'S26'!N64</f>
        <v/>
      </c>
      <c r="P64" s="57">
        <f>N64-O64</f>
        <v/>
      </c>
      <c r="Q64" s="32" t="n"/>
      <c r="R64" s="32" t="n"/>
      <c r="S64" s="32" t="n"/>
      <c r="T64" s="55" t="n"/>
      <c r="U64" s="58">
        <f>'S26'!T64</f>
        <v/>
      </c>
      <c r="V64" s="57">
        <f>T64-U64</f>
        <v/>
      </c>
      <c r="W64" s="57">
        <f>N64-T64</f>
        <v/>
      </c>
      <c r="X64" s="34" t="n"/>
    </row>
    <row r="65" ht="22" customHeight="1">
      <c r="B65" s="5" t="n">
        <v>61</v>
      </c>
      <c r="C65" s="14" t="inlineStr">
        <is>
          <t>Kénitra</t>
        </is>
      </c>
      <c r="D65" s="5" t="inlineStr">
        <is>
          <t>Sidi Med Lahmar</t>
        </is>
      </c>
      <c r="E65" s="5" t="inlineStr">
        <is>
          <t>40-21</t>
        </is>
      </c>
      <c r="F65" s="5" t="inlineStr">
        <is>
          <t>Travaux de pistes</t>
        </is>
      </c>
      <c r="G65" s="5" t="inlineStr">
        <is>
          <t>Travaux de réhabilitation des pistes agricoles</t>
        </is>
      </c>
      <c r="H65" s="5" t="inlineStr">
        <is>
          <t>Entretien des pistes agricoles des secteurs N9 et N1</t>
        </is>
      </c>
      <c r="I65" s="7" t="n">
        <v>3000000</v>
      </c>
      <c r="J65" s="8" t="inlineStr">
        <is>
          <t>km</t>
        </is>
      </c>
      <c r="K65" s="9" t="n">
        <v>6</v>
      </c>
      <c r="L65" s="51" t="n"/>
      <c r="M65" s="52">
        <f>'S26'!M65+L65</f>
        <v/>
      </c>
      <c r="N65" s="53">
        <f>IFERROR(M65/K65,0)</f>
        <v/>
      </c>
      <c r="O65" s="54">
        <f>'S26'!N65</f>
        <v/>
      </c>
      <c r="P65" s="53">
        <f>N65-O65</f>
        <v/>
      </c>
      <c r="Q65" s="32" t="n"/>
      <c r="R65" s="32" t="n"/>
      <c r="S65" s="32" t="n"/>
      <c r="T65" s="55" t="n"/>
      <c r="U65" s="54">
        <f>'S26'!T65</f>
        <v/>
      </c>
      <c r="V65" s="53">
        <f>T65-U65</f>
        <v/>
      </c>
      <c r="W65" s="53">
        <f>N65-T65</f>
        <v/>
      </c>
      <c r="X65" s="34" t="n"/>
    </row>
    <row r="66" ht="22" customHeight="1">
      <c r="B66" s="10" t="n">
        <v>62</v>
      </c>
      <c r="C66" s="14" t="inlineStr">
        <is>
          <t>Kénitra</t>
        </is>
      </c>
      <c r="D66" s="10" t="inlineStr">
        <is>
          <t>Mograne</t>
        </is>
      </c>
      <c r="E66" s="10" t="inlineStr">
        <is>
          <t>50-23</t>
        </is>
      </c>
      <c r="F66" s="10" t="inlineStr">
        <is>
          <t>Entretien et réparation du réseau d'assainissement et de drainage</t>
        </is>
      </c>
      <c r="G66" s="10" t="inlineStr">
        <is>
          <t>Travaux de curage des canaux en terre</t>
        </is>
      </c>
      <c r="H66" s="10" t="inlineStr">
        <is>
          <t>Curage des canaux d'assainissement Hors secteur équipé ghoufera et laison beht sebou ,</t>
        </is>
      </c>
      <c r="I66" s="11" t="n">
        <v>6000000</v>
      </c>
      <c r="J66" s="12" t="inlineStr">
        <is>
          <t>ml</t>
        </is>
      </c>
      <c r="K66" s="13" t="n">
        <v>3000</v>
      </c>
      <c r="L66" s="51" t="n"/>
      <c r="M66" s="56">
        <f>'S26'!M66+L66</f>
        <v/>
      </c>
      <c r="N66" s="57">
        <f>IFERROR(M66/K66,0)</f>
        <v/>
      </c>
      <c r="O66" s="58">
        <f>'S26'!N66</f>
        <v/>
      </c>
      <c r="P66" s="57">
        <f>N66-O66</f>
        <v/>
      </c>
      <c r="Q66" s="32" t="n"/>
      <c r="R66" s="32" t="n"/>
      <c r="S66" s="32" t="n"/>
      <c r="T66" s="55" t="n"/>
      <c r="U66" s="58">
        <f>'S26'!T66</f>
        <v/>
      </c>
      <c r="V66" s="57">
        <f>T66-U66</f>
        <v/>
      </c>
      <c r="W66" s="57">
        <f>N66-T66</f>
        <v/>
      </c>
      <c r="X66" s="34" t="n"/>
    </row>
    <row r="67" ht="22" customHeight="1">
      <c r="B67" s="5" t="n">
        <v>63</v>
      </c>
      <c r="C67" s="14" t="inlineStr">
        <is>
          <t>Kénitra</t>
        </is>
      </c>
      <c r="D67" s="5" t="inlineStr">
        <is>
          <t>Mograne</t>
        </is>
      </c>
      <c r="E67" s="5" t="inlineStr">
        <is>
          <t>40-21</t>
        </is>
      </c>
      <c r="F67" s="5" t="inlineStr">
        <is>
          <t>Travaux de pistes</t>
        </is>
      </c>
      <c r="G67" s="5" t="inlineStr">
        <is>
          <t>Travaux de réhabilitation des pistes agricoles</t>
        </is>
      </c>
      <c r="H67" s="5" t="inlineStr">
        <is>
          <t>Entretien des pistes agricoles des secteurs SEBOU1,SEBOU2? BEHT3 et BEHT4</t>
        </is>
      </c>
      <c r="I67" s="7" t="n">
        <v>6000000</v>
      </c>
      <c r="J67" s="8" t="inlineStr">
        <is>
          <t>km</t>
        </is>
      </c>
      <c r="K67" s="9" t="n">
        <v>12</v>
      </c>
      <c r="L67" s="51" t="n"/>
      <c r="M67" s="52">
        <f>'S26'!M67+L67</f>
        <v/>
      </c>
      <c r="N67" s="53">
        <f>IFERROR(M67/K67,0)</f>
        <v/>
      </c>
      <c r="O67" s="54">
        <f>'S26'!N67</f>
        <v/>
      </c>
      <c r="P67" s="53">
        <f>N67-O67</f>
        <v/>
      </c>
      <c r="Q67" s="32" t="n"/>
      <c r="R67" s="32" t="n"/>
      <c r="S67" s="32" t="n"/>
      <c r="T67" s="55" t="n"/>
      <c r="U67" s="54">
        <f>'S26'!T67</f>
        <v/>
      </c>
      <c r="V67" s="53">
        <f>T67-U67</f>
        <v/>
      </c>
      <c r="W67" s="53">
        <f>N67-T67</f>
        <v/>
      </c>
      <c r="X67" s="34" t="n"/>
    </row>
    <row r="68" ht="22" customHeight="1">
      <c r="B68" s="10" t="n">
        <v>64</v>
      </c>
      <c r="C68" s="14" t="inlineStr">
        <is>
          <t>Kénitra</t>
        </is>
      </c>
      <c r="D68" s="10" t="inlineStr">
        <is>
          <t>Sidi allal tazi</t>
        </is>
      </c>
      <c r="E68" s="10" t="inlineStr">
        <is>
          <t>50-23</t>
        </is>
      </c>
      <c r="F68" s="10" t="inlineStr">
        <is>
          <t>Entretien et réparation du réseau d'assainissement et de drainage</t>
        </is>
      </c>
      <c r="G68" s="10" t="inlineStr">
        <is>
          <t>Travaux de curage des canaux en terre</t>
        </is>
      </c>
      <c r="H68" s="10" t="inlineStr">
        <is>
          <t>Curage du canaL d'assainissement CK,</t>
        </is>
      </c>
      <c r="I68" s="11" t="n">
        <v>3000000</v>
      </c>
      <c r="J68" s="12" t="inlineStr">
        <is>
          <t>ml</t>
        </is>
      </c>
      <c r="K68" s="13" t="n">
        <v>1500</v>
      </c>
      <c r="L68" s="51" t="n"/>
      <c r="M68" s="56">
        <f>'S26'!M68+L68</f>
        <v/>
      </c>
      <c r="N68" s="57">
        <f>IFERROR(M68/K68,0)</f>
        <v/>
      </c>
      <c r="O68" s="58">
        <f>'S26'!N68</f>
        <v/>
      </c>
      <c r="P68" s="57">
        <f>N68-O68</f>
        <v/>
      </c>
      <c r="Q68" s="32" t="n"/>
      <c r="R68" s="32" t="n"/>
      <c r="S68" s="32" t="n"/>
      <c r="T68" s="55" t="n"/>
      <c r="U68" s="58">
        <f>'S26'!T68</f>
        <v/>
      </c>
      <c r="V68" s="57">
        <f>T68-U68</f>
        <v/>
      </c>
      <c r="W68" s="57">
        <f>N68-T68</f>
        <v/>
      </c>
      <c r="X68" s="34" t="n"/>
    </row>
    <row r="69" ht="22" customHeight="1">
      <c r="B69" s="5" t="n">
        <v>65</v>
      </c>
      <c r="C69" s="14" t="inlineStr">
        <is>
          <t>Kénitra</t>
        </is>
      </c>
      <c r="D69" s="5" t="inlineStr">
        <is>
          <t>AMEUR SAFLIA</t>
        </is>
      </c>
      <c r="E69" s="5" t="inlineStr">
        <is>
          <t>50-23</t>
        </is>
      </c>
      <c r="F69" s="5" t="inlineStr">
        <is>
          <t>Entretien et réparation du réseau d'assainissement et de drainage</t>
        </is>
      </c>
      <c r="G69" s="5" t="inlineStr">
        <is>
          <t>Travaux de curage des canaux en terre</t>
        </is>
      </c>
      <c r="H69" s="5" t="inlineStr">
        <is>
          <t>Curage des canaux d'assainissement amontTtiflt Sebou,</t>
        </is>
      </c>
      <c r="I69" s="7" t="n">
        <v>1000000</v>
      </c>
      <c r="J69" s="8" t="inlineStr">
        <is>
          <t>ml</t>
        </is>
      </c>
      <c r="K69" s="9" t="n">
        <v>500</v>
      </c>
      <c r="L69" s="51" t="n"/>
      <c r="M69" s="52">
        <f>'S26'!M69+L69</f>
        <v/>
      </c>
      <c r="N69" s="53">
        <f>IFERROR(M69/K69,0)</f>
        <v/>
      </c>
      <c r="O69" s="54">
        <f>'S26'!N69</f>
        <v/>
      </c>
      <c r="P69" s="53">
        <f>N69-O69</f>
        <v/>
      </c>
      <c r="Q69" s="32" t="n"/>
      <c r="R69" s="32" t="n"/>
      <c r="S69" s="32" t="n"/>
      <c r="T69" s="55" t="n"/>
      <c r="U69" s="54">
        <f>'S26'!T69</f>
        <v/>
      </c>
      <c r="V69" s="53">
        <f>T69-U69</f>
        <v/>
      </c>
      <c r="W69" s="53">
        <f>N69-T69</f>
        <v/>
      </c>
      <c r="X69" s="34" t="n"/>
    </row>
    <row r="70" ht="22" customHeight="1">
      <c r="B70" s="10" t="n">
        <v>66</v>
      </c>
      <c r="C70" s="14" t="inlineStr">
        <is>
          <t>Kénitra</t>
        </is>
      </c>
      <c r="D70" s="10" t="inlineStr">
        <is>
          <t>Oulad SLAMA</t>
        </is>
      </c>
      <c r="E70" s="10" t="inlineStr">
        <is>
          <t>50-23</t>
        </is>
      </c>
      <c r="F70" s="10" t="inlineStr">
        <is>
          <t>Entretien et réparation du réseau d'assainissement et de drainage</t>
        </is>
      </c>
      <c r="G70" s="10" t="inlineStr">
        <is>
          <t>Travaux de curage des canaux en terre</t>
        </is>
      </c>
      <c r="H70" s="10" t="inlineStr">
        <is>
          <t>Curage des canaux d'assainissement debouche Tiflt aval,</t>
        </is>
      </c>
      <c r="I70" s="11" t="n">
        <v>1000000</v>
      </c>
      <c r="J70" s="12" t="inlineStr">
        <is>
          <t>ml</t>
        </is>
      </c>
      <c r="K70" s="13" t="n">
        <v>500</v>
      </c>
      <c r="L70" s="51" t="n"/>
      <c r="M70" s="56">
        <f>'S26'!M70+L70</f>
        <v/>
      </c>
      <c r="N70" s="57">
        <f>IFERROR(M70/K70,0)</f>
        <v/>
      </c>
      <c r="O70" s="58">
        <f>'S26'!N70</f>
        <v/>
      </c>
      <c r="P70" s="57">
        <f>N70-O70</f>
        <v/>
      </c>
      <c r="Q70" s="32" t="n"/>
      <c r="R70" s="32" t="n"/>
      <c r="S70" s="32" t="n"/>
      <c r="T70" s="55" t="n"/>
      <c r="U70" s="58">
        <f>'S26'!T70</f>
        <v/>
      </c>
      <c r="V70" s="57">
        <f>T70-U70</f>
        <v/>
      </c>
      <c r="W70" s="57">
        <f>N70-T70</f>
        <v/>
      </c>
      <c r="X70" s="34" t="n"/>
    </row>
    <row r="71" ht="22" customHeight="1">
      <c r="B71" s="5" t="n">
        <v>67</v>
      </c>
      <c r="C71" s="14" t="inlineStr">
        <is>
          <t>Kénitra</t>
        </is>
      </c>
      <c r="D71" s="5" t="inlineStr">
        <is>
          <t>BHARA Oulad AYAD</t>
        </is>
      </c>
      <c r="E71" s="5" t="inlineStr">
        <is>
          <t>50-23</t>
        </is>
      </c>
      <c r="F71" s="5" t="inlineStr">
        <is>
          <t>Entretien et réparation du réseau d'assainissement et de drainage</t>
        </is>
      </c>
      <c r="G71" s="5" t="inlineStr">
        <is>
          <t>Travaux de curage des canaux en terre</t>
        </is>
      </c>
      <c r="H71" s="5" t="inlineStr">
        <is>
          <t>Curage des canaux d'assainissement canal nador bas et haut segmet,</t>
        </is>
      </c>
      <c r="I71" s="7" t="n">
        <v>6600000</v>
      </c>
      <c r="J71" s="8" t="inlineStr">
        <is>
          <t>ml</t>
        </is>
      </c>
      <c r="K71" s="9" t="n">
        <v>3300</v>
      </c>
      <c r="L71" s="51" t="n"/>
      <c r="M71" s="52">
        <f>'S26'!M71+L71</f>
        <v/>
      </c>
      <c r="N71" s="53">
        <f>IFERROR(M71/K71,0)</f>
        <v/>
      </c>
      <c r="O71" s="54">
        <f>'S26'!N71</f>
        <v/>
      </c>
      <c r="P71" s="53">
        <f>N71-O71</f>
        <v/>
      </c>
      <c r="Q71" s="32" t="n"/>
      <c r="R71" s="32" t="n"/>
      <c r="S71" s="32" t="n"/>
      <c r="T71" s="55" t="n"/>
      <c r="U71" s="54">
        <f>'S26'!T71</f>
        <v/>
      </c>
      <c r="V71" s="53">
        <f>T71-U71</f>
        <v/>
      </c>
      <c r="W71" s="53">
        <f>N71-T71</f>
        <v/>
      </c>
      <c r="X71" s="34" t="n"/>
    </row>
    <row r="72" ht="22" customHeight="1">
      <c r="B72" s="10" t="n">
        <v>68</v>
      </c>
      <c r="C72" s="15" t="inlineStr">
        <is>
          <t>Sidi Slimane</t>
        </is>
      </c>
      <c r="D72" s="10" t="inlineStr">
        <is>
          <t>OULED HCEINE</t>
        </is>
      </c>
      <c r="E72" s="10" t="inlineStr">
        <is>
          <t>50-23</t>
        </is>
      </c>
      <c r="F72" s="10" t="inlineStr">
        <is>
          <t>Entretien et réparation du réseau d'assainissement et de drainage</t>
        </is>
      </c>
      <c r="G72" s="10" t="inlineStr">
        <is>
          <t>Travaux de curage des canaux en terre</t>
        </is>
      </c>
      <c r="H72" s="10" t="inlineStr">
        <is>
          <t>Curage des collecteurs d'assainissement du secteur EST4.</t>
        </is>
      </c>
      <c r="I72" s="11" t="n">
        <v>1805475</v>
      </c>
      <c r="J72" s="12" t="inlineStr">
        <is>
          <t>ml</t>
        </is>
      </c>
      <c r="K72" s="13" t="n">
        <v>903</v>
      </c>
      <c r="L72" s="51" t="n"/>
      <c r="M72" s="56">
        <f>'S26'!M72+L72</f>
        <v/>
      </c>
      <c r="N72" s="57">
        <f>IFERROR(M72/K72,0)</f>
        <v/>
      </c>
      <c r="O72" s="58">
        <f>'S26'!N72</f>
        <v/>
      </c>
      <c r="P72" s="57">
        <f>N72-O72</f>
        <v/>
      </c>
      <c r="Q72" s="32" t="n"/>
      <c r="R72" s="32" t="n"/>
      <c r="S72" s="32" t="n"/>
      <c r="T72" s="55" t="n"/>
      <c r="U72" s="58">
        <f>'S26'!T72</f>
        <v/>
      </c>
      <c r="V72" s="57">
        <f>T72-U72</f>
        <v/>
      </c>
      <c r="W72" s="57">
        <f>N72-T72</f>
        <v/>
      </c>
      <c r="X72" s="34" t="n"/>
    </row>
    <row r="73" ht="22" customHeight="1">
      <c r="B73" s="5" t="n">
        <v>69</v>
      </c>
      <c r="C73" s="15" t="inlineStr">
        <is>
          <t>Sidi Slimane</t>
        </is>
      </c>
      <c r="D73" s="5" t="inlineStr">
        <is>
          <t>OULED HCEINE</t>
        </is>
      </c>
      <c r="E73" s="5" t="inlineStr">
        <is>
          <t>50-23</t>
        </is>
      </c>
      <c r="F73" s="5" t="inlineStr">
        <is>
          <t>Entretien et réparation du réseau d'assainissement et de drainage</t>
        </is>
      </c>
      <c r="G73" s="5" t="inlineStr">
        <is>
          <t>Travaux de curage des canaux en terre</t>
        </is>
      </c>
      <c r="H73" s="5" t="inlineStr">
        <is>
          <t>Curage du canal d'assainissement Tihli central.</t>
        </is>
      </c>
      <c r="I73" s="7" t="n">
        <v>2587200</v>
      </c>
      <c r="J73" s="8" t="inlineStr">
        <is>
          <t>ml</t>
        </is>
      </c>
      <c r="K73" s="9" t="n">
        <v>1294</v>
      </c>
      <c r="L73" s="51" t="n"/>
      <c r="M73" s="52">
        <f>'S26'!M73+L73</f>
        <v/>
      </c>
      <c r="N73" s="53">
        <f>IFERROR(M73/K73,0)</f>
        <v/>
      </c>
      <c r="O73" s="54">
        <f>'S26'!N73</f>
        <v/>
      </c>
      <c r="P73" s="53">
        <f>N73-O73</f>
        <v/>
      </c>
      <c r="Q73" s="32" t="n"/>
      <c r="R73" s="32" t="n"/>
      <c r="S73" s="32" t="n"/>
      <c r="T73" s="55" t="n"/>
      <c r="U73" s="54">
        <f>'S26'!T73</f>
        <v/>
      </c>
      <c r="V73" s="53">
        <f>T73-U73</f>
        <v/>
      </c>
      <c r="W73" s="53">
        <f>N73-T73</f>
        <v/>
      </c>
      <c r="X73" s="34" t="n"/>
    </row>
    <row r="74" ht="22" customHeight="1">
      <c r="B74" s="10" t="n">
        <v>70</v>
      </c>
      <c r="C74" s="15" t="inlineStr">
        <is>
          <t>Sidi Slimane</t>
        </is>
      </c>
      <c r="D74" s="10" t="inlineStr">
        <is>
          <t>OULED HCEINE</t>
        </is>
      </c>
      <c r="E74" s="10" t="inlineStr">
        <is>
          <t>40-21</t>
        </is>
      </c>
      <c r="F74" s="10" t="inlineStr">
        <is>
          <t>Travaux de pistes</t>
        </is>
      </c>
      <c r="G74" s="10" t="inlineStr">
        <is>
          <t>Travaux de réhabilitation des pistes agricoles</t>
        </is>
      </c>
      <c r="H74" s="10" t="inlineStr">
        <is>
          <t>Entretien des pistes agricoles</t>
        </is>
      </c>
      <c r="I74" s="11" t="n">
        <v>3500000</v>
      </c>
      <c r="J74" s="12" t="inlineStr">
        <is>
          <t>km</t>
        </is>
      </c>
      <c r="K74" s="13" t="n">
        <v>7</v>
      </c>
      <c r="L74" s="51" t="n"/>
      <c r="M74" s="56">
        <f>'S26'!M74+L74</f>
        <v/>
      </c>
      <c r="N74" s="57">
        <f>IFERROR(M74/K74,0)</f>
        <v/>
      </c>
      <c r="O74" s="58">
        <f>'S26'!N74</f>
        <v/>
      </c>
      <c r="P74" s="57">
        <f>N74-O74</f>
        <v/>
      </c>
      <c r="Q74" s="32" t="n"/>
      <c r="R74" s="32" t="n"/>
      <c r="S74" s="32" t="n"/>
      <c r="T74" s="55" t="n"/>
      <c r="U74" s="58">
        <f>'S26'!T74</f>
        <v/>
      </c>
      <c r="V74" s="57">
        <f>T74-U74</f>
        <v/>
      </c>
      <c r="W74" s="57">
        <f>N74-T74</f>
        <v/>
      </c>
      <c r="X74" s="34" t="n"/>
    </row>
    <row r="75" ht="22" customHeight="1">
      <c r="B75" s="5" t="n">
        <v>71</v>
      </c>
      <c r="C75" s="15" t="inlineStr">
        <is>
          <t>Sidi Slimane</t>
        </is>
      </c>
      <c r="D75" s="5" t="inlineStr">
        <is>
          <t>OULED HCEINE</t>
        </is>
      </c>
      <c r="E75" s="5" t="inlineStr">
        <is>
          <t>50-21</t>
        </is>
      </c>
      <c r="F75" s="5" t="inlineStr">
        <is>
          <t>Entretien et réparation des stations de pompage</t>
        </is>
      </c>
      <c r="G75" s="5" t="inlineStr">
        <is>
          <t>Travaux de réparation des équipements hydromécaniques et éléctriques et entretien de la partie génie civil des stations de pompage.</t>
        </is>
      </c>
      <c r="H75" s="5" t="inlineStr">
        <is>
          <t>Démontage et expertise des roues des  pompes principaux et pompes a vide de la station EST4 et P11/2.
Changement des roulements, tresses et organes d’effectués de la station EST4 et P11/2
Changement deux débitmètre Ø 1200 mm de la station EST4 et un débimétre de la station P11/2.
Changement des capteurs de niveau inondés.
Révision et réparation des moteurs des vannes motorisées inondées.
changement de six contrôleurs de débits DW181 inondés.
Un capteur de débitmètre inondé nécessitent un diagnostic VEGASON  .
Entretien de l'éclairage du local de vide et bâche d’aspiration inondé de la station EST4 et la partie de l’éclairage du local des pompes inondées de la station P11/2.
Pose de gabions et recouvrement du talus par matelas Reno des stations de pompage P11/2</t>
        </is>
      </c>
      <c r="I75" s="7" t="n">
        <v>870000</v>
      </c>
      <c r="J75" s="8" t="inlineStr">
        <is>
          <t>U</t>
        </is>
      </c>
      <c r="K75" s="9" t="n">
        <v>4</v>
      </c>
      <c r="L75" s="51" t="n"/>
      <c r="M75" s="52">
        <f>'S26'!M75+L75</f>
        <v/>
      </c>
      <c r="N75" s="53">
        <f>IFERROR(M75/K75,0)</f>
        <v/>
      </c>
      <c r="O75" s="54">
        <f>'S26'!N75</f>
        <v/>
      </c>
      <c r="P75" s="53">
        <f>N75-O75</f>
        <v/>
      </c>
      <c r="Q75" s="32" t="n"/>
      <c r="R75" s="32" t="n"/>
      <c r="S75" s="32" t="n"/>
      <c r="T75" s="55" t="n"/>
      <c r="U75" s="54">
        <f>'S26'!T75</f>
        <v/>
      </c>
      <c r="V75" s="53">
        <f>T75-U75</f>
        <v/>
      </c>
      <c r="W75" s="53">
        <f>N75-T75</f>
        <v/>
      </c>
      <c r="X75" s="34" t="n"/>
    </row>
    <row r="76" ht="22" customHeight="1">
      <c r="B76" s="10" t="n">
        <v>72</v>
      </c>
      <c r="C76" s="15" t="inlineStr">
        <is>
          <t>Sidi Slimane</t>
        </is>
      </c>
      <c r="D76" s="10" t="inlineStr">
        <is>
          <t>OULED HCEINE</t>
        </is>
      </c>
      <c r="E76" s="10" t="inlineStr">
        <is>
          <t>50-23</t>
        </is>
      </c>
      <c r="F76" s="10" t="inlineStr">
        <is>
          <t>Entretien et réparation du réseau d'assainissement et de drainage</t>
        </is>
      </c>
      <c r="G76" s="10" t="inlineStr">
        <is>
          <t>Travaux de curage des prises des stations de pompage.</t>
        </is>
      </c>
      <c r="H76" s="10" t="inlineStr">
        <is>
          <t>Curage des siphones des station de pompage EST2 et P11/2.</t>
        </is>
      </c>
      <c r="I76" s="11" t="n">
        <v>500000</v>
      </c>
      <c r="J76" s="12" t="inlineStr">
        <is>
          <t>ml</t>
        </is>
      </c>
      <c r="K76" s="13" t="n">
        <v>167</v>
      </c>
      <c r="L76" s="51" t="n"/>
      <c r="M76" s="56">
        <f>'S26'!M76+L76</f>
        <v/>
      </c>
      <c r="N76" s="57">
        <f>IFERROR(M76/K76,0)</f>
        <v/>
      </c>
      <c r="O76" s="58">
        <f>'S26'!N76</f>
        <v/>
      </c>
      <c r="P76" s="57">
        <f>N76-O76</f>
        <v/>
      </c>
      <c r="Q76" s="32" t="n"/>
      <c r="R76" s="32" t="n"/>
      <c r="S76" s="32" t="n"/>
      <c r="T76" s="55" t="n"/>
      <c r="U76" s="58">
        <f>'S26'!T76</f>
        <v/>
      </c>
      <c r="V76" s="57">
        <f>T76-U76</f>
        <v/>
      </c>
      <c r="W76" s="57">
        <f>N76-T76</f>
        <v/>
      </c>
      <c r="X76" s="34" t="n"/>
    </row>
    <row r="77" ht="26" customHeight="1">
      <c r="B77" s="16" t="inlineStr">
        <is>
          <t>TOTAL</t>
        </is>
      </c>
      <c r="C77" s="16" t="n"/>
      <c r="D77" s="16" t="n"/>
      <c r="E77" s="16" t="n"/>
      <c r="F77" s="16" t="n"/>
      <c r="G77" s="16" t="n"/>
      <c r="H77" s="16" t="n"/>
      <c r="I77" s="17">
        <f>SUM(I5:I76)</f>
        <v/>
      </c>
      <c r="J77" s="16" t="n"/>
      <c r="K77" s="16" t="n"/>
      <c r="L77" s="59">
        <f>SUM(L5:L76)</f>
        <v/>
      </c>
      <c r="M77" s="59">
        <f>SUM(M5:M76)</f>
        <v/>
      </c>
      <c r="N77" s="60">
        <f>IFERROR(SUMPRODUCT(N5:N76,I5:I76)/I77,0)</f>
        <v/>
      </c>
      <c r="O77" s="60">
        <f>IFERROR(SUMPRODUCT(O5:O76,I5:I76)/I77,0)</f>
        <v/>
      </c>
      <c r="P77" s="60">
        <f>N77-O77</f>
        <v/>
      </c>
      <c r="Q77" s="17">
        <f>SUM(Q5:Q76)</f>
        <v/>
      </c>
      <c r="R77" s="17">
        <f>SUM(R5:R76)</f>
        <v/>
      </c>
      <c r="S77" s="17">
        <f>SUM(S5:S76)</f>
        <v/>
      </c>
      <c r="T77" s="60">
        <f>IFERROR(SUMPRODUCT(T5:T76,I5:I76)/I77,0)</f>
        <v/>
      </c>
      <c r="U77" s="60">
        <f>IFERROR(SUMPRODUCT(U5:U76,I5:I76)/I77,0)</f>
        <v/>
      </c>
      <c r="V77" s="60">
        <f>T77-U77</f>
        <v/>
      </c>
      <c r="W77" s="60">
        <f>N77-T77</f>
        <v/>
      </c>
      <c r="X77" s="16" t="n"/>
    </row>
  </sheetData>
  <sheetProtection selectLockedCells="0" selectUnlockedCells="0" sheet="1" objects="0" insertRows="1" insertHyperlinks="1" autoFilter="1" scenarios="0" formatColumns="1" deleteColumns="1" insertColumns="1" pivotTables="1" deleteRows="1" formatCells="1" formatRows="1" sort="1" password="CBBE"/>
  <mergeCells count="6">
    <mergeCell ref="E3:I3"/>
    <mergeCell ref="W3:X3"/>
    <mergeCell ref="J3:P3"/>
    <mergeCell ref="B2:X2"/>
    <mergeCell ref="C3:D3"/>
    <mergeCell ref="Q3:V3"/>
  </mergeCells>
  <conditionalFormatting sqref="P5:P76">
    <cfRule type="cellIs" priority="1" operator="greaterThan" dxfId="0">
      <formula>0</formula>
    </cfRule>
    <cfRule type="cellIs" priority="2" operator="lessThan" dxfId="1">
      <formula>0</formula>
    </cfRule>
  </conditionalFormatting>
  <conditionalFormatting sqref="V5:V76">
    <cfRule type="cellIs" priority="3" operator="greaterThan" dxfId="0">
      <formula>0</formula>
    </cfRule>
    <cfRule type="cellIs" priority="4" operator="lessThan" dxfId="1">
      <formula>0</formula>
    </cfRule>
  </conditionalFormatting>
  <conditionalFormatting sqref="W5:W76">
    <cfRule type="cellIs" priority="5" operator="greaterThan" dxfId="0">
      <formula>0.05</formula>
    </cfRule>
    <cfRule type="cellIs" priority="6" operator="lessThan" dxfId="1">
      <formula>-0.05</formula>
    </cfRule>
    <cfRule type="cellIs" priority="7" operator="between" dxfId="2">
      <formula>-0.05</formula>
      <formula>0.05</formula>
    </cfRule>
  </conditionalFormatting>
  <conditionalFormatting sqref="N5:N76">
    <cfRule type="dataBar" priority="8">
      <dataBar showValue="1">
        <cfvo type="num" val="0"/>
        <cfvo type="num" val="1"/>
        <color rgb="001B7D46"/>
      </dataBar>
    </cfRule>
  </conditionalFormatting>
  <conditionalFormatting sqref="T5:T76">
    <cfRule type="dataBar" priority="9">
      <dataBar showValue="1">
        <cfvo type="num" val="0"/>
        <cfvo type="num" val="1"/>
        <color rgb="00D4820A"/>
      </dataBar>
    </cfRule>
  </conditionalFormatting>
  <dataValidations count="2">
    <dataValidation sqref="T5:T76" showDropDown="0" showInputMessage="0" showErrorMessage="0" allowBlank="1" errorTitle="Invalide" error="Valeur entre 0% et 100%" promptTitle="Avancement %" prompt="Entrez 0.25 pour 25%" type="decimal" operator="between">
      <formula1>0</formula1>
      <formula2>1</formula2>
    </dataValidation>
    <dataValidation sqref="L5:L76" showDropDown="0" showInputMessage="0" showErrorMessage="0" allowBlank="1" errorTitle="Invalide" error="Quantité doit être &gt;= 0" promptTitle="Qté Réalisée" prompt="Entrez la quantité réalisée cette semaine" type="decimal" operator="greaterThanOrEqual">
      <formula1>0</formula1>
    </dataValidation>
  </dataValidations>
  <pageMargins left="0.75" right="0.75" top="1" bottom="1" header="0.5" footer="0.5"/>
</worksheet>
</file>

<file path=xl/worksheets/sheet8.xml><?xml version="1.0" encoding="utf-8"?>
<worksheet xmlns="http://schemas.openxmlformats.org/spreadsheetml/2006/main">
  <sheetPr>
    <tabColor rgb="00C55A11"/>
    <outlinePr summaryBelow="1" summaryRight="1"/>
    <pageSetUpPr/>
  </sheetPr>
  <dimension ref="B2:X77"/>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5" customWidth="1" min="2" max="2"/>
    <col width="14" customWidth="1" min="3" max="3"/>
    <col width="18" customWidth="1" min="4" max="4"/>
    <col width="9" customWidth="1" min="5" max="5"/>
    <col width="32" customWidth="1" min="6" max="6"/>
    <col width="28" customWidth="1" min="7" max="7"/>
    <col width="34" customWidth="1" min="8" max="8"/>
    <col width="14" customWidth="1" min="9" max="9"/>
    <col width="8" customWidth="1" min="10" max="10"/>
    <col width="12" customWidth="1" min="11" max="11"/>
    <col width="14" customWidth="1" min="12" max="12"/>
    <col width="14" customWidth="1" min="13" max="13"/>
    <col width="14" customWidth="1" min="14" max="14"/>
    <col width="14" customWidth="1" min="15" max="15"/>
    <col width="14" customWidth="1" min="16" max="16"/>
    <col width="16" customWidth="1" min="17" max="17"/>
    <col width="16" customWidth="1" min="18" max="18"/>
    <col width="16" customWidth="1" min="19" max="19"/>
    <col width="14" customWidth="1" min="20" max="20"/>
    <col width="14" customWidth="1" min="21" max="21"/>
    <col width="14" customWidth="1" min="22" max="22"/>
    <col width="14" customWidth="1" min="23" max="23"/>
    <col width="24" customWidth="1" min="24" max="24"/>
  </cols>
  <sheetData>
    <row r="1" ht="15" customHeight="1"/>
    <row r="2" ht="32" customHeight="1">
      <c r="B2" s="1" t="inlineStr">
        <is>
          <t>Suivi Hebdomadaire - Semaine 28 (06/07 - 12/07) — Juillet 2026 - Exécution Physique et Financière</t>
        </is>
      </c>
    </row>
    <row r="3" ht="22" customHeight="1">
      <c r="B3" s="20" t="inlineStr">
        <is>
          <t>Date :</t>
        </is>
      </c>
      <c r="C3" s="49" t="n">
        <v>46209</v>
      </c>
      <c r="D3" s="50" t="n"/>
      <c r="E3" s="22" t="inlineStr">
        <is>
          <t>IDENTIFICATION</t>
        </is>
      </c>
      <c r="J3" s="23" t="inlineStr">
        <is>
          <t>INDICATEURS PHYSIQUES</t>
        </is>
      </c>
      <c r="Q3" s="24" t="inlineStr">
        <is>
          <t>INDICATEURS FINANCIERS</t>
        </is>
      </c>
      <c r="W3" s="25" t="inlineStr">
        <is>
          <t>SYNTHÈSE</t>
        </is>
      </c>
    </row>
    <row r="4" ht="28" customHeight="1">
      <c r="B4" s="4" t="inlineStr">
        <is>
          <t>N°</t>
        </is>
      </c>
      <c r="C4" s="4" t="inlineStr">
        <is>
          <t>Province</t>
        </is>
      </c>
      <c r="D4" s="4" t="inlineStr">
        <is>
          <t>Commune</t>
        </is>
      </c>
      <c r="E4" s="4" t="inlineStr">
        <is>
          <t>Rubrique</t>
        </is>
      </c>
      <c r="F4" s="4" t="inlineStr">
        <is>
          <t>Intitulé Rubrique</t>
        </is>
      </c>
      <c r="G4" s="4" t="inlineStr">
        <is>
          <t>Projet</t>
        </is>
      </c>
      <c r="H4" s="4" t="inlineStr">
        <is>
          <t>Consistance</t>
        </is>
      </c>
      <c r="I4" s="4" t="inlineStr">
        <is>
          <t>Coût Total (DH)</t>
        </is>
      </c>
      <c r="J4" s="26" t="inlineStr">
        <is>
          <t>Unité</t>
        </is>
      </c>
      <c r="K4" s="26" t="inlineStr">
        <is>
          <t>Qté Prévue</t>
        </is>
      </c>
      <c r="L4" s="26" t="inlineStr">
        <is>
          <t>Qté Réalisée Sem.</t>
        </is>
      </c>
      <c r="M4" s="26" t="inlineStr">
        <is>
          <t>Qté Réalisée Cumul</t>
        </is>
      </c>
      <c r="N4" s="26" t="inlineStr">
        <is>
          <t>Avancement Physique %</t>
        </is>
      </c>
      <c r="O4" s="26" t="inlineStr">
        <is>
          <t>% Phys. Sem. Préc.</t>
        </is>
      </c>
      <c r="P4" s="26" t="inlineStr">
        <is>
          <t>Accroissement Phys. %</t>
        </is>
      </c>
      <c r="Q4" s="27" t="inlineStr">
        <is>
          <t>Montant Décaissé (DH)</t>
        </is>
      </c>
      <c r="R4" s="27" t="inlineStr">
        <is>
          <t>Montant Payé (DH)</t>
        </is>
      </c>
      <c r="S4" s="27" t="inlineStr">
        <is>
          <t>Montant Ordonné (DH)</t>
        </is>
      </c>
      <c r="T4" s="27" t="inlineStr">
        <is>
          <t>Avancement Financier %</t>
        </is>
      </c>
      <c r="U4" s="27" t="inlineStr">
        <is>
          <t>% Fin. Sem. Préc.</t>
        </is>
      </c>
      <c r="V4" s="27" t="inlineStr">
        <is>
          <t>Accroissement Fin. %</t>
        </is>
      </c>
      <c r="W4" s="28" t="inlineStr">
        <is>
          <t>Écart Phys.-Fin.</t>
        </is>
      </c>
      <c r="X4" s="28" t="inlineStr">
        <is>
          <t>Observations</t>
        </is>
      </c>
    </row>
    <row r="5" ht="22" customHeight="1">
      <c r="B5" s="5" t="n">
        <v>1</v>
      </c>
      <c r="C5" s="6" t="inlineStr">
        <is>
          <t>Sidi Kacem</t>
        </is>
      </c>
      <c r="D5" s="5" t="inlineStr">
        <is>
          <t>KHENICHET</t>
        </is>
      </c>
      <c r="E5" s="5" t="inlineStr">
        <is>
          <t>50-23</t>
        </is>
      </c>
      <c r="F5" s="5" t="inlineStr">
        <is>
          <t>Entretien et réparation du réseau d'assainissement et de drainage</t>
        </is>
      </c>
      <c r="G5" s="5" t="inlineStr">
        <is>
          <t>Travaux de curage des canaux en terre</t>
        </is>
      </c>
      <c r="H5" s="5" t="inlineStr">
        <is>
          <t>Curage des collecteurs d'assainissement du secteur EST2</t>
        </is>
      </c>
      <c r="I5" s="7" t="n">
        <v>2091568</v>
      </c>
      <c r="J5" s="8" t="inlineStr">
        <is>
          <t>ml</t>
        </is>
      </c>
      <c r="K5" s="9" t="n">
        <v>1046</v>
      </c>
      <c r="L5" s="51" t="n"/>
      <c r="M5" s="52">
        <f>'S27'!M5+L5</f>
        <v/>
      </c>
      <c r="N5" s="53">
        <f>IFERROR(M5/K5,0)</f>
        <v/>
      </c>
      <c r="O5" s="54">
        <f>'S27'!N5</f>
        <v/>
      </c>
      <c r="P5" s="53">
        <f>N5-O5</f>
        <v/>
      </c>
      <c r="Q5" s="32" t="n"/>
      <c r="R5" s="32" t="n"/>
      <c r="S5" s="32" t="n"/>
      <c r="T5" s="55" t="n"/>
      <c r="U5" s="54">
        <f>'S27'!T5</f>
        <v/>
      </c>
      <c r="V5" s="53">
        <f>T5-U5</f>
        <v/>
      </c>
      <c r="W5" s="53">
        <f>N5-T5</f>
        <v/>
      </c>
      <c r="X5" s="34" t="n"/>
    </row>
    <row r="6" ht="22" customHeight="1">
      <c r="B6" s="10" t="n">
        <v>2</v>
      </c>
      <c r="C6" s="6" t="inlineStr">
        <is>
          <t>Sidi Kacem</t>
        </is>
      </c>
      <c r="D6" s="10" t="inlineStr">
        <is>
          <t>KHENICHET</t>
        </is>
      </c>
      <c r="E6" s="10" t="inlineStr">
        <is>
          <t>40-21</t>
        </is>
      </c>
      <c r="F6" s="10" t="inlineStr">
        <is>
          <t>Travaux de pistes</t>
        </is>
      </c>
      <c r="G6" s="10" t="inlineStr">
        <is>
          <t>Travaux de réhabilitation des pistes agricoles</t>
        </is>
      </c>
      <c r="H6" s="10" t="inlineStr">
        <is>
          <t>Entretien des pistes agricoles Douar Nouagra et Douar ouled Salem</t>
        </is>
      </c>
      <c r="I6" s="11" t="n">
        <v>78000</v>
      </c>
      <c r="J6" s="12" t="inlineStr">
        <is>
          <t>km</t>
        </is>
      </c>
      <c r="K6" s="13" t="n">
        <v>1</v>
      </c>
      <c r="L6" s="51" t="n"/>
      <c r="M6" s="56">
        <f>'S27'!M6+L6</f>
        <v/>
      </c>
      <c r="N6" s="57">
        <f>IFERROR(M6/K6,0)</f>
        <v/>
      </c>
      <c r="O6" s="58">
        <f>'S27'!N6</f>
        <v/>
      </c>
      <c r="P6" s="57">
        <f>N6-O6</f>
        <v/>
      </c>
      <c r="Q6" s="32" t="n"/>
      <c r="R6" s="32" t="n"/>
      <c r="S6" s="32" t="n"/>
      <c r="T6" s="55" t="n"/>
      <c r="U6" s="58">
        <f>'S27'!T6</f>
        <v/>
      </c>
      <c r="V6" s="57">
        <f>T6-U6</f>
        <v/>
      </c>
      <c r="W6" s="57">
        <f>N6-T6</f>
        <v/>
      </c>
      <c r="X6" s="34" t="n"/>
    </row>
    <row r="7" ht="22" customHeight="1">
      <c r="B7" s="5" t="n">
        <v>3</v>
      </c>
      <c r="C7" s="6" t="inlineStr">
        <is>
          <t>Sidi Kacem</t>
        </is>
      </c>
      <c r="D7" s="5" t="inlineStr">
        <is>
          <t>KHENICHET</t>
        </is>
      </c>
      <c r="E7" s="5" t="inlineStr">
        <is>
          <t>50-23</t>
        </is>
      </c>
      <c r="F7" s="5" t="inlineStr">
        <is>
          <t>Entretien et réparation du réseau d'assainissement et de drainage</t>
        </is>
      </c>
      <c r="G7" s="5" t="inlineStr">
        <is>
          <t>Curage des prises sur l’oued, bâche d’aspiration et bassin de régulation.</t>
        </is>
      </c>
      <c r="H7" s="5" t="inlineStr">
        <is>
          <t>Curage de la chambre des joints de démontage des siphonnes  de la station de pompage EST2.</t>
        </is>
      </c>
      <c r="I7" s="7" t="n">
        <v>126000</v>
      </c>
      <c r="J7" s="8" t="inlineStr">
        <is>
          <t>ml</t>
        </is>
      </c>
      <c r="K7" s="9" t="n">
        <v>42</v>
      </c>
      <c r="L7" s="51" t="n"/>
      <c r="M7" s="52">
        <f>'S27'!M7+L7</f>
        <v/>
      </c>
      <c r="N7" s="53">
        <f>IFERROR(M7/K7,0)</f>
        <v/>
      </c>
      <c r="O7" s="54">
        <f>'S27'!N7</f>
        <v/>
      </c>
      <c r="P7" s="53">
        <f>N7-O7</f>
        <v/>
      </c>
      <c r="Q7" s="32" t="n"/>
      <c r="R7" s="32" t="n"/>
      <c r="S7" s="32" t="n"/>
      <c r="T7" s="55" t="n"/>
      <c r="U7" s="54">
        <f>'S27'!T7</f>
        <v/>
      </c>
      <c r="V7" s="53">
        <f>T7-U7</f>
        <v/>
      </c>
      <c r="W7" s="53">
        <f>N7-T7</f>
        <v/>
      </c>
      <c r="X7" s="34" t="n"/>
    </row>
    <row r="8" ht="22" customHeight="1">
      <c r="B8" s="10" t="n">
        <v>4</v>
      </c>
      <c r="C8" s="6" t="inlineStr">
        <is>
          <t>Sidi Kacem</t>
        </is>
      </c>
      <c r="D8" s="10" t="inlineStr">
        <is>
          <t>KHENICHET</t>
        </is>
      </c>
      <c r="E8" s="10" t="inlineStr">
        <is>
          <t>50-21</t>
        </is>
      </c>
      <c r="F8" s="10" t="inlineStr">
        <is>
          <t>Entretien et réparation des stations de pompage</t>
        </is>
      </c>
      <c r="G8" s="10" t="inlineStr">
        <is>
          <t>Prestation de maintenance des débitmètres et leurs équipements annexes installés au niveau des station de pompage</t>
        </is>
      </c>
      <c r="H8" s="10" t="inlineStr">
        <is>
          <t>Changement trois débitmètre Ø 600mm inondés de la station de pompage EST 2 et deux capteurs VEGASON 62</t>
        </is>
      </c>
      <c r="I8" s="11" t="n">
        <v>165500</v>
      </c>
      <c r="J8" s="12" t="inlineStr">
        <is>
          <t>U</t>
        </is>
      </c>
      <c r="K8" s="13" t="n">
        <v>3</v>
      </c>
      <c r="L8" s="51" t="n"/>
      <c r="M8" s="56">
        <f>'S27'!M8+L8</f>
        <v/>
      </c>
      <c r="N8" s="57">
        <f>IFERROR(M8/K8,0)</f>
        <v/>
      </c>
      <c r="O8" s="58">
        <f>'S27'!N8</f>
        <v/>
      </c>
      <c r="P8" s="57">
        <f>N8-O8</f>
        <v/>
      </c>
      <c r="Q8" s="32" t="n"/>
      <c r="R8" s="32" t="n"/>
      <c r="S8" s="32" t="n"/>
      <c r="T8" s="55" t="n"/>
      <c r="U8" s="58">
        <f>'S27'!T8</f>
        <v/>
      </c>
      <c r="V8" s="57">
        <f>T8-U8</f>
        <v/>
      </c>
      <c r="W8" s="57">
        <f>N8-T8</f>
        <v/>
      </c>
      <c r="X8" s="34" t="n"/>
    </row>
    <row r="9" ht="22" customHeight="1">
      <c r="B9" s="5" t="n">
        <v>5</v>
      </c>
      <c r="C9" s="6" t="inlineStr">
        <is>
          <t>Sidi Kacem</t>
        </is>
      </c>
      <c r="D9" s="5" t="inlineStr">
        <is>
          <t>BIR TALEB</t>
        </is>
      </c>
      <c r="E9" s="5" t="inlineStr">
        <is>
          <t>50-23</t>
        </is>
      </c>
      <c r="F9" s="5" t="inlineStr">
        <is>
          <t>Entretien et réparation du réseau d'assainissement et de drainage</t>
        </is>
      </c>
      <c r="G9" s="5" t="inlineStr">
        <is>
          <t>Travaux de curage des canaux en terre</t>
        </is>
      </c>
      <c r="H9" s="5" t="inlineStr">
        <is>
          <t>Curage du canal d'assainisement Tihli Aval</t>
        </is>
      </c>
      <c r="I9" s="7" t="n">
        <v>1000000</v>
      </c>
      <c r="J9" s="8" t="inlineStr">
        <is>
          <t>ml</t>
        </is>
      </c>
      <c r="K9" s="9" t="n">
        <v>500</v>
      </c>
      <c r="L9" s="51" t="n"/>
      <c r="M9" s="52">
        <f>'S27'!M9+L9</f>
        <v/>
      </c>
      <c r="N9" s="53">
        <f>IFERROR(M9/K9,0)</f>
        <v/>
      </c>
      <c r="O9" s="54">
        <f>'S27'!N9</f>
        <v/>
      </c>
      <c r="P9" s="53">
        <f>N9-O9</f>
        <v/>
      </c>
      <c r="Q9" s="32" t="n"/>
      <c r="R9" s="32" t="n"/>
      <c r="S9" s="32" t="n"/>
      <c r="T9" s="55" t="n"/>
      <c r="U9" s="54">
        <f>'S27'!T9</f>
        <v/>
      </c>
      <c r="V9" s="53">
        <f>T9-U9</f>
        <v/>
      </c>
      <c r="W9" s="53">
        <f>N9-T9</f>
        <v/>
      </c>
      <c r="X9" s="34" t="n"/>
    </row>
    <row r="10" ht="22" customHeight="1">
      <c r="B10" s="10" t="n">
        <v>6</v>
      </c>
      <c r="C10" s="6" t="inlineStr">
        <is>
          <t>Sidi Kacem</t>
        </is>
      </c>
      <c r="D10" s="10" t="inlineStr">
        <is>
          <t>BIR TALEB</t>
        </is>
      </c>
      <c r="E10" s="10" t="inlineStr">
        <is>
          <t>50-23</t>
        </is>
      </c>
      <c r="F10" s="10" t="inlineStr">
        <is>
          <t>Entretien et réparation du réseau d'assainissement et de drainage</t>
        </is>
      </c>
      <c r="G10" s="10" t="inlineStr"/>
      <c r="H10" s="10" t="inlineStr">
        <is>
          <t>Curage des collecteurs d'assainissement du secteur P11/1</t>
        </is>
      </c>
      <c r="I10" s="11" t="n">
        <v>846731</v>
      </c>
      <c r="J10" s="12" t="inlineStr">
        <is>
          <t>ml</t>
        </is>
      </c>
      <c r="K10" s="13" t="n">
        <v>423</v>
      </c>
      <c r="L10" s="51" t="n"/>
      <c r="M10" s="56">
        <f>'S27'!M10+L10</f>
        <v/>
      </c>
      <c r="N10" s="57">
        <f>IFERROR(M10/K10,0)</f>
        <v/>
      </c>
      <c r="O10" s="58">
        <f>'S27'!N10</f>
        <v/>
      </c>
      <c r="P10" s="57">
        <f>N10-O10</f>
        <v/>
      </c>
      <c r="Q10" s="32" t="n"/>
      <c r="R10" s="32" t="n"/>
      <c r="S10" s="32" t="n"/>
      <c r="T10" s="55" t="n"/>
      <c r="U10" s="58">
        <f>'S27'!T10</f>
        <v/>
      </c>
      <c r="V10" s="57">
        <f>T10-U10</f>
        <v/>
      </c>
      <c r="W10" s="57">
        <f>N10-T10</f>
        <v/>
      </c>
      <c r="X10" s="34" t="n"/>
    </row>
    <row r="11" ht="22" customHeight="1">
      <c r="B11" s="5" t="n">
        <v>7</v>
      </c>
      <c r="C11" s="6" t="inlineStr">
        <is>
          <t>Sidi Kacem</t>
        </is>
      </c>
      <c r="D11" s="5" t="inlineStr">
        <is>
          <t>BIR TALEB</t>
        </is>
      </c>
      <c r="E11" s="5" t="inlineStr">
        <is>
          <t>50-23</t>
        </is>
      </c>
      <c r="F11" s="5" t="inlineStr">
        <is>
          <t>Entretien et réparation du réseau d'assainissement et de drainage</t>
        </is>
      </c>
      <c r="G11" s="5" t="inlineStr">
        <is>
          <t>Curage des prises sur l’oued, bâche d’aspiration et bassin de régulation.</t>
        </is>
      </c>
      <c r="H11" s="5" t="inlineStr">
        <is>
          <t>Curage des prises sur l’oued de la station de pompage P11/1.</t>
        </is>
      </c>
      <c r="I11" s="7" t="n">
        <v>200000</v>
      </c>
      <c r="J11" s="8" t="inlineStr">
        <is>
          <t>ml</t>
        </is>
      </c>
      <c r="K11" s="9" t="n">
        <v>67</v>
      </c>
      <c r="L11" s="51" t="n"/>
      <c r="M11" s="52">
        <f>'S27'!M11+L11</f>
        <v/>
      </c>
      <c r="N11" s="53">
        <f>IFERROR(M11/K11,0)</f>
        <v/>
      </c>
      <c r="O11" s="54">
        <f>'S27'!N11</f>
        <v/>
      </c>
      <c r="P11" s="53">
        <f>N11-O11</f>
        <v/>
      </c>
      <c r="Q11" s="32" t="n"/>
      <c r="R11" s="32" t="n"/>
      <c r="S11" s="32" t="n"/>
      <c r="T11" s="55" t="n"/>
      <c r="U11" s="54">
        <f>'S27'!T11</f>
        <v/>
      </c>
      <c r="V11" s="53">
        <f>T11-U11</f>
        <v/>
      </c>
      <c r="W11" s="53">
        <f>N11-T11</f>
        <v/>
      </c>
      <c r="X11" s="34" t="n"/>
    </row>
    <row r="12" ht="22" customHeight="1">
      <c r="B12" s="10" t="n">
        <v>8</v>
      </c>
      <c r="C12" s="6" t="inlineStr">
        <is>
          <t>Sidi Kacem</t>
        </is>
      </c>
      <c r="D12" s="10" t="inlineStr">
        <is>
          <t>BIR TALEB</t>
        </is>
      </c>
      <c r="E12" s="10" t="inlineStr">
        <is>
          <t>50-21</t>
        </is>
      </c>
      <c r="F12" s="10" t="inlineStr">
        <is>
          <t>Entretien et réparation des stations de pompage</t>
        </is>
      </c>
      <c r="G12" s="10" t="inlineStr">
        <is>
          <t>Prestation de maintenance des débitmètres et leurs équipements annexes installés au niveau des station de pompage</t>
        </is>
      </c>
      <c r="H12" s="10" t="inlineStr">
        <is>
          <t>Changement trois débitmètre Ø 400mm inondés de la station de pompage P11/1</t>
        </is>
      </c>
      <c r="I12" s="11" t="n">
        <v>141900</v>
      </c>
      <c r="J12" s="12" t="inlineStr">
        <is>
          <t>U</t>
        </is>
      </c>
      <c r="K12" s="13" t="n">
        <v>3</v>
      </c>
      <c r="L12" s="51" t="n"/>
      <c r="M12" s="56">
        <f>'S27'!M12+L12</f>
        <v/>
      </c>
      <c r="N12" s="57">
        <f>IFERROR(M12/K12,0)</f>
        <v/>
      </c>
      <c r="O12" s="58">
        <f>'S27'!N12</f>
        <v/>
      </c>
      <c r="P12" s="57">
        <f>N12-O12</f>
        <v/>
      </c>
      <c r="Q12" s="32" t="n"/>
      <c r="R12" s="32" t="n"/>
      <c r="S12" s="32" t="n"/>
      <c r="T12" s="55" t="n"/>
      <c r="U12" s="58">
        <f>'S27'!T12</f>
        <v/>
      </c>
      <c r="V12" s="57">
        <f>T12-U12</f>
        <v/>
      </c>
      <c r="W12" s="57">
        <f>N12-T12</f>
        <v/>
      </c>
      <c r="X12" s="34" t="n"/>
    </row>
    <row r="13" ht="22" customHeight="1">
      <c r="B13" s="5" t="n">
        <v>9</v>
      </c>
      <c r="C13" s="6" t="inlineStr">
        <is>
          <t>Sidi Kacem</t>
        </is>
      </c>
      <c r="D13" s="5" t="inlineStr">
        <is>
          <t>BIR TALEB</t>
        </is>
      </c>
      <c r="E13" s="5" t="inlineStr">
        <is>
          <t>50-21</t>
        </is>
      </c>
      <c r="F13" s="5" t="inlineStr">
        <is>
          <t>Entretien et réparation des stations de pompage</t>
        </is>
      </c>
      <c r="G13" s="5" t="inlineStr">
        <is>
          <t>Prestations de maintenance et de réparation mécanique des pompes et des groupes motopompes submersibles des stations de pompage.</t>
        </is>
      </c>
      <c r="H13" s="5" t="inlineStr">
        <is>
          <t>Démontage et expertise des roues des  pompes principaux et pompes a vide de la station P11/1
Changement des roulements, tresses et organes d’effectués de la station P11/1</t>
        </is>
      </c>
      <c r="I13" s="7" t="n">
        <v>26700</v>
      </c>
      <c r="J13" s="8" t="inlineStr">
        <is>
          <t>U</t>
        </is>
      </c>
      <c r="K13" s="9" t="n">
        <v>1</v>
      </c>
      <c r="L13" s="51" t="n"/>
      <c r="M13" s="52">
        <f>'S27'!M13+L13</f>
        <v/>
      </c>
      <c r="N13" s="53">
        <f>IFERROR(M13/K13,0)</f>
        <v/>
      </c>
      <c r="O13" s="54">
        <f>'S27'!N13</f>
        <v/>
      </c>
      <c r="P13" s="53">
        <f>N13-O13</f>
        <v/>
      </c>
      <c r="Q13" s="32" t="n"/>
      <c r="R13" s="32" t="n"/>
      <c r="S13" s="32" t="n"/>
      <c r="T13" s="55" t="n"/>
      <c r="U13" s="54">
        <f>'S27'!T13</f>
        <v/>
      </c>
      <c r="V13" s="53">
        <f>T13-U13</f>
        <v/>
      </c>
      <c r="W13" s="53">
        <f>N13-T13</f>
        <v/>
      </c>
      <c r="X13" s="34" t="n"/>
    </row>
    <row r="14" ht="22" customHeight="1">
      <c r="B14" s="10" t="n">
        <v>10</v>
      </c>
      <c r="C14" s="6" t="inlineStr">
        <is>
          <t>Sidi Kacem</t>
        </is>
      </c>
      <c r="D14" s="10" t="inlineStr">
        <is>
          <t>BIR TALEB</t>
        </is>
      </c>
      <c r="E14" s="10" t="inlineStr">
        <is>
          <t>50-21</t>
        </is>
      </c>
      <c r="F14" s="10" t="inlineStr">
        <is>
          <t>Entretien et réparation des stations de pompage</t>
        </is>
      </c>
      <c r="G14" s="10" t="inlineStr">
        <is>
          <t>Stabilisation Berge oued</t>
        </is>
      </c>
      <c r="H14" s="10" t="inlineStr">
        <is>
          <t>Pose de  gabions et recouvrement du talus par matelas Reno des stations de pompage P11/1.</t>
        </is>
      </c>
      <c r="I14" s="11" t="n">
        <v>480000</v>
      </c>
      <c r="J14" s="12" t="inlineStr">
        <is>
          <t>m³</t>
        </is>
      </c>
      <c r="K14" s="13" t="n">
        <v>320</v>
      </c>
      <c r="L14" s="51" t="n"/>
      <c r="M14" s="56">
        <f>'S27'!M14+L14</f>
        <v/>
      </c>
      <c r="N14" s="57">
        <f>IFERROR(M14/K14,0)</f>
        <v/>
      </c>
      <c r="O14" s="58">
        <f>'S27'!N14</f>
        <v/>
      </c>
      <c r="P14" s="57">
        <f>N14-O14</f>
        <v/>
      </c>
      <c r="Q14" s="32" t="n"/>
      <c r="R14" s="32" t="n"/>
      <c r="S14" s="32" t="n"/>
      <c r="T14" s="55" t="n"/>
      <c r="U14" s="58">
        <f>'S27'!T14</f>
        <v/>
      </c>
      <c r="V14" s="57">
        <f>T14-U14</f>
        <v/>
      </c>
      <c r="W14" s="57">
        <f>N14-T14</f>
        <v/>
      </c>
      <c r="X14" s="34" t="n"/>
    </row>
    <row r="15" ht="22" customHeight="1">
      <c r="B15" s="5" t="n">
        <v>11</v>
      </c>
      <c r="C15" s="6" t="inlineStr">
        <is>
          <t>Sidi Kacem</t>
        </is>
      </c>
      <c r="D15" s="5" t="inlineStr">
        <is>
          <t>BIR TALEB</t>
        </is>
      </c>
      <c r="E15" s="5" t="inlineStr">
        <is>
          <t>50-21</t>
        </is>
      </c>
      <c r="F15" s="5" t="inlineStr">
        <is>
          <t>Entretien et réparation des stations de pompage</t>
        </is>
      </c>
      <c r="G15" s="5" t="inlineStr">
        <is>
          <t>Génie civile des locaux des stations de pompage.</t>
        </is>
      </c>
      <c r="H15" s="5" t="inlineStr">
        <is>
          <t>Expertise d’état et d’étanchéité des locaux pompes.
Renforcement d’étanchéité des locaux pompe sous niveau des oueds des stations de pompage P11/1.
Entretien des supports en béton des conduites d’aspiration.</t>
        </is>
      </c>
      <c r="I15" s="7" t="n">
        <v>300000</v>
      </c>
      <c r="J15" s="8" t="inlineStr">
        <is>
          <t>U</t>
        </is>
      </c>
      <c r="K15" s="9" t="n">
        <v>1</v>
      </c>
      <c r="L15" s="51" t="n"/>
      <c r="M15" s="52">
        <f>'S27'!M15+L15</f>
        <v/>
      </c>
      <c r="N15" s="53">
        <f>IFERROR(M15/K15,0)</f>
        <v/>
      </c>
      <c r="O15" s="54">
        <f>'S27'!N15</f>
        <v/>
      </c>
      <c r="P15" s="53">
        <f>N15-O15</f>
        <v/>
      </c>
      <c r="Q15" s="32" t="n"/>
      <c r="R15" s="32" t="n"/>
      <c r="S15" s="32" t="n"/>
      <c r="T15" s="55" t="n"/>
      <c r="U15" s="54">
        <f>'S27'!T15</f>
        <v/>
      </c>
      <c r="V15" s="53">
        <f>T15-U15</f>
        <v/>
      </c>
      <c r="W15" s="53">
        <f>N15-T15</f>
        <v/>
      </c>
      <c r="X15" s="34" t="n"/>
    </row>
    <row r="16" ht="22" customHeight="1">
      <c r="B16" s="10" t="n">
        <v>12</v>
      </c>
      <c r="C16" s="6" t="inlineStr">
        <is>
          <t>Sidi Kacem</t>
        </is>
      </c>
      <c r="D16" s="10" t="inlineStr">
        <is>
          <t>CHEBANAT</t>
        </is>
      </c>
      <c r="E16" s="10" t="inlineStr">
        <is>
          <t>50-23</t>
        </is>
      </c>
      <c r="F16" s="10" t="inlineStr">
        <is>
          <t>Entretien et réparation du réseau d'assainissement et de drainage</t>
        </is>
      </c>
      <c r="G16" s="10" t="inlineStr">
        <is>
          <t>Travaux de curage des canaux en terre</t>
        </is>
      </c>
      <c r="H16" s="10" t="inlineStr">
        <is>
          <t>Curage des collecteurs d'assainissement des secteur SH5 et SH6.</t>
        </is>
      </c>
      <c r="I16" s="11" t="n">
        <v>1000000</v>
      </c>
      <c r="J16" s="12" t="inlineStr">
        <is>
          <t>ml</t>
        </is>
      </c>
      <c r="K16" s="13" t="n">
        <v>500</v>
      </c>
      <c r="L16" s="51" t="n"/>
      <c r="M16" s="56">
        <f>'S27'!M16+L16</f>
        <v/>
      </c>
      <c r="N16" s="57">
        <f>IFERROR(M16/K16,0)</f>
        <v/>
      </c>
      <c r="O16" s="58">
        <f>'S27'!N16</f>
        <v/>
      </c>
      <c r="P16" s="57">
        <f>N16-O16</f>
        <v/>
      </c>
      <c r="Q16" s="32" t="n"/>
      <c r="R16" s="32" t="n"/>
      <c r="S16" s="32" t="n"/>
      <c r="T16" s="55" t="n"/>
      <c r="U16" s="58">
        <f>'S27'!T16</f>
        <v/>
      </c>
      <c r="V16" s="57">
        <f>T16-U16</f>
        <v/>
      </c>
      <c r="W16" s="57">
        <f>N16-T16</f>
        <v/>
      </c>
      <c r="X16" s="34" t="n"/>
    </row>
    <row r="17" ht="22" customHeight="1">
      <c r="B17" s="5" t="n">
        <v>13</v>
      </c>
      <c r="C17" s="6" t="inlineStr">
        <is>
          <t>Sidi Kacem</t>
        </is>
      </c>
      <c r="D17" s="5" t="inlineStr">
        <is>
          <t>CHEBANAT</t>
        </is>
      </c>
      <c r="E17" s="5" t="inlineStr">
        <is>
          <t>50-23</t>
        </is>
      </c>
      <c r="F17" s="5" t="inlineStr">
        <is>
          <t>Entretien et réparation du réseau d'assainissement et de drainage</t>
        </is>
      </c>
      <c r="G17" s="5" t="inlineStr">
        <is>
          <t>Travaux de curage des canaux révetus</t>
        </is>
      </c>
      <c r="H17" s="5" t="inlineStr">
        <is>
          <t>Curage du canal principal d'irrigation beht partie aval 1.</t>
        </is>
      </c>
      <c r="I17" s="7" t="n">
        <v>739200</v>
      </c>
      <c r="J17" s="8" t="inlineStr">
        <is>
          <t>ml</t>
        </is>
      </c>
      <c r="K17" s="9" t="n">
        <v>370</v>
      </c>
      <c r="L17" s="51" t="n"/>
      <c r="M17" s="52">
        <f>'S27'!M17+L17</f>
        <v/>
      </c>
      <c r="N17" s="53">
        <f>IFERROR(M17/K17,0)</f>
        <v/>
      </c>
      <c r="O17" s="54">
        <f>'S27'!N17</f>
        <v/>
      </c>
      <c r="P17" s="53">
        <f>N17-O17</f>
        <v/>
      </c>
      <c r="Q17" s="32" t="n"/>
      <c r="R17" s="32" t="n"/>
      <c r="S17" s="32" t="n"/>
      <c r="T17" s="55" t="n"/>
      <c r="U17" s="54">
        <f>'S27'!T17</f>
        <v/>
      </c>
      <c r="V17" s="53">
        <f>T17-U17</f>
        <v/>
      </c>
      <c r="W17" s="53">
        <f>N17-T17</f>
        <v/>
      </c>
      <c r="X17" s="34" t="n"/>
    </row>
    <row r="18" ht="22" customHeight="1">
      <c r="B18" s="10" t="n">
        <v>14</v>
      </c>
      <c r="C18" s="6" t="inlineStr">
        <is>
          <t>Sidi Kacem</t>
        </is>
      </c>
      <c r="D18" s="10" t="inlineStr">
        <is>
          <t>ZIRARA</t>
        </is>
      </c>
      <c r="E18" s="10" t="inlineStr">
        <is>
          <t>50-23</t>
        </is>
      </c>
      <c r="F18" s="10" t="inlineStr">
        <is>
          <t>Entretien et réparation du réseau d'assainissement et de drainage</t>
        </is>
      </c>
      <c r="G18" s="10" t="inlineStr">
        <is>
          <t>Travaux de curage des canaux révetus</t>
        </is>
      </c>
      <c r="H18" s="10" t="inlineStr">
        <is>
          <t>Curage du canal principal d'irrigation beht partie aval 2.</t>
        </is>
      </c>
      <c r="I18" s="11" t="n">
        <v>1276800</v>
      </c>
      <c r="J18" s="12" t="inlineStr">
        <is>
          <t>ml</t>
        </is>
      </c>
      <c r="K18" s="13" t="n">
        <v>638</v>
      </c>
      <c r="L18" s="51" t="n"/>
      <c r="M18" s="56">
        <f>'S27'!M18+L18</f>
        <v/>
      </c>
      <c r="N18" s="57">
        <f>IFERROR(M18/K18,0)</f>
        <v/>
      </c>
      <c r="O18" s="58">
        <f>'S27'!N18</f>
        <v/>
      </c>
      <c r="P18" s="57">
        <f>N18-O18</f>
        <v/>
      </c>
      <c r="Q18" s="32" t="n"/>
      <c r="R18" s="32" t="n"/>
      <c r="S18" s="32" t="n"/>
      <c r="T18" s="55" t="n"/>
      <c r="U18" s="58">
        <f>'S27'!T18</f>
        <v/>
      </c>
      <c r="V18" s="57">
        <f>T18-U18</f>
        <v/>
      </c>
      <c r="W18" s="57">
        <f>N18-T18</f>
        <v/>
      </c>
      <c r="X18" s="34" t="n"/>
    </row>
    <row r="19" ht="22" customHeight="1">
      <c r="B19" s="5" t="n">
        <v>15</v>
      </c>
      <c r="C19" s="6" t="inlineStr">
        <is>
          <t>Sidi Kacem</t>
        </is>
      </c>
      <c r="D19" s="5" t="inlineStr">
        <is>
          <t>DAR LAASLOUJI</t>
        </is>
      </c>
      <c r="E19" s="5" t="inlineStr">
        <is>
          <t>50-23</t>
        </is>
      </c>
      <c r="F19" s="5" t="inlineStr">
        <is>
          <t>Entretien et réparation du réseau d'assainissement et de drainage</t>
        </is>
      </c>
      <c r="G19" s="5" t="inlineStr">
        <is>
          <t>Travaux de curage des canaux en terre</t>
        </is>
      </c>
      <c r="H19" s="5" t="inlineStr">
        <is>
          <t>Curage des collecteurs d'assainissement des secteurs P8-1 et P8-2</t>
        </is>
      </c>
      <c r="I19" s="7" t="n">
        <v>5796360</v>
      </c>
      <c r="J19" s="8" t="inlineStr">
        <is>
          <t>ml</t>
        </is>
      </c>
      <c r="K19" s="9" t="n">
        <v>2898</v>
      </c>
      <c r="L19" s="51" t="n"/>
      <c r="M19" s="52">
        <f>'S27'!M19+L19</f>
        <v/>
      </c>
      <c r="N19" s="53">
        <f>IFERROR(M19/K19,0)</f>
        <v/>
      </c>
      <c r="O19" s="54">
        <f>'S27'!N19</f>
        <v/>
      </c>
      <c r="P19" s="53">
        <f>N19-O19</f>
        <v/>
      </c>
      <c r="Q19" s="32" t="n"/>
      <c r="R19" s="32" t="n"/>
      <c r="S19" s="32" t="n"/>
      <c r="T19" s="55" t="n"/>
      <c r="U19" s="54">
        <f>'S27'!T19</f>
        <v/>
      </c>
      <c r="V19" s="53">
        <f>T19-U19</f>
        <v/>
      </c>
      <c r="W19" s="53">
        <f>N19-T19</f>
        <v/>
      </c>
      <c r="X19" s="34" t="n"/>
    </row>
    <row r="20" ht="22" customHeight="1">
      <c r="B20" s="10" t="n">
        <v>16</v>
      </c>
      <c r="C20" s="6" t="inlineStr">
        <is>
          <t>Sidi Kacem</t>
        </is>
      </c>
      <c r="D20" s="10" t="inlineStr">
        <is>
          <t>DAR LAASLOUJI</t>
        </is>
      </c>
      <c r="E20" s="10" t="inlineStr">
        <is>
          <t>40-21</t>
        </is>
      </c>
      <c r="F20" s="10" t="inlineStr">
        <is>
          <t>Travaux de pistes</t>
        </is>
      </c>
      <c r="G20" s="10" t="inlineStr">
        <is>
          <t>Entretien des pistes agricoles</t>
        </is>
      </c>
      <c r="H20" s="10" t="inlineStr">
        <is>
          <t>Entretien des pistes agricoles</t>
        </is>
      </c>
      <c r="I20" s="11" t="n">
        <v>340000</v>
      </c>
      <c r="J20" s="12" t="inlineStr">
        <is>
          <t>km</t>
        </is>
      </c>
      <c r="K20" s="13" t="n">
        <v>1</v>
      </c>
      <c r="L20" s="51" t="n"/>
      <c r="M20" s="56">
        <f>'S27'!M20+L20</f>
        <v/>
      </c>
      <c r="N20" s="57">
        <f>IFERROR(M20/K20,0)</f>
        <v/>
      </c>
      <c r="O20" s="58">
        <f>'S27'!N20</f>
        <v/>
      </c>
      <c r="P20" s="57">
        <f>N20-O20</f>
        <v/>
      </c>
      <c r="Q20" s="32" t="n"/>
      <c r="R20" s="32" t="n"/>
      <c r="S20" s="32" t="n"/>
      <c r="T20" s="55" t="n"/>
      <c r="U20" s="58">
        <f>'S27'!T20</f>
        <v/>
      </c>
      <c r="V20" s="57">
        <f>T20-U20</f>
        <v/>
      </c>
      <c r="W20" s="57">
        <f>N20-T20</f>
        <v/>
      </c>
      <c r="X20" s="34" t="n"/>
    </row>
    <row r="21" ht="22" customHeight="1">
      <c r="B21" s="5" t="n">
        <v>17</v>
      </c>
      <c r="C21" s="6" t="inlineStr">
        <is>
          <t>Sidi Kacem</t>
        </is>
      </c>
      <c r="D21" s="5" t="inlineStr">
        <is>
          <t>HOUAFATE</t>
        </is>
      </c>
      <c r="E21" s="5" t="inlineStr">
        <is>
          <t>20-11</t>
        </is>
      </c>
      <c r="F21" s="5" t="inlineStr">
        <is>
          <t>Travaux de réhabilitation des équipements</t>
        </is>
      </c>
      <c r="G21" s="5" t="inlineStr">
        <is>
          <t>Travaux de réhabilitation des canaux portés d'irrigation</t>
        </is>
      </c>
      <c r="H21" s="5" t="inlineStr">
        <is>
          <t>Fourniture et de pose de canaux porté et accessoires du réseau S3 du secteur S13</t>
        </is>
      </c>
      <c r="I21" s="7" t="n">
        <v>397934</v>
      </c>
      <c r="J21" s="8" t="inlineStr">
        <is>
          <t>ml</t>
        </is>
      </c>
      <c r="K21" s="9" t="n">
        <v>133</v>
      </c>
      <c r="L21" s="51" t="n"/>
      <c r="M21" s="52">
        <f>'S27'!M21+L21</f>
        <v/>
      </c>
      <c r="N21" s="53">
        <f>IFERROR(M21/K21,0)</f>
        <v/>
      </c>
      <c r="O21" s="54">
        <f>'S27'!N21</f>
        <v/>
      </c>
      <c r="P21" s="53">
        <f>N21-O21</f>
        <v/>
      </c>
      <c r="Q21" s="32" t="n"/>
      <c r="R21" s="32" t="n"/>
      <c r="S21" s="32" t="n"/>
      <c r="T21" s="55" t="n"/>
      <c r="U21" s="54">
        <f>'S27'!T21</f>
        <v/>
      </c>
      <c r="V21" s="53">
        <f>T21-U21</f>
        <v/>
      </c>
      <c r="W21" s="53">
        <f>N21-T21</f>
        <v/>
      </c>
      <c r="X21" s="34" t="n"/>
    </row>
    <row r="22" ht="22" customHeight="1">
      <c r="B22" s="10" t="n">
        <v>18</v>
      </c>
      <c r="C22" s="6" t="inlineStr">
        <is>
          <t>Sidi Kacem</t>
        </is>
      </c>
      <c r="D22" s="10" t="inlineStr">
        <is>
          <t>HOUAFATE</t>
        </is>
      </c>
      <c r="E22" s="10" t="inlineStr">
        <is>
          <t>20-11</t>
        </is>
      </c>
      <c r="F22" s="10" t="inlineStr">
        <is>
          <t>Travaux de réhabilitation des équipements</t>
        </is>
      </c>
      <c r="G22" s="10" t="inlineStr"/>
      <c r="H22" s="10" t="inlineStr">
        <is>
          <t>Fourniture et de pose de canaux porté et accessoires du réseau T2S1 du secteur S13</t>
        </is>
      </c>
      <c r="I22" s="11" t="n">
        <v>207575</v>
      </c>
      <c r="J22" s="12" t="inlineStr">
        <is>
          <t>ml</t>
        </is>
      </c>
      <c r="K22" s="13" t="n">
        <v>69</v>
      </c>
      <c r="L22" s="51" t="n"/>
      <c r="M22" s="56">
        <f>'S27'!M22+L22</f>
        <v/>
      </c>
      <c r="N22" s="57">
        <f>IFERROR(M22/K22,0)</f>
        <v/>
      </c>
      <c r="O22" s="58">
        <f>'S27'!N22</f>
        <v/>
      </c>
      <c r="P22" s="57">
        <f>N22-O22</f>
        <v/>
      </c>
      <c r="Q22" s="32" t="n"/>
      <c r="R22" s="32" t="n"/>
      <c r="S22" s="32" t="n"/>
      <c r="T22" s="55" t="n"/>
      <c r="U22" s="58">
        <f>'S27'!T22</f>
        <v/>
      </c>
      <c r="V22" s="57">
        <f>T22-U22</f>
        <v/>
      </c>
      <c r="W22" s="57">
        <f>N22-T22</f>
        <v/>
      </c>
      <c r="X22" s="34" t="n"/>
    </row>
    <row r="23" ht="22" customHeight="1">
      <c r="B23" s="5" t="n">
        <v>19</v>
      </c>
      <c r="C23" s="6" t="inlineStr">
        <is>
          <t>Sidi Kacem</t>
        </is>
      </c>
      <c r="D23" s="5" t="inlineStr">
        <is>
          <t>HOUAFATE</t>
        </is>
      </c>
      <c r="E23" s="5" t="inlineStr">
        <is>
          <t>40-21</t>
        </is>
      </c>
      <c r="F23" s="5" t="inlineStr">
        <is>
          <t>Travaux de pistes</t>
        </is>
      </c>
      <c r="G23" s="5" t="inlineStr">
        <is>
          <t>Entretien des pistes agricoles</t>
        </is>
      </c>
      <c r="H23" s="5" t="inlineStr">
        <is>
          <t>Entretien des pistes agricoles</t>
        </is>
      </c>
      <c r="I23" s="7" t="n">
        <v>2200000</v>
      </c>
      <c r="J23" s="8" t="inlineStr">
        <is>
          <t>km</t>
        </is>
      </c>
      <c r="K23" s="9" t="n">
        <v>4</v>
      </c>
      <c r="L23" s="51" t="n"/>
      <c r="M23" s="52">
        <f>'S27'!M23+L23</f>
        <v/>
      </c>
      <c r="N23" s="53">
        <f>IFERROR(M23/K23,0)</f>
        <v/>
      </c>
      <c r="O23" s="54">
        <f>'S27'!N23</f>
        <v/>
      </c>
      <c r="P23" s="53">
        <f>N23-O23</f>
        <v/>
      </c>
      <c r="Q23" s="32" t="n"/>
      <c r="R23" s="32" t="n"/>
      <c r="S23" s="32" t="n"/>
      <c r="T23" s="55" t="n"/>
      <c r="U23" s="54">
        <f>'S27'!T23</f>
        <v/>
      </c>
      <c r="V23" s="53">
        <f>T23-U23</f>
        <v/>
      </c>
      <c r="W23" s="53">
        <f>N23-T23</f>
        <v/>
      </c>
      <c r="X23" s="34" t="n"/>
    </row>
    <row r="24" ht="22" customHeight="1">
      <c r="B24" s="10" t="n">
        <v>20</v>
      </c>
      <c r="C24" s="6" t="inlineStr">
        <is>
          <t>Sidi Kacem</t>
        </is>
      </c>
      <c r="D24" s="10" t="inlineStr">
        <is>
          <t>HOUAFATE</t>
        </is>
      </c>
      <c r="E24" s="10" t="inlineStr">
        <is>
          <t>50-23</t>
        </is>
      </c>
      <c r="F24" s="10" t="inlineStr">
        <is>
          <t>Entretien et réparation du réseau d'assainissement et de drainage</t>
        </is>
      </c>
      <c r="G24" s="10" t="inlineStr">
        <is>
          <t>Curage des prises sur l’oued, bâche d’aspiration et bassin de régulation.</t>
        </is>
      </c>
      <c r="H24" s="10" t="inlineStr">
        <is>
          <t>Curage des prises sur l’oued de la station de pompage S17 et S13.
Nettoyage des grilles de préfiltration des boues colmaté de la station de pompage S17 et S13.
Curage de la bâche d’aspiration de la station S17 et S13.</t>
        </is>
      </c>
      <c r="I24" s="11" t="n">
        <v>300000</v>
      </c>
      <c r="J24" s="12" t="inlineStr">
        <is>
          <t>ml</t>
        </is>
      </c>
      <c r="K24" s="13" t="n">
        <v>100</v>
      </c>
      <c r="L24" s="51" t="n"/>
      <c r="M24" s="56">
        <f>'S27'!M24+L24</f>
        <v/>
      </c>
      <c r="N24" s="57">
        <f>IFERROR(M24/K24,0)</f>
        <v/>
      </c>
      <c r="O24" s="58">
        <f>'S27'!N24</f>
        <v/>
      </c>
      <c r="P24" s="57">
        <f>N24-O24</f>
        <v/>
      </c>
      <c r="Q24" s="32" t="n"/>
      <c r="R24" s="32" t="n"/>
      <c r="S24" s="32" t="n"/>
      <c r="T24" s="55" t="n"/>
      <c r="U24" s="58">
        <f>'S27'!T24</f>
        <v/>
      </c>
      <c r="V24" s="57">
        <f>T24-U24</f>
        <v/>
      </c>
      <c r="W24" s="57">
        <f>N24-T24</f>
        <v/>
      </c>
      <c r="X24" s="34" t="n"/>
    </row>
    <row r="25" ht="22" customHeight="1">
      <c r="B25" s="5" t="n">
        <v>21</v>
      </c>
      <c r="C25" s="6" t="inlineStr">
        <is>
          <t>Sidi Kacem</t>
        </is>
      </c>
      <c r="D25" s="5" t="inlineStr">
        <is>
          <t>HOUAFATE</t>
        </is>
      </c>
      <c r="E25" s="5" t="inlineStr">
        <is>
          <t>50-21</t>
        </is>
      </c>
      <c r="F25" s="5" t="inlineStr">
        <is>
          <t>Entretien et réparation des stations de pompage</t>
        </is>
      </c>
      <c r="G25" s="5" t="inlineStr">
        <is>
          <t>Prestation de maintenance des débitmètres et leurs équipements annexes installés au niveau des station de pompage</t>
        </is>
      </c>
      <c r="H25" s="5" t="inlineStr">
        <is>
          <t>Changement trois débitmètre Ø 600mm inondés de la station de pompage S13.</t>
        </is>
      </c>
      <c r="I25" s="7" t="n">
        <v>250000</v>
      </c>
      <c r="J25" s="8" t="inlineStr">
        <is>
          <t>U</t>
        </is>
      </c>
      <c r="K25" s="9" t="n">
        <v>3</v>
      </c>
      <c r="L25" s="51" t="n"/>
      <c r="M25" s="52">
        <f>'S27'!M25+L25</f>
        <v/>
      </c>
      <c r="N25" s="53">
        <f>IFERROR(M25/K25,0)</f>
        <v/>
      </c>
      <c r="O25" s="54">
        <f>'S27'!N25</f>
        <v/>
      </c>
      <c r="P25" s="53">
        <f>N25-O25</f>
        <v/>
      </c>
      <c r="Q25" s="32" t="n"/>
      <c r="R25" s="32" t="n"/>
      <c r="S25" s="32" t="n"/>
      <c r="T25" s="55" t="n"/>
      <c r="U25" s="54">
        <f>'S27'!T25</f>
        <v/>
      </c>
      <c r="V25" s="53">
        <f>T25-U25</f>
        <v/>
      </c>
      <c r="W25" s="53">
        <f>N25-T25</f>
        <v/>
      </c>
      <c r="X25" s="34" t="n"/>
    </row>
    <row r="26" ht="22" customHeight="1">
      <c r="B26" s="10" t="n">
        <v>22</v>
      </c>
      <c r="C26" s="6" t="inlineStr">
        <is>
          <t>Sidi Kacem</t>
        </is>
      </c>
      <c r="D26" s="10" t="inlineStr">
        <is>
          <t>HOUAFATE</t>
        </is>
      </c>
      <c r="E26" s="10" t="inlineStr">
        <is>
          <t>50-21</t>
        </is>
      </c>
      <c r="F26" s="10" t="inlineStr">
        <is>
          <t>Entretien et réparation des stations de pompage</t>
        </is>
      </c>
      <c r="G26" s="10" t="inlineStr">
        <is>
          <t>Prestations de maintenance des moteurs électriques des stations de pompage.</t>
        </is>
      </c>
      <c r="H26" s="10" t="inlineStr">
        <is>
          <t>Révision des trois moteurs électriques 200 KW principaux de la station S13. 
Révision des deux moteurs électriques 5,5 KW groupes vide de la station S13.</t>
        </is>
      </c>
      <c r="I26" s="11" t="n">
        <v>25000</v>
      </c>
      <c r="J26" s="12" t="inlineStr">
        <is>
          <t>U</t>
        </is>
      </c>
      <c r="K26" s="13" t="n">
        <v>3</v>
      </c>
      <c r="L26" s="51" t="n"/>
      <c r="M26" s="56">
        <f>'S27'!M26+L26</f>
        <v/>
      </c>
      <c r="N26" s="57">
        <f>IFERROR(M26/K26,0)</f>
        <v/>
      </c>
      <c r="O26" s="58">
        <f>'S27'!N26</f>
        <v/>
      </c>
      <c r="P26" s="57">
        <f>N26-O26</f>
        <v/>
      </c>
      <c r="Q26" s="32" t="n"/>
      <c r="R26" s="32" t="n"/>
      <c r="S26" s="32" t="n"/>
      <c r="T26" s="55" t="n"/>
      <c r="U26" s="58">
        <f>'S27'!T26</f>
        <v/>
      </c>
      <c r="V26" s="57">
        <f>T26-U26</f>
        <v/>
      </c>
      <c r="W26" s="57">
        <f>N26-T26</f>
        <v/>
      </c>
      <c r="X26" s="34" t="n"/>
    </row>
    <row r="27" ht="22" customHeight="1">
      <c r="B27" s="5" t="n">
        <v>23</v>
      </c>
      <c r="C27" s="6" t="inlineStr">
        <is>
          <t>Sidi Kacem</t>
        </is>
      </c>
      <c r="D27" s="5" t="inlineStr">
        <is>
          <t>HOUAFATE</t>
        </is>
      </c>
      <c r="E27" s="5" t="inlineStr">
        <is>
          <t>50-21</t>
        </is>
      </c>
      <c r="F27" s="5" t="inlineStr">
        <is>
          <t>Entretien et réparation des stations de pompage</t>
        </is>
      </c>
      <c r="G27" s="5" t="inlineStr">
        <is>
          <t>Prestations de maintenance et de réparation mécanique des pompes et des groupes motopompes submersibles des stations de pompage.</t>
        </is>
      </c>
      <c r="H27" s="5" t="inlineStr">
        <is>
          <t>Démontage et expertise des roues des  pompes principaux et pompes a vide de la station S13.
Changement des roulements, tresses et organes d’effectués de la station S13.</t>
        </is>
      </c>
      <c r="I27" s="7" t="n">
        <v>38000</v>
      </c>
      <c r="J27" s="8" t="inlineStr">
        <is>
          <t>U</t>
        </is>
      </c>
      <c r="K27" s="9" t="n">
        <v>1</v>
      </c>
      <c r="L27" s="51" t="n"/>
      <c r="M27" s="52">
        <f>'S27'!M27+L27</f>
        <v/>
      </c>
      <c r="N27" s="53">
        <f>IFERROR(M27/K27,0)</f>
        <v/>
      </c>
      <c r="O27" s="54">
        <f>'S27'!N27</f>
        <v/>
      </c>
      <c r="P27" s="53">
        <f>N27-O27</f>
        <v/>
      </c>
      <c r="Q27" s="32" t="n"/>
      <c r="R27" s="32" t="n"/>
      <c r="S27" s="32" t="n"/>
      <c r="T27" s="55" t="n"/>
      <c r="U27" s="54">
        <f>'S27'!T27</f>
        <v/>
      </c>
      <c r="V27" s="53">
        <f>T27-U27</f>
        <v/>
      </c>
      <c r="W27" s="53">
        <f>N27-T27</f>
        <v/>
      </c>
      <c r="X27" s="34" t="n"/>
    </row>
    <row r="28" ht="22" customHeight="1">
      <c r="B28" s="10" t="n">
        <v>24</v>
      </c>
      <c r="C28" s="6" t="inlineStr">
        <is>
          <t>Sidi Kacem</t>
        </is>
      </c>
      <c r="D28" s="10" t="inlineStr">
        <is>
          <t>HOUAFATE</t>
        </is>
      </c>
      <c r="E28" s="10" t="inlineStr">
        <is>
          <t>50-21</t>
        </is>
      </c>
      <c r="F28" s="10" t="inlineStr">
        <is>
          <t>Entretien et réparation des stations de pompage</t>
        </is>
      </c>
      <c r="G28" s="10" t="inlineStr">
        <is>
          <t>Stabilisation Berge oued</t>
        </is>
      </c>
      <c r="H28" s="10" t="inlineStr">
        <is>
          <t>Pose de  gabions et recouvrement du talus par matelas Reno des stations de pompage S13.</t>
        </is>
      </c>
      <c r="I28" s="11" t="n">
        <v>10560000</v>
      </c>
      <c r="J28" s="12" t="inlineStr">
        <is>
          <t>m³</t>
        </is>
      </c>
      <c r="K28" s="13" t="n">
        <v>7040</v>
      </c>
      <c r="L28" s="51" t="n"/>
      <c r="M28" s="56">
        <f>'S27'!M28+L28</f>
        <v/>
      </c>
      <c r="N28" s="57">
        <f>IFERROR(M28/K28,0)</f>
        <v/>
      </c>
      <c r="O28" s="58">
        <f>'S27'!N28</f>
        <v/>
      </c>
      <c r="P28" s="57">
        <f>N28-O28</f>
        <v/>
      </c>
      <c r="Q28" s="32" t="n"/>
      <c r="R28" s="32" t="n"/>
      <c r="S28" s="32" t="n"/>
      <c r="T28" s="55" t="n"/>
      <c r="U28" s="58">
        <f>'S27'!T28</f>
        <v/>
      </c>
      <c r="V28" s="57">
        <f>T28-U28</f>
        <v/>
      </c>
      <c r="W28" s="57">
        <f>N28-T28</f>
        <v/>
      </c>
      <c r="X28" s="34" t="n"/>
    </row>
    <row r="29" ht="22" customHeight="1">
      <c r="B29" s="5" t="n">
        <v>25</v>
      </c>
      <c r="C29" s="6" t="inlineStr">
        <is>
          <t>Sidi Kacem</t>
        </is>
      </c>
      <c r="D29" s="5" t="inlineStr">
        <is>
          <t>HOUAFATE</t>
        </is>
      </c>
      <c r="E29" s="5" t="inlineStr">
        <is>
          <t>50-21</t>
        </is>
      </c>
      <c r="F29" s="5" t="inlineStr">
        <is>
          <t>Entretien et réparation des stations de pompage</t>
        </is>
      </c>
      <c r="G29" s="5" t="inlineStr">
        <is>
          <t>Mur clôture des stations de pompage.</t>
        </is>
      </c>
      <c r="H29" s="5" t="inlineStr">
        <is>
          <t>Stabilisation du sol et reconstruction des murs clôture (270m) cote oued de la station S17.</t>
        </is>
      </c>
      <c r="I29" s="7" t="n">
        <v>144000</v>
      </c>
      <c r="J29" s="8" t="inlineStr">
        <is>
          <t>ml</t>
        </is>
      </c>
      <c r="K29" s="9" t="n">
        <v>270</v>
      </c>
      <c r="L29" s="51" t="n"/>
      <c r="M29" s="52">
        <f>'S27'!M29+L29</f>
        <v/>
      </c>
      <c r="N29" s="53">
        <f>IFERROR(M29/K29,0)</f>
        <v/>
      </c>
      <c r="O29" s="54">
        <f>'S27'!N29</f>
        <v/>
      </c>
      <c r="P29" s="53">
        <f>N29-O29</f>
        <v/>
      </c>
      <c r="Q29" s="32" t="n"/>
      <c r="R29" s="32" t="n"/>
      <c r="S29" s="32" t="n"/>
      <c r="T29" s="55" t="n"/>
      <c r="U29" s="54">
        <f>'S27'!T29</f>
        <v/>
      </c>
      <c r="V29" s="53">
        <f>T29-U29</f>
        <v/>
      </c>
      <c r="W29" s="53">
        <f>N29-T29</f>
        <v/>
      </c>
      <c r="X29" s="34" t="n"/>
    </row>
    <row r="30" ht="22" customHeight="1">
      <c r="B30" s="10" t="n">
        <v>26</v>
      </c>
      <c r="C30" s="6" t="inlineStr">
        <is>
          <t>Sidi Kacem</t>
        </is>
      </c>
      <c r="D30" s="10" t="inlineStr">
        <is>
          <t>HOUAFATE</t>
        </is>
      </c>
      <c r="E30" s="10" t="inlineStr">
        <is>
          <t>50-21</t>
        </is>
      </c>
      <c r="F30" s="10" t="inlineStr">
        <is>
          <t>Entretien et réparation des stations de pompage</t>
        </is>
      </c>
      <c r="G30" s="10" t="inlineStr">
        <is>
          <t>Génie civile des locaux des stations de pompage.</t>
        </is>
      </c>
      <c r="H30" s="10" t="inlineStr">
        <is>
          <t>Expertise d’état et d’étanchéité des locaux pompes, commande, puissance des stations de pompage S17 et S13.
Renforcement d’étanchéité des locaux pompe sous niveau des oueds des stations de pompage S17 et S13.</t>
        </is>
      </c>
      <c r="I30" s="11" t="n">
        <v>800000</v>
      </c>
      <c r="J30" s="12" t="inlineStr">
        <is>
          <t>U</t>
        </is>
      </c>
      <c r="K30" s="13" t="n">
        <v>1</v>
      </c>
      <c r="L30" s="51" t="n"/>
      <c r="M30" s="56">
        <f>'S27'!M30+L30</f>
        <v/>
      </c>
      <c r="N30" s="57">
        <f>IFERROR(M30/K30,0)</f>
        <v/>
      </c>
      <c r="O30" s="58">
        <f>'S27'!N30</f>
        <v/>
      </c>
      <c r="P30" s="57">
        <f>N30-O30</f>
        <v/>
      </c>
      <c r="Q30" s="32" t="n"/>
      <c r="R30" s="32" t="n"/>
      <c r="S30" s="32" t="n"/>
      <c r="T30" s="55" t="n"/>
      <c r="U30" s="58">
        <f>'S27'!T30</f>
        <v/>
      </c>
      <c r="V30" s="57">
        <f>T30-U30</f>
        <v/>
      </c>
      <c r="W30" s="57">
        <f>N30-T30</f>
        <v/>
      </c>
      <c r="X30" s="34" t="n"/>
    </row>
    <row r="31" ht="22" customHeight="1">
      <c r="B31" s="5" t="n">
        <v>27</v>
      </c>
      <c r="C31" s="6" t="inlineStr">
        <is>
          <t>Sidi Kacem</t>
        </is>
      </c>
      <c r="D31" s="5" t="inlineStr">
        <is>
          <t>NOUIRAT</t>
        </is>
      </c>
      <c r="E31" s="5" t="inlineStr">
        <is>
          <t>50-23</t>
        </is>
      </c>
      <c r="F31" s="5" t="inlineStr">
        <is>
          <t>Entretien et réparation du réseau d'assainissement et de drainage</t>
        </is>
      </c>
      <c r="G31" s="5" t="inlineStr">
        <is>
          <t>Travaux de curage des canaux en terre</t>
        </is>
      </c>
      <c r="H31" s="5" t="inlineStr">
        <is>
          <t>Curage des collecteurs d'assainissement des secteurs EST1 et N5</t>
        </is>
      </c>
      <c r="I31" s="7" t="n">
        <v>1733306</v>
      </c>
      <c r="J31" s="8" t="inlineStr">
        <is>
          <t>ml</t>
        </is>
      </c>
      <c r="K31" s="9" t="n">
        <v>867</v>
      </c>
      <c r="L31" s="51" t="n"/>
      <c r="M31" s="52">
        <f>'S27'!M31+L31</f>
        <v/>
      </c>
      <c r="N31" s="53">
        <f>IFERROR(M31/K31,0)</f>
        <v/>
      </c>
      <c r="O31" s="54">
        <f>'S27'!N31</f>
        <v/>
      </c>
      <c r="P31" s="53">
        <f>N31-O31</f>
        <v/>
      </c>
      <c r="Q31" s="32" t="n"/>
      <c r="R31" s="32" t="n"/>
      <c r="S31" s="32" t="n"/>
      <c r="T31" s="55" t="n"/>
      <c r="U31" s="54">
        <f>'S27'!T31</f>
        <v/>
      </c>
      <c r="V31" s="53">
        <f>T31-U31</f>
        <v/>
      </c>
      <c r="W31" s="53">
        <f>N31-T31</f>
        <v/>
      </c>
      <c r="X31" s="34" t="n"/>
    </row>
    <row r="32" ht="22" customHeight="1">
      <c r="B32" s="10" t="n">
        <v>28</v>
      </c>
      <c r="C32" s="6" t="inlineStr">
        <is>
          <t>Sidi Kacem</t>
        </is>
      </c>
      <c r="D32" s="10" t="inlineStr">
        <is>
          <t>NOUIRAT</t>
        </is>
      </c>
      <c r="E32" s="10" t="inlineStr">
        <is>
          <t>40-21</t>
        </is>
      </c>
      <c r="F32" s="10" t="inlineStr">
        <is>
          <t>Travaux de pistes</t>
        </is>
      </c>
      <c r="G32" s="10" t="inlineStr">
        <is>
          <t>Entretien des pistes agricoles</t>
        </is>
      </c>
      <c r="H32" s="10" t="inlineStr">
        <is>
          <t>Entretien des pistes agricoles</t>
        </is>
      </c>
      <c r="I32" s="11" t="n">
        <v>670000</v>
      </c>
      <c r="J32" s="12" t="inlineStr">
        <is>
          <t>km</t>
        </is>
      </c>
      <c r="K32" s="13" t="n">
        <v>1</v>
      </c>
      <c r="L32" s="51" t="n"/>
      <c r="M32" s="56">
        <f>'S27'!M32+L32</f>
        <v/>
      </c>
      <c r="N32" s="57">
        <f>IFERROR(M32/K32,0)</f>
        <v/>
      </c>
      <c r="O32" s="58">
        <f>'S27'!N32</f>
        <v/>
      </c>
      <c r="P32" s="57">
        <f>N32-O32</f>
        <v/>
      </c>
      <c r="Q32" s="32" t="n"/>
      <c r="R32" s="32" t="n"/>
      <c r="S32" s="32" t="n"/>
      <c r="T32" s="55" t="n"/>
      <c r="U32" s="58">
        <f>'S27'!T32</f>
        <v/>
      </c>
      <c r="V32" s="57">
        <f>T32-U32</f>
        <v/>
      </c>
      <c r="W32" s="57">
        <f>N32-T32</f>
        <v/>
      </c>
      <c r="X32" s="34" t="n"/>
    </row>
    <row r="33" ht="22" customHeight="1">
      <c r="B33" s="5" t="n">
        <v>29</v>
      </c>
      <c r="C33" s="6" t="inlineStr">
        <is>
          <t>Sidi Kacem</t>
        </is>
      </c>
      <c r="D33" s="5" t="inlineStr">
        <is>
          <t>NOUIRAT</t>
        </is>
      </c>
      <c r="E33" s="5" t="inlineStr">
        <is>
          <t>20-11</t>
        </is>
      </c>
      <c r="F33" s="5" t="inlineStr">
        <is>
          <t>Travaux de réhabilitation des équipements</t>
        </is>
      </c>
      <c r="G33" s="5" t="inlineStr">
        <is>
          <t>Travaux de réhabilitation des ouvrages de génie civil</t>
        </is>
      </c>
      <c r="H33" s="5" t="inlineStr">
        <is>
          <t>Réhabilitation de l'ouvrage( genie civil ,gabiollannage,clapet anti retour et buse) de l'ouvrage de débouche SE1</t>
        </is>
      </c>
      <c r="I33" s="7" t="n">
        <v>2500000</v>
      </c>
      <c r="J33" s="8" t="inlineStr">
        <is>
          <t>U</t>
        </is>
      </c>
      <c r="K33" s="9" t="n">
        <v>5</v>
      </c>
      <c r="L33" s="51" t="n"/>
      <c r="M33" s="52">
        <f>'S27'!M33+L33</f>
        <v/>
      </c>
      <c r="N33" s="53">
        <f>IFERROR(M33/K33,0)</f>
        <v/>
      </c>
      <c r="O33" s="54">
        <f>'S27'!N33</f>
        <v/>
      </c>
      <c r="P33" s="53">
        <f>N33-O33</f>
        <v/>
      </c>
      <c r="Q33" s="32" t="n"/>
      <c r="R33" s="32" t="n"/>
      <c r="S33" s="32" t="n"/>
      <c r="T33" s="55" t="n"/>
      <c r="U33" s="54">
        <f>'S27'!T33</f>
        <v/>
      </c>
      <c r="V33" s="53">
        <f>T33-U33</f>
        <v/>
      </c>
      <c r="W33" s="53">
        <f>N33-T33</f>
        <v/>
      </c>
      <c r="X33" s="34" t="n"/>
    </row>
    <row r="34" ht="22" customHeight="1">
      <c r="B34" s="10" t="n">
        <v>30</v>
      </c>
      <c r="C34" s="6" t="inlineStr">
        <is>
          <t>Sidi Kacem</t>
        </is>
      </c>
      <c r="D34" s="10" t="inlineStr">
        <is>
          <t>NOUIRAT</t>
        </is>
      </c>
      <c r="E34" s="10" t="inlineStr">
        <is>
          <t>50-23</t>
        </is>
      </c>
      <c r="F34" s="10" t="inlineStr">
        <is>
          <t>Entretien et réparation du réseau d'assainissement et de drainage</t>
        </is>
      </c>
      <c r="G34" s="10" t="inlineStr">
        <is>
          <t>Curage des prises sur l’oued, bâche d’aspiration et bassin de régulation.</t>
        </is>
      </c>
      <c r="H34" s="10" t="inlineStr">
        <is>
          <t>Curage des prises sur l’oued de la station de pompage E1.
Nettoyage des grilles de préfiltration des boues colmaté de la station de pompage E1.
Curage de la bâche d’aspiration de la station E1.</t>
        </is>
      </c>
      <c r="I34" s="11" t="n">
        <v>800000</v>
      </c>
      <c r="J34" s="12" t="inlineStr">
        <is>
          <t>ml</t>
        </is>
      </c>
      <c r="K34" s="13" t="n">
        <v>267</v>
      </c>
      <c r="L34" s="51" t="n"/>
      <c r="M34" s="56">
        <f>'S27'!M34+L34</f>
        <v/>
      </c>
      <c r="N34" s="57">
        <f>IFERROR(M34/K34,0)</f>
        <v/>
      </c>
      <c r="O34" s="58">
        <f>'S27'!N34</f>
        <v/>
      </c>
      <c r="P34" s="57">
        <f>N34-O34</f>
        <v/>
      </c>
      <c r="Q34" s="32" t="n"/>
      <c r="R34" s="32" t="n"/>
      <c r="S34" s="32" t="n"/>
      <c r="T34" s="55" t="n"/>
      <c r="U34" s="58">
        <f>'S27'!T34</f>
        <v/>
      </c>
      <c r="V34" s="57">
        <f>T34-U34</f>
        <v/>
      </c>
      <c r="W34" s="57">
        <f>N34-T34</f>
        <v/>
      </c>
      <c r="X34" s="34" t="n"/>
    </row>
    <row r="35" ht="22" customHeight="1">
      <c r="B35" s="5" t="n">
        <v>31</v>
      </c>
      <c r="C35" s="6" t="inlineStr">
        <is>
          <t>Sidi Kacem</t>
        </is>
      </c>
      <c r="D35" s="5" t="inlineStr">
        <is>
          <t>NOUIRAT</t>
        </is>
      </c>
      <c r="E35" s="5" t="inlineStr">
        <is>
          <t>50-21</t>
        </is>
      </c>
      <c r="F35" s="5" t="inlineStr">
        <is>
          <t>Entretien et réparation des stations de pompage</t>
        </is>
      </c>
      <c r="G35" s="5" t="inlineStr">
        <is>
          <t>Prestation de maintenance des débitmètres et leurs équipements annexes installés au niveau des station de pompage</t>
        </is>
      </c>
      <c r="H35" s="5" t="inlineStr">
        <is>
          <t>Changement du débitmètre Ø 1200mm inondé de la station de pompage E1.</t>
        </is>
      </c>
      <c r="I35" s="7" t="n">
        <v>195000</v>
      </c>
      <c r="J35" s="8" t="inlineStr">
        <is>
          <t>U</t>
        </is>
      </c>
      <c r="K35" s="9" t="n">
        <v>2</v>
      </c>
      <c r="L35" s="51" t="n"/>
      <c r="M35" s="52">
        <f>'S27'!M35+L35</f>
        <v/>
      </c>
      <c r="N35" s="53">
        <f>IFERROR(M35/K35,0)</f>
        <v/>
      </c>
      <c r="O35" s="54">
        <f>'S27'!N35</f>
        <v/>
      </c>
      <c r="P35" s="53">
        <f>N35-O35</f>
        <v/>
      </c>
      <c r="Q35" s="32" t="n"/>
      <c r="R35" s="32" t="n"/>
      <c r="S35" s="32" t="n"/>
      <c r="T35" s="55" t="n"/>
      <c r="U35" s="54">
        <f>'S27'!T35</f>
        <v/>
      </c>
      <c r="V35" s="53">
        <f>T35-U35</f>
        <v/>
      </c>
      <c r="W35" s="53">
        <f>N35-T35</f>
        <v/>
      </c>
      <c r="X35" s="34" t="n"/>
    </row>
    <row r="36" ht="22" customHeight="1">
      <c r="B36" s="10" t="n">
        <v>32</v>
      </c>
      <c r="C36" s="6" t="inlineStr">
        <is>
          <t>Sidi Kacem</t>
        </is>
      </c>
      <c r="D36" s="10" t="inlineStr">
        <is>
          <t>NOUIRAT</t>
        </is>
      </c>
      <c r="E36" s="10" t="inlineStr">
        <is>
          <t>50-21</t>
        </is>
      </c>
      <c r="F36" s="10" t="inlineStr">
        <is>
          <t>Entretien et réparation des stations de pompage</t>
        </is>
      </c>
      <c r="G36" s="10" t="inlineStr">
        <is>
          <t>Prestations de maintenance des moteurs électriques des stations de pompage.</t>
        </is>
      </c>
      <c r="H36" s="10" t="inlineStr">
        <is>
          <t>Révision des deux moteurs électriques principaux de la station E1.</t>
        </is>
      </c>
      <c r="I36" s="11" t="n">
        <v>50000</v>
      </c>
      <c r="J36" s="12" t="inlineStr">
        <is>
          <t>U</t>
        </is>
      </c>
      <c r="K36" s="13" t="n">
        <v>2</v>
      </c>
      <c r="L36" s="51" t="n"/>
      <c r="M36" s="56">
        <f>'S27'!M36+L36</f>
        <v/>
      </c>
      <c r="N36" s="57">
        <f>IFERROR(M36/K36,0)</f>
        <v/>
      </c>
      <c r="O36" s="58">
        <f>'S27'!N36</f>
        <v/>
      </c>
      <c r="P36" s="57">
        <f>N36-O36</f>
        <v/>
      </c>
      <c r="Q36" s="32" t="n"/>
      <c r="R36" s="32" t="n"/>
      <c r="S36" s="32" t="n"/>
      <c r="T36" s="55" t="n"/>
      <c r="U36" s="58">
        <f>'S27'!T36</f>
        <v/>
      </c>
      <c r="V36" s="57">
        <f>T36-U36</f>
        <v/>
      </c>
      <c r="W36" s="57">
        <f>N36-T36</f>
        <v/>
      </c>
      <c r="X36" s="34" t="n"/>
    </row>
    <row r="37" ht="22" customHeight="1">
      <c r="B37" s="5" t="n">
        <v>33</v>
      </c>
      <c r="C37" s="6" t="inlineStr">
        <is>
          <t>Sidi Kacem</t>
        </is>
      </c>
      <c r="D37" s="5" t="inlineStr">
        <is>
          <t>NOUIRAT</t>
        </is>
      </c>
      <c r="E37" s="5" t="inlineStr">
        <is>
          <t>50-21</t>
        </is>
      </c>
      <c r="F37" s="5" t="inlineStr">
        <is>
          <t>Entretien et réparation des stations de pompage</t>
        </is>
      </c>
      <c r="G37" s="5" t="inlineStr">
        <is>
          <t>Prestations de maintenance et de réparation mécanique des pompes et des groupes motopompes submersibles des stations de pompage.</t>
        </is>
      </c>
      <c r="H37" s="5" t="inlineStr">
        <is>
          <t>Démontage et expertise des cinq pompes principaux et pompes a vide de la station E1.
Changement des roulements, tresses et organes d’effectués de la station E1.</t>
        </is>
      </c>
      <c r="I37" s="7" t="n">
        <v>245000</v>
      </c>
      <c r="J37" s="8" t="inlineStr">
        <is>
          <t>U</t>
        </is>
      </c>
      <c r="K37" s="9" t="n">
        <v>5</v>
      </c>
      <c r="L37" s="51" t="n"/>
      <c r="M37" s="52">
        <f>'S27'!M37+L37</f>
        <v/>
      </c>
      <c r="N37" s="53">
        <f>IFERROR(M37/K37,0)</f>
        <v/>
      </c>
      <c r="O37" s="54">
        <f>'S27'!N37</f>
        <v/>
      </c>
      <c r="P37" s="53">
        <f>N37-O37</f>
        <v/>
      </c>
      <c r="Q37" s="32" t="n"/>
      <c r="R37" s="32" t="n"/>
      <c r="S37" s="32" t="n"/>
      <c r="T37" s="55" t="n"/>
      <c r="U37" s="54">
        <f>'S27'!T37</f>
        <v/>
      </c>
      <c r="V37" s="53">
        <f>T37-U37</f>
        <v/>
      </c>
      <c r="W37" s="53">
        <f>N37-T37</f>
        <v/>
      </c>
      <c r="X37" s="34" t="n"/>
    </row>
    <row r="38" ht="22" customHeight="1">
      <c r="B38" s="10" t="n">
        <v>34</v>
      </c>
      <c r="C38" s="6" t="inlineStr">
        <is>
          <t>Sidi Kacem</t>
        </is>
      </c>
      <c r="D38" s="10" t="inlineStr">
        <is>
          <t>NOUIRAT</t>
        </is>
      </c>
      <c r="E38" s="10" t="inlineStr">
        <is>
          <t>50-21</t>
        </is>
      </c>
      <c r="F38" s="10" t="inlineStr">
        <is>
          <t>Entretien et réparation des stations de pompage</t>
        </is>
      </c>
      <c r="G38" s="10" t="inlineStr">
        <is>
          <t>Génie civile des locaux des stations de pompage.</t>
        </is>
      </c>
      <c r="H38" s="10" t="inlineStr">
        <is>
          <t>Expertise d’état et d’étanchéité des locaux pompes, commande, puissance de la station de pompage E1.
Renforcement d’étanchéité des locaux pompe sous niveau des oueds de la station de pompage E1.</t>
        </is>
      </c>
      <c r="I38" s="11" t="n">
        <v>1000000</v>
      </c>
      <c r="J38" s="12" t="inlineStr">
        <is>
          <t>U</t>
        </is>
      </c>
      <c r="K38" s="13" t="n">
        <v>1</v>
      </c>
      <c r="L38" s="51" t="n"/>
      <c r="M38" s="56">
        <f>'S27'!M38+L38</f>
        <v/>
      </c>
      <c r="N38" s="57">
        <f>IFERROR(M38/K38,0)</f>
        <v/>
      </c>
      <c r="O38" s="58">
        <f>'S27'!N38</f>
        <v/>
      </c>
      <c r="P38" s="57">
        <f>N38-O38</f>
        <v/>
      </c>
      <c r="Q38" s="32" t="n"/>
      <c r="R38" s="32" t="n"/>
      <c r="S38" s="32" t="n"/>
      <c r="T38" s="55" t="n"/>
      <c r="U38" s="58">
        <f>'S27'!T38</f>
        <v/>
      </c>
      <c r="V38" s="57">
        <f>T38-U38</f>
        <v/>
      </c>
      <c r="W38" s="57">
        <f>N38-T38</f>
        <v/>
      </c>
      <c r="X38" s="34" t="n"/>
    </row>
    <row r="39" ht="22" customHeight="1">
      <c r="B39" s="5" t="n">
        <v>35</v>
      </c>
      <c r="C39" s="6" t="inlineStr">
        <is>
          <t>Sidi Kacem</t>
        </is>
      </c>
      <c r="D39" s="5" t="inlineStr">
        <is>
          <t>RMILAT</t>
        </is>
      </c>
      <c r="E39" s="5" t="inlineStr">
        <is>
          <t>50-23</t>
        </is>
      </c>
      <c r="F39" s="5" t="inlineStr">
        <is>
          <t>Entretien et réparation du réseau d'assainissement et de drainage</t>
        </is>
      </c>
      <c r="G39" s="5" t="inlineStr">
        <is>
          <t>Travaux de curage des canaux en terre</t>
        </is>
      </c>
      <c r="H39" s="5" t="inlineStr">
        <is>
          <t>Curage des collecteurs d'assainissement des secteurs P7</t>
        </is>
      </c>
      <c r="I39" s="7" t="n">
        <v>5024032</v>
      </c>
      <c r="J39" s="8" t="inlineStr">
        <is>
          <t>ml</t>
        </is>
      </c>
      <c r="K39" s="9" t="n">
        <v>2512</v>
      </c>
      <c r="L39" s="51" t="n"/>
      <c r="M39" s="52">
        <f>'S27'!M39+L39</f>
        <v/>
      </c>
      <c r="N39" s="53">
        <f>IFERROR(M39/K39,0)</f>
        <v/>
      </c>
      <c r="O39" s="54">
        <f>'S27'!N39</f>
        <v/>
      </c>
      <c r="P39" s="53">
        <f>N39-O39</f>
        <v/>
      </c>
      <c r="Q39" s="32" t="n"/>
      <c r="R39" s="32" t="n"/>
      <c r="S39" s="32" t="n"/>
      <c r="T39" s="55" t="n"/>
      <c r="U39" s="54">
        <f>'S27'!T39</f>
        <v/>
      </c>
      <c r="V39" s="53">
        <f>T39-U39</f>
        <v/>
      </c>
      <c r="W39" s="53">
        <f>N39-T39</f>
        <v/>
      </c>
      <c r="X39" s="34" t="n"/>
    </row>
    <row r="40" ht="22" customHeight="1">
      <c r="B40" s="10" t="n">
        <v>36</v>
      </c>
      <c r="C40" s="6" t="inlineStr">
        <is>
          <t>Sidi Kacem</t>
        </is>
      </c>
      <c r="D40" s="10" t="inlineStr">
        <is>
          <t>RMILAT</t>
        </is>
      </c>
      <c r="E40" s="10" t="inlineStr">
        <is>
          <t>40-21</t>
        </is>
      </c>
      <c r="F40" s="10" t="inlineStr">
        <is>
          <t>Travaux de pistes</t>
        </is>
      </c>
      <c r="G40" s="10" t="inlineStr">
        <is>
          <t>Entretien des pistes agricoles</t>
        </is>
      </c>
      <c r="H40" s="10" t="inlineStr">
        <is>
          <t>Entretien des pistes agricoles</t>
        </is>
      </c>
      <c r="I40" s="11" t="n">
        <v>400000</v>
      </c>
      <c r="J40" s="12" t="inlineStr">
        <is>
          <t>km</t>
        </is>
      </c>
      <c r="K40" s="13" t="n">
        <v>1</v>
      </c>
      <c r="L40" s="51" t="n"/>
      <c r="M40" s="56">
        <f>'S27'!M40+L40</f>
        <v/>
      </c>
      <c r="N40" s="57">
        <f>IFERROR(M40/K40,0)</f>
        <v/>
      </c>
      <c r="O40" s="58">
        <f>'S27'!N40</f>
        <v/>
      </c>
      <c r="P40" s="57">
        <f>N40-O40</f>
        <v/>
      </c>
      <c r="Q40" s="32" t="n"/>
      <c r="R40" s="32" t="n"/>
      <c r="S40" s="32" t="n"/>
      <c r="T40" s="55" t="n"/>
      <c r="U40" s="58">
        <f>'S27'!T40</f>
        <v/>
      </c>
      <c r="V40" s="57">
        <f>T40-U40</f>
        <v/>
      </c>
      <c r="W40" s="57">
        <f>N40-T40</f>
        <v/>
      </c>
      <c r="X40" s="34" t="n"/>
    </row>
    <row r="41" ht="22" customHeight="1">
      <c r="B41" s="5" t="n">
        <v>37</v>
      </c>
      <c r="C41" s="6" t="inlineStr">
        <is>
          <t>Sidi Kacem</t>
        </is>
      </c>
      <c r="D41" s="5" t="inlineStr">
        <is>
          <t>SAFSAF</t>
        </is>
      </c>
      <c r="E41" s="5" t="inlineStr">
        <is>
          <t>50-23</t>
        </is>
      </c>
      <c r="F41" s="5" t="inlineStr">
        <is>
          <t>Entretien et réparation du réseau d'assainissement et de drainage</t>
        </is>
      </c>
      <c r="G41" s="5" t="inlineStr">
        <is>
          <t>Travaux de curage des canaux en terre</t>
        </is>
      </c>
      <c r="H41" s="5" t="inlineStr">
        <is>
          <t>Curage des collecteurs d'assainissement des secteurs S7, S9 et S11</t>
        </is>
      </c>
      <c r="I41" s="7" t="n">
        <v>6000000</v>
      </c>
      <c r="J41" s="8" t="inlineStr">
        <is>
          <t>ml</t>
        </is>
      </c>
      <c r="K41" s="9" t="n">
        <v>3000</v>
      </c>
      <c r="L41" s="51" t="n"/>
      <c r="M41" s="52">
        <f>'S27'!M41+L41</f>
        <v/>
      </c>
      <c r="N41" s="53">
        <f>IFERROR(M41/K41,0)</f>
        <v/>
      </c>
      <c r="O41" s="54">
        <f>'S27'!N41</f>
        <v/>
      </c>
      <c r="P41" s="53">
        <f>N41-O41</f>
        <v/>
      </c>
      <c r="Q41" s="32" t="n"/>
      <c r="R41" s="32" t="n"/>
      <c r="S41" s="32" t="n"/>
      <c r="T41" s="55" t="n"/>
      <c r="U41" s="54">
        <f>'S27'!T41</f>
        <v/>
      </c>
      <c r="V41" s="53">
        <f>T41-U41</f>
        <v/>
      </c>
      <c r="W41" s="53">
        <f>N41-T41</f>
        <v/>
      </c>
      <c r="X41" s="34" t="n"/>
    </row>
    <row r="42" ht="22" customHeight="1">
      <c r="B42" s="10" t="n">
        <v>38</v>
      </c>
      <c r="C42" s="6" t="inlineStr">
        <is>
          <t>Sidi Kacem</t>
        </is>
      </c>
      <c r="D42" s="10" t="inlineStr">
        <is>
          <t>SAFSAF</t>
        </is>
      </c>
      <c r="E42" s="10" t="inlineStr">
        <is>
          <t>20-11</t>
        </is>
      </c>
      <c r="F42" s="10" t="inlineStr">
        <is>
          <t>Travaux de réhabilitation des équipements</t>
        </is>
      </c>
      <c r="G42" s="10" t="inlineStr">
        <is>
          <t>Travaux de réhabilitation des canaux portés d'irrigation</t>
        </is>
      </c>
      <c r="H42" s="10" t="inlineStr">
        <is>
          <t>Fourniture et  pose de canaux porté et accessoires du réseau S4 du secteur S11</t>
        </is>
      </c>
      <c r="I42" s="11" t="n">
        <v>232266</v>
      </c>
      <c r="J42" s="12" t="inlineStr">
        <is>
          <t>ml</t>
        </is>
      </c>
      <c r="K42" s="13" t="n">
        <v>77</v>
      </c>
      <c r="L42" s="51" t="n"/>
      <c r="M42" s="56">
        <f>'S27'!M42+L42</f>
        <v/>
      </c>
      <c r="N42" s="57">
        <f>IFERROR(M42/K42,0)</f>
        <v/>
      </c>
      <c r="O42" s="58">
        <f>'S27'!N42</f>
        <v/>
      </c>
      <c r="P42" s="57">
        <f>N42-O42</f>
        <v/>
      </c>
      <c r="Q42" s="32" t="n"/>
      <c r="R42" s="32" t="n"/>
      <c r="S42" s="32" t="n"/>
      <c r="T42" s="55" t="n"/>
      <c r="U42" s="58">
        <f>'S27'!T42</f>
        <v/>
      </c>
      <c r="V42" s="57">
        <f>T42-U42</f>
        <v/>
      </c>
      <c r="W42" s="57">
        <f>N42-T42</f>
        <v/>
      </c>
      <c r="X42" s="34" t="n"/>
    </row>
    <row r="43" ht="22" customHeight="1">
      <c r="B43" s="5" t="n">
        <v>39</v>
      </c>
      <c r="C43" s="6" t="inlineStr">
        <is>
          <t>Sidi Kacem</t>
        </is>
      </c>
      <c r="D43" s="5" t="inlineStr">
        <is>
          <t>SAFSAF</t>
        </is>
      </c>
      <c r="E43" s="5" t="inlineStr">
        <is>
          <t>20-11</t>
        </is>
      </c>
      <c r="F43" s="5" t="inlineStr">
        <is>
          <t>Travaux de réhabilitation des équipements</t>
        </is>
      </c>
      <c r="G43" s="5" t="inlineStr"/>
      <c r="H43" s="5" t="inlineStr">
        <is>
          <t>Recalage des canaux portés du réseau T5S5 du secteur S9</t>
        </is>
      </c>
      <c r="I43" s="7" t="n">
        <v>1055025</v>
      </c>
      <c r="J43" s="8" t="inlineStr">
        <is>
          <t>ml</t>
        </is>
      </c>
      <c r="K43" s="9" t="n">
        <v>352</v>
      </c>
      <c r="L43" s="51" t="n"/>
      <c r="M43" s="52">
        <f>'S27'!M43+L43</f>
        <v/>
      </c>
      <c r="N43" s="53">
        <f>IFERROR(M43/K43,0)</f>
        <v/>
      </c>
      <c r="O43" s="54">
        <f>'S27'!N43</f>
        <v/>
      </c>
      <c r="P43" s="53">
        <f>N43-O43</f>
        <v/>
      </c>
      <c r="Q43" s="32" t="n"/>
      <c r="R43" s="32" t="n"/>
      <c r="S43" s="32" t="n"/>
      <c r="T43" s="55" t="n"/>
      <c r="U43" s="54">
        <f>'S27'!T43</f>
        <v/>
      </c>
      <c r="V43" s="53">
        <f>T43-U43</f>
        <v/>
      </c>
      <c r="W43" s="53">
        <f>N43-T43</f>
        <v/>
      </c>
      <c r="X43" s="34" t="n"/>
    </row>
    <row r="44" ht="22" customHeight="1">
      <c r="B44" s="10" t="n">
        <v>40</v>
      </c>
      <c r="C44" s="6" t="inlineStr">
        <is>
          <t>Sidi Kacem</t>
        </is>
      </c>
      <c r="D44" s="10" t="inlineStr">
        <is>
          <t>SAFSAF</t>
        </is>
      </c>
      <c r="E44" s="10" t="inlineStr">
        <is>
          <t>20-11</t>
        </is>
      </c>
      <c r="F44" s="10" t="inlineStr">
        <is>
          <t>Travaux de réhabilitation des équipements</t>
        </is>
      </c>
      <c r="G44" s="10" t="inlineStr"/>
      <c r="H44" s="10" t="inlineStr">
        <is>
          <t>Recalage des canaux portés du réseau T7S5 du secteur S9</t>
        </is>
      </c>
      <c r="I44" s="11" t="n">
        <v>1004535</v>
      </c>
      <c r="J44" s="12" t="inlineStr">
        <is>
          <t>ml</t>
        </is>
      </c>
      <c r="K44" s="13" t="n">
        <v>335</v>
      </c>
      <c r="L44" s="51" t="n"/>
      <c r="M44" s="56">
        <f>'S27'!M44+L44</f>
        <v/>
      </c>
      <c r="N44" s="57">
        <f>IFERROR(M44/K44,0)</f>
        <v/>
      </c>
      <c r="O44" s="58">
        <f>'S27'!N44</f>
        <v/>
      </c>
      <c r="P44" s="57">
        <f>N44-O44</f>
        <v/>
      </c>
      <c r="Q44" s="32" t="n"/>
      <c r="R44" s="32" t="n"/>
      <c r="S44" s="32" t="n"/>
      <c r="T44" s="55" t="n"/>
      <c r="U44" s="58">
        <f>'S27'!T44</f>
        <v/>
      </c>
      <c r="V44" s="57">
        <f>T44-U44</f>
        <v/>
      </c>
      <c r="W44" s="57">
        <f>N44-T44</f>
        <v/>
      </c>
      <c r="X44" s="34" t="n"/>
    </row>
    <row r="45" ht="22" customHeight="1">
      <c r="B45" s="5" t="n">
        <v>41</v>
      </c>
      <c r="C45" s="6" t="inlineStr">
        <is>
          <t>Sidi Kacem</t>
        </is>
      </c>
      <c r="D45" s="5" t="inlineStr">
        <is>
          <t>SAFSAF</t>
        </is>
      </c>
      <c r="E45" s="5" t="inlineStr">
        <is>
          <t>20-11</t>
        </is>
      </c>
      <c r="F45" s="5" t="inlineStr">
        <is>
          <t>Travaux de réhabilitation des équipements</t>
        </is>
      </c>
      <c r="G45" s="5" t="inlineStr"/>
      <c r="H45" s="5" t="inlineStr">
        <is>
          <t>Recalage des canaux portés du réseau T2S5 du secteur S9</t>
        </is>
      </c>
      <c r="I45" s="7" t="n">
        <v>793830</v>
      </c>
      <c r="J45" s="8" t="inlineStr">
        <is>
          <t>ml</t>
        </is>
      </c>
      <c r="K45" s="9" t="n">
        <v>265</v>
      </c>
      <c r="L45" s="51" t="n"/>
      <c r="M45" s="52">
        <f>'S27'!M45+L45</f>
        <v/>
      </c>
      <c r="N45" s="53">
        <f>IFERROR(M45/K45,0)</f>
        <v/>
      </c>
      <c r="O45" s="54">
        <f>'S27'!N45</f>
        <v/>
      </c>
      <c r="P45" s="53">
        <f>N45-O45</f>
        <v/>
      </c>
      <c r="Q45" s="32" t="n"/>
      <c r="R45" s="32" t="n"/>
      <c r="S45" s="32" t="n"/>
      <c r="T45" s="55" t="n"/>
      <c r="U45" s="54">
        <f>'S27'!T45</f>
        <v/>
      </c>
      <c r="V45" s="53">
        <f>T45-U45</f>
        <v/>
      </c>
      <c r="W45" s="53">
        <f>N45-T45</f>
        <v/>
      </c>
      <c r="X45" s="34" t="n"/>
    </row>
    <row r="46" ht="22" customHeight="1">
      <c r="B46" s="10" t="n">
        <v>42</v>
      </c>
      <c r="C46" s="6" t="inlineStr">
        <is>
          <t>Sidi Kacem</t>
        </is>
      </c>
      <c r="D46" s="10" t="inlineStr">
        <is>
          <t>SAFSAF</t>
        </is>
      </c>
      <c r="E46" s="10" t="inlineStr">
        <is>
          <t>40-21</t>
        </is>
      </c>
      <c r="F46" s="10" t="inlineStr">
        <is>
          <t>Travaux de pistes</t>
        </is>
      </c>
      <c r="G46" s="10" t="inlineStr">
        <is>
          <t>Entretien des pistes agricoles</t>
        </is>
      </c>
      <c r="H46" s="10" t="inlineStr">
        <is>
          <t>Entretien des pistes agricoles</t>
        </is>
      </c>
      <c r="I46" s="11" t="n">
        <v>2000000</v>
      </c>
      <c r="J46" s="12" t="inlineStr">
        <is>
          <t>km</t>
        </is>
      </c>
      <c r="K46" s="13" t="n">
        <v>4</v>
      </c>
      <c r="L46" s="51" t="n"/>
      <c r="M46" s="56">
        <f>'S27'!M46+L46</f>
        <v/>
      </c>
      <c r="N46" s="57">
        <f>IFERROR(M46/K46,0)</f>
        <v/>
      </c>
      <c r="O46" s="58">
        <f>'S27'!N46</f>
        <v/>
      </c>
      <c r="P46" s="57">
        <f>N46-O46</f>
        <v/>
      </c>
      <c r="Q46" s="32" t="n"/>
      <c r="R46" s="32" t="n"/>
      <c r="S46" s="32" t="n"/>
      <c r="T46" s="55" t="n"/>
      <c r="U46" s="58">
        <f>'S27'!T46</f>
        <v/>
      </c>
      <c r="V46" s="57">
        <f>T46-U46</f>
        <v/>
      </c>
      <c r="W46" s="57">
        <f>N46-T46</f>
        <v/>
      </c>
      <c r="X46" s="34" t="n"/>
    </row>
    <row r="47" ht="22" customHeight="1">
      <c r="B47" s="5" t="n">
        <v>43</v>
      </c>
      <c r="C47" s="6" t="inlineStr">
        <is>
          <t>Sidi Kacem</t>
        </is>
      </c>
      <c r="D47" s="5" t="inlineStr">
        <is>
          <t>SAFSAF</t>
        </is>
      </c>
      <c r="E47" s="5" t="inlineStr">
        <is>
          <t>50-23</t>
        </is>
      </c>
      <c r="F47" s="5" t="inlineStr">
        <is>
          <t>Entretien et réparation du réseau d'assainissement et de drainage</t>
        </is>
      </c>
      <c r="G47" s="5" t="inlineStr">
        <is>
          <t>Curage des prises sur l’oued, bâche d’aspiration et bassin de régulation.</t>
        </is>
      </c>
      <c r="H47" s="5" t="inlineStr">
        <is>
          <t>Curage des prises sur l’oued des stations de pompage S11, S9, 7D et 7B.
Nettoyage des grilles de préfiltration des boues colmaté des stations de pompage S11, S9, 7D et 7B.
Nettoyage des crépines des boues colmaté de station pompage 7D.
Curage des dalots et bâche d’aspiration des stations de pompage S11, S9, 7B.</t>
        </is>
      </c>
      <c r="I47" s="7" t="n">
        <v>200000</v>
      </c>
      <c r="J47" s="8" t="inlineStr">
        <is>
          <t>ml</t>
        </is>
      </c>
      <c r="K47" s="9" t="n">
        <v>67</v>
      </c>
      <c r="L47" s="51" t="n"/>
      <c r="M47" s="52">
        <f>'S27'!M47+L47</f>
        <v/>
      </c>
      <c r="N47" s="53">
        <f>IFERROR(M47/K47,0)</f>
        <v/>
      </c>
      <c r="O47" s="54">
        <f>'S27'!N47</f>
        <v/>
      </c>
      <c r="P47" s="53">
        <f>N47-O47</f>
        <v/>
      </c>
      <c r="Q47" s="32" t="n"/>
      <c r="R47" s="32" t="n"/>
      <c r="S47" s="32" t="n"/>
      <c r="T47" s="55" t="n"/>
      <c r="U47" s="54">
        <f>'S27'!T47</f>
        <v/>
      </c>
      <c r="V47" s="53">
        <f>T47-U47</f>
        <v/>
      </c>
      <c r="W47" s="53">
        <f>N47-T47</f>
        <v/>
      </c>
      <c r="X47" s="34" t="n"/>
    </row>
    <row r="48" ht="22" customHeight="1">
      <c r="B48" s="10" t="n">
        <v>44</v>
      </c>
      <c r="C48" s="6" t="inlineStr">
        <is>
          <t>Sidi Kacem</t>
        </is>
      </c>
      <c r="D48" s="10" t="inlineStr">
        <is>
          <t>SAFSAF</t>
        </is>
      </c>
      <c r="E48" s="10" t="inlineStr">
        <is>
          <t>50-21</t>
        </is>
      </c>
      <c r="F48" s="10" t="inlineStr">
        <is>
          <t>Entretien et réparation des stations de pompage</t>
        </is>
      </c>
      <c r="G48" s="10" t="inlineStr">
        <is>
          <t>Prestation de maintenance des débitmètres et leurs équipements annexes installés au niveau des station de pompage</t>
        </is>
      </c>
      <c r="H48" s="10" t="inlineStr">
        <is>
          <t>Changements Sept des débitmètres Ø 600mm inondé des deux stations de pompage S11 et S9.</t>
        </is>
      </c>
      <c r="I48" s="11" t="n">
        <v>580000</v>
      </c>
      <c r="J48" s="12" t="inlineStr">
        <is>
          <t>U</t>
        </is>
      </c>
      <c r="K48" s="13" t="n">
        <v>7</v>
      </c>
      <c r="L48" s="51" t="n"/>
      <c r="M48" s="56">
        <f>'S27'!M48+L48</f>
        <v/>
      </c>
      <c r="N48" s="57">
        <f>IFERROR(M48/K48,0)</f>
        <v/>
      </c>
      <c r="O48" s="58">
        <f>'S27'!N48</f>
        <v/>
      </c>
      <c r="P48" s="57">
        <f>N48-O48</f>
        <v/>
      </c>
      <c r="Q48" s="32" t="n"/>
      <c r="R48" s="32" t="n"/>
      <c r="S48" s="32" t="n"/>
      <c r="T48" s="55" t="n"/>
      <c r="U48" s="58">
        <f>'S27'!T48</f>
        <v/>
      </c>
      <c r="V48" s="57">
        <f>T48-U48</f>
        <v/>
      </c>
      <c r="W48" s="57">
        <f>N48-T48</f>
        <v/>
      </c>
      <c r="X48" s="34" t="n"/>
    </row>
    <row r="49" ht="22" customHeight="1">
      <c r="B49" s="5" t="n">
        <v>45</v>
      </c>
      <c r="C49" s="6" t="inlineStr">
        <is>
          <t>Sidi Kacem</t>
        </is>
      </c>
      <c r="D49" s="5" t="inlineStr">
        <is>
          <t>SAFSAF</t>
        </is>
      </c>
      <c r="E49" s="5" t="inlineStr">
        <is>
          <t>50-21</t>
        </is>
      </c>
      <c r="F49" s="5" t="inlineStr">
        <is>
          <t>Entretien et réparation des stations de pompage</t>
        </is>
      </c>
      <c r="G49" s="5" t="inlineStr">
        <is>
          <t>Stabilisation Berge oued</t>
        </is>
      </c>
      <c r="H49" s="5" t="inlineStr">
        <is>
          <t>Pose de murs en gabions et recouvrement du talus par matelas Reno des stations de pompage S11, S9, 7D et 7B .</t>
        </is>
      </c>
      <c r="I49" s="7" t="n">
        <v>4000000</v>
      </c>
      <c r="J49" s="8" t="inlineStr">
        <is>
          <t>m³</t>
        </is>
      </c>
      <c r="K49" s="9" t="n">
        <v>2667</v>
      </c>
      <c r="L49" s="51" t="n"/>
      <c r="M49" s="52">
        <f>'S27'!M49+L49</f>
        <v/>
      </c>
      <c r="N49" s="53">
        <f>IFERROR(M49/K49,0)</f>
        <v/>
      </c>
      <c r="O49" s="54">
        <f>'S27'!N49</f>
        <v/>
      </c>
      <c r="P49" s="53">
        <f>N49-O49</f>
        <v/>
      </c>
      <c r="Q49" s="32" t="n"/>
      <c r="R49" s="32" t="n"/>
      <c r="S49" s="32" t="n"/>
      <c r="T49" s="55" t="n"/>
      <c r="U49" s="54">
        <f>'S27'!T49</f>
        <v/>
      </c>
      <c r="V49" s="53">
        <f>T49-U49</f>
        <v/>
      </c>
      <c r="W49" s="53">
        <f>N49-T49</f>
        <v/>
      </c>
      <c r="X49" s="34" t="n"/>
    </row>
    <row r="50" ht="22" customHeight="1">
      <c r="B50" s="10" t="n">
        <v>46</v>
      </c>
      <c r="C50" s="6" t="inlineStr">
        <is>
          <t>Sidi Kacem</t>
        </is>
      </c>
      <c r="D50" s="10" t="inlineStr">
        <is>
          <t>SIDI AZZOUZ</t>
        </is>
      </c>
      <c r="E50" s="10" t="inlineStr">
        <is>
          <t>40-21</t>
        </is>
      </c>
      <c r="F50" s="10" t="inlineStr">
        <is>
          <t>Travaux de pistes</t>
        </is>
      </c>
      <c r="G50" s="10" t="inlineStr">
        <is>
          <t>Entretien des pistes agricoles</t>
        </is>
      </c>
      <c r="H50" s="10" t="inlineStr">
        <is>
          <t>Entretien des pistes agricoles</t>
        </is>
      </c>
      <c r="I50" s="11" t="n">
        <v>655000</v>
      </c>
      <c r="J50" s="12" t="inlineStr">
        <is>
          <t>km</t>
        </is>
      </c>
      <c r="K50" s="13" t="n">
        <v>1</v>
      </c>
      <c r="L50" s="51" t="n"/>
      <c r="M50" s="56">
        <f>'S27'!M50+L50</f>
        <v/>
      </c>
      <c r="N50" s="57">
        <f>IFERROR(M50/K50,0)</f>
        <v/>
      </c>
      <c r="O50" s="58">
        <f>'S27'!N50</f>
        <v/>
      </c>
      <c r="P50" s="57">
        <f>N50-O50</f>
        <v/>
      </c>
      <c r="Q50" s="32" t="n"/>
      <c r="R50" s="32" t="n"/>
      <c r="S50" s="32" t="n"/>
      <c r="T50" s="55" t="n"/>
      <c r="U50" s="58">
        <f>'S27'!T50</f>
        <v/>
      </c>
      <c r="V50" s="57">
        <f>T50-U50</f>
        <v/>
      </c>
      <c r="W50" s="57">
        <f>N50-T50</f>
        <v/>
      </c>
      <c r="X50" s="34" t="n"/>
    </row>
    <row r="51" ht="22" customHeight="1">
      <c r="B51" s="5" t="n">
        <v>47</v>
      </c>
      <c r="C51" s="6" t="inlineStr">
        <is>
          <t>Sidi Kacem</t>
        </is>
      </c>
      <c r="D51" s="5" t="inlineStr">
        <is>
          <t>SIDI EL KAMEL</t>
        </is>
      </c>
      <c r="E51" s="5" t="inlineStr">
        <is>
          <t>20-11</t>
        </is>
      </c>
      <c r="F51" s="5" t="inlineStr">
        <is>
          <t>Travaux de réhabilitation des équipements</t>
        </is>
      </c>
      <c r="G51" s="5" t="inlineStr">
        <is>
          <t>Travaux de réhabilitation des canaux portés d'irrigation</t>
        </is>
      </c>
      <c r="H51" s="5" t="inlineStr">
        <is>
          <t>Fourniture et de pose de canaux porté et accessoires du réseau SR4 du secteur S3R</t>
        </is>
      </c>
      <c r="I51" s="7" t="n">
        <v>5182920</v>
      </c>
      <c r="J51" s="8" t="inlineStr">
        <is>
          <t>ml</t>
        </is>
      </c>
      <c r="K51" s="9" t="n">
        <v>1728</v>
      </c>
      <c r="L51" s="51" t="n"/>
      <c r="M51" s="52">
        <f>'S27'!M51+L51</f>
        <v/>
      </c>
      <c r="N51" s="53">
        <f>IFERROR(M51/K51,0)</f>
        <v/>
      </c>
      <c r="O51" s="54">
        <f>'S27'!N51</f>
        <v/>
      </c>
      <c r="P51" s="53">
        <f>N51-O51</f>
        <v/>
      </c>
      <c r="Q51" s="32" t="n"/>
      <c r="R51" s="32" t="n"/>
      <c r="S51" s="32" t="n"/>
      <c r="T51" s="55" t="n"/>
      <c r="U51" s="54">
        <f>'S27'!T51</f>
        <v/>
      </c>
      <c r="V51" s="53">
        <f>T51-U51</f>
        <v/>
      </c>
      <c r="W51" s="53">
        <f>N51-T51</f>
        <v/>
      </c>
      <c r="X51" s="34" t="n"/>
    </row>
    <row r="52" ht="22" customHeight="1">
      <c r="B52" s="10" t="n">
        <v>48</v>
      </c>
      <c r="C52" s="6" t="inlineStr">
        <is>
          <t>Sidi Kacem</t>
        </is>
      </c>
      <c r="D52" s="10" t="inlineStr">
        <is>
          <t>SIDI EL KAMEL</t>
        </is>
      </c>
      <c r="E52" s="10" t="inlineStr">
        <is>
          <t>20-11</t>
        </is>
      </c>
      <c r="F52" s="10" t="inlineStr">
        <is>
          <t>Travaux de réhabilitation des équipements</t>
        </is>
      </c>
      <c r="G52" s="10" t="inlineStr"/>
      <c r="H52" s="10" t="inlineStr">
        <is>
          <t>Fourniture et de pose de canaux porté et accessoires du réseau SR6 du secteur S1RIZ</t>
        </is>
      </c>
      <c r="I52" s="11" t="n">
        <v>152818</v>
      </c>
      <c r="J52" s="12" t="inlineStr">
        <is>
          <t>ml</t>
        </is>
      </c>
      <c r="K52" s="13" t="n">
        <v>51</v>
      </c>
      <c r="L52" s="51" t="n"/>
      <c r="M52" s="56">
        <f>'S27'!M52+L52</f>
        <v/>
      </c>
      <c r="N52" s="57">
        <f>IFERROR(M52/K52,0)</f>
        <v/>
      </c>
      <c r="O52" s="58">
        <f>'S27'!N52</f>
        <v/>
      </c>
      <c r="P52" s="57">
        <f>N52-O52</f>
        <v/>
      </c>
      <c r="Q52" s="32" t="n"/>
      <c r="R52" s="32" t="n"/>
      <c r="S52" s="32" t="n"/>
      <c r="T52" s="55" t="n"/>
      <c r="U52" s="58">
        <f>'S27'!T52</f>
        <v/>
      </c>
      <c r="V52" s="57">
        <f>T52-U52</f>
        <v/>
      </c>
      <c r="W52" s="57">
        <f>N52-T52</f>
        <v/>
      </c>
      <c r="X52" s="34" t="n"/>
    </row>
    <row r="53" ht="22" customHeight="1">
      <c r="B53" s="5" t="n">
        <v>49</v>
      </c>
      <c r="C53" s="6" t="inlineStr">
        <is>
          <t>Sidi Kacem</t>
        </is>
      </c>
      <c r="D53" s="5" t="inlineStr">
        <is>
          <t>SIDI EL KAMEL</t>
        </is>
      </c>
      <c r="E53" s="5" t="inlineStr">
        <is>
          <t>20-11</t>
        </is>
      </c>
      <c r="F53" s="5" t="inlineStr">
        <is>
          <t>Travaux de réhabilitation des équipements</t>
        </is>
      </c>
      <c r="G53" s="5" t="inlineStr"/>
      <c r="H53" s="5" t="inlineStr">
        <is>
          <t>Recalage des canaux portés du réseau SR4 du secteur S3R</t>
        </is>
      </c>
      <c r="I53" s="7" t="n">
        <v>1418000</v>
      </c>
      <c r="J53" s="8" t="inlineStr">
        <is>
          <t>ml</t>
        </is>
      </c>
      <c r="K53" s="9" t="n">
        <v>473</v>
      </c>
      <c r="L53" s="51" t="n"/>
      <c r="M53" s="52">
        <f>'S27'!M53+L53</f>
        <v/>
      </c>
      <c r="N53" s="53">
        <f>IFERROR(M53/K53,0)</f>
        <v/>
      </c>
      <c r="O53" s="54">
        <f>'S27'!N53</f>
        <v/>
      </c>
      <c r="P53" s="53">
        <f>N53-O53</f>
        <v/>
      </c>
      <c r="Q53" s="32" t="n"/>
      <c r="R53" s="32" t="n"/>
      <c r="S53" s="32" t="n"/>
      <c r="T53" s="55" t="n"/>
      <c r="U53" s="54">
        <f>'S27'!T53</f>
        <v/>
      </c>
      <c r="V53" s="53">
        <f>T53-U53</f>
        <v/>
      </c>
      <c r="W53" s="53">
        <f>N53-T53</f>
        <v/>
      </c>
      <c r="X53" s="34" t="n"/>
    </row>
    <row r="54" ht="22" customHeight="1">
      <c r="B54" s="10" t="n">
        <v>50</v>
      </c>
      <c r="C54" s="6" t="inlineStr">
        <is>
          <t>Sidi Kacem</t>
        </is>
      </c>
      <c r="D54" s="10" t="inlineStr">
        <is>
          <t>SIDI EL KAMEL</t>
        </is>
      </c>
      <c r="E54" s="10" t="inlineStr">
        <is>
          <t>20-11</t>
        </is>
      </c>
      <c r="F54" s="10" t="inlineStr">
        <is>
          <t>Travaux de réhabilitation des équipements</t>
        </is>
      </c>
      <c r="G54" s="10" t="inlineStr">
        <is>
          <t>Travaux de réhabilitation des ouvrages de génie civil</t>
        </is>
      </c>
      <c r="H54" s="10" t="inlineStr">
        <is>
          <t>Réhabilitation des murs de soutènements des ouvrages de franchissements du canal d'assainissement CS3 secteur S3 et de l’ouvrage de franchissement du canal primaire d’irrigation du secteur S1R au niveau de la route provinciale P4234</t>
        </is>
      </c>
      <c r="I54" s="11" t="n">
        <v>800000</v>
      </c>
      <c r="J54" s="12" t="inlineStr">
        <is>
          <t>ml</t>
        </is>
      </c>
      <c r="K54" s="13" t="n">
        <v>400</v>
      </c>
      <c r="L54" s="51" t="n"/>
      <c r="M54" s="56">
        <f>'S27'!M54+L54</f>
        <v/>
      </c>
      <c r="N54" s="57">
        <f>IFERROR(M54/K54,0)</f>
        <v/>
      </c>
      <c r="O54" s="58">
        <f>'S27'!N54</f>
        <v/>
      </c>
      <c r="P54" s="57">
        <f>N54-O54</f>
        <v/>
      </c>
      <c r="Q54" s="32" t="n"/>
      <c r="R54" s="32" t="n"/>
      <c r="S54" s="32" t="n"/>
      <c r="T54" s="55" t="n"/>
      <c r="U54" s="58">
        <f>'S27'!T54</f>
        <v/>
      </c>
      <c r="V54" s="57">
        <f>T54-U54</f>
        <v/>
      </c>
      <c r="W54" s="57">
        <f>N54-T54</f>
        <v/>
      </c>
      <c r="X54" s="34" t="n"/>
    </row>
    <row r="55" ht="22" customHeight="1">
      <c r="B55" s="5" t="n">
        <v>51</v>
      </c>
      <c r="C55" s="6" t="inlineStr">
        <is>
          <t>Sidi Kacem</t>
        </is>
      </c>
      <c r="D55" s="5" t="inlineStr">
        <is>
          <t>SIDI EL KAMEL</t>
        </is>
      </c>
      <c r="E55" s="5" t="inlineStr">
        <is>
          <t>40-21</t>
        </is>
      </c>
      <c r="F55" s="5" t="inlineStr">
        <is>
          <t>Travaux de pistes</t>
        </is>
      </c>
      <c r="G55" s="5" t="inlineStr">
        <is>
          <t>Entretien des pistes agricoles</t>
        </is>
      </c>
      <c r="H55" s="5" t="inlineStr">
        <is>
          <t>Entretien des pistes agricoles</t>
        </is>
      </c>
      <c r="I55" s="7" t="n">
        <v>3700000</v>
      </c>
      <c r="J55" s="8" t="inlineStr">
        <is>
          <t>km</t>
        </is>
      </c>
      <c r="K55" s="9" t="n">
        <v>7</v>
      </c>
      <c r="L55" s="51" t="n"/>
      <c r="M55" s="52">
        <f>'S27'!M55+L55</f>
        <v/>
      </c>
      <c r="N55" s="53">
        <f>IFERROR(M55/K55,0)</f>
        <v/>
      </c>
      <c r="O55" s="54">
        <f>'S27'!N55</f>
        <v/>
      </c>
      <c r="P55" s="53">
        <f>N55-O55</f>
        <v/>
      </c>
      <c r="Q55" s="32" t="n"/>
      <c r="R55" s="32" t="n"/>
      <c r="S55" s="32" t="n"/>
      <c r="T55" s="55" t="n"/>
      <c r="U55" s="54">
        <f>'S27'!T55</f>
        <v/>
      </c>
      <c r="V55" s="53">
        <f>T55-U55</f>
        <v/>
      </c>
      <c r="W55" s="53">
        <f>N55-T55</f>
        <v/>
      </c>
      <c r="X55" s="34" t="n"/>
    </row>
    <row r="56" ht="22" customHeight="1">
      <c r="B56" s="10" t="n">
        <v>52</v>
      </c>
      <c r="C56" s="6" t="inlineStr">
        <is>
          <t>Sidi Kacem</t>
        </is>
      </c>
      <c r="D56" s="10" t="inlineStr">
        <is>
          <t>SIDI EL KAMEL</t>
        </is>
      </c>
      <c r="E56" s="10" t="inlineStr">
        <is>
          <t>50-21</t>
        </is>
      </c>
      <c r="F56" s="10" t="inlineStr">
        <is>
          <t>Entretien et réparation des stations de pompage</t>
        </is>
      </c>
      <c r="G56" s="10" t="inlineStr">
        <is>
          <t>Prestation de maintenance des débitmètres et leurs équipements annexes installés au niveau des station de pompage</t>
        </is>
      </c>
      <c r="H56" s="10" t="inlineStr">
        <is>
          <t>Changement de quatre débitmètres Ø 500mm et trois Ø 800mm inondé des stations de pompage 1R, 3R et 5R.</t>
        </is>
      </c>
      <c r="I56" s="11" t="n">
        <v>705000</v>
      </c>
      <c r="J56" s="12" t="inlineStr">
        <is>
          <t>U</t>
        </is>
      </c>
      <c r="K56" s="13" t="n">
        <v>3</v>
      </c>
      <c r="L56" s="51" t="n"/>
      <c r="M56" s="56">
        <f>'S27'!M56+L56</f>
        <v/>
      </c>
      <c r="N56" s="57">
        <f>IFERROR(M56/K56,0)</f>
        <v/>
      </c>
      <c r="O56" s="58">
        <f>'S27'!N56</f>
        <v/>
      </c>
      <c r="P56" s="57">
        <f>N56-O56</f>
        <v/>
      </c>
      <c r="Q56" s="32" t="n"/>
      <c r="R56" s="32" t="n"/>
      <c r="S56" s="32" t="n"/>
      <c r="T56" s="55" t="n"/>
      <c r="U56" s="58">
        <f>'S27'!T56</f>
        <v/>
      </c>
      <c r="V56" s="57">
        <f>T56-U56</f>
        <v/>
      </c>
      <c r="W56" s="57">
        <f>N56-T56</f>
        <v/>
      </c>
      <c r="X56" s="34" t="n"/>
    </row>
    <row r="57" ht="22" customHeight="1">
      <c r="B57" s="5" t="n">
        <v>53</v>
      </c>
      <c r="C57" s="6" t="inlineStr">
        <is>
          <t>Sidi Kacem</t>
        </is>
      </c>
      <c r="D57" s="5" t="inlineStr">
        <is>
          <t>SIDI EL KAMEL</t>
        </is>
      </c>
      <c r="E57" s="5" t="inlineStr">
        <is>
          <t>50-21</t>
        </is>
      </c>
      <c r="F57" s="5" t="inlineStr">
        <is>
          <t>Entretien et réparation des stations de pompage</t>
        </is>
      </c>
      <c r="G57" s="5" t="inlineStr">
        <is>
          <t>Mur clôture des stations de pompage.</t>
        </is>
      </c>
      <c r="H57" s="5" t="inlineStr">
        <is>
          <t>Stabilisation et reconstruction des murs clôture cote oued des stations de pompage 7A, 3R et 1R.</t>
        </is>
      </c>
      <c r="I57" s="7" t="n">
        <v>372000</v>
      </c>
      <c r="J57" s="8" t="inlineStr">
        <is>
          <t>ml</t>
        </is>
      </c>
      <c r="K57" s="9" t="n">
        <v>124</v>
      </c>
      <c r="L57" s="51" t="n"/>
      <c r="M57" s="52">
        <f>'S27'!M57+L57</f>
        <v/>
      </c>
      <c r="N57" s="53">
        <f>IFERROR(M57/K57,0)</f>
        <v/>
      </c>
      <c r="O57" s="54">
        <f>'S27'!N57</f>
        <v/>
      </c>
      <c r="P57" s="53">
        <f>N57-O57</f>
        <v/>
      </c>
      <c r="Q57" s="32" t="n"/>
      <c r="R57" s="32" t="n"/>
      <c r="S57" s="32" t="n"/>
      <c r="T57" s="55" t="n"/>
      <c r="U57" s="54">
        <f>'S27'!T57</f>
        <v/>
      </c>
      <c r="V57" s="53">
        <f>T57-U57</f>
        <v/>
      </c>
      <c r="W57" s="53">
        <f>N57-T57</f>
        <v/>
      </c>
      <c r="X57" s="34" t="n"/>
    </row>
    <row r="58" ht="22" customHeight="1">
      <c r="B58" s="10" t="n">
        <v>54</v>
      </c>
      <c r="C58" s="14" t="inlineStr">
        <is>
          <t>Kénitra</t>
        </is>
      </c>
      <c r="D58" s="10" t="inlineStr">
        <is>
          <t>Bni malek</t>
        </is>
      </c>
      <c r="E58" s="10" t="inlineStr">
        <is>
          <t>50-23</t>
        </is>
      </c>
      <c r="F58" s="10" t="inlineStr">
        <is>
          <t>Entretien et réparation du réseau d'assainissement et de drainage</t>
        </is>
      </c>
      <c r="G58" s="10" t="inlineStr">
        <is>
          <t>Travaux de curage des canaux en terre</t>
        </is>
      </c>
      <c r="H58" s="10" t="inlineStr">
        <is>
          <t>Curage des emissaires et colatures secondaire au niveau des secteurs MDA ET N9</t>
        </is>
      </c>
      <c r="I58" s="11" t="n">
        <v>10000000</v>
      </c>
      <c r="J58" s="12" t="inlineStr">
        <is>
          <t>ml</t>
        </is>
      </c>
      <c r="K58" s="13" t="n">
        <v>5000</v>
      </c>
      <c r="L58" s="51" t="n"/>
      <c r="M58" s="56">
        <f>'S27'!M58+L58</f>
        <v/>
      </c>
      <c r="N58" s="57">
        <f>IFERROR(M58/K58,0)</f>
        <v/>
      </c>
      <c r="O58" s="58">
        <f>'S27'!N58</f>
        <v/>
      </c>
      <c r="P58" s="57">
        <f>N58-O58</f>
        <v/>
      </c>
      <c r="Q58" s="32" t="n"/>
      <c r="R58" s="32" t="n"/>
      <c r="S58" s="32" t="n"/>
      <c r="T58" s="55" t="n"/>
      <c r="U58" s="58">
        <f>'S27'!T58</f>
        <v/>
      </c>
      <c r="V58" s="57">
        <f>T58-U58</f>
        <v/>
      </c>
      <c r="W58" s="57">
        <f>N58-T58</f>
        <v/>
      </c>
      <c r="X58" s="34" t="n"/>
    </row>
    <row r="59" ht="22" customHeight="1">
      <c r="B59" s="5" t="n">
        <v>55</v>
      </c>
      <c r="C59" s="14" t="inlineStr">
        <is>
          <t>Kénitra</t>
        </is>
      </c>
      <c r="D59" s="5" t="inlineStr">
        <is>
          <t>Bni malek</t>
        </is>
      </c>
      <c r="E59" s="5" t="inlineStr">
        <is>
          <t>40-21</t>
        </is>
      </c>
      <c r="F59" s="5" t="inlineStr">
        <is>
          <t>Travaux de pistes</t>
        </is>
      </c>
      <c r="G59" s="5" t="inlineStr">
        <is>
          <t>Travaux de réhabilitation des pistes agricoles</t>
        </is>
      </c>
      <c r="H59" s="5" t="inlineStr">
        <is>
          <t>Entretien des pistes agricoles des secteurs MDA et N3</t>
        </is>
      </c>
      <c r="I59" s="7" t="n">
        <v>2000000</v>
      </c>
      <c r="J59" s="8" t="inlineStr">
        <is>
          <t>km</t>
        </is>
      </c>
      <c r="K59" s="9" t="n">
        <v>4</v>
      </c>
      <c r="L59" s="51" t="n"/>
      <c r="M59" s="52">
        <f>'S27'!M59+L59</f>
        <v/>
      </c>
      <c r="N59" s="53">
        <f>IFERROR(M59/K59,0)</f>
        <v/>
      </c>
      <c r="O59" s="54">
        <f>'S27'!N59</f>
        <v/>
      </c>
      <c r="P59" s="53">
        <f>N59-O59</f>
        <v/>
      </c>
      <c r="Q59" s="32" t="n"/>
      <c r="R59" s="32" t="n"/>
      <c r="S59" s="32" t="n"/>
      <c r="T59" s="55" t="n"/>
      <c r="U59" s="54">
        <f>'S27'!T59</f>
        <v/>
      </c>
      <c r="V59" s="53">
        <f>T59-U59</f>
        <v/>
      </c>
      <c r="W59" s="53">
        <f>N59-T59</f>
        <v/>
      </c>
      <c r="X59" s="34" t="n"/>
    </row>
    <row r="60" ht="22" customHeight="1">
      <c r="B60" s="10" t="n">
        <v>56</v>
      </c>
      <c r="C60" s="14" t="inlineStr">
        <is>
          <t>Kénitra</t>
        </is>
      </c>
      <c r="D60" s="10" t="inlineStr">
        <is>
          <t>Bni malek</t>
        </is>
      </c>
      <c r="E60" s="10" t="inlineStr">
        <is>
          <t>50-21</t>
        </is>
      </c>
      <c r="F60" s="10" t="inlineStr">
        <is>
          <t>Entretien et réparation des stations de pompage</t>
        </is>
      </c>
      <c r="G60" s="10" t="inlineStr">
        <is>
          <t>Prestations de maintenance et de réparation mécanique des pompes et des groupes motopompes submersibles des stations de pompage.</t>
        </is>
      </c>
      <c r="H60" s="10" t="inlineStr">
        <is>
          <t>station de pompage MDA secteur MDA</t>
        </is>
      </c>
      <c r="I60" s="11" t="n">
        <v>300000</v>
      </c>
      <c r="J60" s="12" t="inlineStr">
        <is>
          <t>U</t>
        </is>
      </c>
      <c r="K60" s="13" t="n">
        <v>1</v>
      </c>
      <c r="L60" s="51" t="n"/>
      <c r="M60" s="56">
        <f>'S27'!M60+L60</f>
        <v/>
      </c>
      <c r="N60" s="57">
        <f>IFERROR(M60/K60,0)</f>
        <v/>
      </c>
      <c r="O60" s="58">
        <f>'S27'!N60</f>
        <v/>
      </c>
      <c r="P60" s="57">
        <f>N60-O60</f>
        <v/>
      </c>
      <c r="Q60" s="32" t="n"/>
      <c r="R60" s="32" t="n"/>
      <c r="S60" s="32" t="n"/>
      <c r="T60" s="55" t="n"/>
      <c r="U60" s="58">
        <f>'S27'!T60</f>
        <v/>
      </c>
      <c r="V60" s="57">
        <f>T60-U60</f>
        <v/>
      </c>
      <c r="W60" s="57">
        <f>N60-T60</f>
        <v/>
      </c>
      <c r="X60" s="34" t="n"/>
    </row>
    <row r="61" ht="22" customHeight="1">
      <c r="B61" s="5" t="n">
        <v>57</v>
      </c>
      <c r="C61" s="14" t="inlineStr">
        <is>
          <t>Kénitra</t>
        </is>
      </c>
      <c r="D61" s="5" t="inlineStr">
        <is>
          <t>Bni malek</t>
        </is>
      </c>
      <c r="E61" s="5" t="inlineStr">
        <is>
          <t>20-11</t>
        </is>
      </c>
      <c r="F61" s="5" t="inlineStr">
        <is>
          <t>Travaux de réhabilitation des équipements</t>
        </is>
      </c>
      <c r="G61" s="5" t="inlineStr">
        <is>
          <t>Travaux de réhabilitation des ouvrages de génie civil</t>
        </is>
      </c>
      <c r="H61" s="5" t="inlineStr">
        <is>
          <t>Rétablissement des bornes affaissées des secteurs N2 et N3</t>
        </is>
      </c>
      <c r="I61" s="7" t="n">
        <v>100000</v>
      </c>
      <c r="J61" s="8" t="inlineStr">
        <is>
          <t>U</t>
        </is>
      </c>
      <c r="K61" s="9" t="n">
        <v>200</v>
      </c>
      <c r="L61" s="51" t="n"/>
      <c r="M61" s="52">
        <f>'S27'!M61+L61</f>
        <v/>
      </c>
      <c r="N61" s="53">
        <f>IFERROR(M61/K61,0)</f>
        <v/>
      </c>
      <c r="O61" s="54">
        <f>'S27'!N61</f>
        <v/>
      </c>
      <c r="P61" s="53">
        <f>N61-O61</f>
        <v/>
      </c>
      <c r="Q61" s="32" t="n"/>
      <c r="R61" s="32" t="n"/>
      <c r="S61" s="32" t="n"/>
      <c r="T61" s="55" t="n"/>
      <c r="U61" s="54">
        <f>'S27'!T61</f>
        <v/>
      </c>
      <c r="V61" s="53">
        <f>T61-U61</f>
        <v/>
      </c>
      <c r="W61" s="53">
        <f>N61-T61</f>
        <v/>
      </c>
      <c r="X61" s="34" t="n"/>
    </row>
    <row r="62" ht="22" customHeight="1">
      <c r="B62" s="10" t="n">
        <v>58</v>
      </c>
      <c r="C62" s="14" t="inlineStr">
        <is>
          <t>Kénitra</t>
        </is>
      </c>
      <c r="D62" s="10" t="inlineStr">
        <is>
          <t>SOUK TLET</t>
        </is>
      </c>
      <c r="E62" s="10" t="inlineStr">
        <is>
          <t>50-23</t>
        </is>
      </c>
      <c r="F62" s="10" t="inlineStr">
        <is>
          <t>Entretien et réparation du réseau d'assainissement et de drainage</t>
        </is>
      </c>
      <c r="G62" s="10" t="inlineStr">
        <is>
          <t>Travaux de curage des canaux en terre</t>
        </is>
      </c>
      <c r="H62" s="10" t="inlineStr">
        <is>
          <t>curage des emissaires et colatures secondaire au niveau des secteurs N2,N3 ET N4,</t>
        </is>
      </c>
      <c r="I62" s="11" t="n">
        <v>3000000</v>
      </c>
      <c r="J62" s="12" t="inlineStr">
        <is>
          <t>ml</t>
        </is>
      </c>
      <c r="K62" s="13" t="n">
        <v>1500</v>
      </c>
      <c r="L62" s="51" t="n"/>
      <c r="M62" s="56">
        <f>'S27'!M62+L62</f>
        <v/>
      </c>
      <c r="N62" s="57">
        <f>IFERROR(M62/K62,0)</f>
        <v/>
      </c>
      <c r="O62" s="58">
        <f>'S27'!N62</f>
        <v/>
      </c>
      <c r="P62" s="57">
        <f>N62-O62</f>
        <v/>
      </c>
      <c r="Q62" s="32" t="n"/>
      <c r="R62" s="32" t="n"/>
      <c r="S62" s="32" t="n"/>
      <c r="T62" s="55" t="n"/>
      <c r="U62" s="58">
        <f>'S27'!T62</f>
        <v/>
      </c>
      <c r="V62" s="57">
        <f>T62-U62</f>
        <v/>
      </c>
      <c r="W62" s="57">
        <f>N62-T62</f>
        <v/>
      </c>
      <c r="X62" s="34" t="n"/>
    </row>
    <row r="63" ht="22" customHeight="1">
      <c r="B63" s="5" t="n">
        <v>59</v>
      </c>
      <c r="C63" s="14" t="inlineStr">
        <is>
          <t>Kénitra</t>
        </is>
      </c>
      <c r="D63" s="5" t="inlineStr">
        <is>
          <t>SOUK TLET</t>
        </is>
      </c>
      <c r="E63" s="5" t="inlineStr">
        <is>
          <t>40-21</t>
        </is>
      </c>
      <c r="F63" s="5" t="inlineStr">
        <is>
          <t>Travaux de pistes</t>
        </is>
      </c>
      <c r="G63" s="5" t="inlineStr">
        <is>
          <t>Travaux de réhabilitation des pistes agricoles</t>
        </is>
      </c>
      <c r="H63" s="5" t="inlineStr">
        <is>
          <t>Entretien des pistes des secteurs N2,N3,N4 et C4R,</t>
        </is>
      </c>
      <c r="I63" s="7" t="n">
        <v>5000000</v>
      </c>
      <c r="J63" s="8" t="inlineStr">
        <is>
          <t>U</t>
        </is>
      </c>
      <c r="K63" s="9" t="n">
        <v>1</v>
      </c>
      <c r="L63" s="51" t="n"/>
      <c r="M63" s="52">
        <f>'S27'!M63+L63</f>
        <v/>
      </c>
      <c r="N63" s="53">
        <f>IFERROR(M63/K63,0)</f>
        <v/>
      </c>
      <c r="O63" s="54">
        <f>'S27'!N63</f>
        <v/>
      </c>
      <c r="P63" s="53">
        <f>N63-O63</f>
        <v/>
      </c>
      <c r="Q63" s="32" t="n"/>
      <c r="R63" s="32" t="n"/>
      <c r="S63" s="32" t="n"/>
      <c r="T63" s="55" t="n"/>
      <c r="U63" s="54">
        <f>'S27'!T63</f>
        <v/>
      </c>
      <c r="V63" s="53">
        <f>T63-U63</f>
        <v/>
      </c>
      <c r="W63" s="53">
        <f>N63-T63</f>
        <v/>
      </c>
      <c r="X63" s="34" t="n"/>
    </row>
    <row r="64" ht="22" customHeight="1">
      <c r="B64" s="10" t="n">
        <v>60</v>
      </c>
      <c r="C64" s="14" t="inlineStr">
        <is>
          <t>Kénitra</t>
        </is>
      </c>
      <c r="D64" s="10" t="inlineStr">
        <is>
          <t>Sidi Med Lahmar</t>
        </is>
      </c>
      <c r="E64" s="10" t="inlineStr">
        <is>
          <t>50-23</t>
        </is>
      </c>
      <c r="F64" s="10" t="inlineStr">
        <is>
          <t>Entretien et réparation du réseau d'assainissement et de drainage</t>
        </is>
      </c>
      <c r="G64" s="10" t="inlineStr">
        <is>
          <t>Travaux de curage des canaux en terre</t>
        </is>
      </c>
      <c r="H64" s="10" t="inlineStr">
        <is>
          <t>Curage des emissaires et colatures secondaires secteurs N1</t>
        </is>
      </c>
      <c r="I64" s="11" t="n">
        <v>3000000</v>
      </c>
      <c r="J64" s="12" t="inlineStr">
        <is>
          <t>ml</t>
        </is>
      </c>
      <c r="K64" s="13" t="n">
        <v>1500</v>
      </c>
      <c r="L64" s="51" t="n"/>
      <c r="M64" s="56">
        <f>'S27'!M64+L64</f>
        <v/>
      </c>
      <c r="N64" s="57">
        <f>IFERROR(M64/K64,0)</f>
        <v/>
      </c>
      <c r="O64" s="58">
        <f>'S27'!N64</f>
        <v/>
      </c>
      <c r="P64" s="57">
        <f>N64-O64</f>
        <v/>
      </c>
      <c r="Q64" s="32" t="n"/>
      <c r="R64" s="32" t="n"/>
      <c r="S64" s="32" t="n"/>
      <c r="T64" s="55" t="n"/>
      <c r="U64" s="58">
        <f>'S27'!T64</f>
        <v/>
      </c>
      <c r="V64" s="57">
        <f>T64-U64</f>
        <v/>
      </c>
      <c r="W64" s="57">
        <f>N64-T64</f>
        <v/>
      </c>
      <c r="X64" s="34" t="n"/>
    </row>
    <row r="65" ht="22" customHeight="1">
      <c r="B65" s="5" t="n">
        <v>61</v>
      </c>
      <c r="C65" s="14" t="inlineStr">
        <is>
          <t>Kénitra</t>
        </is>
      </c>
      <c r="D65" s="5" t="inlineStr">
        <is>
          <t>Sidi Med Lahmar</t>
        </is>
      </c>
      <c r="E65" s="5" t="inlineStr">
        <is>
          <t>40-21</t>
        </is>
      </c>
      <c r="F65" s="5" t="inlineStr">
        <is>
          <t>Travaux de pistes</t>
        </is>
      </c>
      <c r="G65" s="5" t="inlineStr">
        <is>
          <t>Travaux de réhabilitation des pistes agricoles</t>
        </is>
      </c>
      <c r="H65" s="5" t="inlineStr">
        <is>
          <t>Entretien des pistes agricoles des secteurs N9 et N1</t>
        </is>
      </c>
      <c r="I65" s="7" t="n">
        <v>3000000</v>
      </c>
      <c r="J65" s="8" t="inlineStr">
        <is>
          <t>km</t>
        </is>
      </c>
      <c r="K65" s="9" t="n">
        <v>6</v>
      </c>
      <c r="L65" s="51" t="n"/>
      <c r="M65" s="52">
        <f>'S27'!M65+L65</f>
        <v/>
      </c>
      <c r="N65" s="53">
        <f>IFERROR(M65/K65,0)</f>
        <v/>
      </c>
      <c r="O65" s="54">
        <f>'S27'!N65</f>
        <v/>
      </c>
      <c r="P65" s="53">
        <f>N65-O65</f>
        <v/>
      </c>
      <c r="Q65" s="32" t="n"/>
      <c r="R65" s="32" t="n"/>
      <c r="S65" s="32" t="n"/>
      <c r="T65" s="55" t="n"/>
      <c r="U65" s="54">
        <f>'S27'!T65</f>
        <v/>
      </c>
      <c r="V65" s="53">
        <f>T65-U65</f>
        <v/>
      </c>
      <c r="W65" s="53">
        <f>N65-T65</f>
        <v/>
      </c>
      <c r="X65" s="34" t="n"/>
    </row>
    <row r="66" ht="22" customHeight="1">
      <c r="B66" s="10" t="n">
        <v>62</v>
      </c>
      <c r="C66" s="14" t="inlineStr">
        <is>
          <t>Kénitra</t>
        </is>
      </c>
      <c r="D66" s="10" t="inlineStr">
        <is>
          <t>Mograne</t>
        </is>
      </c>
      <c r="E66" s="10" t="inlineStr">
        <is>
          <t>50-23</t>
        </is>
      </c>
      <c r="F66" s="10" t="inlineStr">
        <is>
          <t>Entretien et réparation du réseau d'assainissement et de drainage</t>
        </is>
      </c>
      <c r="G66" s="10" t="inlineStr">
        <is>
          <t>Travaux de curage des canaux en terre</t>
        </is>
      </c>
      <c r="H66" s="10" t="inlineStr">
        <is>
          <t>Curage des canaux d'assainissement Hors secteur équipé ghoufera et laison beht sebou ,</t>
        </is>
      </c>
      <c r="I66" s="11" t="n">
        <v>6000000</v>
      </c>
      <c r="J66" s="12" t="inlineStr">
        <is>
          <t>ml</t>
        </is>
      </c>
      <c r="K66" s="13" t="n">
        <v>3000</v>
      </c>
      <c r="L66" s="51" t="n"/>
      <c r="M66" s="56">
        <f>'S27'!M66+L66</f>
        <v/>
      </c>
      <c r="N66" s="57">
        <f>IFERROR(M66/K66,0)</f>
        <v/>
      </c>
      <c r="O66" s="58">
        <f>'S27'!N66</f>
        <v/>
      </c>
      <c r="P66" s="57">
        <f>N66-O66</f>
        <v/>
      </c>
      <c r="Q66" s="32" t="n"/>
      <c r="R66" s="32" t="n"/>
      <c r="S66" s="32" t="n"/>
      <c r="T66" s="55" t="n"/>
      <c r="U66" s="58">
        <f>'S27'!T66</f>
        <v/>
      </c>
      <c r="V66" s="57">
        <f>T66-U66</f>
        <v/>
      </c>
      <c r="W66" s="57">
        <f>N66-T66</f>
        <v/>
      </c>
      <c r="X66" s="34" t="n"/>
    </row>
    <row r="67" ht="22" customHeight="1">
      <c r="B67" s="5" t="n">
        <v>63</v>
      </c>
      <c r="C67" s="14" t="inlineStr">
        <is>
          <t>Kénitra</t>
        </is>
      </c>
      <c r="D67" s="5" t="inlineStr">
        <is>
          <t>Mograne</t>
        </is>
      </c>
      <c r="E67" s="5" t="inlineStr">
        <is>
          <t>40-21</t>
        </is>
      </c>
      <c r="F67" s="5" t="inlineStr">
        <is>
          <t>Travaux de pistes</t>
        </is>
      </c>
      <c r="G67" s="5" t="inlineStr">
        <is>
          <t>Travaux de réhabilitation des pistes agricoles</t>
        </is>
      </c>
      <c r="H67" s="5" t="inlineStr">
        <is>
          <t>Entretien des pistes agricoles des secteurs SEBOU1,SEBOU2? BEHT3 et BEHT4</t>
        </is>
      </c>
      <c r="I67" s="7" t="n">
        <v>6000000</v>
      </c>
      <c r="J67" s="8" t="inlineStr">
        <is>
          <t>km</t>
        </is>
      </c>
      <c r="K67" s="9" t="n">
        <v>12</v>
      </c>
      <c r="L67" s="51" t="n"/>
      <c r="M67" s="52">
        <f>'S27'!M67+L67</f>
        <v/>
      </c>
      <c r="N67" s="53">
        <f>IFERROR(M67/K67,0)</f>
        <v/>
      </c>
      <c r="O67" s="54">
        <f>'S27'!N67</f>
        <v/>
      </c>
      <c r="P67" s="53">
        <f>N67-O67</f>
        <v/>
      </c>
      <c r="Q67" s="32" t="n"/>
      <c r="R67" s="32" t="n"/>
      <c r="S67" s="32" t="n"/>
      <c r="T67" s="55" t="n"/>
      <c r="U67" s="54">
        <f>'S27'!T67</f>
        <v/>
      </c>
      <c r="V67" s="53">
        <f>T67-U67</f>
        <v/>
      </c>
      <c r="W67" s="53">
        <f>N67-T67</f>
        <v/>
      </c>
      <c r="X67" s="34" t="n"/>
    </row>
    <row r="68" ht="22" customHeight="1">
      <c r="B68" s="10" t="n">
        <v>64</v>
      </c>
      <c r="C68" s="14" t="inlineStr">
        <is>
          <t>Kénitra</t>
        </is>
      </c>
      <c r="D68" s="10" t="inlineStr">
        <is>
          <t>Sidi allal tazi</t>
        </is>
      </c>
      <c r="E68" s="10" t="inlineStr">
        <is>
          <t>50-23</t>
        </is>
      </c>
      <c r="F68" s="10" t="inlineStr">
        <is>
          <t>Entretien et réparation du réseau d'assainissement et de drainage</t>
        </is>
      </c>
      <c r="G68" s="10" t="inlineStr">
        <is>
          <t>Travaux de curage des canaux en terre</t>
        </is>
      </c>
      <c r="H68" s="10" t="inlineStr">
        <is>
          <t>Curage du canaL d'assainissement CK,</t>
        </is>
      </c>
      <c r="I68" s="11" t="n">
        <v>3000000</v>
      </c>
      <c r="J68" s="12" t="inlineStr">
        <is>
          <t>ml</t>
        </is>
      </c>
      <c r="K68" s="13" t="n">
        <v>1500</v>
      </c>
      <c r="L68" s="51" t="n"/>
      <c r="M68" s="56">
        <f>'S27'!M68+L68</f>
        <v/>
      </c>
      <c r="N68" s="57">
        <f>IFERROR(M68/K68,0)</f>
        <v/>
      </c>
      <c r="O68" s="58">
        <f>'S27'!N68</f>
        <v/>
      </c>
      <c r="P68" s="57">
        <f>N68-O68</f>
        <v/>
      </c>
      <c r="Q68" s="32" t="n"/>
      <c r="R68" s="32" t="n"/>
      <c r="S68" s="32" t="n"/>
      <c r="T68" s="55" t="n"/>
      <c r="U68" s="58">
        <f>'S27'!T68</f>
        <v/>
      </c>
      <c r="V68" s="57">
        <f>T68-U68</f>
        <v/>
      </c>
      <c r="W68" s="57">
        <f>N68-T68</f>
        <v/>
      </c>
      <c r="X68" s="34" t="n"/>
    </row>
    <row r="69" ht="22" customHeight="1">
      <c r="B69" s="5" t="n">
        <v>65</v>
      </c>
      <c r="C69" s="14" t="inlineStr">
        <is>
          <t>Kénitra</t>
        </is>
      </c>
      <c r="D69" s="5" t="inlineStr">
        <is>
          <t>AMEUR SAFLIA</t>
        </is>
      </c>
      <c r="E69" s="5" t="inlineStr">
        <is>
          <t>50-23</t>
        </is>
      </c>
      <c r="F69" s="5" t="inlineStr">
        <is>
          <t>Entretien et réparation du réseau d'assainissement et de drainage</t>
        </is>
      </c>
      <c r="G69" s="5" t="inlineStr">
        <is>
          <t>Travaux de curage des canaux en terre</t>
        </is>
      </c>
      <c r="H69" s="5" t="inlineStr">
        <is>
          <t>Curage des canaux d'assainissement amontTtiflt Sebou,</t>
        </is>
      </c>
      <c r="I69" s="7" t="n">
        <v>1000000</v>
      </c>
      <c r="J69" s="8" t="inlineStr">
        <is>
          <t>ml</t>
        </is>
      </c>
      <c r="K69" s="9" t="n">
        <v>500</v>
      </c>
      <c r="L69" s="51" t="n"/>
      <c r="M69" s="52">
        <f>'S27'!M69+L69</f>
        <v/>
      </c>
      <c r="N69" s="53">
        <f>IFERROR(M69/K69,0)</f>
        <v/>
      </c>
      <c r="O69" s="54">
        <f>'S27'!N69</f>
        <v/>
      </c>
      <c r="P69" s="53">
        <f>N69-O69</f>
        <v/>
      </c>
      <c r="Q69" s="32" t="n"/>
      <c r="R69" s="32" t="n"/>
      <c r="S69" s="32" t="n"/>
      <c r="T69" s="55" t="n"/>
      <c r="U69" s="54">
        <f>'S27'!T69</f>
        <v/>
      </c>
      <c r="V69" s="53">
        <f>T69-U69</f>
        <v/>
      </c>
      <c r="W69" s="53">
        <f>N69-T69</f>
        <v/>
      </c>
      <c r="X69" s="34" t="n"/>
    </row>
    <row r="70" ht="22" customHeight="1">
      <c r="B70" s="10" t="n">
        <v>66</v>
      </c>
      <c r="C70" s="14" t="inlineStr">
        <is>
          <t>Kénitra</t>
        </is>
      </c>
      <c r="D70" s="10" t="inlineStr">
        <is>
          <t>Oulad SLAMA</t>
        </is>
      </c>
      <c r="E70" s="10" t="inlineStr">
        <is>
          <t>50-23</t>
        </is>
      </c>
      <c r="F70" s="10" t="inlineStr">
        <is>
          <t>Entretien et réparation du réseau d'assainissement et de drainage</t>
        </is>
      </c>
      <c r="G70" s="10" t="inlineStr">
        <is>
          <t>Travaux de curage des canaux en terre</t>
        </is>
      </c>
      <c r="H70" s="10" t="inlineStr">
        <is>
          <t>Curage des canaux d'assainissement debouche Tiflt aval,</t>
        </is>
      </c>
      <c r="I70" s="11" t="n">
        <v>1000000</v>
      </c>
      <c r="J70" s="12" t="inlineStr">
        <is>
          <t>ml</t>
        </is>
      </c>
      <c r="K70" s="13" t="n">
        <v>500</v>
      </c>
      <c r="L70" s="51" t="n"/>
      <c r="M70" s="56">
        <f>'S27'!M70+L70</f>
        <v/>
      </c>
      <c r="N70" s="57">
        <f>IFERROR(M70/K70,0)</f>
        <v/>
      </c>
      <c r="O70" s="58">
        <f>'S27'!N70</f>
        <v/>
      </c>
      <c r="P70" s="57">
        <f>N70-O70</f>
        <v/>
      </c>
      <c r="Q70" s="32" t="n"/>
      <c r="R70" s="32" t="n"/>
      <c r="S70" s="32" t="n"/>
      <c r="T70" s="55" t="n"/>
      <c r="U70" s="58">
        <f>'S27'!T70</f>
        <v/>
      </c>
      <c r="V70" s="57">
        <f>T70-U70</f>
        <v/>
      </c>
      <c r="W70" s="57">
        <f>N70-T70</f>
        <v/>
      </c>
      <c r="X70" s="34" t="n"/>
    </row>
    <row r="71" ht="22" customHeight="1">
      <c r="B71" s="5" t="n">
        <v>67</v>
      </c>
      <c r="C71" s="14" t="inlineStr">
        <is>
          <t>Kénitra</t>
        </is>
      </c>
      <c r="D71" s="5" t="inlineStr">
        <is>
          <t>BHARA Oulad AYAD</t>
        </is>
      </c>
      <c r="E71" s="5" t="inlineStr">
        <is>
          <t>50-23</t>
        </is>
      </c>
      <c r="F71" s="5" t="inlineStr">
        <is>
          <t>Entretien et réparation du réseau d'assainissement et de drainage</t>
        </is>
      </c>
      <c r="G71" s="5" t="inlineStr">
        <is>
          <t>Travaux de curage des canaux en terre</t>
        </is>
      </c>
      <c r="H71" s="5" t="inlineStr">
        <is>
          <t>Curage des canaux d'assainissement canal nador bas et haut segmet,</t>
        </is>
      </c>
      <c r="I71" s="7" t="n">
        <v>6600000</v>
      </c>
      <c r="J71" s="8" t="inlineStr">
        <is>
          <t>ml</t>
        </is>
      </c>
      <c r="K71" s="9" t="n">
        <v>3300</v>
      </c>
      <c r="L71" s="51" t="n"/>
      <c r="M71" s="52">
        <f>'S27'!M71+L71</f>
        <v/>
      </c>
      <c r="N71" s="53">
        <f>IFERROR(M71/K71,0)</f>
        <v/>
      </c>
      <c r="O71" s="54">
        <f>'S27'!N71</f>
        <v/>
      </c>
      <c r="P71" s="53">
        <f>N71-O71</f>
        <v/>
      </c>
      <c r="Q71" s="32" t="n"/>
      <c r="R71" s="32" t="n"/>
      <c r="S71" s="32" t="n"/>
      <c r="T71" s="55" t="n"/>
      <c r="U71" s="54">
        <f>'S27'!T71</f>
        <v/>
      </c>
      <c r="V71" s="53">
        <f>T71-U71</f>
        <v/>
      </c>
      <c r="W71" s="53">
        <f>N71-T71</f>
        <v/>
      </c>
      <c r="X71" s="34" t="n"/>
    </row>
    <row r="72" ht="22" customHeight="1">
      <c r="B72" s="10" t="n">
        <v>68</v>
      </c>
      <c r="C72" s="15" t="inlineStr">
        <is>
          <t>Sidi Slimane</t>
        </is>
      </c>
      <c r="D72" s="10" t="inlineStr">
        <is>
          <t>OULED HCEINE</t>
        </is>
      </c>
      <c r="E72" s="10" t="inlineStr">
        <is>
          <t>50-23</t>
        </is>
      </c>
      <c r="F72" s="10" t="inlineStr">
        <is>
          <t>Entretien et réparation du réseau d'assainissement et de drainage</t>
        </is>
      </c>
      <c r="G72" s="10" t="inlineStr">
        <is>
          <t>Travaux de curage des canaux en terre</t>
        </is>
      </c>
      <c r="H72" s="10" t="inlineStr">
        <is>
          <t>Curage des collecteurs d'assainissement du secteur EST4.</t>
        </is>
      </c>
      <c r="I72" s="11" t="n">
        <v>1805475</v>
      </c>
      <c r="J72" s="12" t="inlineStr">
        <is>
          <t>ml</t>
        </is>
      </c>
      <c r="K72" s="13" t="n">
        <v>903</v>
      </c>
      <c r="L72" s="51" t="n"/>
      <c r="M72" s="56">
        <f>'S27'!M72+L72</f>
        <v/>
      </c>
      <c r="N72" s="57">
        <f>IFERROR(M72/K72,0)</f>
        <v/>
      </c>
      <c r="O72" s="58">
        <f>'S27'!N72</f>
        <v/>
      </c>
      <c r="P72" s="57">
        <f>N72-O72</f>
        <v/>
      </c>
      <c r="Q72" s="32" t="n"/>
      <c r="R72" s="32" t="n"/>
      <c r="S72" s="32" t="n"/>
      <c r="T72" s="55" t="n"/>
      <c r="U72" s="58">
        <f>'S27'!T72</f>
        <v/>
      </c>
      <c r="V72" s="57">
        <f>T72-U72</f>
        <v/>
      </c>
      <c r="W72" s="57">
        <f>N72-T72</f>
        <v/>
      </c>
      <c r="X72" s="34" t="n"/>
    </row>
    <row r="73" ht="22" customHeight="1">
      <c r="B73" s="5" t="n">
        <v>69</v>
      </c>
      <c r="C73" s="15" t="inlineStr">
        <is>
          <t>Sidi Slimane</t>
        </is>
      </c>
      <c r="D73" s="5" t="inlineStr">
        <is>
          <t>OULED HCEINE</t>
        </is>
      </c>
      <c r="E73" s="5" t="inlineStr">
        <is>
          <t>50-23</t>
        </is>
      </c>
      <c r="F73" s="5" t="inlineStr">
        <is>
          <t>Entretien et réparation du réseau d'assainissement et de drainage</t>
        </is>
      </c>
      <c r="G73" s="5" t="inlineStr">
        <is>
          <t>Travaux de curage des canaux en terre</t>
        </is>
      </c>
      <c r="H73" s="5" t="inlineStr">
        <is>
          <t>Curage du canal d'assainissement Tihli central.</t>
        </is>
      </c>
      <c r="I73" s="7" t="n">
        <v>2587200</v>
      </c>
      <c r="J73" s="8" t="inlineStr">
        <is>
          <t>ml</t>
        </is>
      </c>
      <c r="K73" s="9" t="n">
        <v>1294</v>
      </c>
      <c r="L73" s="51" t="n"/>
      <c r="M73" s="52">
        <f>'S27'!M73+L73</f>
        <v/>
      </c>
      <c r="N73" s="53">
        <f>IFERROR(M73/K73,0)</f>
        <v/>
      </c>
      <c r="O73" s="54">
        <f>'S27'!N73</f>
        <v/>
      </c>
      <c r="P73" s="53">
        <f>N73-O73</f>
        <v/>
      </c>
      <c r="Q73" s="32" t="n"/>
      <c r="R73" s="32" t="n"/>
      <c r="S73" s="32" t="n"/>
      <c r="T73" s="55" t="n"/>
      <c r="U73" s="54">
        <f>'S27'!T73</f>
        <v/>
      </c>
      <c r="V73" s="53">
        <f>T73-U73</f>
        <v/>
      </c>
      <c r="W73" s="53">
        <f>N73-T73</f>
        <v/>
      </c>
      <c r="X73" s="34" t="n"/>
    </row>
    <row r="74" ht="22" customHeight="1">
      <c r="B74" s="10" t="n">
        <v>70</v>
      </c>
      <c r="C74" s="15" t="inlineStr">
        <is>
          <t>Sidi Slimane</t>
        </is>
      </c>
      <c r="D74" s="10" t="inlineStr">
        <is>
          <t>OULED HCEINE</t>
        </is>
      </c>
      <c r="E74" s="10" t="inlineStr">
        <is>
          <t>40-21</t>
        </is>
      </c>
      <c r="F74" s="10" t="inlineStr">
        <is>
          <t>Travaux de pistes</t>
        </is>
      </c>
      <c r="G74" s="10" t="inlineStr">
        <is>
          <t>Travaux de réhabilitation des pistes agricoles</t>
        </is>
      </c>
      <c r="H74" s="10" t="inlineStr">
        <is>
          <t>Entretien des pistes agricoles</t>
        </is>
      </c>
      <c r="I74" s="11" t="n">
        <v>3500000</v>
      </c>
      <c r="J74" s="12" t="inlineStr">
        <is>
          <t>km</t>
        </is>
      </c>
      <c r="K74" s="13" t="n">
        <v>7</v>
      </c>
      <c r="L74" s="51" t="n"/>
      <c r="M74" s="56">
        <f>'S27'!M74+L74</f>
        <v/>
      </c>
      <c r="N74" s="57">
        <f>IFERROR(M74/K74,0)</f>
        <v/>
      </c>
      <c r="O74" s="58">
        <f>'S27'!N74</f>
        <v/>
      </c>
      <c r="P74" s="57">
        <f>N74-O74</f>
        <v/>
      </c>
      <c r="Q74" s="32" t="n"/>
      <c r="R74" s="32" t="n"/>
      <c r="S74" s="32" t="n"/>
      <c r="T74" s="55" t="n"/>
      <c r="U74" s="58">
        <f>'S27'!T74</f>
        <v/>
      </c>
      <c r="V74" s="57">
        <f>T74-U74</f>
        <v/>
      </c>
      <c r="W74" s="57">
        <f>N74-T74</f>
        <v/>
      </c>
      <c r="X74" s="34" t="n"/>
    </row>
    <row r="75" ht="22" customHeight="1">
      <c r="B75" s="5" t="n">
        <v>71</v>
      </c>
      <c r="C75" s="15" t="inlineStr">
        <is>
          <t>Sidi Slimane</t>
        </is>
      </c>
      <c r="D75" s="5" t="inlineStr">
        <is>
          <t>OULED HCEINE</t>
        </is>
      </c>
      <c r="E75" s="5" t="inlineStr">
        <is>
          <t>50-21</t>
        </is>
      </c>
      <c r="F75" s="5" t="inlineStr">
        <is>
          <t>Entretien et réparation des stations de pompage</t>
        </is>
      </c>
      <c r="G75" s="5" t="inlineStr">
        <is>
          <t>Travaux de réparation des équipements hydromécaniques et éléctriques et entretien de la partie génie civil des stations de pompage.</t>
        </is>
      </c>
      <c r="H75" s="5" t="inlineStr">
        <is>
          <t>Démontage et expertise des roues des  pompes principaux et pompes a vide de la station EST4 et P11/2.
Changement des roulements, tresses et organes d’effectués de la station EST4 et P11/2
Changement deux débitmètre Ø 1200 mm de la station EST4 et un débimétre de la station P11/2.
Changement des capteurs de niveau inondés.
Révision et réparation des moteurs des vannes motorisées inondées.
changement de six contrôleurs de débits DW181 inondés.
Un capteur de débitmètre inondé nécessitent un diagnostic VEGASON  .
Entretien de l'éclairage du local de vide et bâche d’aspiration inondé de la station EST4 et la partie de l’éclairage du local des pompes inondées de la station P11/2.
Pose de gabions et recouvrement du talus par matelas Reno des stations de pompage P11/2</t>
        </is>
      </c>
      <c r="I75" s="7" t="n">
        <v>870000</v>
      </c>
      <c r="J75" s="8" t="inlineStr">
        <is>
          <t>U</t>
        </is>
      </c>
      <c r="K75" s="9" t="n">
        <v>4</v>
      </c>
      <c r="L75" s="51" t="n"/>
      <c r="M75" s="52">
        <f>'S27'!M75+L75</f>
        <v/>
      </c>
      <c r="N75" s="53">
        <f>IFERROR(M75/K75,0)</f>
        <v/>
      </c>
      <c r="O75" s="54">
        <f>'S27'!N75</f>
        <v/>
      </c>
      <c r="P75" s="53">
        <f>N75-O75</f>
        <v/>
      </c>
      <c r="Q75" s="32" t="n"/>
      <c r="R75" s="32" t="n"/>
      <c r="S75" s="32" t="n"/>
      <c r="T75" s="55" t="n"/>
      <c r="U75" s="54">
        <f>'S27'!T75</f>
        <v/>
      </c>
      <c r="V75" s="53">
        <f>T75-U75</f>
        <v/>
      </c>
      <c r="W75" s="53">
        <f>N75-T75</f>
        <v/>
      </c>
      <c r="X75" s="34" t="n"/>
    </row>
    <row r="76" ht="22" customHeight="1">
      <c r="B76" s="10" t="n">
        <v>72</v>
      </c>
      <c r="C76" s="15" t="inlineStr">
        <is>
          <t>Sidi Slimane</t>
        </is>
      </c>
      <c r="D76" s="10" t="inlineStr">
        <is>
          <t>OULED HCEINE</t>
        </is>
      </c>
      <c r="E76" s="10" t="inlineStr">
        <is>
          <t>50-23</t>
        </is>
      </c>
      <c r="F76" s="10" t="inlineStr">
        <is>
          <t>Entretien et réparation du réseau d'assainissement et de drainage</t>
        </is>
      </c>
      <c r="G76" s="10" t="inlineStr">
        <is>
          <t>Travaux de curage des prises des stations de pompage.</t>
        </is>
      </c>
      <c r="H76" s="10" t="inlineStr">
        <is>
          <t>Curage des siphones des station de pompage EST2 et P11/2.</t>
        </is>
      </c>
      <c r="I76" s="11" t="n">
        <v>500000</v>
      </c>
      <c r="J76" s="12" t="inlineStr">
        <is>
          <t>ml</t>
        </is>
      </c>
      <c r="K76" s="13" t="n">
        <v>167</v>
      </c>
      <c r="L76" s="51" t="n"/>
      <c r="M76" s="56">
        <f>'S27'!M76+L76</f>
        <v/>
      </c>
      <c r="N76" s="57">
        <f>IFERROR(M76/K76,0)</f>
        <v/>
      </c>
      <c r="O76" s="58">
        <f>'S27'!N76</f>
        <v/>
      </c>
      <c r="P76" s="57">
        <f>N76-O76</f>
        <v/>
      </c>
      <c r="Q76" s="32" t="n"/>
      <c r="R76" s="32" t="n"/>
      <c r="S76" s="32" t="n"/>
      <c r="T76" s="55" t="n"/>
      <c r="U76" s="58">
        <f>'S27'!T76</f>
        <v/>
      </c>
      <c r="V76" s="57">
        <f>T76-U76</f>
        <v/>
      </c>
      <c r="W76" s="57">
        <f>N76-T76</f>
        <v/>
      </c>
      <c r="X76" s="34" t="n"/>
    </row>
    <row r="77" ht="26" customHeight="1">
      <c r="B77" s="16" t="inlineStr">
        <is>
          <t>TOTAL</t>
        </is>
      </c>
      <c r="C77" s="16" t="n"/>
      <c r="D77" s="16" t="n"/>
      <c r="E77" s="16" t="n"/>
      <c r="F77" s="16" t="n"/>
      <c r="G77" s="16" t="n"/>
      <c r="H77" s="16" t="n"/>
      <c r="I77" s="17">
        <f>SUM(I5:I76)</f>
        <v/>
      </c>
      <c r="J77" s="16" t="n"/>
      <c r="K77" s="16" t="n"/>
      <c r="L77" s="59">
        <f>SUM(L5:L76)</f>
        <v/>
      </c>
      <c r="M77" s="59">
        <f>SUM(M5:M76)</f>
        <v/>
      </c>
      <c r="N77" s="60">
        <f>IFERROR(SUMPRODUCT(N5:N76,I5:I76)/I77,0)</f>
        <v/>
      </c>
      <c r="O77" s="60">
        <f>IFERROR(SUMPRODUCT(O5:O76,I5:I76)/I77,0)</f>
        <v/>
      </c>
      <c r="P77" s="60">
        <f>N77-O77</f>
        <v/>
      </c>
      <c r="Q77" s="17">
        <f>SUM(Q5:Q76)</f>
        <v/>
      </c>
      <c r="R77" s="17">
        <f>SUM(R5:R76)</f>
        <v/>
      </c>
      <c r="S77" s="17">
        <f>SUM(S5:S76)</f>
        <v/>
      </c>
      <c r="T77" s="60">
        <f>IFERROR(SUMPRODUCT(T5:T76,I5:I76)/I77,0)</f>
        <v/>
      </c>
      <c r="U77" s="60">
        <f>IFERROR(SUMPRODUCT(U5:U76,I5:I76)/I77,0)</f>
        <v/>
      </c>
      <c r="V77" s="60">
        <f>T77-U77</f>
        <v/>
      </c>
      <c r="W77" s="60">
        <f>N77-T77</f>
        <v/>
      </c>
      <c r="X77" s="16" t="n"/>
    </row>
  </sheetData>
  <sheetProtection selectLockedCells="0" selectUnlockedCells="0" sheet="1" objects="0" insertRows="1" insertHyperlinks="1" autoFilter="1" scenarios="0" formatColumns="1" deleteColumns="1" insertColumns="1" pivotTables="1" deleteRows="1" formatCells="1" formatRows="1" sort="1" password="CBBE"/>
  <mergeCells count="6">
    <mergeCell ref="E3:I3"/>
    <mergeCell ref="W3:X3"/>
    <mergeCell ref="J3:P3"/>
    <mergeCell ref="B2:X2"/>
    <mergeCell ref="C3:D3"/>
    <mergeCell ref="Q3:V3"/>
  </mergeCells>
  <conditionalFormatting sqref="P5:P76">
    <cfRule type="cellIs" priority="1" operator="greaterThan" dxfId="0">
      <formula>0</formula>
    </cfRule>
    <cfRule type="cellIs" priority="2" operator="lessThan" dxfId="1">
      <formula>0</formula>
    </cfRule>
  </conditionalFormatting>
  <conditionalFormatting sqref="V5:V76">
    <cfRule type="cellIs" priority="3" operator="greaterThan" dxfId="0">
      <formula>0</formula>
    </cfRule>
    <cfRule type="cellIs" priority="4" operator="lessThan" dxfId="1">
      <formula>0</formula>
    </cfRule>
  </conditionalFormatting>
  <conditionalFormatting sqref="W5:W76">
    <cfRule type="cellIs" priority="5" operator="greaterThan" dxfId="0">
      <formula>0.05</formula>
    </cfRule>
    <cfRule type="cellIs" priority="6" operator="lessThan" dxfId="1">
      <formula>-0.05</formula>
    </cfRule>
    <cfRule type="cellIs" priority="7" operator="between" dxfId="2">
      <formula>-0.05</formula>
      <formula>0.05</formula>
    </cfRule>
  </conditionalFormatting>
  <conditionalFormatting sqref="N5:N76">
    <cfRule type="dataBar" priority="8">
      <dataBar showValue="1">
        <cfvo type="num" val="0"/>
        <cfvo type="num" val="1"/>
        <color rgb="001B7D46"/>
      </dataBar>
    </cfRule>
  </conditionalFormatting>
  <conditionalFormatting sqref="T5:T76">
    <cfRule type="dataBar" priority="9">
      <dataBar showValue="1">
        <cfvo type="num" val="0"/>
        <cfvo type="num" val="1"/>
        <color rgb="00D4820A"/>
      </dataBar>
    </cfRule>
  </conditionalFormatting>
  <dataValidations count="2">
    <dataValidation sqref="T5:T76" showDropDown="0" showInputMessage="0" showErrorMessage="0" allowBlank="1" errorTitle="Invalide" error="Valeur entre 0% et 100%" promptTitle="Avancement %" prompt="Entrez 0.25 pour 25%" type="decimal" operator="between">
      <formula1>0</formula1>
      <formula2>1</formula2>
    </dataValidation>
    <dataValidation sqref="L5:L76" showDropDown="0" showInputMessage="0" showErrorMessage="0" allowBlank="1" errorTitle="Invalide" error="Quantité doit être &gt;= 0" promptTitle="Qté Réalisée" prompt="Entrez la quantité réalisée cette semaine" type="decimal" operator="greaterThanOrEqual">
      <formula1>0</formula1>
    </dataValidation>
  </dataValidations>
  <pageMargins left="0.75" right="0.75" top="1" bottom="1" header="0.5" footer="0.5"/>
</worksheet>
</file>

<file path=xl/worksheets/sheet9.xml><?xml version="1.0" encoding="utf-8"?>
<worksheet xmlns="http://schemas.openxmlformats.org/spreadsheetml/2006/main">
  <sheetPr>
    <tabColor rgb="00C55A11"/>
    <outlinePr summaryBelow="1" summaryRight="1"/>
    <pageSetUpPr/>
  </sheetPr>
  <dimension ref="B2:X77"/>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5" customWidth="1" min="2" max="2"/>
    <col width="14" customWidth="1" min="3" max="3"/>
    <col width="18" customWidth="1" min="4" max="4"/>
    <col width="9" customWidth="1" min="5" max="5"/>
    <col width="32" customWidth="1" min="6" max="6"/>
    <col width="28" customWidth="1" min="7" max="7"/>
    <col width="34" customWidth="1" min="8" max="8"/>
    <col width="14" customWidth="1" min="9" max="9"/>
    <col width="8" customWidth="1" min="10" max="10"/>
    <col width="12" customWidth="1" min="11" max="11"/>
    <col width="14" customWidth="1" min="12" max="12"/>
    <col width="14" customWidth="1" min="13" max="13"/>
    <col width="14" customWidth="1" min="14" max="14"/>
    <col width="14" customWidth="1" min="15" max="15"/>
    <col width="14" customWidth="1" min="16" max="16"/>
    <col width="16" customWidth="1" min="17" max="17"/>
    <col width="16" customWidth="1" min="18" max="18"/>
    <col width="16" customWidth="1" min="19" max="19"/>
    <col width="14" customWidth="1" min="20" max="20"/>
    <col width="14" customWidth="1" min="21" max="21"/>
    <col width="14" customWidth="1" min="22" max="22"/>
    <col width="14" customWidth="1" min="23" max="23"/>
    <col width="24" customWidth="1" min="24" max="24"/>
  </cols>
  <sheetData>
    <row r="1" ht="15" customHeight="1"/>
    <row r="2" ht="32" customHeight="1">
      <c r="B2" s="1" t="inlineStr">
        <is>
          <t>Suivi Hebdomadaire - Semaine 29 (13/07 - 19/07) — Juillet 2026 - Exécution Physique et Financière</t>
        </is>
      </c>
    </row>
    <row r="3" ht="22" customHeight="1">
      <c r="B3" s="20" t="inlineStr">
        <is>
          <t>Date :</t>
        </is>
      </c>
      <c r="C3" s="49" t="n">
        <v>46216</v>
      </c>
      <c r="D3" s="50" t="n"/>
      <c r="E3" s="22" t="inlineStr">
        <is>
          <t>IDENTIFICATION</t>
        </is>
      </c>
      <c r="J3" s="23" t="inlineStr">
        <is>
          <t>INDICATEURS PHYSIQUES</t>
        </is>
      </c>
      <c r="Q3" s="24" t="inlineStr">
        <is>
          <t>INDICATEURS FINANCIERS</t>
        </is>
      </c>
      <c r="W3" s="25" t="inlineStr">
        <is>
          <t>SYNTHÈSE</t>
        </is>
      </c>
    </row>
    <row r="4" ht="28" customHeight="1">
      <c r="B4" s="4" t="inlineStr">
        <is>
          <t>N°</t>
        </is>
      </c>
      <c r="C4" s="4" t="inlineStr">
        <is>
          <t>Province</t>
        </is>
      </c>
      <c r="D4" s="4" t="inlineStr">
        <is>
          <t>Commune</t>
        </is>
      </c>
      <c r="E4" s="4" t="inlineStr">
        <is>
          <t>Rubrique</t>
        </is>
      </c>
      <c r="F4" s="4" t="inlineStr">
        <is>
          <t>Intitulé Rubrique</t>
        </is>
      </c>
      <c r="G4" s="4" t="inlineStr">
        <is>
          <t>Projet</t>
        </is>
      </c>
      <c r="H4" s="4" t="inlineStr">
        <is>
          <t>Consistance</t>
        </is>
      </c>
      <c r="I4" s="4" t="inlineStr">
        <is>
          <t>Coût Total (DH)</t>
        </is>
      </c>
      <c r="J4" s="26" t="inlineStr">
        <is>
          <t>Unité</t>
        </is>
      </c>
      <c r="K4" s="26" t="inlineStr">
        <is>
          <t>Qté Prévue</t>
        </is>
      </c>
      <c r="L4" s="26" t="inlineStr">
        <is>
          <t>Qté Réalisée Sem.</t>
        </is>
      </c>
      <c r="M4" s="26" t="inlineStr">
        <is>
          <t>Qté Réalisée Cumul</t>
        </is>
      </c>
      <c r="N4" s="26" t="inlineStr">
        <is>
          <t>Avancement Physique %</t>
        </is>
      </c>
      <c r="O4" s="26" t="inlineStr">
        <is>
          <t>% Phys. Sem. Préc.</t>
        </is>
      </c>
      <c r="P4" s="26" t="inlineStr">
        <is>
          <t>Accroissement Phys. %</t>
        </is>
      </c>
      <c r="Q4" s="27" t="inlineStr">
        <is>
          <t>Montant Décaissé (DH)</t>
        </is>
      </c>
      <c r="R4" s="27" t="inlineStr">
        <is>
          <t>Montant Payé (DH)</t>
        </is>
      </c>
      <c r="S4" s="27" t="inlineStr">
        <is>
          <t>Montant Ordonné (DH)</t>
        </is>
      </c>
      <c r="T4" s="27" t="inlineStr">
        <is>
          <t>Avancement Financier %</t>
        </is>
      </c>
      <c r="U4" s="27" t="inlineStr">
        <is>
          <t>% Fin. Sem. Préc.</t>
        </is>
      </c>
      <c r="V4" s="27" t="inlineStr">
        <is>
          <t>Accroissement Fin. %</t>
        </is>
      </c>
      <c r="W4" s="28" t="inlineStr">
        <is>
          <t>Écart Phys.-Fin.</t>
        </is>
      </c>
      <c r="X4" s="28" t="inlineStr">
        <is>
          <t>Observations</t>
        </is>
      </c>
    </row>
    <row r="5" ht="22" customHeight="1">
      <c r="B5" s="5" t="n">
        <v>1</v>
      </c>
      <c r="C5" s="6" t="inlineStr">
        <is>
          <t>Sidi Kacem</t>
        </is>
      </c>
      <c r="D5" s="5" t="inlineStr">
        <is>
          <t>KHENICHET</t>
        </is>
      </c>
      <c r="E5" s="5" t="inlineStr">
        <is>
          <t>50-23</t>
        </is>
      </c>
      <c r="F5" s="5" t="inlineStr">
        <is>
          <t>Entretien et réparation du réseau d'assainissement et de drainage</t>
        </is>
      </c>
      <c r="G5" s="5" t="inlineStr">
        <is>
          <t>Travaux de curage des canaux en terre</t>
        </is>
      </c>
      <c r="H5" s="5" t="inlineStr">
        <is>
          <t>Curage des collecteurs d'assainissement du secteur EST2</t>
        </is>
      </c>
      <c r="I5" s="7" t="n">
        <v>2091568</v>
      </c>
      <c r="J5" s="8" t="inlineStr">
        <is>
          <t>ml</t>
        </is>
      </c>
      <c r="K5" s="9" t="n">
        <v>1046</v>
      </c>
      <c r="L5" s="51" t="n"/>
      <c r="M5" s="52">
        <f>'S28'!M5+L5</f>
        <v/>
      </c>
      <c r="N5" s="53">
        <f>IFERROR(M5/K5,0)</f>
        <v/>
      </c>
      <c r="O5" s="54">
        <f>'S28'!N5</f>
        <v/>
      </c>
      <c r="P5" s="53">
        <f>N5-O5</f>
        <v/>
      </c>
      <c r="Q5" s="32" t="n"/>
      <c r="R5" s="32" t="n"/>
      <c r="S5" s="32" t="n"/>
      <c r="T5" s="55" t="n"/>
      <c r="U5" s="54">
        <f>'S28'!T5</f>
        <v/>
      </c>
      <c r="V5" s="53">
        <f>T5-U5</f>
        <v/>
      </c>
      <c r="W5" s="53">
        <f>N5-T5</f>
        <v/>
      </c>
      <c r="X5" s="34" t="n"/>
    </row>
    <row r="6" ht="22" customHeight="1">
      <c r="B6" s="10" t="n">
        <v>2</v>
      </c>
      <c r="C6" s="6" t="inlineStr">
        <is>
          <t>Sidi Kacem</t>
        </is>
      </c>
      <c r="D6" s="10" t="inlineStr">
        <is>
          <t>KHENICHET</t>
        </is>
      </c>
      <c r="E6" s="10" t="inlineStr">
        <is>
          <t>40-21</t>
        </is>
      </c>
      <c r="F6" s="10" t="inlineStr">
        <is>
          <t>Travaux de pistes</t>
        </is>
      </c>
      <c r="G6" s="10" t="inlineStr">
        <is>
          <t>Travaux de réhabilitation des pistes agricoles</t>
        </is>
      </c>
      <c r="H6" s="10" t="inlineStr">
        <is>
          <t>Entretien des pistes agricoles Douar Nouagra et Douar ouled Salem</t>
        </is>
      </c>
      <c r="I6" s="11" t="n">
        <v>78000</v>
      </c>
      <c r="J6" s="12" t="inlineStr">
        <is>
          <t>km</t>
        </is>
      </c>
      <c r="K6" s="13" t="n">
        <v>1</v>
      </c>
      <c r="L6" s="51" t="n"/>
      <c r="M6" s="56">
        <f>'S28'!M6+L6</f>
        <v/>
      </c>
      <c r="N6" s="57">
        <f>IFERROR(M6/K6,0)</f>
        <v/>
      </c>
      <c r="O6" s="58">
        <f>'S28'!N6</f>
        <v/>
      </c>
      <c r="P6" s="57">
        <f>N6-O6</f>
        <v/>
      </c>
      <c r="Q6" s="32" t="n"/>
      <c r="R6" s="32" t="n"/>
      <c r="S6" s="32" t="n"/>
      <c r="T6" s="55" t="n"/>
      <c r="U6" s="58">
        <f>'S28'!T6</f>
        <v/>
      </c>
      <c r="V6" s="57">
        <f>T6-U6</f>
        <v/>
      </c>
      <c r="W6" s="57">
        <f>N6-T6</f>
        <v/>
      </c>
      <c r="X6" s="34" t="n"/>
    </row>
    <row r="7" ht="22" customHeight="1">
      <c r="B7" s="5" t="n">
        <v>3</v>
      </c>
      <c r="C7" s="6" t="inlineStr">
        <is>
          <t>Sidi Kacem</t>
        </is>
      </c>
      <c r="D7" s="5" t="inlineStr">
        <is>
          <t>KHENICHET</t>
        </is>
      </c>
      <c r="E7" s="5" t="inlineStr">
        <is>
          <t>50-23</t>
        </is>
      </c>
      <c r="F7" s="5" t="inlineStr">
        <is>
          <t>Entretien et réparation du réseau d'assainissement et de drainage</t>
        </is>
      </c>
      <c r="G7" s="5" t="inlineStr">
        <is>
          <t>Curage des prises sur l’oued, bâche d’aspiration et bassin de régulation.</t>
        </is>
      </c>
      <c r="H7" s="5" t="inlineStr">
        <is>
          <t>Curage de la chambre des joints de démontage des siphonnes  de la station de pompage EST2.</t>
        </is>
      </c>
      <c r="I7" s="7" t="n">
        <v>126000</v>
      </c>
      <c r="J7" s="8" t="inlineStr">
        <is>
          <t>ml</t>
        </is>
      </c>
      <c r="K7" s="9" t="n">
        <v>42</v>
      </c>
      <c r="L7" s="51" t="n"/>
      <c r="M7" s="52">
        <f>'S28'!M7+L7</f>
        <v/>
      </c>
      <c r="N7" s="53">
        <f>IFERROR(M7/K7,0)</f>
        <v/>
      </c>
      <c r="O7" s="54">
        <f>'S28'!N7</f>
        <v/>
      </c>
      <c r="P7" s="53">
        <f>N7-O7</f>
        <v/>
      </c>
      <c r="Q7" s="32" t="n"/>
      <c r="R7" s="32" t="n"/>
      <c r="S7" s="32" t="n"/>
      <c r="T7" s="55" t="n"/>
      <c r="U7" s="54">
        <f>'S28'!T7</f>
        <v/>
      </c>
      <c r="V7" s="53">
        <f>T7-U7</f>
        <v/>
      </c>
      <c r="W7" s="53">
        <f>N7-T7</f>
        <v/>
      </c>
      <c r="X7" s="34" t="n"/>
    </row>
    <row r="8" ht="22" customHeight="1">
      <c r="B8" s="10" t="n">
        <v>4</v>
      </c>
      <c r="C8" s="6" t="inlineStr">
        <is>
          <t>Sidi Kacem</t>
        </is>
      </c>
      <c r="D8" s="10" t="inlineStr">
        <is>
          <t>KHENICHET</t>
        </is>
      </c>
      <c r="E8" s="10" t="inlineStr">
        <is>
          <t>50-21</t>
        </is>
      </c>
      <c r="F8" s="10" t="inlineStr">
        <is>
          <t>Entretien et réparation des stations de pompage</t>
        </is>
      </c>
      <c r="G8" s="10" t="inlineStr">
        <is>
          <t>Prestation de maintenance des débitmètres et leurs équipements annexes installés au niveau des station de pompage</t>
        </is>
      </c>
      <c r="H8" s="10" t="inlineStr">
        <is>
          <t>Changement trois débitmètre Ø 600mm inondés de la station de pompage EST 2 et deux capteurs VEGASON 62</t>
        </is>
      </c>
      <c r="I8" s="11" t="n">
        <v>165500</v>
      </c>
      <c r="J8" s="12" t="inlineStr">
        <is>
          <t>U</t>
        </is>
      </c>
      <c r="K8" s="13" t="n">
        <v>3</v>
      </c>
      <c r="L8" s="51" t="n"/>
      <c r="M8" s="56">
        <f>'S28'!M8+L8</f>
        <v/>
      </c>
      <c r="N8" s="57">
        <f>IFERROR(M8/K8,0)</f>
        <v/>
      </c>
      <c r="O8" s="58">
        <f>'S28'!N8</f>
        <v/>
      </c>
      <c r="P8" s="57">
        <f>N8-O8</f>
        <v/>
      </c>
      <c r="Q8" s="32" t="n"/>
      <c r="R8" s="32" t="n"/>
      <c r="S8" s="32" t="n"/>
      <c r="T8" s="55" t="n"/>
      <c r="U8" s="58">
        <f>'S28'!T8</f>
        <v/>
      </c>
      <c r="V8" s="57">
        <f>T8-U8</f>
        <v/>
      </c>
      <c r="W8" s="57">
        <f>N8-T8</f>
        <v/>
      </c>
      <c r="X8" s="34" t="n"/>
    </row>
    <row r="9" ht="22" customHeight="1">
      <c r="B9" s="5" t="n">
        <v>5</v>
      </c>
      <c r="C9" s="6" t="inlineStr">
        <is>
          <t>Sidi Kacem</t>
        </is>
      </c>
      <c r="D9" s="5" t="inlineStr">
        <is>
          <t>BIR TALEB</t>
        </is>
      </c>
      <c r="E9" s="5" t="inlineStr">
        <is>
          <t>50-23</t>
        </is>
      </c>
      <c r="F9" s="5" t="inlineStr">
        <is>
          <t>Entretien et réparation du réseau d'assainissement et de drainage</t>
        </is>
      </c>
      <c r="G9" s="5" t="inlineStr">
        <is>
          <t>Travaux de curage des canaux en terre</t>
        </is>
      </c>
      <c r="H9" s="5" t="inlineStr">
        <is>
          <t>Curage du canal d'assainisement Tihli Aval</t>
        </is>
      </c>
      <c r="I9" s="7" t="n">
        <v>1000000</v>
      </c>
      <c r="J9" s="8" t="inlineStr">
        <is>
          <t>ml</t>
        </is>
      </c>
      <c r="K9" s="9" t="n">
        <v>500</v>
      </c>
      <c r="L9" s="51" t="n"/>
      <c r="M9" s="52">
        <f>'S28'!M9+L9</f>
        <v/>
      </c>
      <c r="N9" s="53">
        <f>IFERROR(M9/K9,0)</f>
        <v/>
      </c>
      <c r="O9" s="54">
        <f>'S28'!N9</f>
        <v/>
      </c>
      <c r="P9" s="53">
        <f>N9-O9</f>
        <v/>
      </c>
      <c r="Q9" s="32" t="n"/>
      <c r="R9" s="32" t="n"/>
      <c r="S9" s="32" t="n"/>
      <c r="T9" s="55" t="n"/>
      <c r="U9" s="54">
        <f>'S28'!T9</f>
        <v/>
      </c>
      <c r="V9" s="53">
        <f>T9-U9</f>
        <v/>
      </c>
      <c r="W9" s="53">
        <f>N9-T9</f>
        <v/>
      </c>
      <c r="X9" s="34" t="n"/>
    </row>
    <row r="10" ht="22" customHeight="1">
      <c r="B10" s="10" t="n">
        <v>6</v>
      </c>
      <c r="C10" s="6" t="inlineStr">
        <is>
          <t>Sidi Kacem</t>
        </is>
      </c>
      <c r="D10" s="10" t="inlineStr">
        <is>
          <t>BIR TALEB</t>
        </is>
      </c>
      <c r="E10" s="10" t="inlineStr">
        <is>
          <t>50-23</t>
        </is>
      </c>
      <c r="F10" s="10" t="inlineStr">
        <is>
          <t>Entretien et réparation du réseau d'assainissement et de drainage</t>
        </is>
      </c>
      <c r="G10" s="10" t="inlineStr"/>
      <c r="H10" s="10" t="inlineStr">
        <is>
          <t>Curage des collecteurs d'assainissement du secteur P11/1</t>
        </is>
      </c>
      <c r="I10" s="11" t="n">
        <v>846731</v>
      </c>
      <c r="J10" s="12" t="inlineStr">
        <is>
          <t>ml</t>
        </is>
      </c>
      <c r="K10" s="13" t="n">
        <v>423</v>
      </c>
      <c r="L10" s="51" t="n"/>
      <c r="M10" s="56">
        <f>'S28'!M10+L10</f>
        <v/>
      </c>
      <c r="N10" s="57">
        <f>IFERROR(M10/K10,0)</f>
        <v/>
      </c>
      <c r="O10" s="58">
        <f>'S28'!N10</f>
        <v/>
      </c>
      <c r="P10" s="57">
        <f>N10-O10</f>
        <v/>
      </c>
      <c r="Q10" s="32" t="n"/>
      <c r="R10" s="32" t="n"/>
      <c r="S10" s="32" t="n"/>
      <c r="T10" s="55" t="n"/>
      <c r="U10" s="58">
        <f>'S28'!T10</f>
        <v/>
      </c>
      <c r="V10" s="57">
        <f>T10-U10</f>
        <v/>
      </c>
      <c r="W10" s="57">
        <f>N10-T10</f>
        <v/>
      </c>
      <c r="X10" s="34" t="n"/>
    </row>
    <row r="11" ht="22" customHeight="1">
      <c r="B11" s="5" t="n">
        <v>7</v>
      </c>
      <c r="C11" s="6" t="inlineStr">
        <is>
          <t>Sidi Kacem</t>
        </is>
      </c>
      <c r="D11" s="5" t="inlineStr">
        <is>
          <t>BIR TALEB</t>
        </is>
      </c>
      <c r="E11" s="5" t="inlineStr">
        <is>
          <t>50-23</t>
        </is>
      </c>
      <c r="F11" s="5" t="inlineStr">
        <is>
          <t>Entretien et réparation du réseau d'assainissement et de drainage</t>
        </is>
      </c>
      <c r="G11" s="5" t="inlineStr">
        <is>
          <t>Curage des prises sur l’oued, bâche d’aspiration et bassin de régulation.</t>
        </is>
      </c>
      <c r="H11" s="5" t="inlineStr">
        <is>
          <t>Curage des prises sur l’oued de la station de pompage P11/1.</t>
        </is>
      </c>
      <c r="I11" s="7" t="n">
        <v>200000</v>
      </c>
      <c r="J11" s="8" t="inlineStr">
        <is>
          <t>ml</t>
        </is>
      </c>
      <c r="K11" s="9" t="n">
        <v>67</v>
      </c>
      <c r="L11" s="51" t="n"/>
      <c r="M11" s="52">
        <f>'S28'!M11+L11</f>
        <v/>
      </c>
      <c r="N11" s="53">
        <f>IFERROR(M11/K11,0)</f>
        <v/>
      </c>
      <c r="O11" s="54">
        <f>'S28'!N11</f>
        <v/>
      </c>
      <c r="P11" s="53">
        <f>N11-O11</f>
        <v/>
      </c>
      <c r="Q11" s="32" t="n"/>
      <c r="R11" s="32" t="n"/>
      <c r="S11" s="32" t="n"/>
      <c r="T11" s="55" t="n"/>
      <c r="U11" s="54">
        <f>'S28'!T11</f>
        <v/>
      </c>
      <c r="V11" s="53">
        <f>T11-U11</f>
        <v/>
      </c>
      <c r="W11" s="53">
        <f>N11-T11</f>
        <v/>
      </c>
      <c r="X11" s="34" t="n"/>
    </row>
    <row r="12" ht="22" customHeight="1">
      <c r="B12" s="10" t="n">
        <v>8</v>
      </c>
      <c r="C12" s="6" t="inlineStr">
        <is>
          <t>Sidi Kacem</t>
        </is>
      </c>
      <c r="D12" s="10" t="inlineStr">
        <is>
          <t>BIR TALEB</t>
        </is>
      </c>
      <c r="E12" s="10" t="inlineStr">
        <is>
          <t>50-21</t>
        </is>
      </c>
      <c r="F12" s="10" t="inlineStr">
        <is>
          <t>Entretien et réparation des stations de pompage</t>
        </is>
      </c>
      <c r="G12" s="10" t="inlineStr">
        <is>
          <t>Prestation de maintenance des débitmètres et leurs équipements annexes installés au niveau des station de pompage</t>
        </is>
      </c>
      <c r="H12" s="10" t="inlineStr">
        <is>
          <t>Changement trois débitmètre Ø 400mm inondés de la station de pompage P11/1</t>
        </is>
      </c>
      <c r="I12" s="11" t="n">
        <v>141900</v>
      </c>
      <c r="J12" s="12" t="inlineStr">
        <is>
          <t>U</t>
        </is>
      </c>
      <c r="K12" s="13" t="n">
        <v>3</v>
      </c>
      <c r="L12" s="51" t="n"/>
      <c r="M12" s="56">
        <f>'S28'!M12+L12</f>
        <v/>
      </c>
      <c r="N12" s="57">
        <f>IFERROR(M12/K12,0)</f>
        <v/>
      </c>
      <c r="O12" s="58">
        <f>'S28'!N12</f>
        <v/>
      </c>
      <c r="P12" s="57">
        <f>N12-O12</f>
        <v/>
      </c>
      <c r="Q12" s="32" t="n"/>
      <c r="R12" s="32" t="n"/>
      <c r="S12" s="32" t="n"/>
      <c r="T12" s="55" t="n"/>
      <c r="U12" s="58">
        <f>'S28'!T12</f>
        <v/>
      </c>
      <c r="V12" s="57">
        <f>T12-U12</f>
        <v/>
      </c>
      <c r="W12" s="57">
        <f>N12-T12</f>
        <v/>
      </c>
      <c r="X12" s="34" t="n"/>
    </row>
    <row r="13" ht="22" customHeight="1">
      <c r="B13" s="5" t="n">
        <v>9</v>
      </c>
      <c r="C13" s="6" t="inlineStr">
        <is>
          <t>Sidi Kacem</t>
        </is>
      </c>
      <c r="D13" s="5" t="inlineStr">
        <is>
          <t>BIR TALEB</t>
        </is>
      </c>
      <c r="E13" s="5" t="inlineStr">
        <is>
          <t>50-21</t>
        </is>
      </c>
      <c r="F13" s="5" t="inlineStr">
        <is>
          <t>Entretien et réparation des stations de pompage</t>
        </is>
      </c>
      <c r="G13" s="5" t="inlineStr">
        <is>
          <t>Prestations de maintenance et de réparation mécanique des pompes et des groupes motopompes submersibles des stations de pompage.</t>
        </is>
      </c>
      <c r="H13" s="5" t="inlineStr">
        <is>
          <t>Démontage et expertise des roues des  pompes principaux et pompes a vide de la station P11/1
Changement des roulements, tresses et organes d’effectués de la station P11/1</t>
        </is>
      </c>
      <c r="I13" s="7" t="n">
        <v>26700</v>
      </c>
      <c r="J13" s="8" t="inlineStr">
        <is>
          <t>U</t>
        </is>
      </c>
      <c r="K13" s="9" t="n">
        <v>1</v>
      </c>
      <c r="L13" s="51" t="n"/>
      <c r="M13" s="52">
        <f>'S28'!M13+L13</f>
        <v/>
      </c>
      <c r="N13" s="53">
        <f>IFERROR(M13/K13,0)</f>
        <v/>
      </c>
      <c r="O13" s="54">
        <f>'S28'!N13</f>
        <v/>
      </c>
      <c r="P13" s="53">
        <f>N13-O13</f>
        <v/>
      </c>
      <c r="Q13" s="32" t="n"/>
      <c r="R13" s="32" t="n"/>
      <c r="S13" s="32" t="n"/>
      <c r="T13" s="55" t="n"/>
      <c r="U13" s="54">
        <f>'S28'!T13</f>
        <v/>
      </c>
      <c r="V13" s="53">
        <f>T13-U13</f>
        <v/>
      </c>
      <c r="W13" s="53">
        <f>N13-T13</f>
        <v/>
      </c>
      <c r="X13" s="34" t="n"/>
    </row>
    <row r="14" ht="22" customHeight="1">
      <c r="B14" s="10" t="n">
        <v>10</v>
      </c>
      <c r="C14" s="6" t="inlineStr">
        <is>
          <t>Sidi Kacem</t>
        </is>
      </c>
      <c r="D14" s="10" t="inlineStr">
        <is>
          <t>BIR TALEB</t>
        </is>
      </c>
      <c r="E14" s="10" t="inlineStr">
        <is>
          <t>50-21</t>
        </is>
      </c>
      <c r="F14" s="10" t="inlineStr">
        <is>
          <t>Entretien et réparation des stations de pompage</t>
        </is>
      </c>
      <c r="G14" s="10" t="inlineStr">
        <is>
          <t>Stabilisation Berge oued</t>
        </is>
      </c>
      <c r="H14" s="10" t="inlineStr">
        <is>
          <t>Pose de  gabions et recouvrement du talus par matelas Reno des stations de pompage P11/1.</t>
        </is>
      </c>
      <c r="I14" s="11" t="n">
        <v>480000</v>
      </c>
      <c r="J14" s="12" t="inlineStr">
        <is>
          <t>m³</t>
        </is>
      </c>
      <c r="K14" s="13" t="n">
        <v>320</v>
      </c>
      <c r="L14" s="51" t="n"/>
      <c r="M14" s="56">
        <f>'S28'!M14+L14</f>
        <v/>
      </c>
      <c r="N14" s="57">
        <f>IFERROR(M14/K14,0)</f>
        <v/>
      </c>
      <c r="O14" s="58">
        <f>'S28'!N14</f>
        <v/>
      </c>
      <c r="P14" s="57">
        <f>N14-O14</f>
        <v/>
      </c>
      <c r="Q14" s="32" t="n"/>
      <c r="R14" s="32" t="n"/>
      <c r="S14" s="32" t="n"/>
      <c r="T14" s="55" t="n"/>
      <c r="U14" s="58">
        <f>'S28'!T14</f>
        <v/>
      </c>
      <c r="V14" s="57">
        <f>T14-U14</f>
        <v/>
      </c>
      <c r="W14" s="57">
        <f>N14-T14</f>
        <v/>
      </c>
      <c r="X14" s="34" t="n"/>
    </row>
    <row r="15" ht="22" customHeight="1">
      <c r="B15" s="5" t="n">
        <v>11</v>
      </c>
      <c r="C15" s="6" t="inlineStr">
        <is>
          <t>Sidi Kacem</t>
        </is>
      </c>
      <c r="D15" s="5" t="inlineStr">
        <is>
          <t>BIR TALEB</t>
        </is>
      </c>
      <c r="E15" s="5" t="inlineStr">
        <is>
          <t>50-21</t>
        </is>
      </c>
      <c r="F15" s="5" t="inlineStr">
        <is>
          <t>Entretien et réparation des stations de pompage</t>
        </is>
      </c>
      <c r="G15" s="5" t="inlineStr">
        <is>
          <t>Génie civile des locaux des stations de pompage.</t>
        </is>
      </c>
      <c r="H15" s="5" t="inlineStr">
        <is>
          <t>Expertise d’état et d’étanchéité des locaux pompes.
Renforcement d’étanchéité des locaux pompe sous niveau des oueds des stations de pompage P11/1.
Entretien des supports en béton des conduites d’aspiration.</t>
        </is>
      </c>
      <c r="I15" s="7" t="n">
        <v>300000</v>
      </c>
      <c r="J15" s="8" t="inlineStr">
        <is>
          <t>U</t>
        </is>
      </c>
      <c r="K15" s="9" t="n">
        <v>1</v>
      </c>
      <c r="L15" s="51" t="n"/>
      <c r="M15" s="52">
        <f>'S28'!M15+L15</f>
        <v/>
      </c>
      <c r="N15" s="53">
        <f>IFERROR(M15/K15,0)</f>
        <v/>
      </c>
      <c r="O15" s="54">
        <f>'S28'!N15</f>
        <v/>
      </c>
      <c r="P15" s="53">
        <f>N15-O15</f>
        <v/>
      </c>
      <c r="Q15" s="32" t="n"/>
      <c r="R15" s="32" t="n"/>
      <c r="S15" s="32" t="n"/>
      <c r="T15" s="55" t="n"/>
      <c r="U15" s="54">
        <f>'S28'!T15</f>
        <v/>
      </c>
      <c r="V15" s="53">
        <f>T15-U15</f>
        <v/>
      </c>
      <c r="W15" s="53">
        <f>N15-T15</f>
        <v/>
      </c>
      <c r="X15" s="34" t="n"/>
    </row>
    <row r="16" ht="22" customHeight="1">
      <c r="B16" s="10" t="n">
        <v>12</v>
      </c>
      <c r="C16" s="6" t="inlineStr">
        <is>
          <t>Sidi Kacem</t>
        </is>
      </c>
      <c r="D16" s="10" t="inlineStr">
        <is>
          <t>CHEBANAT</t>
        </is>
      </c>
      <c r="E16" s="10" t="inlineStr">
        <is>
          <t>50-23</t>
        </is>
      </c>
      <c r="F16" s="10" t="inlineStr">
        <is>
          <t>Entretien et réparation du réseau d'assainissement et de drainage</t>
        </is>
      </c>
      <c r="G16" s="10" t="inlineStr">
        <is>
          <t>Travaux de curage des canaux en terre</t>
        </is>
      </c>
      <c r="H16" s="10" t="inlineStr">
        <is>
          <t>Curage des collecteurs d'assainissement des secteur SH5 et SH6.</t>
        </is>
      </c>
      <c r="I16" s="11" t="n">
        <v>1000000</v>
      </c>
      <c r="J16" s="12" t="inlineStr">
        <is>
          <t>ml</t>
        </is>
      </c>
      <c r="K16" s="13" t="n">
        <v>500</v>
      </c>
      <c r="L16" s="51" t="n"/>
      <c r="M16" s="56">
        <f>'S28'!M16+L16</f>
        <v/>
      </c>
      <c r="N16" s="57">
        <f>IFERROR(M16/K16,0)</f>
        <v/>
      </c>
      <c r="O16" s="58">
        <f>'S28'!N16</f>
        <v/>
      </c>
      <c r="P16" s="57">
        <f>N16-O16</f>
        <v/>
      </c>
      <c r="Q16" s="32" t="n"/>
      <c r="R16" s="32" t="n"/>
      <c r="S16" s="32" t="n"/>
      <c r="T16" s="55" t="n"/>
      <c r="U16" s="58">
        <f>'S28'!T16</f>
        <v/>
      </c>
      <c r="V16" s="57">
        <f>T16-U16</f>
        <v/>
      </c>
      <c r="W16" s="57">
        <f>N16-T16</f>
        <v/>
      </c>
      <c r="X16" s="34" t="n"/>
    </row>
    <row r="17" ht="22" customHeight="1">
      <c r="B17" s="5" t="n">
        <v>13</v>
      </c>
      <c r="C17" s="6" t="inlineStr">
        <is>
          <t>Sidi Kacem</t>
        </is>
      </c>
      <c r="D17" s="5" t="inlineStr">
        <is>
          <t>CHEBANAT</t>
        </is>
      </c>
      <c r="E17" s="5" t="inlineStr">
        <is>
          <t>50-23</t>
        </is>
      </c>
      <c r="F17" s="5" t="inlineStr">
        <is>
          <t>Entretien et réparation du réseau d'assainissement et de drainage</t>
        </is>
      </c>
      <c r="G17" s="5" t="inlineStr">
        <is>
          <t>Travaux de curage des canaux révetus</t>
        </is>
      </c>
      <c r="H17" s="5" t="inlineStr">
        <is>
          <t>Curage du canal principal d'irrigation beht partie aval 1.</t>
        </is>
      </c>
      <c r="I17" s="7" t="n">
        <v>739200</v>
      </c>
      <c r="J17" s="8" t="inlineStr">
        <is>
          <t>ml</t>
        </is>
      </c>
      <c r="K17" s="9" t="n">
        <v>370</v>
      </c>
      <c r="L17" s="51" t="n"/>
      <c r="M17" s="52">
        <f>'S28'!M17+L17</f>
        <v/>
      </c>
      <c r="N17" s="53">
        <f>IFERROR(M17/K17,0)</f>
        <v/>
      </c>
      <c r="O17" s="54">
        <f>'S28'!N17</f>
        <v/>
      </c>
      <c r="P17" s="53">
        <f>N17-O17</f>
        <v/>
      </c>
      <c r="Q17" s="32" t="n"/>
      <c r="R17" s="32" t="n"/>
      <c r="S17" s="32" t="n"/>
      <c r="T17" s="55" t="n"/>
      <c r="U17" s="54">
        <f>'S28'!T17</f>
        <v/>
      </c>
      <c r="V17" s="53">
        <f>T17-U17</f>
        <v/>
      </c>
      <c r="W17" s="53">
        <f>N17-T17</f>
        <v/>
      </c>
      <c r="X17" s="34" t="n"/>
    </row>
    <row r="18" ht="22" customHeight="1">
      <c r="B18" s="10" t="n">
        <v>14</v>
      </c>
      <c r="C18" s="6" t="inlineStr">
        <is>
          <t>Sidi Kacem</t>
        </is>
      </c>
      <c r="D18" s="10" t="inlineStr">
        <is>
          <t>ZIRARA</t>
        </is>
      </c>
      <c r="E18" s="10" t="inlineStr">
        <is>
          <t>50-23</t>
        </is>
      </c>
      <c r="F18" s="10" t="inlineStr">
        <is>
          <t>Entretien et réparation du réseau d'assainissement et de drainage</t>
        </is>
      </c>
      <c r="G18" s="10" t="inlineStr">
        <is>
          <t>Travaux de curage des canaux révetus</t>
        </is>
      </c>
      <c r="H18" s="10" t="inlineStr">
        <is>
          <t>Curage du canal principal d'irrigation beht partie aval 2.</t>
        </is>
      </c>
      <c r="I18" s="11" t="n">
        <v>1276800</v>
      </c>
      <c r="J18" s="12" t="inlineStr">
        <is>
          <t>ml</t>
        </is>
      </c>
      <c r="K18" s="13" t="n">
        <v>638</v>
      </c>
      <c r="L18" s="51" t="n"/>
      <c r="M18" s="56">
        <f>'S28'!M18+L18</f>
        <v/>
      </c>
      <c r="N18" s="57">
        <f>IFERROR(M18/K18,0)</f>
        <v/>
      </c>
      <c r="O18" s="58">
        <f>'S28'!N18</f>
        <v/>
      </c>
      <c r="P18" s="57">
        <f>N18-O18</f>
        <v/>
      </c>
      <c r="Q18" s="32" t="n"/>
      <c r="R18" s="32" t="n"/>
      <c r="S18" s="32" t="n"/>
      <c r="T18" s="55" t="n"/>
      <c r="U18" s="58">
        <f>'S28'!T18</f>
        <v/>
      </c>
      <c r="V18" s="57">
        <f>T18-U18</f>
        <v/>
      </c>
      <c r="W18" s="57">
        <f>N18-T18</f>
        <v/>
      </c>
      <c r="X18" s="34" t="n"/>
    </row>
    <row r="19" ht="22" customHeight="1">
      <c r="B19" s="5" t="n">
        <v>15</v>
      </c>
      <c r="C19" s="6" t="inlineStr">
        <is>
          <t>Sidi Kacem</t>
        </is>
      </c>
      <c r="D19" s="5" t="inlineStr">
        <is>
          <t>DAR LAASLOUJI</t>
        </is>
      </c>
      <c r="E19" s="5" t="inlineStr">
        <is>
          <t>50-23</t>
        </is>
      </c>
      <c r="F19" s="5" t="inlineStr">
        <is>
          <t>Entretien et réparation du réseau d'assainissement et de drainage</t>
        </is>
      </c>
      <c r="G19" s="5" t="inlineStr">
        <is>
          <t>Travaux de curage des canaux en terre</t>
        </is>
      </c>
      <c r="H19" s="5" t="inlineStr">
        <is>
          <t>Curage des collecteurs d'assainissement des secteurs P8-1 et P8-2</t>
        </is>
      </c>
      <c r="I19" s="7" t="n">
        <v>5796360</v>
      </c>
      <c r="J19" s="8" t="inlineStr">
        <is>
          <t>ml</t>
        </is>
      </c>
      <c r="K19" s="9" t="n">
        <v>2898</v>
      </c>
      <c r="L19" s="51" t="n"/>
      <c r="M19" s="52">
        <f>'S28'!M19+L19</f>
        <v/>
      </c>
      <c r="N19" s="53">
        <f>IFERROR(M19/K19,0)</f>
        <v/>
      </c>
      <c r="O19" s="54">
        <f>'S28'!N19</f>
        <v/>
      </c>
      <c r="P19" s="53">
        <f>N19-O19</f>
        <v/>
      </c>
      <c r="Q19" s="32" t="n"/>
      <c r="R19" s="32" t="n"/>
      <c r="S19" s="32" t="n"/>
      <c r="T19" s="55" t="n"/>
      <c r="U19" s="54">
        <f>'S28'!T19</f>
        <v/>
      </c>
      <c r="V19" s="53">
        <f>T19-U19</f>
        <v/>
      </c>
      <c r="W19" s="53">
        <f>N19-T19</f>
        <v/>
      </c>
      <c r="X19" s="34" t="n"/>
    </row>
    <row r="20" ht="22" customHeight="1">
      <c r="B20" s="10" t="n">
        <v>16</v>
      </c>
      <c r="C20" s="6" t="inlineStr">
        <is>
          <t>Sidi Kacem</t>
        </is>
      </c>
      <c r="D20" s="10" t="inlineStr">
        <is>
          <t>DAR LAASLOUJI</t>
        </is>
      </c>
      <c r="E20" s="10" t="inlineStr">
        <is>
          <t>40-21</t>
        </is>
      </c>
      <c r="F20" s="10" t="inlineStr">
        <is>
          <t>Travaux de pistes</t>
        </is>
      </c>
      <c r="G20" s="10" t="inlineStr">
        <is>
          <t>Entretien des pistes agricoles</t>
        </is>
      </c>
      <c r="H20" s="10" t="inlineStr">
        <is>
          <t>Entretien des pistes agricoles</t>
        </is>
      </c>
      <c r="I20" s="11" t="n">
        <v>340000</v>
      </c>
      <c r="J20" s="12" t="inlineStr">
        <is>
          <t>km</t>
        </is>
      </c>
      <c r="K20" s="13" t="n">
        <v>1</v>
      </c>
      <c r="L20" s="51" t="n"/>
      <c r="M20" s="56">
        <f>'S28'!M20+L20</f>
        <v/>
      </c>
      <c r="N20" s="57">
        <f>IFERROR(M20/K20,0)</f>
        <v/>
      </c>
      <c r="O20" s="58">
        <f>'S28'!N20</f>
        <v/>
      </c>
      <c r="P20" s="57">
        <f>N20-O20</f>
        <v/>
      </c>
      <c r="Q20" s="32" t="n"/>
      <c r="R20" s="32" t="n"/>
      <c r="S20" s="32" t="n"/>
      <c r="T20" s="55" t="n"/>
      <c r="U20" s="58">
        <f>'S28'!T20</f>
        <v/>
      </c>
      <c r="V20" s="57">
        <f>T20-U20</f>
        <v/>
      </c>
      <c r="W20" s="57">
        <f>N20-T20</f>
        <v/>
      </c>
      <c r="X20" s="34" t="n"/>
    </row>
    <row r="21" ht="22" customHeight="1">
      <c r="B21" s="5" t="n">
        <v>17</v>
      </c>
      <c r="C21" s="6" t="inlineStr">
        <is>
          <t>Sidi Kacem</t>
        </is>
      </c>
      <c r="D21" s="5" t="inlineStr">
        <is>
          <t>HOUAFATE</t>
        </is>
      </c>
      <c r="E21" s="5" t="inlineStr">
        <is>
          <t>20-11</t>
        </is>
      </c>
      <c r="F21" s="5" t="inlineStr">
        <is>
          <t>Travaux de réhabilitation des équipements</t>
        </is>
      </c>
      <c r="G21" s="5" t="inlineStr">
        <is>
          <t>Travaux de réhabilitation des canaux portés d'irrigation</t>
        </is>
      </c>
      <c r="H21" s="5" t="inlineStr">
        <is>
          <t>Fourniture et de pose de canaux porté et accessoires du réseau S3 du secteur S13</t>
        </is>
      </c>
      <c r="I21" s="7" t="n">
        <v>397934</v>
      </c>
      <c r="J21" s="8" t="inlineStr">
        <is>
          <t>ml</t>
        </is>
      </c>
      <c r="K21" s="9" t="n">
        <v>133</v>
      </c>
      <c r="L21" s="51" t="n"/>
      <c r="M21" s="52">
        <f>'S28'!M21+L21</f>
        <v/>
      </c>
      <c r="N21" s="53">
        <f>IFERROR(M21/K21,0)</f>
        <v/>
      </c>
      <c r="O21" s="54">
        <f>'S28'!N21</f>
        <v/>
      </c>
      <c r="P21" s="53">
        <f>N21-O21</f>
        <v/>
      </c>
      <c r="Q21" s="32" t="n"/>
      <c r="R21" s="32" t="n"/>
      <c r="S21" s="32" t="n"/>
      <c r="T21" s="55" t="n"/>
      <c r="U21" s="54">
        <f>'S28'!T21</f>
        <v/>
      </c>
      <c r="V21" s="53">
        <f>T21-U21</f>
        <v/>
      </c>
      <c r="W21" s="53">
        <f>N21-T21</f>
        <v/>
      </c>
      <c r="X21" s="34" t="n"/>
    </row>
    <row r="22" ht="22" customHeight="1">
      <c r="B22" s="10" t="n">
        <v>18</v>
      </c>
      <c r="C22" s="6" t="inlineStr">
        <is>
          <t>Sidi Kacem</t>
        </is>
      </c>
      <c r="D22" s="10" t="inlineStr">
        <is>
          <t>HOUAFATE</t>
        </is>
      </c>
      <c r="E22" s="10" t="inlineStr">
        <is>
          <t>20-11</t>
        </is>
      </c>
      <c r="F22" s="10" t="inlineStr">
        <is>
          <t>Travaux de réhabilitation des équipements</t>
        </is>
      </c>
      <c r="G22" s="10" t="inlineStr"/>
      <c r="H22" s="10" t="inlineStr">
        <is>
          <t>Fourniture et de pose de canaux porté et accessoires du réseau T2S1 du secteur S13</t>
        </is>
      </c>
      <c r="I22" s="11" t="n">
        <v>207575</v>
      </c>
      <c r="J22" s="12" t="inlineStr">
        <is>
          <t>ml</t>
        </is>
      </c>
      <c r="K22" s="13" t="n">
        <v>69</v>
      </c>
      <c r="L22" s="51" t="n"/>
      <c r="M22" s="56">
        <f>'S28'!M22+L22</f>
        <v/>
      </c>
      <c r="N22" s="57">
        <f>IFERROR(M22/K22,0)</f>
        <v/>
      </c>
      <c r="O22" s="58">
        <f>'S28'!N22</f>
        <v/>
      </c>
      <c r="P22" s="57">
        <f>N22-O22</f>
        <v/>
      </c>
      <c r="Q22" s="32" t="n"/>
      <c r="R22" s="32" t="n"/>
      <c r="S22" s="32" t="n"/>
      <c r="T22" s="55" t="n"/>
      <c r="U22" s="58">
        <f>'S28'!T22</f>
        <v/>
      </c>
      <c r="V22" s="57">
        <f>T22-U22</f>
        <v/>
      </c>
      <c r="W22" s="57">
        <f>N22-T22</f>
        <v/>
      </c>
      <c r="X22" s="34" t="n"/>
    </row>
    <row r="23" ht="22" customHeight="1">
      <c r="B23" s="5" t="n">
        <v>19</v>
      </c>
      <c r="C23" s="6" t="inlineStr">
        <is>
          <t>Sidi Kacem</t>
        </is>
      </c>
      <c r="D23" s="5" t="inlineStr">
        <is>
          <t>HOUAFATE</t>
        </is>
      </c>
      <c r="E23" s="5" t="inlineStr">
        <is>
          <t>40-21</t>
        </is>
      </c>
      <c r="F23" s="5" t="inlineStr">
        <is>
          <t>Travaux de pistes</t>
        </is>
      </c>
      <c r="G23" s="5" t="inlineStr">
        <is>
          <t>Entretien des pistes agricoles</t>
        </is>
      </c>
      <c r="H23" s="5" t="inlineStr">
        <is>
          <t>Entretien des pistes agricoles</t>
        </is>
      </c>
      <c r="I23" s="7" t="n">
        <v>2200000</v>
      </c>
      <c r="J23" s="8" t="inlineStr">
        <is>
          <t>km</t>
        </is>
      </c>
      <c r="K23" s="9" t="n">
        <v>4</v>
      </c>
      <c r="L23" s="51" t="n"/>
      <c r="M23" s="52">
        <f>'S28'!M23+L23</f>
        <v/>
      </c>
      <c r="N23" s="53">
        <f>IFERROR(M23/K23,0)</f>
        <v/>
      </c>
      <c r="O23" s="54">
        <f>'S28'!N23</f>
        <v/>
      </c>
      <c r="P23" s="53">
        <f>N23-O23</f>
        <v/>
      </c>
      <c r="Q23" s="32" t="n"/>
      <c r="R23" s="32" t="n"/>
      <c r="S23" s="32" t="n"/>
      <c r="T23" s="55" t="n"/>
      <c r="U23" s="54">
        <f>'S28'!T23</f>
        <v/>
      </c>
      <c r="V23" s="53">
        <f>T23-U23</f>
        <v/>
      </c>
      <c r="W23" s="53">
        <f>N23-T23</f>
        <v/>
      </c>
      <c r="X23" s="34" t="n"/>
    </row>
    <row r="24" ht="22" customHeight="1">
      <c r="B24" s="10" t="n">
        <v>20</v>
      </c>
      <c r="C24" s="6" t="inlineStr">
        <is>
          <t>Sidi Kacem</t>
        </is>
      </c>
      <c r="D24" s="10" t="inlineStr">
        <is>
          <t>HOUAFATE</t>
        </is>
      </c>
      <c r="E24" s="10" t="inlineStr">
        <is>
          <t>50-23</t>
        </is>
      </c>
      <c r="F24" s="10" t="inlineStr">
        <is>
          <t>Entretien et réparation du réseau d'assainissement et de drainage</t>
        </is>
      </c>
      <c r="G24" s="10" t="inlineStr">
        <is>
          <t>Curage des prises sur l’oued, bâche d’aspiration et bassin de régulation.</t>
        </is>
      </c>
      <c r="H24" s="10" t="inlineStr">
        <is>
          <t>Curage des prises sur l’oued de la station de pompage S17 et S13.
Nettoyage des grilles de préfiltration des boues colmaté de la station de pompage S17 et S13.
Curage de la bâche d’aspiration de la station S17 et S13.</t>
        </is>
      </c>
      <c r="I24" s="11" t="n">
        <v>300000</v>
      </c>
      <c r="J24" s="12" t="inlineStr">
        <is>
          <t>ml</t>
        </is>
      </c>
      <c r="K24" s="13" t="n">
        <v>100</v>
      </c>
      <c r="L24" s="51" t="n"/>
      <c r="M24" s="56">
        <f>'S28'!M24+L24</f>
        <v/>
      </c>
      <c r="N24" s="57">
        <f>IFERROR(M24/K24,0)</f>
        <v/>
      </c>
      <c r="O24" s="58">
        <f>'S28'!N24</f>
        <v/>
      </c>
      <c r="P24" s="57">
        <f>N24-O24</f>
        <v/>
      </c>
      <c r="Q24" s="32" t="n"/>
      <c r="R24" s="32" t="n"/>
      <c r="S24" s="32" t="n"/>
      <c r="T24" s="55" t="n"/>
      <c r="U24" s="58">
        <f>'S28'!T24</f>
        <v/>
      </c>
      <c r="V24" s="57">
        <f>T24-U24</f>
        <v/>
      </c>
      <c r="W24" s="57">
        <f>N24-T24</f>
        <v/>
      </c>
      <c r="X24" s="34" t="n"/>
    </row>
    <row r="25" ht="22" customHeight="1">
      <c r="B25" s="5" t="n">
        <v>21</v>
      </c>
      <c r="C25" s="6" t="inlineStr">
        <is>
          <t>Sidi Kacem</t>
        </is>
      </c>
      <c r="D25" s="5" t="inlineStr">
        <is>
          <t>HOUAFATE</t>
        </is>
      </c>
      <c r="E25" s="5" t="inlineStr">
        <is>
          <t>50-21</t>
        </is>
      </c>
      <c r="F25" s="5" t="inlineStr">
        <is>
          <t>Entretien et réparation des stations de pompage</t>
        </is>
      </c>
      <c r="G25" s="5" t="inlineStr">
        <is>
          <t>Prestation de maintenance des débitmètres et leurs équipements annexes installés au niveau des station de pompage</t>
        </is>
      </c>
      <c r="H25" s="5" t="inlineStr">
        <is>
          <t>Changement trois débitmètre Ø 600mm inondés de la station de pompage S13.</t>
        </is>
      </c>
      <c r="I25" s="7" t="n">
        <v>250000</v>
      </c>
      <c r="J25" s="8" t="inlineStr">
        <is>
          <t>U</t>
        </is>
      </c>
      <c r="K25" s="9" t="n">
        <v>3</v>
      </c>
      <c r="L25" s="51" t="n"/>
      <c r="M25" s="52">
        <f>'S28'!M25+L25</f>
        <v/>
      </c>
      <c r="N25" s="53">
        <f>IFERROR(M25/K25,0)</f>
        <v/>
      </c>
      <c r="O25" s="54">
        <f>'S28'!N25</f>
        <v/>
      </c>
      <c r="P25" s="53">
        <f>N25-O25</f>
        <v/>
      </c>
      <c r="Q25" s="32" t="n"/>
      <c r="R25" s="32" t="n"/>
      <c r="S25" s="32" t="n"/>
      <c r="T25" s="55" t="n"/>
      <c r="U25" s="54">
        <f>'S28'!T25</f>
        <v/>
      </c>
      <c r="V25" s="53">
        <f>T25-U25</f>
        <v/>
      </c>
      <c r="W25" s="53">
        <f>N25-T25</f>
        <v/>
      </c>
      <c r="X25" s="34" t="n"/>
    </row>
    <row r="26" ht="22" customHeight="1">
      <c r="B26" s="10" t="n">
        <v>22</v>
      </c>
      <c r="C26" s="6" t="inlineStr">
        <is>
          <t>Sidi Kacem</t>
        </is>
      </c>
      <c r="D26" s="10" t="inlineStr">
        <is>
          <t>HOUAFATE</t>
        </is>
      </c>
      <c r="E26" s="10" t="inlineStr">
        <is>
          <t>50-21</t>
        </is>
      </c>
      <c r="F26" s="10" t="inlineStr">
        <is>
          <t>Entretien et réparation des stations de pompage</t>
        </is>
      </c>
      <c r="G26" s="10" t="inlineStr">
        <is>
          <t>Prestations de maintenance des moteurs électriques des stations de pompage.</t>
        </is>
      </c>
      <c r="H26" s="10" t="inlineStr">
        <is>
          <t>Révision des trois moteurs électriques 200 KW principaux de la station S13. 
Révision des deux moteurs électriques 5,5 KW groupes vide de la station S13.</t>
        </is>
      </c>
      <c r="I26" s="11" t="n">
        <v>25000</v>
      </c>
      <c r="J26" s="12" t="inlineStr">
        <is>
          <t>U</t>
        </is>
      </c>
      <c r="K26" s="13" t="n">
        <v>3</v>
      </c>
      <c r="L26" s="51" t="n"/>
      <c r="M26" s="56">
        <f>'S28'!M26+L26</f>
        <v/>
      </c>
      <c r="N26" s="57">
        <f>IFERROR(M26/K26,0)</f>
        <v/>
      </c>
      <c r="O26" s="58">
        <f>'S28'!N26</f>
        <v/>
      </c>
      <c r="P26" s="57">
        <f>N26-O26</f>
        <v/>
      </c>
      <c r="Q26" s="32" t="n"/>
      <c r="R26" s="32" t="n"/>
      <c r="S26" s="32" t="n"/>
      <c r="T26" s="55" t="n"/>
      <c r="U26" s="58">
        <f>'S28'!T26</f>
        <v/>
      </c>
      <c r="V26" s="57">
        <f>T26-U26</f>
        <v/>
      </c>
      <c r="W26" s="57">
        <f>N26-T26</f>
        <v/>
      </c>
      <c r="X26" s="34" t="n"/>
    </row>
    <row r="27" ht="22" customHeight="1">
      <c r="B27" s="5" t="n">
        <v>23</v>
      </c>
      <c r="C27" s="6" t="inlineStr">
        <is>
          <t>Sidi Kacem</t>
        </is>
      </c>
      <c r="D27" s="5" t="inlineStr">
        <is>
          <t>HOUAFATE</t>
        </is>
      </c>
      <c r="E27" s="5" t="inlineStr">
        <is>
          <t>50-21</t>
        </is>
      </c>
      <c r="F27" s="5" t="inlineStr">
        <is>
          <t>Entretien et réparation des stations de pompage</t>
        </is>
      </c>
      <c r="G27" s="5" t="inlineStr">
        <is>
          <t>Prestations de maintenance et de réparation mécanique des pompes et des groupes motopompes submersibles des stations de pompage.</t>
        </is>
      </c>
      <c r="H27" s="5" t="inlineStr">
        <is>
          <t>Démontage et expertise des roues des  pompes principaux et pompes a vide de la station S13.
Changement des roulements, tresses et organes d’effectués de la station S13.</t>
        </is>
      </c>
      <c r="I27" s="7" t="n">
        <v>38000</v>
      </c>
      <c r="J27" s="8" t="inlineStr">
        <is>
          <t>U</t>
        </is>
      </c>
      <c r="K27" s="9" t="n">
        <v>1</v>
      </c>
      <c r="L27" s="51" t="n"/>
      <c r="M27" s="52">
        <f>'S28'!M27+L27</f>
        <v/>
      </c>
      <c r="N27" s="53">
        <f>IFERROR(M27/K27,0)</f>
        <v/>
      </c>
      <c r="O27" s="54">
        <f>'S28'!N27</f>
        <v/>
      </c>
      <c r="P27" s="53">
        <f>N27-O27</f>
        <v/>
      </c>
      <c r="Q27" s="32" t="n"/>
      <c r="R27" s="32" t="n"/>
      <c r="S27" s="32" t="n"/>
      <c r="T27" s="55" t="n"/>
      <c r="U27" s="54">
        <f>'S28'!T27</f>
        <v/>
      </c>
      <c r="V27" s="53">
        <f>T27-U27</f>
        <v/>
      </c>
      <c r="W27" s="53">
        <f>N27-T27</f>
        <v/>
      </c>
      <c r="X27" s="34" t="n"/>
    </row>
    <row r="28" ht="22" customHeight="1">
      <c r="B28" s="10" t="n">
        <v>24</v>
      </c>
      <c r="C28" s="6" t="inlineStr">
        <is>
          <t>Sidi Kacem</t>
        </is>
      </c>
      <c r="D28" s="10" t="inlineStr">
        <is>
          <t>HOUAFATE</t>
        </is>
      </c>
      <c r="E28" s="10" t="inlineStr">
        <is>
          <t>50-21</t>
        </is>
      </c>
      <c r="F28" s="10" t="inlineStr">
        <is>
          <t>Entretien et réparation des stations de pompage</t>
        </is>
      </c>
      <c r="G28" s="10" t="inlineStr">
        <is>
          <t>Stabilisation Berge oued</t>
        </is>
      </c>
      <c r="H28" s="10" t="inlineStr">
        <is>
          <t>Pose de  gabions et recouvrement du talus par matelas Reno des stations de pompage S13.</t>
        </is>
      </c>
      <c r="I28" s="11" t="n">
        <v>10560000</v>
      </c>
      <c r="J28" s="12" t="inlineStr">
        <is>
          <t>m³</t>
        </is>
      </c>
      <c r="K28" s="13" t="n">
        <v>7040</v>
      </c>
      <c r="L28" s="51" t="n"/>
      <c r="M28" s="56">
        <f>'S28'!M28+L28</f>
        <v/>
      </c>
      <c r="N28" s="57">
        <f>IFERROR(M28/K28,0)</f>
        <v/>
      </c>
      <c r="O28" s="58">
        <f>'S28'!N28</f>
        <v/>
      </c>
      <c r="P28" s="57">
        <f>N28-O28</f>
        <v/>
      </c>
      <c r="Q28" s="32" t="n"/>
      <c r="R28" s="32" t="n"/>
      <c r="S28" s="32" t="n"/>
      <c r="T28" s="55" t="n"/>
      <c r="U28" s="58">
        <f>'S28'!T28</f>
        <v/>
      </c>
      <c r="V28" s="57">
        <f>T28-U28</f>
        <v/>
      </c>
      <c r="W28" s="57">
        <f>N28-T28</f>
        <v/>
      </c>
      <c r="X28" s="34" t="n"/>
    </row>
    <row r="29" ht="22" customHeight="1">
      <c r="B29" s="5" t="n">
        <v>25</v>
      </c>
      <c r="C29" s="6" t="inlineStr">
        <is>
          <t>Sidi Kacem</t>
        </is>
      </c>
      <c r="D29" s="5" t="inlineStr">
        <is>
          <t>HOUAFATE</t>
        </is>
      </c>
      <c r="E29" s="5" t="inlineStr">
        <is>
          <t>50-21</t>
        </is>
      </c>
      <c r="F29" s="5" t="inlineStr">
        <is>
          <t>Entretien et réparation des stations de pompage</t>
        </is>
      </c>
      <c r="G29" s="5" t="inlineStr">
        <is>
          <t>Mur clôture des stations de pompage.</t>
        </is>
      </c>
      <c r="H29" s="5" t="inlineStr">
        <is>
          <t>Stabilisation du sol et reconstruction des murs clôture (270m) cote oued de la station S17.</t>
        </is>
      </c>
      <c r="I29" s="7" t="n">
        <v>144000</v>
      </c>
      <c r="J29" s="8" t="inlineStr">
        <is>
          <t>ml</t>
        </is>
      </c>
      <c r="K29" s="9" t="n">
        <v>270</v>
      </c>
      <c r="L29" s="51" t="n"/>
      <c r="M29" s="52">
        <f>'S28'!M29+L29</f>
        <v/>
      </c>
      <c r="N29" s="53">
        <f>IFERROR(M29/K29,0)</f>
        <v/>
      </c>
      <c r="O29" s="54">
        <f>'S28'!N29</f>
        <v/>
      </c>
      <c r="P29" s="53">
        <f>N29-O29</f>
        <v/>
      </c>
      <c r="Q29" s="32" t="n"/>
      <c r="R29" s="32" t="n"/>
      <c r="S29" s="32" t="n"/>
      <c r="T29" s="55" t="n"/>
      <c r="U29" s="54">
        <f>'S28'!T29</f>
        <v/>
      </c>
      <c r="V29" s="53">
        <f>T29-U29</f>
        <v/>
      </c>
      <c r="W29" s="53">
        <f>N29-T29</f>
        <v/>
      </c>
      <c r="X29" s="34" t="n"/>
    </row>
    <row r="30" ht="22" customHeight="1">
      <c r="B30" s="10" t="n">
        <v>26</v>
      </c>
      <c r="C30" s="6" t="inlineStr">
        <is>
          <t>Sidi Kacem</t>
        </is>
      </c>
      <c r="D30" s="10" t="inlineStr">
        <is>
          <t>HOUAFATE</t>
        </is>
      </c>
      <c r="E30" s="10" t="inlineStr">
        <is>
          <t>50-21</t>
        </is>
      </c>
      <c r="F30" s="10" t="inlineStr">
        <is>
          <t>Entretien et réparation des stations de pompage</t>
        </is>
      </c>
      <c r="G30" s="10" t="inlineStr">
        <is>
          <t>Génie civile des locaux des stations de pompage.</t>
        </is>
      </c>
      <c r="H30" s="10" t="inlineStr">
        <is>
          <t>Expertise d’état et d’étanchéité des locaux pompes, commande, puissance des stations de pompage S17 et S13.
Renforcement d’étanchéité des locaux pompe sous niveau des oueds des stations de pompage S17 et S13.</t>
        </is>
      </c>
      <c r="I30" s="11" t="n">
        <v>800000</v>
      </c>
      <c r="J30" s="12" t="inlineStr">
        <is>
          <t>U</t>
        </is>
      </c>
      <c r="K30" s="13" t="n">
        <v>1</v>
      </c>
      <c r="L30" s="51" t="n"/>
      <c r="M30" s="56">
        <f>'S28'!M30+L30</f>
        <v/>
      </c>
      <c r="N30" s="57">
        <f>IFERROR(M30/K30,0)</f>
        <v/>
      </c>
      <c r="O30" s="58">
        <f>'S28'!N30</f>
        <v/>
      </c>
      <c r="P30" s="57">
        <f>N30-O30</f>
        <v/>
      </c>
      <c r="Q30" s="32" t="n"/>
      <c r="R30" s="32" t="n"/>
      <c r="S30" s="32" t="n"/>
      <c r="T30" s="55" t="n"/>
      <c r="U30" s="58">
        <f>'S28'!T30</f>
        <v/>
      </c>
      <c r="V30" s="57">
        <f>T30-U30</f>
        <v/>
      </c>
      <c r="W30" s="57">
        <f>N30-T30</f>
        <v/>
      </c>
      <c r="X30" s="34" t="n"/>
    </row>
    <row r="31" ht="22" customHeight="1">
      <c r="B31" s="5" t="n">
        <v>27</v>
      </c>
      <c r="C31" s="6" t="inlineStr">
        <is>
          <t>Sidi Kacem</t>
        </is>
      </c>
      <c r="D31" s="5" t="inlineStr">
        <is>
          <t>NOUIRAT</t>
        </is>
      </c>
      <c r="E31" s="5" t="inlineStr">
        <is>
          <t>50-23</t>
        </is>
      </c>
      <c r="F31" s="5" t="inlineStr">
        <is>
          <t>Entretien et réparation du réseau d'assainissement et de drainage</t>
        </is>
      </c>
      <c r="G31" s="5" t="inlineStr">
        <is>
          <t>Travaux de curage des canaux en terre</t>
        </is>
      </c>
      <c r="H31" s="5" t="inlineStr">
        <is>
          <t>Curage des collecteurs d'assainissement des secteurs EST1 et N5</t>
        </is>
      </c>
      <c r="I31" s="7" t="n">
        <v>1733306</v>
      </c>
      <c r="J31" s="8" t="inlineStr">
        <is>
          <t>ml</t>
        </is>
      </c>
      <c r="K31" s="9" t="n">
        <v>867</v>
      </c>
      <c r="L31" s="51" t="n"/>
      <c r="M31" s="52">
        <f>'S28'!M31+L31</f>
        <v/>
      </c>
      <c r="N31" s="53">
        <f>IFERROR(M31/K31,0)</f>
        <v/>
      </c>
      <c r="O31" s="54">
        <f>'S28'!N31</f>
        <v/>
      </c>
      <c r="P31" s="53">
        <f>N31-O31</f>
        <v/>
      </c>
      <c r="Q31" s="32" t="n"/>
      <c r="R31" s="32" t="n"/>
      <c r="S31" s="32" t="n"/>
      <c r="T31" s="55" t="n"/>
      <c r="U31" s="54">
        <f>'S28'!T31</f>
        <v/>
      </c>
      <c r="V31" s="53">
        <f>T31-U31</f>
        <v/>
      </c>
      <c r="W31" s="53">
        <f>N31-T31</f>
        <v/>
      </c>
      <c r="X31" s="34" t="n"/>
    </row>
    <row r="32" ht="22" customHeight="1">
      <c r="B32" s="10" t="n">
        <v>28</v>
      </c>
      <c r="C32" s="6" t="inlineStr">
        <is>
          <t>Sidi Kacem</t>
        </is>
      </c>
      <c r="D32" s="10" t="inlineStr">
        <is>
          <t>NOUIRAT</t>
        </is>
      </c>
      <c r="E32" s="10" t="inlineStr">
        <is>
          <t>40-21</t>
        </is>
      </c>
      <c r="F32" s="10" t="inlineStr">
        <is>
          <t>Travaux de pistes</t>
        </is>
      </c>
      <c r="G32" s="10" t="inlineStr">
        <is>
          <t>Entretien des pistes agricoles</t>
        </is>
      </c>
      <c r="H32" s="10" t="inlineStr">
        <is>
          <t>Entretien des pistes agricoles</t>
        </is>
      </c>
      <c r="I32" s="11" t="n">
        <v>670000</v>
      </c>
      <c r="J32" s="12" t="inlineStr">
        <is>
          <t>km</t>
        </is>
      </c>
      <c r="K32" s="13" t="n">
        <v>1</v>
      </c>
      <c r="L32" s="51" t="n"/>
      <c r="M32" s="56">
        <f>'S28'!M32+L32</f>
        <v/>
      </c>
      <c r="N32" s="57">
        <f>IFERROR(M32/K32,0)</f>
        <v/>
      </c>
      <c r="O32" s="58">
        <f>'S28'!N32</f>
        <v/>
      </c>
      <c r="P32" s="57">
        <f>N32-O32</f>
        <v/>
      </c>
      <c r="Q32" s="32" t="n"/>
      <c r="R32" s="32" t="n"/>
      <c r="S32" s="32" t="n"/>
      <c r="T32" s="55" t="n"/>
      <c r="U32" s="58">
        <f>'S28'!T32</f>
        <v/>
      </c>
      <c r="V32" s="57">
        <f>T32-U32</f>
        <v/>
      </c>
      <c r="W32" s="57">
        <f>N32-T32</f>
        <v/>
      </c>
      <c r="X32" s="34" t="n"/>
    </row>
    <row r="33" ht="22" customHeight="1">
      <c r="B33" s="5" t="n">
        <v>29</v>
      </c>
      <c r="C33" s="6" t="inlineStr">
        <is>
          <t>Sidi Kacem</t>
        </is>
      </c>
      <c r="D33" s="5" t="inlineStr">
        <is>
          <t>NOUIRAT</t>
        </is>
      </c>
      <c r="E33" s="5" t="inlineStr">
        <is>
          <t>20-11</t>
        </is>
      </c>
      <c r="F33" s="5" t="inlineStr">
        <is>
          <t>Travaux de réhabilitation des équipements</t>
        </is>
      </c>
      <c r="G33" s="5" t="inlineStr">
        <is>
          <t>Travaux de réhabilitation des ouvrages de génie civil</t>
        </is>
      </c>
      <c r="H33" s="5" t="inlineStr">
        <is>
          <t>Réhabilitation de l'ouvrage( genie civil ,gabiollannage,clapet anti retour et buse) de l'ouvrage de débouche SE1</t>
        </is>
      </c>
      <c r="I33" s="7" t="n">
        <v>2500000</v>
      </c>
      <c r="J33" s="8" t="inlineStr">
        <is>
          <t>U</t>
        </is>
      </c>
      <c r="K33" s="9" t="n">
        <v>5</v>
      </c>
      <c r="L33" s="51" t="n"/>
      <c r="M33" s="52">
        <f>'S28'!M33+L33</f>
        <v/>
      </c>
      <c r="N33" s="53">
        <f>IFERROR(M33/K33,0)</f>
        <v/>
      </c>
      <c r="O33" s="54">
        <f>'S28'!N33</f>
        <v/>
      </c>
      <c r="P33" s="53">
        <f>N33-O33</f>
        <v/>
      </c>
      <c r="Q33" s="32" t="n"/>
      <c r="R33" s="32" t="n"/>
      <c r="S33" s="32" t="n"/>
      <c r="T33" s="55" t="n"/>
      <c r="U33" s="54">
        <f>'S28'!T33</f>
        <v/>
      </c>
      <c r="V33" s="53">
        <f>T33-U33</f>
        <v/>
      </c>
      <c r="W33" s="53">
        <f>N33-T33</f>
        <v/>
      </c>
      <c r="X33" s="34" t="n"/>
    </row>
    <row r="34" ht="22" customHeight="1">
      <c r="B34" s="10" t="n">
        <v>30</v>
      </c>
      <c r="C34" s="6" t="inlineStr">
        <is>
          <t>Sidi Kacem</t>
        </is>
      </c>
      <c r="D34" s="10" t="inlineStr">
        <is>
          <t>NOUIRAT</t>
        </is>
      </c>
      <c r="E34" s="10" t="inlineStr">
        <is>
          <t>50-23</t>
        </is>
      </c>
      <c r="F34" s="10" t="inlineStr">
        <is>
          <t>Entretien et réparation du réseau d'assainissement et de drainage</t>
        </is>
      </c>
      <c r="G34" s="10" t="inlineStr">
        <is>
          <t>Curage des prises sur l’oued, bâche d’aspiration et bassin de régulation.</t>
        </is>
      </c>
      <c r="H34" s="10" t="inlineStr">
        <is>
          <t>Curage des prises sur l’oued de la station de pompage E1.
Nettoyage des grilles de préfiltration des boues colmaté de la station de pompage E1.
Curage de la bâche d’aspiration de la station E1.</t>
        </is>
      </c>
      <c r="I34" s="11" t="n">
        <v>800000</v>
      </c>
      <c r="J34" s="12" t="inlineStr">
        <is>
          <t>ml</t>
        </is>
      </c>
      <c r="K34" s="13" t="n">
        <v>267</v>
      </c>
      <c r="L34" s="51" t="n"/>
      <c r="M34" s="56">
        <f>'S28'!M34+L34</f>
        <v/>
      </c>
      <c r="N34" s="57">
        <f>IFERROR(M34/K34,0)</f>
        <v/>
      </c>
      <c r="O34" s="58">
        <f>'S28'!N34</f>
        <v/>
      </c>
      <c r="P34" s="57">
        <f>N34-O34</f>
        <v/>
      </c>
      <c r="Q34" s="32" t="n"/>
      <c r="R34" s="32" t="n"/>
      <c r="S34" s="32" t="n"/>
      <c r="T34" s="55" t="n"/>
      <c r="U34" s="58">
        <f>'S28'!T34</f>
        <v/>
      </c>
      <c r="V34" s="57">
        <f>T34-U34</f>
        <v/>
      </c>
      <c r="W34" s="57">
        <f>N34-T34</f>
        <v/>
      </c>
      <c r="X34" s="34" t="n"/>
    </row>
    <row r="35" ht="22" customHeight="1">
      <c r="B35" s="5" t="n">
        <v>31</v>
      </c>
      <c r="C35" s="6" t="inlineStr">
        <is>
          <t>Sidi Kacem</t>
        </is>
      </c>
      <c r="D35" s="5" t="inlineStr">
        <is>
          <t>NOUIRAT</t>
        </is>
      </c>
      <c r="E35" s="5" t="inlineStr">
        <is>
          <t>50-21</t>
        </is>
      </c>
      <c r="F35" s="5" t="inlineStr">
        <is>
          <t>Entretien et réparation des stations de pompage</t>
        </is>
      </c>
      <c r="G35" s="5" t="inlineStr">
        <is>
          <t>Prestation de maintenance des débitmètres et leurs équipements annexes installés au niveau des station de pompage</t>
        </is>
      </c>
      <c r="H35" s="5" t="inlineStr">
        <is>
          <t>Changement du débitmètre Ø 1200mm inondé de la station de pompage E1.</t>
        </is>
      </c>
      <c r="I35" s="7" t="n">
        <v>195000</v>
      </c>
      <c r="J35" s="8" t="inlineStr">
        <is>
          <t>U</t>
        </is>
      </c>
      <c r="K35" s="9" t="n">
        <v>2</v>
      </c>
      <c r="L35" s="51" t="n"/>
      <c r="M35" s="52">
        <f>'S28'!M35+L35</f>
        <v/>
      </c>
      <c r="N35" s="53">
        <f>IFERROR(M35/K35,0)</f>
        <v/>
      </c>
      <c r="O35" s="54">
        <f>'S28'!N35</f>
        <v/>
      </c>
      <c r="P35" s="53">
        <f>N35-O35</f>
        <v/>
      </c>
      <c r="Q35" s="32" t="n"/>
      <c r="R35" s="32" t="n"/>
      <c r="S35" s="32" t="n"/>
      <c r="T35" s="55" t="n"/>
      <c r="U35" s="54">
        <f>'S28'!T35</f>
        <v/>
      </c>
      <c r="V35" s="53">
        <f>T35-U35</f>
        <v/>
      </c>
      <c r="W35" s="53">
        <f>N35-T35</f>
        <v/>
      </c>
      <c r="X35" s="34" t="n"/>
    </row>
    <row r="36" ht="22" customHeight="1">
      <c r="B36" s="10" t="n">
        <v>32</v>
      </c>
      <c r="C36" s="6" t="inlineStr">
        <is>
          <t>Sidi Kacem</t>
        </is>
      </c>
      <c r="D36" s="10" t="inlineStr">
        <is>
          <t>NOUIRAT</t>
        </is>
      </c>
      <c r="E36" s="10" t="inlineStr">
        <is>
          <t>50-21</t>
        </is>
      </c>
      <c r="F36" s="10" t="inlineStr">
        <is>
          <t>Entretien et réparation des stations de pompage</t>
        </is>
      </c>
      <c r="G36" s="10" t="inlineStr">
        <is>
          <t>Prestations de maintenance des moteurs électriques des stations de pompage.</t>
        </is>
      </c>
      <c r="H36" s="10" t="inlineStr">
        <is>
          <t>Révision des deux moteurs électriques principaux de la station E1.</t>
        </is>
      </c>
      <c r="I36" s="11" t="n">
        <v>50000</v>
      </c>
      <c r="J36" s="12" t="inlineStr">
        <is>
          <t>U</t>
        </is>
      </c>
      <c r="K36" s="13" t="n">
        <v>2</v>
      </c>
      <c r="L36" s="51" t="n"/>
      <c r="M36" s="56">
        <f>'S28'!M36+L36</f>
        <v/>
      </c>
      <c r="N36" s="57">
        <f>IFERROR(M36/K36,0)</f>
        <v/>
      </c>
      <c r="O36" s="58">
        <f>'S28'!N36</f>
        <v/>
      </c>
      <c r="P36" s="57">
        <f>N36-O36</f>
        <v/>
      </c>
      <c r="Q36" s="32" t="n"/>
      <c r="R36" s="32" t="n"/>
      <c r="S36" s="32" t="n"/>
      <c r="T36" s="55" t="n"/>
      <c r="U36" s="58">
        <f>'S28'!T36</f>
        <v/>
      </c>
      <c r="V36" s="57">
        <f>T36-U36</f>
        <v/>
      </c>
      <c r="W36" s="57">
        <f>N36-T36</f>
        <v/>
      </c>
      <c r="X36" s="34" t="n"/>
    </row>
    <row r="37" ht="22" customHeight="1">
      <c r="B37" s="5" t="n">
        <v>33</v>
      </c>
      <c r="C37" s="6" t="inlineStr">
        <is>
          <t>Sidi Kacem</t>
        </is>
      </c>
      <c r="D37" s="5" t="inlineStr">
        <is>
          <t>NOUIRAT</t>
        </is>
      </c>
      <c r="E37" s="5" t="inlineStr">
        <is>
          <t>50-21</t>
        </is>
      </c>
      <c r="F37" s="5" t="inlineStr">
        <is>
          <t>Entretien et réparation des stations de pompage</t>
        </is>
      </c>
      <c r="G37" s="5" t="inlineStr">
        <is>
          <t>Prestations de maintenance et de réparation mécanique des pompes et des groupes motopompes submersibles des stations de pompage.</t>
        </is>
      </c>
      <c r="H37" s="5" t="inlineStr">
        <is>
          <t>Démontage et expertise des cinq pompes principaux et pompes a vide de la station E1.
Changement des roulements, tresses et organes d’effectués de la station E1.</t>
        </is>
      </c>
      <c r="I37" s="7" t="n">
        <v>245000</v>
      </c>
      <c r="J37" s="8" t="inlineStr">
        <is>
          <t>U</t>
        </is>
      </c>
      <c r="K37" s="9" t="n">
        <v>5</v>
      </c>
      <c r="L37" s="51" t="n"/>
      <c r="M37" s="52">
        <f>'S28'!M37+L37</f>
        <v/>
      </c>
      <c r="N37" s="53">
        <f>IFERROR(M37/K37,0)</f>
        <v/>
      </c>
      <c r="O37" s="54">
        <f>'S28'!N37</f>
        <v/>
      </c>
      <c r="P37" s="53">
        <f>N37-O37</f>
        <v/>
      </c>
      <c r="Q37" s="32" t="n"/>
      <c r="R37" s="32" t="n"/>
      <c r="S37" s="32" t="n"/>
      <c r="T37" s="55" t="n"/>
      <c r="U37" s="54">
        <f>'S28'!T37</f>
        <v/>
      </c>
      <c r="V37" s="53">
        <f>T37-U37</f>
        <v/>
      </c>
      <c r="W37" s="53">
        <f>N37-T37</f>
        <v/>
      </c>
      <c r="X37" s="34" t="n"/>
    </row>
    <row r="38" ht="22" customHeight="1">
      <c r="B38" s="10" t="n">
        <v>34</v>
      </c>
      <c r="C38" s="6" t="inlineStr">
        <is>
          <t>Sidi Kacem</t>
        </is>
      </c>
      <c r="D38" s="10" t="inlineStr">
        <is>
          <t>NOUIRAT</t>
        </is>
      </c>
      <c r="E38" s="10" t="inlineStr">
        <is>
          <t>50-21</t>
        </is>
      </c>
      <c r="F38" s="10" t="inlineStr">
        <is>
          <t>Entretien et réparation des stations de pompage</t>
        </is>
      </c>
      <c r="G38" s="10" t="inlineStr">
        <is>
          <t>Génie civile des locaux des stations de pompage.</t>
        </is>
      </c>
      <c r="H38" s="10" t="inlineStr">
        <is>
          <t>Expertise d’état et d’étanchéité des locaux pompes, commande, puissance de la station de pompage E1.
Renforcement d’étanchéité des locaux pompe sous niveau des oueds de la station de pompage E1.</t>
        </is>
      </c>
      <c r="I38" s="11" t="n">
        <v>1000000</v>
      </c>
      <c r="J38" s="12" t="inlineStr">
        <is>
          <t>U</t>
        </is>
      </c>
      <c r="K38" s="13" t="n">
        <v>1</v>
      </c>
      <c r="L38" s="51" t="n"/>
      <c r="M38" s="56">
        <f>'S28'!M38+L38</f>
        <v/>
      </c>
      <c r="N38" s="57">
        <f>IFERROR(M38/K38,0)</f>
        <v/>
      </c>
      <c r="O38" s="58">
        <f>'S28'!N38</f>
        <v/>
      </c>
      <c r="P38" s="57">
        <f>N38-O38</f>
        <v/>
      </c>
      <c r="Q38" s="32" t="n"/>
      <c r="R38" s="32" t="n"/>
      <c r="S38" s="32" t="n"/>
      <c r="T38" s="55" t="n"/>
      <c r="U38" s="58">
        <f>'S28'!T38</f>
        <v/>
      </c>
      <c r="V38" s="57">
        <f>T38-U38</f>
        <v/>
      </c>
      <c r="W38" s="57">
        <f>N38-T38</f>
        <v/>
      </c>
      <c r="X38" s="34" t="n"/>
    </row>
    <row r="39" ht="22" customHeight="1">
      <c r="B39" s="5" t="n">
        <v>35</v>
      </c>
      <c r="C39" s="6" t="inlineStr">
        <is>
          <t>Sidi Kacem</t>
        </is>
      </c>
      <c r="D39" s="5" t="inlineStr">
        <is>
          <t>RMILAT</t>
        </is>
      </c>
      <c r="E39" s="5" t="inlineStr">
        <is>
          <t>50-23</t>
        </is>
      </c>
      <c r="F39" s="5" t="inlineStr">
        <is>
          <t>Entretien et réparation du réseau d'assainissement et de drainage</t>
        </is>
      </c>
      <c r="G39" s="5" t="inlineStr">
        <is>
          <t>Travaux de curage des canaux en terre</t>
        </is>
      </c>
      <c r="H39" s="5" t="inlineStr">
        <is>
          <t>Curage des collecteurs d'assainissement des secteurs P7</t>
        </is>
      </c>
      <c r="I39" s="7" t="n">
        <v>5024032</v>
      </c>
      <c r="J39" s="8" t="inlineStr">
        <is>
          <t>ml</t>
        </is>
      </c>
      <c r="K39" s="9" t="n">
        <v>2512</v>
      </c>
      <c r="L39" s="51" t="n"/>
      <c r="M39" s="52">
        <f>'S28'!M39+L39</f>
        <v/>
      </c>
      <c r="N39" s="53">
        <f>IFERROR(M39/K39,0)</f>
        <v/>
      </c>
      <c r="O39" s="54">
        <f>'S28'!N39</f>
        <v/>
      </c>
      <c r="P39" s="53">
        <f>N39-O39</f>
        <v/>
      </c>
      <c r="Q39" s="32" t="n"/>
      <c r="R39" s="32" t="n"/>
      <c r="S39" s="32" t="n"/>
      <c r="T39" s="55" t="n"/>
      <c r="U39" s="54">
        <f>'S28'!T39</f>
        <v/>
      </c>
      <c r="V39" s="53">
        <f>T39-U39</f>
        <v/>
      </c>
      <c r="W39" s="53">
        <f>N39-T39</f>
        <v/>
      </c>
      <c r="X39" s="34" t="n"/>
    </row>
    <row r="40" ht="22" customHeight="1">
      <c r="B40" s="10" t="n">
        <v>36</v>
      </c>
      <c r="C40" s="6" t="inlineStr">
        <is>
          <t>Sidi Kacem</t>
        </is>
      </c>
      <c r="D40" s="10" t="inlineStr">
        <is>
          <t>RMILAT</t>
        </is>
      </c>
      <c r="E40" s="10" t="inlineStr">
        <is>
          <t>40-21</t>
        </is>
      </c>
      <c r="F40" s="10" t="inlineStr">
        <is>
          <t>Travaux de pistes</t>
        </is>
      </c>
      <c r="G40" s="10" t="inlineStr">
        <is>
          <t>Entretien des pistes agricoles</t>
        </is>
      </c>
      <c r="H40" s="10" t="inlineStr">
        <is>
          <t>Entretien des pistes agricoles</t>
        </is>
      </c>
      <c r="I40" s="11" t="n">
        <v>400000</v>
      </c>
      <c r="J40" s="12" t="inlineStr">
        <is>
          <t>km</t>
        </is>
      </c>
      <c r="K40" s="13" t="n">
        <v>1</v>
      </c>
      <c r="L40" s="51" t="n"/>
      <c r="M40" s="56">
        <f>'S28'!M40+L40</f>
        <v/>
      </c>
      <c r="N40" s="57">
        <f>IFERROR(M40/K40,0)</f>
        <v/>
      </c>
      <c r="O40" s="58">
        <f>'S28'!N40</f>
        <v/>
      </c>
      <c r="P40" s="57">
        <f>N40-O40</f>
        <v/>
      </c>
      <c r="Q40" s="32" t="n"/>
      <c r="R40" s="32" t="n"/>
      <c r="S40" s="32" t="n"/>
      <c r="T40" s="55" t="n"/>
      <c r="U40" s="58">
        <f>'S28'!T40</f>
        <v/>
      </c>
      <c r="V40" s="57">
        <f>T40-U40</f>
        <v/>
      </c>
      <c r="W40" s="57">
        <f>N40-T40</f>
        <v/>
      </c>
      <c r="X40" s="34" t="n"/>
    </row>
    <row r="41" ht="22" customHeight="1">
      <c r="B41" s="5" t="n">
        <v>37</v>
      </c>
      <c r="C41" s="6" t="inlineStr">
        <is>
          <t>Sidi Kacem</t>
        </is>
      </c>
      <c r="D41" s="5" t="inlineStr">
        <is>
          <t>SAFSAF</t>
        </is>
      </c>
      <c r="E41" s="5" t="inlineStr">
        <is>
          <t>50-23</t>
        </is>
      </c>
      <c r="F41" s="5" t="inlineStr">
        <is>
          <t>Entretien et réparation du réseau d'assainissement et de drainage</t>
        </is>
      </c>
      <c r="G41" s="5" t="inlineStr">
        <is>
          <t>Travaux de curage des canaux en terre</t>
        </is>
      </c>
      <c r="H41" s="5" t="inlineStr">
        <is>
          <t>Curage des collecteurs d'assainissement des secteurs S7, S9 et S11</t>
        </is>
      </c>
      <c r="I41" s="7" t="n">
        <v>6000000</v>
      </c>
      <c r="J41" s="8" t="inlineStr">
        <is>
          <t>ml</t>
        </is>
      </c>
      <c r="K41" s="9" t="n">
        <v>3000</v>
      </c>
      <c r="L41" s="51" t="n"/>
      <c r="M41" s="52">
        <f>'S28'!M41+L41</f>
        <v/>
      </c>
      <c r="N41" s="53">
        <f>IFERROR(M41/K41,0)</f>
        <v/>
      </c>
      <c r="O41" s="54">
        <f>'S28'!N41</f>
        <v/>
      </c>
      <c r="P41" s="53">
        <f>N41-O41</f>
        <v/>
      </c>
      <c r="Q41" s="32" t="n"/>
      <c r="R41" s="32" t="n"/>
      <c r="S41" s="32" t="n"/>
      <c r="T41" s="55" t="n"/>
      <c r="U41" s="54">
        <f>'S28'!T41</f>
        <v/>
      </c>
      <c r="V41" s="53">
        <f>T41-U41</f>
        <v/>
      </c>
      <c r="W41" s="53">
        <f>N41-T41</f>
        <v/>
      </c>
      <c r="X41" s="34" t="n"/>
    </row>
    <row r="42" ht="22" customHeight="1">
      <c r="B42" s="10" t="n">
        <v>38</v>
      </c>
      <c r="C42" s="6" t="inlineStr">
        <is>
          <t>Sidi Kacem</t>
        </is>
      </c>
      <c r="D42" s="10" t="inlineStr">
        <is>
          <t>SAFSAF</t>
        </is>
      </c>
      <c r="E42" s="10" t="inlineStr">
        <is>
          <t>20-11</t>
        </is>
      </c>
      <c r="F42" s="10" t="inlineStr">
        <is>
          <t>Travaux de réhabilitation des équipements</t>
        </is>
      </c>
      <c r="G42" s="10" t="inlineStr">
        <is>
          <t>Travaux de réhabilitation des canaux portés d'irrigation</t>
        </is>
      </c>
      <c r="H42" s="10" t="inlineStr">
        <is>
          <t>Fourniture et  pose de canaux porté et accessoires du réseau S4 du secteur S11</t>
        </is>
      </c>
      <c r="I42" s="11" t="n">
        <v>232266</v>
      </c>
      <c r="J42" s="12" t="inlineStr">
        <is>
          <t>ml</t>
        </is>
      </c>
      <c r="K42" s="13" t="n">
        <v>77</v>
      </c>
      <c r="L42" s="51" t="n"/>
      <c r="M42" s="56">
        <f>'S28'!M42+L42</f>
        <v/>
      </c>
      <c r="N42" s="57">
        <f>IFERROR(M42/K42,0)</f>
        <v/>
      </c>
      <c r="O42" s="58">
        <f>'S28'!N42</f>
        <v/>
      </c>
      <c r="P42" s="57">
        <f>N42-O42</f>
        <v/>
      </c>
      <c r="Q42" s="32" t="n"/>
      <c r="R42" s="32" t="n"/>
      <c r="S42" s="32" t="n"/>
      <c r="T42" s="55" t="n"/>
      <c r="U42" s="58">
        <f>'S28'!T42</f>
        <v/>
      </c>
      <c r="V42" s="57">
        <f>T42-U42</f>
        <v/>
      </c>
      <c r="W42" s="57">
        <f>N42-T42</f>
        <v/>
      </c>
      <c r="X42" s="34" t="n"/>
    </row>
    <row r="43" ht="22" customHeight="1">
      <c r="B43" s="5" t="n">
        <v>39</v>
      </c>
      <c r="C43" s="6" t="inlineStr">
        <is>
          <t>Sidi Kacem</t>
        </is>
      </c>
      <c r="D43" s="5" t="inlineStr">
        <is>
          <t>SAFSAF</t>
        </is>
      </c>
      <c r="E43" s="5" t="inlineStr">
        <is>
          <t>20-11</t>
        </is>
      </c>
      <c r="F43" s="5" t="inlineStr">
        <is>
          <t>Travaux de réhabilitation des équipements</t>
        </is>
      </c>
      <c r="G43" s="5" t="inlineStr"/>
      <c r="H43" s="5" t="inlineStr">
        <is>
          <t>Recalage des canaux portés du réseau T5S5 du secteur S9</t>
        </is>
      </c>
      <c r="I43" s="7" t="n">
        <v>1055025</v>
      </c>
      <c r="J43" s="8" t="inlineStr">
        <is>
          <t>ml</t>
        </is>
      </c>
      <c r="K43" s="9" t="n">
        <v>352</v>
      </c>
      <c r="L43" s="51" t="n"/>
      <c r="M43" s="52">
        <f>'S28'!M43+L43</f>
        <v/>
      </c>
      <c r="N43" s="53">
        <f>IFERROR(M43/K43,0)</f>
        <v/>
      </c>
      <c r="O43" s="54">
        <f>'S28'!N43</f>
        <v/>
      </c>
      <c r="P43" s="53">
        <f>N43-O43</f>
        <v/>
      </c>
      <c r="Q43" s="32" t="n"/>
      <c r="R43" s="32" t="n"/>
      <c r="S43" s="32" t="n"/>
      <c r="T43" s="55" t="n"/>
      <c r="U43" s="54">
        <f>'S28'!T43</f>
        <v/>
      </c>
      <c r="V43" s="53">
        <f>T43-U43</f>
        <v/>
      </c>
      <c r="W43" s="53">
        <f>N43-T43</f>
        <v/>
      </c>
      <c r="X43" s="34" t="n"/>
    </row>
    <row r="44" ht="22" customHeight="1">
      <c r="B44" s="10" t="n">
        <v>40</v>
      </c>
      <c r="C44" s="6" t="inlineStr">
        <is>
          <t>Sidi Kacem</t>
        </is>
      </c>
      <c r="D44" s="10" t="inlineStr">
        <is>
          <t>SAFSAF</t>
        </is>
      </c>
      <c r="E44" s="10" t="inlineStr">
        <is>
          <t>20-11</t>
        </is>
      </c>
      <c r="F44" s="10" t="inlineStr">
        <is>
          <t>Travaux de réhabilitation des équipements</t>
        </is>
      </c>
      <c r="G44" s="10" t="inlineStr"/>
      <c r="H44" s="10" t="inlineStr">
        <is>
          <t>Recalage des canaux portés du réseau T7S5 du secteur S9</t>
        </is>
      </c>
      <c r="I44" s="11" t="n">
        <v>1004535</v>
      </c>
      <c r="J44" s="12" t="inlineStr">
        <is>
          <t>ml</t>
        </is>
      </c>
      <c r="K44" s="13" t="n">
        <v>335</v>
      </c>
      <c r="L44" s="51" t="n"/>
      <c r="M44" s="56">
        <f>'S28'!M44+L44</f>
        <v/>
      </c>
      <c r="N44" s="57">
        <f>IFERROR(M44/K44,0)</f>
        <v/>
      </c>
      <c r="O44" s="58">
        <f>'S28'!N44</f>
        <v/>
      </c>
      <c r="P44" s="57">
        <f>N44-O44</f>
        <v/>
      </c>
      <c r="Q44" s="32" t="n"/>
      <c r="R44" s="32" t="n"/>
      <c r="S44" s="32" t="n"/>
      <c r="T44" s="55" t="n"/>
      <c r="U44" s="58">
        <f>'S28'!T44</f>
        <v/>
      </c>
      <c r="V44" s="57">
        <f>T44-U44</f>
        <v/>
      </c>
      <c r="W44" s="57">
        <f>N44-T44</f>
        <v/>
      </c>
      <c r="X44" s="34" t="n"/>
    </row>
    <row r="45" ht="22" customHeight="1">
      <c r="B45" s="5" t="n">
        <v>41</v>
      </c>
      <c r="C45" s="6" t="inlineStr">
        <is>
          <t>Sidi Kacem</t>
        </is>
      </c>
      <c r="D45" s="5" t="inlineStr">
        <is>
          <t>SAFSAF</t>
        </is>
      </c>
      <c r="E45" s="5" t="inlineStr">
        <is>
          <t>20-11</t>
        </is>
      </c>
      <c r="F45" s="5" t="inlineStr">
        <is>
          <t>Travaux de réhabilitation des équipements</t>
        </is>
      </c>
      <c r="G45" s="5" t="inlineStr"/>
      <c r="H45" s="5" t="inlineStr">
        <is>
          <t>Recalage des canaux portés du réseau T2S5 du secteur S9</t>
        </is>
      </c>
      <c r="I45" s="7" t="n">
        <v>793830</v>
      </c>
      <c r="J45" s="8" t="inlineStr">
        <is>
          <t>ml</t>
        </is>
      </c>
      <c r="K45" s="9" t="n">
        <v>265</v>
      </c>
      <c r="L45" s="51" t="n"/>
      <c r="M45" s="52">
        <f>'S28'!M45+L45</f>
        <v/>
      </c>
      <c r="N45" s="53">
        <f>IFERROR(M45/K45,0)</f>
        <v/>
      </c>
      <c r="O45" s="54">
        <f>'S28'!N45</f>
        <v/>
      </c>
      <c r="P45" s="53">
        <f>N45-O45</f>
        <v/>
      </c>
      <c r="Q45" s="32" t="n"/>
      <c r="R45" s="32" t="n"/>
      <c r="S45" s="32" t="n"/>
      <c r="T45" s="55" t="n"/>
      <c r="U45" s="54">
        <f>'S28'!T45</f>
        <v/>
      </c>
      <c r="V45" s="53">
        <f>T45-U45</f>
        <v/>
      </c>
      <c r="W45" s="53">
        <f>N45-T45</f>
        <v/>
      </c>
      <c r="X45" s="34" t="n"/>
    </row>
    <row r="46" ht="22" customHeight="1">
      <c r="B46" s="10" t="n">
        <v>42</v>
      </c>
      <c r="C46" s="6" t="inlineStr">
        <is>
          <t>Sidi Kacem</t>
        </is>
      </c>
      <c r="D46" s="10" t="inlineStr">
        <is>
          <t>SAFSAF</t>
        </is>
      </c>
      <c r="E46" s="10" t="inlineStr">
        <is>
          <t>40-21</t>
        </is>
      </c>
      <c r="F46" s="10" t="inlineStr">
        <is>
          <t>Travaux de pistes</t>
        </is>
      </c>
      <c r="G46" s="10" t="inlineStr">
        <is>
          <t>Entretien des pistes agricoles</t>
        </is>
      </c>
      <c r="H46" s="10" t="inlineStr">
        <is>
          <t>Entretien des pistes agricoles</t>
        </is>
      </c>
      <c r="I46" s="11" t="n">
        <v>2000000</v>
      </c>
      <c r="J46" s="12" t="inlineStr">
        <is>
          <t>km</t>
        </is>
      </c>
      <c r="K46" s="13" t="n">
        <v>4</v>
      </c>
      <c r="L46" s="51" t="n"/>
      <c r="M46" s="56">
        <f>'S28'!M46+L46</f>
        <v/>
      </c>
      <c r="N46" s="57">
        <f>IFERROR(M46/K46,0)</f>
        <v/>
      </c>
      <c r="O46" s="58">
        <f>'S28'!N46</f>
        <v/>
      </c>
      <c r="P46" s="57">
        <f>N46-O46</f>
        <v/>
      </c>
      <c r="Q46" s="32" t="n"/>
      <c r="R46" s="32" t="n"/>
      <c r="S46" s="32" t="n"/>
      <c r="T46" s="55" t="n"/>
      <c r="U46" s="58">
        <f>'S28'!T46</f>
        <v/>
      </c>
      <c r="V46" s="57">
        <f>T46-U46</f>
        <v/>
      </c>
      <c r="W46" s="57">
        <f>N46-T46</f>
        <v/>
      </c>
      <c r="X46" s="34" t="n"/>
    </row>
    <row r="47" ht="22" customHeight="1">
      <c r="B47" s="5" t="n">
        <v>43</v>
      </c>
      <c r="C47" s="6" t="inlineStr">
        <is>
          <t>Sidi Kacem</t>
        </is>
      </c>
      <c r="D47" s="5" t="inlineStr">
        <is>
          <t>SAFSAF</t>
        </is>
      </c>
      <c r="E47" s="5" t="inlineStr">
        <is>
          <t>50-23</t>
        </is>
      </c>
      <c r="F47" s="5" t="inlineStr">
        <is>
          <t>Entretien et réparation du réseau d'assainissement et de drainage</t>
        </is>
      </c>
      <c r="G47" s="5" t="inlineStr">
        <is>
          <t>Curage des prises sur l’oued, bâche d’aspiration et bassin de régulation.</t>
        </is>
      </c>
      <c r="H47" s="5" t="inlineStr">
        <is>
          <t>Curage des prises sur l’oued des stations de pompage S11, S9, 7D et 7B.
Nettoyage des grilles de préfiltration des boues colmaté des stations de pompage S11, S9, 7D et 7B.
Nettoyage des crépines des boues colmaté de station pompage 7D.
Curage des dalots et bâche d’aspiration des stations de pompage S11, S9, 7B.</t>
        </is>
      </c>
      <c r="I47" s="7" t="n">
        <v>200000</v>
      </c>
      <c r="J47" s="8" t="inlineStr">
        <is>
          <t>ml</t>
        </is>
      </c>
      <c r="K47" s="9" t="n">
        <v>67</v>
      </c>
      <c r="L47" s="51" t="n"/>
      <c r="M47" s="52">
        <f>'S28'!M47+L47</f>
        <v/>
      </c>
      <c r="N47" s="53">
        <f>IFERROR(M47/K47,0)</f>
        <v/>
      </c>
      <c r="O47" s="54">
        <f>'S28'!N47</f>
        <v/>
      </c>
      <c r="P47" s="53">
        <f>N47-O47</f>
        <v/>
      </c>
      <c r="Q47" s="32" t="n"/>
      <c r="R47" s="32" t="n"/>
      <c r="S47" s="32" t="n"/>
      <c r="T47" s="55" t="n"/>
      <c r="U47" s="54">
        <f>'S28'!T47</f>
        <v/>
      </c>
      <c r="V47" s="53">
        <f>T47-U47</f>
        <v/>
      </c>
      <c r="W47" s="53">
        <f>N47-T47</f>
        <v/>
      </c>
      <c r="X47" s="34" t="n"/>
    </row>
    <row r="48" ht="22" customHeight="1">
      <c r="B48" s="10" t="n">
        <v>44</v>
      </c>
      <c r="C48" s="6" t="inlineStr">
        <is>
          <t>Sidi Kacem</t>
        </is>
      </c>
      <c r="D48" s="10" t="inlineStr">
        <is>
          <t>SAFSAF</t>
        </is>
      </c>
      <c r="E48" s="10" t="inlineStr">
        <is>
          <t>50-21</t>
        </is>
      </c>
      <c r="F48" s="10" t="inlineStr">
        <is>
          <t>Entretien et réparation des stations de pompage</t>
        </is>
      </c>
      <c r="G48" s="10" t="inlineStr">
        <is>
          <t>Prestation de maintenance des débitmètres et leurs équipements annexes installés au niveau des station de pompage</t>
        </is>
      </c>
      <c r="H48" s="10" t="inlineStr">
        <is>
          <t>Changements Sept des débitmètres Ø 600mm inondé des deux stations de pompage S11 et S9.</t>
        </is>
      </c>
      <c r="I48" s="11" t="n">
        <v>580000</v>
      </c>
      <c r="J48" s="12" t="inlineStr">
        <is>
          <t>U</t>
        </is>
      </c>
      <c r="K48" s="13" t="n">
        <v>7</v>
      </c>
      <c r="L48" s="51" t="n"/>
      <c r="M48" s="56">
        <f>'S28'!M48+L48</f>
        <v/>
      </c>
      <c r="N48" s="57">
        <f>IFERROR(M48/K48,0)</f>
        <v/>
      </c>
      <c r="O48" s="58">
        <f>'S28'!N48</f>
        <v/>
      </c>
      <c r="P48" s="57">
        <f>N48-O48</f>
        <v/>
      </c>
      <c r="Q48" s="32" t="n"/>
      <c r="R48" s="32" t="n"/>
      <c r="S48" s="32" t="n"/>
      <c r="T48" s="55" t="n"/>
      <c r="U48" s="58">
        <f>'S28'!T48</f>
        <v/>
      </c>
      <c r="V48" s="57">
        <f>T48-U48</f>
        <v/>
      </c>
      <c r="W48" s="57">
        <f>N48-T48</f>
        <v/>
      </c>
      <c r="X48" s="34" t="n"/>
    </row>
    <row r="49" ht="22" customHeight="1">
      <c r="B49" s="5" t="n">
        <v>45</v>
      </c>
      <c r="C49" s="6" t="inlineStr">
        <is>
          <t>Sidi Kacem</t>
        </is>
      </c>
      <c r="D49" s="5" t="inlineStr">
        <is>
          <t>SAFSAF</t>
        </is>
      </c>
      <c r="E49" s="5" t="inlineStr">
        <is>
          <t>50-21</t>
        </is>
      </c>
      <c r="F49" s="5" t="inlineStr">
        <is>
          <t>Entretien et réparation des stations de pompage</t>
        </is>
      </c>
      <c r="G49" s="5" t="inlineStr">
        <is>
          <t>Stabilisation Berge oued</t>
        </is>
      </c>
      <c r="H49" s="5" t="inlineStr">
        <is>
          <t>Pose de murs en gabions et recouvrement du talus par matelas Reno des stations de pompage S11, S9, 7D et 7B .</t>
        </is>
      </c>
      <c r="I49" s="7" t="n">
        <v>4000000</v>
      </c>
      <c r="J49" s="8" t="inlineStr">
        <is>
          <t>m³</t>
        </is>
      </c>
      <c r="K49" s="9" t="n">
        <v>2667</v>
      </c>
      <c r="L49" s="51" t="n"/>
      <c r="M49" s="52">
        <f>'S28'!M49+L49</f>
        <v/>
      </c>
      <c r="N49" s="53">
        <f>IFERROR(M49/K49,0)</f>
        <v/>
      </c>
      <c r="O49" s="54">
        <f>'S28'!N49</f>
        <v/>
      </c>
      <c r="P49" s="53">
        <f>N49-O49</f>
        <v/>
      </c>
      <c r="Q49" s="32" t="n"/>
      <c r="R49" s="32" t="n"/>
      <c r="S49" s="32" t="n"/>
      <c r="T49" s="55" t="n"/>
      <c r="U49" s="54">
        <f>'S28'!T49</f>
        <v/>
      </c>
      <c r="V49" s="53">
        <f>T49-U49</f>
        <v/>
      </c>
      <c r="W49" s="53">
        <f>N49-T49</f>
        <v/>
      </c>
      <c r="X49" s="34" t="n"/>
    </row>
    <row r="50" ht="22" customHeight="1">
      <c r="B50" s="10" t="n">
        <v>46</v>
      </c>
      <c r="C50" s="6" t="inlineStr">
        <is>
          <t>Sidi Kacem</t>
        </is>
      </c>
      <c r="D50" s="10" t="inlineStr">
        <is>
          <t>SIDI AZZOUZ</t>
        </is>
      </c>
      <c r="E50" s="10" t="inlineStr">
        <is>
          <t>40-21</t>
        </is>
      </c>
      <c r="F50" s="10" t="inlineStr">
        <is>
          <t>Travaux de pistes</t>
        </is>
      </c>
      <c r="G50" s="10" t="inlineStr">
        <is>
          <t>Entretien des pistes agricoles</t>
        </is>
      </c>
      <c r="H50" s="10" t="inlineStr">
        <is>
          <t>Entretien des pistes agricoles</t>
        </is>
      </c>
      <c r="I50" s="11" t="n">
        <v>655000</v>
      </c>
      <c r="J50" s="12" t="inlineStr">
        <is>
          <t>km</t>
        </is>
      </c>
      <c r="K50" s="13" t="n">
        <v>1</v>
      </c>
      <c r="L50" s="51" t="n"/>
      <c r="M50" s="56">
        <f>'S28'!M50+L50</f>
        <v/>
      </c>
      <c r="N50" s="57">
        <f>IFERROR(M50/K50,0)</f>
        <v/>
      </c>
      <c r="O50" s="58">
        <f>'S28'!N50</f>
        <v/>
      </c>
      <c r="P50" s="57">
        <f>N50-O50</f>
        <v/>
      </c>
      <c r="Q50" s="32" t="n"/>
      <c r="R50" s="32" t="n"/>
      <c r="S50" s="32" t="n"/>
      <c r="T50" s="55" t="n"/>
      <c r="U50" s="58">
        <f>'S28'!T50</f>
        <v/>
      </c>
      <c r="V50" s="57">
        <f>T50-U50</f>
        <v/>
      </c>
      <c r="W50" s="57">
        <f>N50-T50</f>
        <v/>
      </c>
      <c r="X50" s="34" t="n"/>
    </row>
    <row r="51" ht="22" customHeight="1">
      <c r="B51" s="5" t="n">
        <v>47</v>
      </c>
      <c r="C51" s="6" t="inlineStr">
        <is>
          <t>Sidi Kacem</t>
        </is>
      </c>
      <c r="D51" s="5" t="inlineStr">
        <is>
          <t>SIDI EL KAMEL</t>
        </is>
      </c>
      <c r="E51" s="5" t="inlineStr">
        <is>
          <t>20-11</t>
        </is>
      </c>
      <c r="F51" s="5" t="inlineStr">
        <is>
          <t>Travaux de réhabilitation des équipements</t>
        </is>
      </c>
      <c r="G51" s="5" t="inlineStr">
        <is>
          <t>Travaux de réhabilitation des canaux portés d'irrigation</t>
        </is>
      </c>
      <c r="H51" s="5" t="inlineStr">
        <is>
          <t>Fourniture et de pose de canaux porté et accessoires du réseau SR4 du secteur S3R</t>
        </is>
      </c>
      <c r="I51" s="7" t="n">
        <v>5182920</v>
      </c>
      <c r="J51" s="8" t="inlineStr">
        <is>
          <t>ml</t>
        </is>
      </c>
      <c r="K51" s="9" t="n">
        <v>1728</v>
      </c>
      <c r="L51" s="51" t="n"/>
      <c r="M51" s="52">
        <f>'S28'!M51+L51</f>
        <v/>
      </c>
      <c r="N51" s="53">
        <f>IFERROR(M51/K51,0)</f>
        <v/>
      </c>
      <c r="O51" s="54">
        <f>'S28'!N51</f>
        <v/>
      </c>
      <c r="P51" s="53">
        <f>N51-O51</f>
        <v/>
      </c>
      <c r="Q51" s="32" t="n"/>
      <c r="R51" s="32" t="n"/>
      <c r="S51" s="32" t="n"/>
      <c r="T51" s="55" t="n"/>
      <c r="U51" s="54">
        <f>'S28'!T51</f>
        <v/>
      </c>
      <c r="V51" s="53">
        <f>T51-U51</f>
        <v/>
      </c>
      <c r="W51" s="53">
        <f>N51-T51</f>
        <v/>
      </c>
      <c r="X51" s="34" t="n"/>
    </row>
    <row r="52" ht="22" customHeight="1">
      <c r="B52" s="10" t="n">
        <v>48</v>
      </c>
      <c r="C52" s="6" t="inlineStr">
        <is>
          <t>Sidi Kacem</t>
        </is>
      </c>
      <c r="D52" s="10" t="inlineStr">
        <is>
          <t>SIDI EL KAMEL</t>
        </is>
      </c>
      <c r="E52" s="10" t="inlineStr">
        <is>
          <t>20-11</t>
        </is>
      </c>
      <c r="F52" s="10" t="inlineStr">
        <is>
          <t>Travaux de réhabilitation des équipements</t>
        </is>
      </c>
      <c r="G52" s="10" t="inlineStr"/>
      <c r="H52" s="10" t="inlineStr">
        <is>
          <t>Fourniture et de pose de canaux porté et accessoires du réseau SR6 du secteur S1RIZ</t>
        </is>
      </c>
      <c r="I52" s="11" t="n">
        <v>152818</v>
      </c>
      <c r="J52" s="12" t="inlineStr">
        <is>
          <t>ml</t>
        </is>
      </c>
      <c r="K52" s="13" t="n">
        <v>51</v>
      </c>
      <c r="L52" s="51" t="n"/>
      <c r="M52" s="56">
        <f>'S28'!M52+L52</f>
        <v/>
      </c>
      <c r="N52" s="57">
        <f>IFERROR(M52/K52,0)</f>
        <v/>
      </c>
      <c r="O52" s="58">
        <f>'S28'!N52</f>
        <v/>
      </c>
      <c r="P52" s="57">
        <f>N52-O52</f>
        <v/>
      </c>
      <c r="Q52" s="32" t="n"/>
      <c r="R52" s="32" t="n"/>
      <c r="S52" s="32" t="n"/>
      <c r="T52" s="55" t="n"/>
      <c r="U52" s="58">
        <f>'S28'!T52</f>
        <v/>
      </c>
      <c r="V52" s="57">
        <f>T52-U52</f>
        <v/>
      </c>
      <c r="W52" s="57">
        <f>N52-T52</f>
        <v/>
      </c>
      <c r="X52" s="34" t="n"/>
    </row>
    <row r="53" ht="22" customHeight="1">
      <c r="B53" s="5" t="n">
        <v>49</v>
      </c>
      <c r="C53" s="6" t="inlineStr">
        <is>
          <t>Sidi Kacem</t>
        </is>
      </c>
      <c r="D53" s="5" t="inlineStr">
        <is>
          <t>SIDI EL KAMEL</t>
        </is>
      </c>
      <c r="E53" s="5" t="inlineStr">
        <is>
          <t>20-11</t>
        </is>
      </c>
      <c r="F53" s="5" t="inlineStr">
        <is>
          <t>Travaux de réhabilitation des équipements</t>
        </is>
      </c>
      <c r="G53" s="5" t="inlineStr"/>
      <c r="H53" s="5" t="inlineStr">
        <is>
          <t>Recalage des canaux portés du réseau SR4 du secteur S3R</t>
        </is>
      </c>
      <c r="I53" s="7" t="n">
        <v>1418000</v>
      </c>
      <c r="J53" s="8" t="inlineStr">
        <is>
          <t>ml</t>
        </is>
      </c>
      <c r="K53" s="9" t="n">
        <v>473</v>
      </c>
      <c r="L53" s="51" t="n"/>
      <c r="M53" s="52">
        <f>'S28'!M53+L53</f>
        <v/>
      </c>
      <c r="N53" s="53">
        <f>IFERROR(M53/K53,0)</f>
        <v/>
      </c>
      <c r="O53" s="54">
        <f>'S28'!N53</f>
        <v/>
      </c>
      <c r="P53" s="53">
        <f>N53-O53</f>
        <v/>
      </c>
      <c r="Q53" s="32" t="n"/>
      <c r="R53" s="32" t="n"/>
      <c r="S53" s="32" t="n"/>
      <c r="T53" s="55" t="n"/>
      <c r="U53" s="54">
        <f>'S28'!T53</f>
        <v/>
      </c>
      <c r="V53" s="53">
        <f>T53-U53</f>
        <v/>
      </c>
      <c r="W53" s="53">
        <f>N53-T53</f>
        <v/>
      </c>
      <c r="X53" s="34" t="n"/>
    </row>
    <row r="54" ht="22" customHeight="1">
      <c r="B54" s="10" t="n">
        <v>50</v>
      </c>
      <c r="C54" s="6" t="inlineStr">
        <is>
          <t>Sidi Kacem</t>
        </is>
      </c>
      <c r="D54" s="10" t="inlineStr">
        <is>
          <t>SIDI EL KAMEL</t>
        </is>
      </c>
      <c r="E54" s="10" t="inlineStr">
        <is>
          <t>20-11</t>
        </is>
      </c>
      <c r="F54" s="10" t="inlineStr">
        <is>
          <t>Travaux de réhabilitation des équipements</t>
        </is>
      </c>
      <c r="G54" s="10" t="inlineStr">
        <is>
          <t>Travaux de réhabilitation des ouvrages de génie civil</t>
        </is>
      </c>
      <c r="H54" s="10" t="inlineStr">
        <is>
          <t>Réhabilitation des murs de soutènements des ouvrages de franchissements du canal d'assainissement CS3 secteur S3 et de l’ouvrage de franchissement du canal primaire d’irrigation du secteur S1R au niveau de la route provinciale P4234</t>
        </is>
      </c>
      <c r="I54" s="11" t="n">
        <v>800000</v>
      </c>
      <c r="J54" s="12" t="inlineStr">
        <is>
          <t>ml</t>
        </is>
      </c>
      <c r="K54" s="13" t="n">
        <v>400</v>
      </c>
      <c r="L54" s="51" t="n"/>
      <c r="M54" s="56">
        <f>'S28'!M54+L54</f>
        <v/>
      </c>
      <c r="N54" s="57">
        <f>IFERROR(M54/K54,0)</f>
        <v/>
      </c>
      <c r="O54" s="58">
        <f>'S28'!N54</f>
        <v/>
      </c>
      <c r="P54" s="57">
        <f>N54-O54</f>
        <v/>
      </c>
      <c r="Q54" s="32" t="n"/>
      <c r="R54" s="32" t="n"/>
      <c r="S54" s="32" t="n"/>
      <c r="T54" s="55" t="n"/>
      <c r="U54" s="58">
        <f>'S28'!T54</f>
        <v/>
      </c>
      <c r="V54" s="57">
        <f>T54-U54</f>
        <v/>
      </c>
      <c r="W54" s="57">
        <f>N54-T54</f>
        <v/>
      </c>
      <c r="X54" s="34" t="n"/>
    </row>
    <row r="55" ht="22" customHeight="1">
      <c r="B55" s="5" t="n">
        <v>51</v>
      </c>
      <c r="C55" s="6" t="inlineStr">
        <is>
          <t>Sidi Kacem</t>
        </is>
      </c>
      <c r="D55" s="5" t="inlineStr">
        <is>
          <t>SIDI EL KAMEL</t>
        </is>
      </c>
      <c r="E55" s="5" t="inlineStr">
        <is>
          <t>40-21</t>
        </is>
      </c>
      <c r="F55" s="5" t="inlineStr">
        <is>
          <t>Travaux de pistes</t>
        </is>
      </c>
      <c r="G55" s="5" t="inlineStr">
        <is>
          <t>Entretien des pistes agricoles</t>
        </is>
      </c>
      <c r="H55" s="5" t="inlineStr">
        <is>
          <t>Entretien des pistes agricoles</t>
        </is>
      </c>
      <c r="I55" s="7" t="n">
        <v>3700000</v>
      </c>
      <c r="J55" s="8" t="inlineStr">
        <is>
          <t>km</t>
        </is>
      </c>
      <c r="K55" s="9" t="n">
        <v>7</v>
      </c>
      <c r="L55" s="51" t="n"/>
      <c r="M55" s="52">
        <f>'S28'!M55+L55</f>
        <v/>
      </c>
      <c r="N55" s="53">
        <f>IFERROR(M55/K55,0)</f>
        <v/>
      </c>
      <c r="O55" s="54">
        <f>'S28'!N55</f>
        <v/>
      </c>
      <c r="P55" s="53">
        <f>N55-O55</f>
        <v/>
      </c>
      <c r="Q55" s="32" t="n"/>
      <c r="R55" s="32" t="n"/>
      <c r="S55" s="32" t="n"/>
      <c r="T55" s="55" t="n"/>
      <c r="U55" s="54">
        <f>'S28'!T55</f>
        <v/>
      </c>
      <c r="V55" s="53">
        <f>T55-U55</f>
        <v/>
      </c>
      <c r="W55" s="53">
        <f>N55-T55</f>
        <v/>
      </c>
      <c r="X55" s="34" t="n"/>
    </row>
    <row r="56" ht="22" customHeight="1">
      <c r="B56" s="10" t="n">
        <v>52</v>
      </c>
      <c r="C56" s="6" t="inlineStr">
        <is>
          <t>Sidi Kacem</t>
        </is>
      </c>
      <c r="D56" s="10" t="inlineStr">
        <is>
          <t>SIDI EL KAMEL</t>
        </is>
      </c>
      <c r="E56" s="10" t="inlineStr">
        <is>
          <t>50-21</t>
        </is>
      </c>
      <c r="F56" s="10" t="inlineStr">
        <is>
          <t>Entretien et réparation des stations de pompage</t>
        </is>
      </c>
      <c r="G56" s="10" t="inlineStr">
        <is>
          <t>Prestation de maintenance des débitmètres et leurs équipements annexes installés au niveau des station de pompage</t>
        </is>
      </c>
      <c r="H56" s="10" t="inlineStr">
        <is>
          <t>Changement de quatre débitmètres Ø 500mm et trois Ø 800mm inondé des stations de pompage 1R, 3R et 5R.</t>
        </is>
      </c>
      <c r="I56" s="11" t="n">
        <v>705000</v>
      </c>
      <c r="J56" s="12" t="inlineStr">
        <is>
          <t>U</t>
        </is>
      </c>
      <c r="K56" s="13" t="n">
        <v>3</v>
      </c>
      <c r="L56" s="51" t="n"/>
      <c r="M56" s="56">
        <f>'S28'!M56+L56</f>
        <v/>
      </c>
      <c r="N56" s="57">
        <f>IFERROR(M56/K56,0)</f>
        <v/>
      </c>
      <c r="O56" s="58">
        <f>'S28'!N56</f>
        <v/>
      </c>
      <c r="P56" s="57">
        <f>N56-O56</f>
        <v/>
      </c>
      <c r="Q56" s="32" t="n"/>
      <c r="R56" s="32" t="n"/>
      <c r="S56" s="32" t="n"/>
      <c r="T56" s="55" t="n"/>
      <c r="U56" s="58">
        <f>'S28'!T56</f>
        <v/>
      </c>
      <c r="V56" s="57">
        <f>T56-U56</f>
        <v/>
      </c>
      <c r="W56" s="57">
        <f>N56-T56</f>
        <v/>
      </c>
      <c r="X56" s="34" t="n"/>
    </row>
    <row r="57" ht="22" customHeight="1">
      <c r="B57" s="5" t="n">
        <v>53</v>
      </c>
      <c r="C57" s="6" t="inlineStr">
        <is>
          <t>Sidi Kacem</t>
        </is>
      </c>
      <c r="D57" s="5" t="inlineStr">
        <is>
          <t>SIDI EL KAMEL</t>
        </is>
      </c>
      <c r="E57" s="5" t="inlineStr">
        <is>
          <t>50-21</t>
        </is>
      </c>
      <c r="F57" s="5" t="inlineStr">
        <is>
          <t>Entretien et réparation des stations de pompage</t>
        </is>
      </c>
      <c r="G57" s="5" t="inlineStr">
        <is>
          <t>Mur clôture des stations de pompage.</t>
        </is>
      </c>
      <c r="H57" s="5" t="inlineStr">
        <is>
          <t>Stabilisation et reconstruction des murs clôture cote oued des stations de pompage 7A, 3R et 1R.</t>
        </is>
      </c>
      <c r="I57" s="7" t="n">
        <v>372000</v>
      </c>
      <c r="J57" s="8" t="inlineStr">
        <is>
          <t>ml</t>
        </is>
      </c>
      <c r="K57" s="9" t="n">
        <v>124</v>
      </c>
      <c r="L57" s="51" t="n"/>
      <c r="M57" s="52">
        <f>'S28'!M57+L57</f>
        <v/>
      </c>
      <c r="N57" s="53">
        <f>IFERROR(M57/K57,0)</f>
        <v/>
      </c>
      <c r="O57" s="54">
        <f>'S28'!N57</f>
        <v/>
      </c>
      <c r="P57" s="53">
        <f>N57-O57</f>
        <v/>
      </c>
      <c r="Q57" s="32" t="n"/>
      <c r="R57" s="32" t="n"/>
      <c r="S57" s="32" t="n"/>
      <c r="T57" s="55" t="n"/>
      <c r="U57" s="54">
        <f>'S28'!T57</f>
        <v/>
      </c>
      <c r="V57" s="53">
        <f>T57-U57</f>
        <v/>
      </c>
      <c r="W57" s="53">
        <f>N57-T57</f>
        <v/>
      </c>
      <c r="X57" s="34" t="n"/>
    </row>
    <row r="58" ht="22" customHeight="1">
      <c r="B58" s="10" t="n">
        <v>54</v>
      </c>
      <c r="C58" s="14" t="inlineStr">
        <is>
          <t>Kénitra</t>
        </is>
      </c>
      <c r="D58" s="10" t="inlineStr">
        <is>
          <t>Bni malek</t>
        </is>
      </c>
      <c r="E58" s="10" t="inlineStr">
        <is>
          <t>50-23</t>
        </is>
      </c>
      <c r="F58" s="10" t="inlineStr">
        <is>
          <t>Entretien et réparation du réseau d'assainissement et de drainage</t>
        </is>
      </c>
      <c r="G58" s="10" t="inlineStr">
        <is>
          <t>Travaux de curage des canaux en terre</t>
        </is>
      </c>
      <c r="H58" s="10" t="inlineStr">
        <is>
          <t>Curage des emissaires et colatures secondaire au niveau des secteurs MDA ET N9</t>
        </is>
      </c>
      <c r="I58" s="11" t="n">
        <v>10000000</v>
      </c>
      <c r="J58" s="12" t="inlineStr">
        <is>
          <t>ml</t>
        </is>
      </c>
      <c r="K58" s="13" t="n">
        <v>5000</v>
      </c>
      <c r="L58" s="51" t="n"/>
      <c r="M58" s="56">
        <f>'S28'!M58+L58</f>
        <v/>
      </c>
      <c r="N58" s="57">
        <f>IFERROR(M58/K58,0)</f>
        <v/>
      </c>
      <c r="O58" s="58">
        <f>'S28'!N58</f>
        <v/>
      </c>
      <c r="P58" s="57">
        <f>N58-O58</f>
        <v/>
      </c>
      <c r="Q58" s="32" t="n"/>
      <c r="R58" s="32" t="n"/>
      <c r="S58" s="32" t="n"/>
      <c r="T58" s="55" t="n"/>
      <c r="U58" s="58">
        <f>'S28'!T58</f>
        <v/>
      </c>
      <c r="V58" s="57">
        <f>T58-U58</f>
        <v/>
      </c>
      <c r="W58" s="57">
        <f>N58-T58</f>
        <v/>
      </c>
      <c r="X58" s="34" t="n"/>
    </row>
    <row r="59" ht="22" customHeight="1">
      <c r="B59" s="5" t="n">
        <v>55</v>
      </c>
      <c r="C59" s="14" t="inlineStr">
        <is>
          <t>Kénitra</t>
        </is>
      </c>
      <c r="D59" s="5" t="inlineStr">
        <is>
          <t>Bni malek</t>
        </is>
      </c>
      <c r="E59" s="5" t="inlineStr">
        <is>
          <t>40-21</t>
        </is>
      </c>
      <c r="F59" s="5" t="inlineStr">
        <is>
          <t>Travaux de pistes</t>
        </is>
      </c>
      <c r="G59" s="5" t="inlineStr">
        <is>
          <t>Travaux de réhabilitation des pistes agricoles</t>
        </is>
      </c>
      <c r="H59" s="5" t="inlineStr">
        <is>
          <t>Entretien des pistes agricoles des secteurs MDA et N3</t>
        </is>
      </c>
      <c r="I59" s="7" t="n">
        <v>2000000</v>
      </c>
      <c r="J59" s="8" t="inlineStr">
        <is>
          <t>km</t>
        </is>
      </c>
      <c r="K59" s="9" t="n">
        <v>4</v>
      </c>
      <c r="L59" s="51" t="n"/>
      <c r="M59" s="52">
        <f>'S28'!M59+L59</f>
        <v/>
      </c>
      <c r="N59" s="53">
        <f>IFERROR(M59/K59,0)</f>
        <v/>
      </c>
      <c r="O59" s="54">
        <f>'S28'!N59</f>
        <v/>
      </c>
      <c r="P59" s="53">
        <f>N59-O59</f>
        <v/>
      </c>
      <c r="Q59" s="32" t="n"/>
      <c r="R59" s="32" t="n"/>
      <c r="S59" s="32" t="n"/>
      <c r="T59" s="55" t="n"/>
      <c r="U59" s="54">
        <f>'S28'!T59</f>
        <v/>
      </c>
      <c r="V59" s="53">
        <f>T59-U59</f>
        <v/>
      </c>
      <c r="W59" s="53">
        <f>N59-T59</f>
        <v/>
      </c>
      <c r="X59" s="34" t="n"/>
    </row>
    <row r="60" ht="22" customHeight="1">
      <c r="B60" s="10" t="n">
        <v>56</v>
      </c>
      <c r="C60" s="14" t="inlineStr">
        <is>
          <t>Kénitra</t>
        </is>
      </c>
      <c r="D60" s="10" t="inlineStr">
        <is>
          <t>Bni malek</t>
        </is>
      </c>
      <c r="E60" s="10" t="inlineStr">
        <is>
          <t>50-21</t>
        </is>
      </c>
      <c r="F60" s="10" t="inlineStr">
        <is>
          <t>Entretien et réparation des stations de pompage</t>
        </is>
      </c>
      <c r="G60" s="10" t="inlineStr">
        <is>
          <t>Prestations de maintenance et de réparation mécanique des pompes et des groupes motopompes submersibles des stations de pompage.</t>
        </is>
      </c>
      <c r="H60" s="10" t="inlineStr">
        <is>
          <t>station de pompage MDA secteur MDA</t>
        </is>
      </c>
      <c r="I60" s="11" t="n">
        <v>300000</v>
      </c>
      <c r="J60" s="12" t="inlineStr">
        <is>
          <t>U</t>
        </is>
      </c>
      <c r="K60" s="13" t="n">
        <v>1</v>
      </c>
      <c r="L60" s="51" t="n"/>
      <c r="M60" s="56">
        <f>'S28'!M60+L60</f>
        <v/>
      </c>
      <c r="N60" s="57">
        <f>IFERROR(M60/K60,0)</f>
        <v/>
      </c>
      <c r="O60" s="58">
        <f>'S28'!N60</f>
        <v/>
      </c>
      <c r="P60" s="57">
        <f>N60-O60</f>
        <v/>
      </c>
      <c r="Q60" s="32" t="n"/>
      <c r="R60" s="32" t="n"/>
      <c r="S60" s="32" t="n"/>
      <c r="T60" s="55" t="n"/>
      <c r="U60" s="58">
        <f>'S28'!T60</f>
        <v/>
      </c>
      <c r="V60" s="57">
        <f>T60-U60</f>
        <v/>
      </c>
      <c r="W60" s="57">
        <f>N60-T60</f>
        <v/>
      </c>
      <c r="X60" s="34" t="n"/>
    </row>
    <row r="61" ht="22" customHeight="1">
      <c r="B61" s="5" t="n">
        <v>57</v>
      </c>
      <c r="C61" s="14" t="inlineStr">
        <is>
          <t>Kénitra</t>
        </is>
      </c>
      <c r="D61" s="5" t="inlineStr">
        <is>
          <t>Bni malek</t>
        </is>
      </c>
      <c r="E61" s="5" t="inlineStr">
        <is>
          <t>20-11</t>
        </is>
      </c>
      <c r="F61" s="5" t="inlineStr">
        <is>
          <t>Travaux de réhabilitation des équipements</t>
        </is>
      </c>
      <c r="G61" s="5" t="inlineStr">
        <is>
          <t>Travaux de réhabilitation des ouvrages de génie civil</t>
        </is>
      </c>
      <c r="H61" s="5" t="inlineStr">
        <is>
          <t>Rétablissement des bornes affaissées des secteurs N2 et N3</t>
        </is>
      </c>
      <c r="I61" s="7" t="n">
        <v>100000</v>
      </c>
      <c r="J61" s="8" t="inlineStr">
        <is>
          <t>U</t>
        </is>
      </c>
      <c r="K61" s="9" t="n">
        <v>200</v>
      </c>
      <c r="L61" s="51" t="n"/>
      <c r="M61" s="52">
        <f>'S28'!M61+L61</f>
        <v/>
      </c>
      <c r="N61" s="53">
        <f>IFERROR(M61/K61,0)</f>
        <v/>
      </c>
      <c r="O61" s="54">
        <f>'S28'!N61</f>
        <v/>
      </c>
      <c r="P61" s="53">
        <f>N61-O61</f>
        <v/>
      </c>
      <c r="Q61" s="32" t="n"/>
      <c r="R61" s="32" t="n"/>
      <c r="S61" s="32" t="n"/>
      <c r="T61" s="55" t="n"/>
      <c r="U61" s="54">
        <f>'S28'!T61</f>
        <v/>
      </c>
      <c r="V61" s="53">
        <f>T61-U61</f>
        <v/>
      </c>
      <c r="W61" s="53">
        <f>N61-T61</f>
        <v/>
      </c>
      <c r="X61" s="34" t="n"/>
    </row>
    <row r="62" ht="22" customHeight="1">
      <c r="B62" s="10" t="n">
        <v>58</v>
      </c>
      <c r="C62" s="14" t="inlineStr">
        <is>
          <t>Kénitra</t>
        </is>
      </c>
      <c r="D62" s="10" t="inlineStr">
        <is>
          <t>SOUK TLET</t>
        </is>
      </c>
      <c r="E62" s="10" t="inlineStr">
        <is>
          <t>50-23</t>
        </is>
      </c>
      <c r="F62" s="10" t="inlineStr">
        <is>
          <t>Entretien et réparation du réseau d'assainissement et de drainage</t>
        </is>
      </c>
      <c r="G62" s="10" t="inlineStr">
        <is>
          <t>Travaux de curage des canaux en terre</t>
        </is>
      </c>
      <c r="H62" s="10" t="inlineStr">
        <is>
          <t>curage des emissaires et colatures secondaire au niveau des secteurs N2,N3 ET N4,</t>
        </is>
      </c>
      <c r="I62" s="11" t="n">
        <v>3000000</v>
      </c>
      <c r="J62" s="12" t="inlineStr">
        <is>
          <t>ml</t>
        </is>
      </c>
      <c r="K62" s="13" t="n">
        <v>1500</v>
      </c>
      <c r="L62" s="51" t="n"/>
      <c r="M62" s="56">
        <f>'S28'!M62+L62</f>
        <v/>
      </c>
      <c r="N62" s="57">
        <f>IFERROR(M62/K62,0)</f>
        <v/>
      </c>
      <c r="O62" s="58">
        <f>'S28'!N62</f>
        <v/>
      </c>
      <c r="P62" s="57">
        <f>N62-O62</f>
        <v/>
      </c>
      <c r="Q62" s="32" t="n"/>
      <c r="R62" s="32" t="n"/>
      <c r="S62" s="32" t="n"/>
      <c r="T62" s="55" t="n"/>
      <c r="U62" s="58">
        <f>'S28'!T62</f>
        <v/>
      </c>
      <c r="V62" s="57">
        <f>T62-U62</f>
        <v/>
      </c>
      <c r="W62" s="57">
        <f>N62-T62</f>
        <v/>
      </c>
      <c r="X62" s="34" t="n"/>
    </row>
    <row r="63" ht="22" customHeight="1">
      <c r="B63" s="5" t="n">
        <v>59</v>
      </c>
      <c r="C63" s="14" t="inlineStr">
        <is>
          <t>Kénitra</t>
        </is>
      </c>
      <c r="D63" s="5" t="inlineStr">
        <is>
          <t>SOUK TLET</t>
        </is>
      </c>
      <c r="E63" s="5" t="inlineStr">
        <is>
          <t>40-21</t>
        </is>
      </c>
      <c r="F63" s="5" t="inlineStr">
        <is>
          <t>Travaux de pistes</t>
        </is>
      </c>
      <c r="G63" s="5" t="inlineStr">
        <is>
          <t>Travaux de réhabilitation des pistes agricoles</t>
        </is>
      </c>
      <c r="H63" s="5" t="inlineStr">
        <is>
          <t>Entretien des pistes des secteurs N2,N3,N4 et C4R,</t>
        </is>
      </c>
      <c r="I63" s="7" t="n">
        <v>5000000</v>
      </c>
      <c r="J63" s="8" t="inlineStr">
        <is>
          <t>U</t>
        </is>
      </c>
      <c r="K63" s="9" t="n">
        <v>1</v>
      </c>
      <c r="L63" s="51" t="n"/>
      <c r="M63" s="52">
        <f>'S28'!M63+L63</f>
        <v/>
      </c>
      <c r="N63" s="53">
        <f>IFERROR(M63/K63,0)</f>
        <v/>
      </c>
      <c r="O63" s="54">
        <f>'S28'!N63</f>
        <v/>
      </c>
      <c r="P63" s="53">
        <f>N63-O63</f>
        <v/>
      </c>
      <c r="Q63" s="32" t="n"/>
      <c r="R63" s="32" t="n"/>
      <c r="S63" s="32" t="n"/>
      <c r="T63" s="55" t="n"/>
      <c r="U63" s="54">
        <f>'S28'!T63</f>
        <v/>
      </c>
      <c r="V63" s="53">
        <f>T63-U63</f>
        <v/>
      </c>
      <c r="W63" s="53">
        <f>N63-T63</f>
        <v/>
      </c>
      <c r="X63" s="34" t="n"/>
    </row>
    <row r="64" ht="22" customHeight="1">
      <c r="B64" s="10" t="n">
        <v>60</v>
      </c>
      <c r="C64" s="14" t="inlineStr">
        <is>
          <t>Kénitra</t>
        </is>
      </c>
      <c r="D64" s="10" t="inlineStr">
        <is>
          <t>Sidi Med Lahmar</t>
        </is>
      </c>
      <c r="E64" s="10" t="inlineStr">
        <is>
          <t>50-23</t>
        </is>
      </c>
      <c r="F64" s="10" t="inlineStr">
        <is>
          <t>Entretien et réparation du réseau d'assainissement et de drainage</t>
        </is>
      </c>
      <c r="G64" s="10" t="inlineStr">
        <is>
          <t>Travaux de curage des canaux en terre</t>
        </is>
      </c>
      <c r="H64" s="10" t="inlineStr">
        <is>
          <t>Curage des emissaires et colatures secondaires secteurs N1</t>
        </is>
      </c>
      <c r="I64" s="11" t="n">
        <v>3000000</v>
      </c>
      <c r="J64" s="12" t="inlineStr">
        <is>
          <t>ml</t>
        </is>
      </c>
      <c r="K64" s="13" t="n">
        <v>1500</v>
      </c>
      <c r="L64" s="51" t="n"/>
      <c r="M64" s="56">
        <f>'S28'!M64+L64</f>
        <v/>
      </c>
      <c r="N64" s="57">
        <f>IFERROR(M64/K64,0)</f>
        <v/>
      </c>
      <c r="O64" s="58">
        <f>'S28'!N64</f>
        <v/>
      </c>
      <c r="P64" s="57">
        <f>N64-O64</f>
        <v/>
      </c>
      <c r="Q64" s="32" t="n"/>
      <c r="R64" s="32" t="n"/>
      <c r="S64" s="32" t="n"/>
      <c r="T64" s="55" t="n"/>
      <c r="U64" s="58">
        <f>'S28'!T64</f>
        <v/>
      </c>
      <c r="V64" s="57">
        <f>T64-U64</f>
        <v/>
      </c>
      <c r="W64" s="57">
        <f>N64-T64</f>
        <v/>
      </c>
      <c r="X64" s="34" t="n"/>
    </row>
    <row r="65" ht="22" customHeight="1">
      <c r="B65" s="5" t="n">
        <v>61</v>
      </c>
      <c r="C65" s="14" t="inlineStr">
        <is>
          <t>Kénitra</t>
        </is>
      </c>
      <c r="D65" s="5" t="inlineStr">
        <is>
          <t>Sidi Med Lahmar</t>
        </is>
      </c>
      <c r="E65" s="5" t="inlineStr">
        <is>
          <t>40-21</t>
        </is>
      </c>
      <c r="F65" s="5" t="inlineStr">
        <is>
          <t>Travaux de pistes</t>
        </is>
      </c>
      <c r="G65" s="5" t="inlineStr">
        <is>
          <t>Travaux de réhabilitation des pistes agricoles</t>
        </is>
      </c>
      <c r="H65" s="5" t="inlineStr">
        <is>
          <t>Entretien des pistes agricoles des secteurs N9 et N1</t>
        </is>
      </c>
      <c r="I65" s="7" t="n">
        <v>3000000</v>
      </c>
      <c r="J65" s="8" t="inlineStr">
        <is>
          <t>km</t>
        </is>
      </c>
      <c r="K65" s="9" t="n">
        <v>6</v>
      </c>
      <c r="L65" s="51" t="n"/>
      <c r="M65" s="52">
        <f>'S28'!M65+L65</f>
        <v/>
      </c>
      <c r="N65" s="53">
        <f>IFERROR(M65/K65,0)</f>
        <v/>
      </c>
      <c r="O65" s="54">
        <f>'S28'!N65</f>
        <v/>
      </c>
      <c r="P65" s="53">
        <f>N65-O65</f>
        <v/>
      </c>
      <c r="Q65" s="32" t="n"/>
      <c r="R65" s="32" t="n"/>
      <c r="S65" s="32" t="n"/>
      <c r="T65" s="55" t="n"/>
      <c r="U65" s="54">
        <f>'S28'!T65</f>
        <v/>
      </c>
      <c r="V65" s="53">
        <f>T65-U65</f>
        <v/>
      </c>
      <c r="W65" s="53">
        <f>N65-T65</f>
        <v/>
      </c>
      <c r="X65" s="34" t="n"/>
    </row>
    <row r="66" ht="22" customHeight="1">
      <c r="B66" s="10" t="n">
        <v>62</v>
      </c>
      <c r="C66" s="14" t="inlineStr">
        <is>
          <t>Kénitra</t>
        </is>
      </c>
      <c r="D66" s="10" t="inlineStr">
        <is>
          <t>Mograne</t>
        </is>
      </c>
      <c r="E66" s="10" t="inlineStr">
        <is>
          <t>50-23</t>
        </is>
      </c>
      <c r="F66" s="10" t="inlineStr">
        <is>
          <t>Entretien et réparation du réseau d'assainissement et de drainage</t>
        </is>
      </c>
      <c r="G66" s="10" t="inlineStr">
        <is>
          <t>Travaux de curage des canaux en terre</t>
        </is>
      </c>
      <c r="H66" s="10" t="inlineStr">
        <is>
          <t>Curage des canaux d'assainissement Hors secteur équipé ghoufera et laison beht sebou ,</t>
        </is>
      </c>
      <c r="I66" s="11" t="n">
        <v>6000000</v>
      </c>
      <c r="J66" s="12" t="inlineStr">
        <is>
          <t>ml</t>
        </is>
      </c>
      <c r="K66" s="13" t="n">
        <v>3000</v>
      </c>
      <c r="L66" s="51" t="n"/>
      <c r="M66" s="56">
        <f>'S28'!M66+L66</f>
        <v/>
      </c>
      <c r="N66" s="57">
        <f>IFERROR(M66/K66,0)</f>
        <v/>
      </c>
      <c r="O66" s="58">
        <f>'S28'!N66</f>
        <v/>
      </c>
      <c r="P66" s="57">
        <f>N66-O66</f>
        <v/>
      </c>
      <c r="Q66" s="32" t="n"/>
      <c r="R66" s="32" t="n"/>
      <c r="S66" s="32" t="n"/>
      <c r="T66" s="55" t="n"/>
      <c r="U66" s="58">
        <f>'S28'!T66</f>
        <v/>
      </c>
      <c r="V66" s="57">
        <f>T66-U66</f>
        <v/>
      </c>
      <c r="W66" s="57">
        <f>N66-T66</f>
        <v/>
      </c>
      <c r="X66" s="34" t="n"/>
    </row>
    <row r="67" ht="22" customHeight="1">
      <c r="B67" s="5" t="n">
        <v>63</v>
      </c>
      <c r="C67" s="14" t="inlineStr">
        <is>
          <t>Kénitra</t>
        </is>
      </c>
      <c r="D67" s="5" t="inlineStr">
        <is>
          <t>Mograne</t>
        </is>
      </c>
      <c r="E67" s="5" t="inlineStr">
        <is>
          <t>40-21</t>
        </is>
      </c>
      <c r="F67" s="5" t="inlineStr">
        <is>
          <t>Travaux de pistes</t>
        </is>
      </c>
      <c r="G67" s="5" t="inlineStr">
        <is>
          <t>Travaux de réhabilitation des pistes agricoles</t>
        </is>
      </c>
      <c r="H67" s="5" t="inlineStr">
        <is>
          <t>Entretien des pistes agricoles des secteurs SEBOU1,SEBOU2? BEHT3 et BEHT4</t>
        </is>
      </c>
      <c r="I67" s="7" t="n">
        <v>6000000</v>
      </c>
      <c r="J67" s="8" t="inlineStr">
        <is>
          <t>km</t>
        </is>
      </c>
      <c r="K67" s="9" t="n">
        <v>12</v>
      </c>
      <c r="L67" s="51" t="n"/>
      <c r="M67" s="52">
        <f>'S28'!M67+L67</f>
        <v/>
      </c>
      <c r="N67" s="53">
        <f>IFERROR(M67/K67,0)</f>
        <v/>
      </c>
      <c r="O67" s="54">
        <f>'S28'!N67</f>
        <v/>
      </c>
      <c r="P67" s="53">
        <f>N67-O67</f>
        <v/>
      </c>
      <c r="Q67" s="32" t="n"/>
      <c r="R67" s="32" t="n"/>
      <c r="S67" s="32" t="n"/>
      <c r="T67" s="55" t="n"/>
      <c r="U67" s="54">
        <f>'S28'!T67</f>
        <v/>
      </c>
      <c r="V67" s="53">
        <f>T67-U67</f>
        <v/>
      </c>
      <c r="W67" s="53">
        <f>N67-T67</f>
        <v/>
      </c>
      <c r="X67" s="34" t="n"/>
    </row>
    <row r="68" ht="22" customHeight="1">
      <c r="B68" s="10" t="n">
        <v>64</v>
      </c>
      <c r="C68" s="14" t="inlineStr">
        <is>
          <t>Kénitra</t>
        </is>
      </c>
      <c r="D68" s="10" t="inlineStr">
        <is>
          <t>Sidi allal tazi</t>
        </is>
      </c>
      <c r="E68" s="10" t="inlineStr">
        <is>
          <t>50-23</t>
        </is>
      </c>
      <c r="F68" s="10" t="inlineStr">
        <is>
          <t>Entretien et réparation du réseau d'assainissement et de drainage</t>
        </is>
      </c>
      <c r="G68" s="10" t="inlineStr">
        <is>
          <t>Travaux de curage des canaux en terre</t>
        </is>
      </c>
      <c r="H68" s="10" t="inlineStr">
        <is>
          <t>Curage du canaL d'assainissement CK,</t>
        </is>
      </c>
      <c r="I68" s="11" t="n">
        <v>3000000</v>
      </c>
      <c r="J68" s="12" t="inlineStr">
        <is>
          <t>ml</t>
        </is>
      </c>
      <c r="K68" s="13" t="n">
        <v>1500</v>
      </c>
      <c r="L68" s="51" t="n"/>
      <c r="M68" s="56">
        <f>'S28'!M68+L68</f>
        <v/>
      </c>
      <c r="N68" s="57">
        <f>IFERROR(M68/K68,0)</f>
        <v/>
      </c>
      <c r="O68" s="58">
        <f>'S28'!N68</f>
        <v/>
      </c>
      <c r="P68" s="57">
        <f>N68-O68</f>
        <v/>
      </c>
      <c r="Q68" s="32" t="n"/>
      <c r="R68" s="32" t="n"/>
      <c r="S68" s="32" t="n"/>
      <c r="T68" s="55" t="n"/>
      <c r="U68" s="58">
        <f>'S28'!T68</f>
        <v/>
      </c>
      <c r="V68" s="57">
        <f>T68-U68</f>
        <v/>
      </c>
      <c r="W68" s="57">
        <f>N68-T68</f>
        <v/>
      </c>
      <c r="X68" s="34" t="n"/>
    </row>
    <row r="69" ht="22" customHeight="1">
      <c r="B69" s="5" t="n">
        <v>65</v>
      </c>
      <c r="C69" s="14" t="inlineStr">
        <is>
          <t>Kénitra</t>
        </is>
      </c>
      <c r="D69" s="5" t="inlineStr">
        <is>
          <t>AMEUR SAFLIA</t>
        </is>
      </c>
      <c r="E69" s="5" t="inlineStr">
        <is>
          <t>50-23</t>
        </is>
      </c>
      <c r="F69" s="5" t="inlineStr">
        <is>
          <t>Entretien et réparation du réseau d'assainissement et de drainage</t>
        </is>
      </c>
      <c r="G69" s="5" t="inlineStr">
        <is>
          <t>Travaux de curage des canaux en terre</t>
        </is>
      </c>
      <c r="H69" s="5" t="inlineStr">
        <is>
          <t>Curage des canaux d'assainissement amontTtiflt Sebou,</t>
        </is>
      </c>
      <c r="I69" s="7" t="n">
        <v>1000000</v>
      </c>
      <c r="J69" s="8" t="inlineStr">
        <is>
          <t>ml</t>
        </is>
      </c>
      <c r="K69" s="9" t="n">
        <v>500</v>
      </c>
      <c r="L69" s="51" t="n"/>
      <c r="M69" s="52">
        <f>'S28'!M69+L69</f>
        <v/>
      </c>
      <c r="N69" s="53">
        <f>IFERROR(M69/K69,0)</f>
        <v/>
      </c>
      <c r="O69" s="54">
        <f>'S28'!N69</f>
        <v/>
      </c>
      <c r="P69" s="53">
        <f>N69-O69</f>
        <v/>
      </c>
      <c r="Q69" s="32" t="n"/>
      <c r="R69" s="32" t="n"/>
      <c r="S69" s="32" t="n"/>
      <c r="T69" s="55" t="n"/>
      <c r="U69" s="54">
        <f>'S28'!T69</f>
        <v/>
      </c>
      <c r="V69" s="53">
        <f>T69-U69</f>
        <v/>
      </c>
      <c r="W69" s="53">
        <f>N69-T69</f>
        <v/>
      </c>
      <c r="X69" s="34" t="n"/>
    </row>
    <row r="70" ht="22" customHeight="1">
      <c r="B70" s="10" t="n">
        <v>66</v>
      </c>
      <c r="C70" s="14" t="inlineStr">
        <is>
          <t>Kénitra</t>
        </is>
      </c>
      <c r="D70" s="10" t="inlineStr">
        <is>
          <t>Oulad SLAMA</t>
        </is>
      </c>
      <c r="E70" s="10" t="inlineStr">
        <is>
          <t>50-23</t>
        </is>
      </c>
      <c r="F70" s="10" t="inlineStr">
        <is>
          <t>Entretien et réparation du réseau d'assainissement et de drainage</t>
        </is>
      </c>
      <c r="G70" s="10" t="inlineStr">
        <is>
          <t>Travaux de curage des canaux en terre</t>
        </is>
      </c>
      <c r="H70" s="10" t="inlineStr">
        <is>
          <t>Curage des canaux d'assainissement debouche Tiflt aval,</t>
        </is>
      </c>
      <c r="I70" s="11" t="n">
        <v>1000000</v>
      </c>
      <c r="J70" s="12" t="inlineStr">
        <is>
          <t>ml</t>
        </is>
      </c>
      <c r="K70" s="13" t="n">
        <v>500</v>
      </c>
      <c r="L70" s="51" t="n"/>
      <c r="M70" s="56">
        <f>'S28'!M70+L70</f>
        <v/>
      </c>
      <c r="N70" s="57">
        <f>IFERROR(M70/K70,0)</f>
        <v/>
      </c>
      <c r="O70" s="58">
        <f>'S28'!N70</f>
        <v/>
      </c>
      <c r="P70" s="57">
        <f>N70-O70</f>
        <v/>
      </c>
      <c r="Q70" s="32" t="n"/>
      <c r="R70" s="32" t="n"/>
      <c r="S70" s="32" t="n"/>
      <c r="T70" s="55" t="n"/>
      <c r="U70" s="58">
        <f>'S28'!T70</f>
        <v/>
      </c>
      <c r="V70" s="57">
        <f>T70-U70</f>
        <v/>
      </c>
      <c r="W70" s="57">
        <f>N70-T70</f>
        <v/>
      </c>
      <c r="X70" s="34" t="n"/>
    </row>
    <row r="71" ht="22" customHeight="1">
      <c r="B71" s="5" t="n">
        <v>67</v>
      </c>
      <c r="C71" s="14" t="inlineStr">
        <is>
          <t>Kénitra</t>
        </is>
      </c>
      <c r="D71" s="5" t="inlineStr">
        <is>
          <t>BHARA Oulad AYAD</t>
        </is>
      </c>
      <c r="E71" s="5" t="inlineStr">
        <is>
          <t>50-23</t>
        </is>
      </c>
      <c r="F71" s="5" t="inlineStr">
        <is>
          <t>Entretien et réparation du réseau d'assainissement et de drainage</t>
        </is>
      </c>
      <c r="G71" s="5" t="inlineStr">
        <is>
          <t>Travaux de curage des canaux en terre</t>
        </is>
      </c>
      <c r="H71" s="5" t="inlineStr">
        <is>
          <t>Curage des canaux d'assainissement canal nador bas et haut segmet,</t>
        </is>
      </c>
      <c r="I71" s="7" t="n">
        <v>6600000</v>
      </c>
      <c r="J71" s="8" t="inlineStr">
        <is>
          <t>ml</t>
        </is>
      </c>
      <c r="K71" s="9" t="n">
        <v>3300</v>
      </c>
      <c r="L71" s="51" t="n"/>
      <c r="M71" s="52">
        <f>'S28'!M71+L71</f>
        <v/>
      </c>
      <c r="N71" s="53">
        <f>IFERROR(M71/K71,0)</f>
        <v/>
      </c>
      <c r="O71" s="54">
        <f>'S28'!N71</f>
        <v/>
      </c>
      <c r="P71" s="53">
        <f>N71-O71</f>
        <v/>
      </c>
      <c r="Q71" s="32" t="n"/>
      <c r="R71" s="32" t="n"/>
      <c r="S71" s="32" t="n"/>
      <c r="T71" s="55" t="n"/>
      <c r="U71" s="54">
        <f>'S28'!T71</f>
        <v/>
      </c>
      <c r="V71" s="53">
        <f>T71-U71</f>
        <v/>
      </c>
      <c r="W71" s="53">
        <f>N71-T71</f>
        <v/>
      </c>
      <c r="X71" s="34" t="n"/>
    </row>
    <row r="72" ht="22" customHeight="1">
      <c r="B72" s="10" t="n">
        <v>68</v>
      </c>
      <c r="C72" s="15" t="inlineStr">
        <is>
          <t>Sidi Slimane</t>
        </is>
      </c>
      <c r="D72" s="10" t="inlineStr">
        <is>
          <t>OULED HCEINE</t>
        </is>
      </c>
      <c r="E72" s="10" t="inlineStr">
        <is>
          <t>50-23</t>
        </is>
      </c>
      <c r="F72" s="10" t="inlineStr">
        <is>
          <t>Entretien et réparation du réseau d'assainissement et de drainage</t>
        </is>
      </c>
      <c r="G72" s="10" t="inlineStr">
        <is>
          <t>Travaux de curage des canaux en terre</t>
        </is>
      </c>
      <c r="H72" s="10" t="inlineStr">
        <is>
          <t>Curage des collecteurs d'assainissement du secteur EST4.</t>
        </is>
      </c>
      <c r="I72" s="11" t="n">
        <v>1805475</v>
      </c>
      <c r="J72" s="12" t="inlineStr">
        <is>
          <t>ml</t>
        </is>
      </c>
      <c r="K72" s="13" t="n">
        <v>903</v>
      </c>
      <c r="L72" s="51" t="n"/>
      <c r="M72" s="56">
        <f>'S28'!M72+L72</f>
        <v/>
      </c>
      <c r="N72" s="57">
        <f>IFERROR(M72/K72,0)</f>
        <v/>
      </c>
      <c r="O72" s="58">
        <f>'S28'!N72</f>
        <v/>
      </c>
      <c r="P72" s="57">
        <f>N72-O72</f>
        <v/>
      </c>
      <c r="Q72" s="32" t="n"/>
      <c r="R72" s="32" t="n"/>
      <c r="S72" s="32" t="n"/>
      <c r="T72" s="55" t="n"/>
      <c r="U72" s="58">
        <f>'S28'!T72</f>
        <v/>
      </c>
      <c r="V72" s="57">
        <f>T72-U72</f>
        <v/>
      </c>
      <c r="W72" s="57">
        <f>N72-T72</f>
        <v/>
      </c>
      <c r="X72" s="34" t="n"/>
    </row>
    <row r="73" ht="22" customHeight="1">
      <c r="B73" s="5" t="n">
        <v>69</v>
      </c>
      <c r="C73" s="15" t="inlineStr">
        <is>
          <t>Sidi Slimane</t>
        </is>
      </c>
      <c r="D73" s="5" t="inlineStr">
        <is>
          <t>OULED HCEINE</t>
        </is>
      </c>
      <c r="E73" s="5" t="inlineStr">
        <is>
          <t>50-23</t>
        </is>
      </c>
      <c r="F73" s="5" t="inlineStr">
        <is>
          <t>Entretien et réparation du réseau d'assainissement et de drainage</t>
        </is>
      </c>
      <c r="G73" s="5" t="inlineStr">
        <is>
          <t>Travaux de curage des canaux en terre</t>
        </is>
      </c>
      <c r="H73" s="5" t="inlineStr">
        <is>
          <t>Curage du canal d'assainissement Tihli central.</t>
        </is>
      </c>
      <c r="I73" s="7" t="n">
        <v>2587200</v>
      </c>
      <c r="J73" s="8" t="inlineStr">
        <is>
          <t>ml</t>
        </is>
      </c>
      <c r="K73" s="9" t="n">
        <v>1294</v>
      </c>
      <c r="L73" s="51" t="n"/>
      <c r="M73" s="52">
        <f>'S28'!M73+L73</f>
        <v/>
      </c>
      <c r="N73" s="53">
        <f>IFERROR(M73/K73,0)</f>
        <v/>
      </c>
      <c r="O73" s="54">
        <f>'S28'!N73</f>
        <v/>
      </c>
      <c r="P73" s="53">
        <f>N73-O73</f>
        <v/>
      </c>
      <c r="Q73" s="32" t="n"/>
      <c r="R73" s="32" t="n"/>
      <c r="S73" s="32" t="n"/>
      <c r="T73" s="55" t="n"/>
      <c r="U73" s="54">
        <f>'S28'!T73</f>
        <v/>
      </c>
      <c r="V73" s="53">
        <f>T73-U73</f>
        <v/>
      </c>
      <c r="W73" s="53">
        <f>N73-T73</f>
        <v/>
      </c>
      <c r="X73" s="34" t="n"/>
    </row>
    <row r="74" ht="22" customHeight="1">
      <c r="B74" s="10" t="n">
        <v>70</v>
      </c>
      <c r="C74" s="15" t="inlineStr">
        <is>
          <t>Sidi Slimane</t>
        </is>
      </c>
      <c r="D74" s="10" t="inlineStr">
        <is>
          <t>OULED HCEINE</t>
        </is>
      </c>
      <c r="E74" s="10" t="inlineStr">
        <is>
          <t>40-21</t>
        </is>
      </c>
      <c r="F74" s="10" t="inlineStr">
        <is>
          <t>Travaux de pistes</t>
        </is>
      </c>
      <c r="G74" s="10" t="inlineStr">
        <is>
          <t>Travaux de réhabilitation des pistes agricoles</t>
        </is>
      </c>
      <c r="H74" s="10" t="inlineStr">
        <is>
          <t>Entretien des pistes agricoles</t>
        </is>
      </c>
      <c r="I74" s="11" t="n">
        <v>3500000</v>
      </c>
      <c r="J74" s="12" t="inlineStr">
        <is>
          <t>km</t>
        </is>
      </c>
      <c r="K74" s="13" t="n">
        <v>7</v>
      </c>
      <c r="L74" s="51" t="n"/>
      <c r="M74" s="56">
        <f>'S28'!M74+L74</f>
        <v/>
      </c>
      <c r="N74" s="57">
        <f>IFERROR(M74/K74,0)</f>
        <v/>
      </c>
      <c r="O74" s="58">
        <f>'S28'!N74</f>
        <v/>
      </c>
      <c r="P74" s="57">
        <f>N74-O74</f>
        <v/>
      </c>
      <c r="Q74" s="32" t="n"/>
      <c r="R74" s="32" t="n"/>
      <c r="S74" s="32" t="n"/>
      <c r="T74" s="55" t="n"/>
      <c r="U74" s="58">
        <f>'S28'!T74</f>
        <v/>
      </c>
      <c r="V74" s="57">
        <f>T74-U74</f>
        <v/>
      </c>
      <c r="W74" s="57">
        <f>N74-T74</f>
        <v/>
      </c>
      <c r="X74" s="34" t="n"/>
    </row>
    <row r="75" ht="22" customHeight="1">
      <c r="B75" s="5" t="n">
        <v>71</v>
      </c>
      <c r="C75" s="15" t="inlineStr">
        <is>
          <t>Sidi Slimane</t>
        </is>
      </c>
      <c r="D75" s="5" t="inlineStr">
        <is>
          <t>OULED HCEINE</t>
        </is>
      </c>
      <c r="E75" s="5" t="inlineStr">
        <is>
          <t>50-21</t>
        </is>
      </c>
      <c r="F75" s="5" t="inlineStr">
        <is>
          <t>Entretien et réparation des stations de pompage</t>
        </is>
      </c>
      <c r="G75" s="5" t="inlineStr">
        <is>
          <t>Travaux de réparation des équipements hydromécaniques et éléctriques et entretien de la partie génie civil des stations de pompage.</t>
        </is>
      </c>
      <c r="H75" s="5" t="inlineStr">
        <is>
          <t>Démontage et expertise des roues des  pompes principaux et pompes a vide de la station EST4 et P11/2.
Changement des roulements, tresses et organes d’effectués de la station EST4 et P11/2
Changement deux débitmètre Ø 1200 mm de la station EST4 et un débimétre de la station P11/2.
Changement des capteurs de niveau inondés.
Révision et réparation des moteurs des vannes motorisées inondées.
changement de six contrôleurs de débits DW181 inondés.
Un capteur de débitmètre inondé nécessitent un diagnostic VEGASON  .
Entretien de l'éclairage du local de vide et bâche d’aspiration inondé de la station EST4 et la partie de l’éclairage du local des pompes inondées de la station P11/2.
Pose de gabions et recouvrement du talus par matelas Reno des stations de pompage P11/2</t>
        </is>
      </c>
      <c r="I75" s="7" t="n">
        <v>870000</v>
      </c>
      <c r="J75" s="8" t="inlineStr">
        <is>
          <t>U</t>
        </is>
      </c>
      <c r="K75" s="9" t="n">
        <v>4</v>
      </c>
      <c r="L75" s="51" t="n"/>
      <c r="M75" s="52">
        <f>'S28'!M75+L75</f>
        <v/>
      </c>
      <c r="N75" s="53">
        <f>IFERROR(M75/K75,0)</f>
        <v/>
      </c>
      <c r="O75" s="54">
        <f>'S28'!N75</f>
        <v/>
      </c>
      <c r="P75" s="53">
        <f>N75-O75</f>
        <v/>
      </c>
      <c r="Q75" s="32" t="n"/>
      <c r="R75" s="32" t="n"/>
      <c r="S75" s="32" t="n"/>
      <c r="T75" s="55" t="n"/>
      <c r="U75" s="54">
        <f>'S28'!T75</f>
        <v/>
      </c>
      <c r="V75" s="53">
        <f>T75-U75</f>
        <v/>
      </c>
      <c r="W75" s="53">
        <f>N75-T75</f>
        <v/>
      </c>
      <c r="X75" s="34" t="n"/>
    </row>
    <row r="76" ht="22" customHeight="1">
      <c r="B76" s="10" t="n">
        <v>72</v>
      </c>
      <c r="C76" s="15" t="inlineStr">
        <is>
          <t>Sidi Slimane</t>
        </is>
      </c>
      <c r="D76" s="10" t="inlineStr">
        <is>
          <t>OULED HCEINE</t>
        </is>
      </c>
      <c r="E76" s="10" t="inlineStr">
        <is>
          <t>50-23</t>
        </is>
      </c>
      <c r="F76" s="10" t="inlineStr">
        <is>
          <t>Entretien et réparation du réseau d'assainissement et de drainage</t>
        </is>
      </c>
      <c r="G76" s="10" t="inlineStr">
        <is>
          <t>Travaux de curage des prises des stations de pompage.</t>
        </is>
      </c>
      <c r="H76" s="10" t="inlineStr">
        <is>
          <t>Curage des siphones des station de pompage EST2 et P11/2.</t>
        </is>
      </c>
      <c r="I76" s="11" t="n">
        <v>500000</v>
      </c>
      <c r="J76" s="12" t="inlineStr">
        <is>
          <t>ml</t>
        </is>
      </c>
      <c r="K76" s="13" t="n">
        <v>167</v>
      </c>
      <c r="L76" s="51" t="n"/>
      <c r="M76" s="56">
        <f>'S28'!M76+L76</f>
        <v/>
      </c>
      <c r="N76" s="57">
        <f>IFERROR(M76/K76,0)</f>
        <v/>
      </c>
      <c r="O76" s="58">
        <f>'S28'!N76</f>
        <v/>
      </c>
      <c r="P76" s="57">
        <f>N76-O76</f>
        <v/>
      </c>
      <c r="Q76" s="32" t="n"/>
      <c r="R76" s="32" t="n"/>
      <c r="S76" s="32" t="n"/>
      <c r="T76" s="55" t="n"/>
      <c r="U76" s="58">
        <f>'S28'!T76</f>
        <v/>
      </c>
      <c r="V76" s="57">
        <f>T76-U76</f>
        <v/>
      </c>
      <c r="W76" s="57">
        <f>N76-T76</f>
        <v/>
      </c>
      <c r="X76" s="34" t="n"/>
    </row>
    <row r="77" ht="26" customHeight="1">
      <c r="B77" s="16" t="inlineStr">
        <is>
          <t>TOTAL</t>
        </is>
      </c>
      <c r="C77" s="16" t="n"/>
      <c r="D77" s="16" t="n"/>
      <c r="E77" s="16" t="n"/>
      <c r="F77" s="16" t="n"/>
      <c r="G77" s="16" t="n"/>
      <c r="H77" s="16" t="n"/>
      <c r="I77" s="17">
        <f>SUM(I5:I76)</f>
        <v/>
      </c>
      <c r="J77" s="16" t="n"/>
      <c r="K77" s="16" t="n"/>
      <c r="L77" s="59">
        <f>SUM(L5:L76)</f>
        <v/>
      </c>
      <c r="M77" s="59">
        <f>SUM(M5:M76)</f>
        <v/>
      </c>
      <c r="N77" s="60">
        <f>IFERROR(SUMPRODUCT(N5:N76,I5:I76)/I77,0)</f>
        <v/>
      </c>
      <c r="O77" s="60">
        <f>IFERROR(SUMPRODUCT(O5:O76,I5:I76)/I77,0)</f>
        <v/>
      </c>
      <c r="P77" s="60">
        <f>N77-O77</f>
        <v/>
      </c>
      <c r="Q77" s="17">
        <f>SUM(Q5:Q76)</f>
        <v/>
      </c>
      <c r="R77" s="17">
        <f>SUM(R5:R76)</f>
        <v/>
      </c>
      <c r="S77" s="17">
        <f>SUM(S5:S76)</f>
        <v/>
      </c>
      <c r="T77" s="60">
        <f>IFERROR(SUMPRODUCT(T5:T76,I5:I76)/I77,0)</f>
        <v/>
      </c>
      <c r="U77" s="60">
        <f>IFERROR(SUMPRODUCT(U5:U76,I5:I76)/I77,0)</f>
        <v/>
      </c>
      <c r="V77" s="60">
        <f>T77-U77</f>
        <v/>
      </c>
      <c r="W77" s="60">
        <f>N77-T77</f>
        <v/>
      </c>
      <c r="X77" s="16" t="n"/>
    </row>
  </sheetData>
  <sheetProtection selectLockedCells="0" selectUnlockedCells="0" sheet="1" objects="0" insertRows="1" insertHyperlinks="1" autoFilter="1" scenarios="0" formatColumns="1" deleteColumns="1" insertColumns="1" pivotTables="1" deleteRows="1" formatCells="1" formatRows="1" sort="1" password="CBBE"/>
  <mergeCells count="6">
    <mergeCell ref="E3:I3"/>
    <mergeCell ref="W3:X3"/>
    <mergeCell ref="J3:P3"/>
    <mergeCell ref="B2:X2"/>
    <mergeCell ref="C3:D3"/>
    <mergeCell ref="Q3:V3"/>
  </mergeCells>
  <conditionalFormatting sqref="P5:P76">
    <cfRule type="cellIs" priority="1" operator="greaterThan" dxfId="0">
      <formula>0</formula>
    </cfRule>
    <cfRule type="cellIs" priority="2" operator="lessThan" dxfId="1">
      <formula>0</formula>
    </cfRule>
  </conditionalFormatting>
  <conditionalFormatting sqref="V5:V76">
    <cfRule type="cellIs" priority="3" operator="greaterThan" dxfId="0">
      <formula>0</formula>
    </cfRule>
    <cfRule type="cellIs" priority="4" operator="lessThan" dxfId="1">
      <formula>0</formula>
    </cfRule>
  </conditionalFormatting>
  <conditionalFormatting sqref="W5:W76">
    <cfRule type="cellIs" priority="5" operator="greaterThan" dxfId="0">
      <formula>0.05</formula>
    </cfRule>
    <cfRule type="cellIs" priority="6" operator="lessThan" dxfId="1">
      <formula>-0.05</formula>
    </cfRule>
    <cfRule type="cellIs" priority="7" operator="between" dxfId="2">
      <formula>-0.05</formula>
      <formula>0.05</formula>
    </cfRule>
  </conditionalFormatting>
  <conditionalFormatting sqref="N5:N76">
    <cfRule type="dataBar" priority="8">
      <dataBar showValue="1">
        <cfvo type="num" val="0"/>
        <cfvo type="num" val="1"/>
        <color rgb="001B7D46"/>
      </dataBar>
    </cfRule>
  </conditionalFormatting>
  <conditionalFormatting sqref="T5:T76">
    <cfRule type="dataBar" priority="9">
      <dataBar showValue="1">
        <cfvo type="num" val="0"/>
        <cfvo type="num" val="1"/>
        <color rgb="00D4820A"/>
      </dataBar>
    </cfRule>
  </conditionalFormatting>
  <dataValidations count="2">
    <dataValidation sqref="T5:T76" showDropDown="0" showInputMessage="0" showErrorMessage="0" allowBlank="1" errorTitle="Invalide" error="Valeur entre 0% et 100%" promptTitle="Avancement %" prompt="Entrez 0.25 pour 25%" type="decimal" operator="between">
      <formula1>0</formula1>
      <formula2>1</formula2>
    </dataValidation>
    <dataValidation sqref="L5:L76" showDropDown="0" showInputMessage="0" showErrorMessage="0" allowBlank="1" errorTitle="Invalide" error="Quantité doit être &gt;= 0" promptTitle="Qté Réalisée" prompt="Entrez la quantité réalisée cette semaine" type="decimal" operator="greaterThanOrEqual">
      <formula1>0</formula1>
    </dataValidation>
  </dataValidations>
  <pageMargins left="0.75" right="0.75" top="1" bottom="1" header="0.5" footer="0.5"/>
</worksheet>
</file>

<file path=xl/worksheets/sheet10.xml><?xml version="1.0" encoding="utf-8"?>
<worksheet xmlns="http://schemas.openxmlformats.org/spreadsheetml/2006/main">
  <sheetPr>
    <tabColor rgb="00C55A11"/>
    <outlinePr summaryBelow="1" summaryRight="1"/>
    <pageSetUpPr/>
  </sheetPr>
  <dimension ref="B2:X77"/>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5" customWidth="1" min="2" max="2"/>
    <col width="14" customWidth="1" min="3" max="3"/>
    <col width="18" customWidth="1" min="4" max="4"/>
    <col width="9" customWidth="1" min="5" max="5"/>
    <col width="32" customWidth="1" min="6" max="6"/>
    <col width="28" customWidth="1" min="7" max="7"/>
    <col width="34" customWidth="1" min="8" max="8"/>
    <col width="14" customWidth="1" min="9" max="9"/>
    <col width="8" customWidth="1" min="10" max="10"/>
    <col width="12" customWidth="1" min="11" max="11"/>
    <col width="14" customWidth="1" min="12" max="12"/>
    <col width="14" customWidth="1" min="13" max="13"/>
    <col width="14" customWidth="1" min="14" max="14"/>
    <col width="14" customWidth="1" min="15" max="15"/>
    <col width="14" customWidth="1" min="16" max="16"/>
    <col width="16" customWidth="1" min="17" max="17"/>
    <col width="16" customWidth="1" min="18" max="18"/>
    <col width="16" customWidth="1" min="19" max="19"/>
    <col width="14" customWidth="1" min="20" max="20"/>
    <col width="14" customWidth="1" min="21" max="21"/>
    <col width="14" customWidth="1" min="22" max="22"/>
    <col width="14" customWidth="1" min="23" max="23"/>
    <col width="24" customWidth="1" min="24" max="24"/>
  </cols>
  <sheetData>
    <row r="1" ht="15" customHeight="1"/>
    <row r="2" ht="32" customHeight="1">
      <c r="B2" s="1" t="inlineStr">
        <is>
          <t>Suivi Hebdomadaire - Semaine 30 (20/07 - 26/07) — Juillet 2026 - Exécution Physique et Financière</t>
        </is>
      </c>
    </row>
    <row r="3" ht="22" customHeight="1">
      <c r="B3" s="20" t="inlineStr">
        <is>
          <t>Date :</t>
        </is>
      </c>
      <c r="C3" s="49" t="n">
        <v>46223</v>
      </c>
      <c r="D3" s="50" t="n"/>
      <c r="E3" s="22" t="inlineStr">
        <is>
          <t>IDENTIFICATION</t>
        </is>
      </c>
      <c r="J3" s="23" t="inlineStr">
        <is>
          <t>INDICATEURS PHYSIQUES</t>
        </is>
      </c>
      <c r="Q3" s="24" t="inlineStr">
        <is>
          <t>INDICATEURS FINANCIERS</t>
        </is>
      </c>
      <c r="W3" s="25" t="inlineStr">
        <is>
          <t>SYNTHÈSE</t>
        </is>
      </c>
    </row>
    <row r="4" ht="28" customHeight="1">
      <c r="B4" s="4" t="inlineStr">
        <is>
          <t>N°</t>
        </is>
      </c>
      <c r="C4" s="4" t="inlineStr">
        <is>
          <t>Province</t>
        </is>
      </c>
      <c r="D4" s="4" t="inlineStr">
        <is>
          <t>Commune</t>
        </is>
      </c>
      <c r="E4" s="4" t="inlineStr">
        <is>
          <t>Rubrique</t>
        </is>
      </c>
      <c r="F4" s="4" t="inlineStr">
        <is>
          <t>Intitulé Rubrique</t>
        </is>
      </c>
      <c r="G4" s="4" t="inlineStr">
        <is>
          <t>Projet</t>
        </is>
      </c>
      <c r="H4" s="4" t="inlineStr">
        <is>
          <t>Consistance</t>
        </is>
      </c>
      <c r="I4" s="4" t="inlineStr">
        <is>
          <t>Coût Total (DH)</t>
        </is>
      </c>
      <c r="J4" s="26" t="inlineStr">
        <is>
          <t>Unité</t>
        </is>
      </c>
      <c r="K4" s="26" t="inlineStr">
        <is>
          <t>Qté Prévue</t>
        </is>
      </c>
      <c r="L4" s="26" t="inlineStr">
        <is>
          <t>Qté Réalisée Sem.</t>
        </is>
      </c>
      <c r="M4" s="26" t="inlineStr">
        <is>
          <t>Qté Réalisée Cumul</t>
        </is>
      </c>
      <c r="N4" s="26" t="inlineStr">
        <is>
          <t>Avancement Physique %</t>
        </is>
      </c>
      <c r="O4" s="26" t="inlineStr">
        <is>
          <t>% Phys. Sem. Préc.</t>
        </is>
      </c>
      <c r="P4" s="26" t="inlineStr">
        <is>
          <t>Accroissement Phys. %</t>
        </is>
      </c>
      <c r="Q4" s="27" t="inlineStr">
        <is>
          <t>Montant Décaissé (DH)</t>
        </is>
      </c>
      <c r="R4" s="27" t="inlineStr">
        <is>
          <t>Montant Payé (DH)</t>
        </is>
      </c>
      <c r="S4" s="27" t="inlineStr">
        <is>
          <t>Montant Ordonné (DH)</t>
        </is>
      </c>
      <c r="T4" s="27" t="inlineStr">
        <is>
          <t>Avancement Financier %</t>
        </is>
      </c>
      <c r="U4" s="27" t="inlineStr">
        <is>
          <t>% Fin. Sem. Préc.</t>
        </is>
      </c>
      <c r="V4" s="27" t="inlineStr">
        <is>
          <t>Accroissement Fin. %</t>
        </is>
      </c>
      <c r="W4" s="28" t="inlineStr">
        <is>
          <t>Écart Phys.-Fin.</t>
        </is>
      </c>
      <c r="X4" s="28" t="inlineStr">
        <is>
          <t>Observations</t>
        </is>
      </c>
    </row>
    <row r="5" ht="22" customHeight="1">
      <c r="B5" s="5" t="n">
        <v>1</v>
      </c>
      <c r="C5" s="6" t="inlineStr">
        <is>
          <t>Sidi Kacem</t>
        </is>
      </c>
      <c r="D5" s="5" t="inlineStr">
        <is>
          <t>KHENICHET</t>
        </is>
      </c>
      <c r="E5" s="5" t="inlineStr">
        <is>
          <t>50-23</t>
        </is>
      </c>
      <c r="F5" s="5" t="inlineStr">
        <is>
          <t>Entretien et réparation du réseau d'assainissement et de drainage</t>
        </is>
      </c>
      <c r="G5" s="5" t="inlineStr">
        <is>
          <t>Travaux de curage des canaux en terre</t>
        </is>
      </c>
      <c r="H5" s="5" t="inlineStr">
        <is>
          <t>Curage des collecteurs d'assainissement du secteur EST2</t>
        </is>
      </c>
      <c r="I5" s="7" t="n">
        <v>2091568</v>
      </c>
      <c r="J5" s="8" t="inlineStr">
        <is>
          <t>ml</t>
        </is>
      </c>
      <c r="K5" s="9" t="n">
        <v>1046</v>
      </c>
      <c r="L5" s="51" t="n"/>
      <c r="M5" s="52">
        <f>'S29'!M5+L5</f>
        <v/>
      </c>
      <c r="N5" s="53">
        <f>IFERROR(M5/K5,0)</f>
        <v/>
      </c>
      <c r="O5" s="54">
        <f>'S29'!N5</f>
        <v/>
      </c>
      <c r="P5" s="53">
        <f>N5-O5</f>
        <v/>
      </c>
      <c r="Q5" s="32" t="n"/>
      <c r="R5" s="32" t="n"/>
      <c r="S5" s="32" t="n"/>
      <c r="T5" s="55" t="n"/>
      <c r="U5" s="54">
        <f>'S29'!T5</f>
        <v/>
      </c>
      <c r="V5" s="53">
        <f>T5-U5</f>
        <v/>
      </c>
      <c r="W5" s="53">
        <f>N5-T5</f>
        <v/>
      </c>
      <c r="X5" s="34" t="n"/>
    </row>
    <row r="6" ht="22" customHeight="1">
      <c r="B6" s="10" t="n">
        <v>2</v>
      </c>
      <c r="C6" s="6" t="inlineStr">
        <is>
          <t>Sidi Kacem</t>
        </is>
      </c>
      <c r="D6" s="10" t="inlineStr">
        <is>
          <t>KHENICHET</t>
        </is>
      </c>
      <c r="E6" s="10" t="inlineStr">
        <is>
          <t>40-21</t>
        </is>
      </c>
      <c r="F6" s="10" t="inlineStr">
        <is>
          <t>Travaux de pistes</t>
        </is>
      </c>
      <c r="G6" s="10" t="inlineStr">
        <is>
          <t>Travaux de réhabilitation des pistes agricoles</t>
        </is>
      </c>
      <c r="H6" s="10" t="inlineStr">
        <is>
          <t>Entretien des pistes agricoles Douar Nouagra et Douar ouled Salem</t>
        </is>
      </c>
      <c r="I6" s="11" t="n">
        <v>78000</v>
      </c>
      <c r="J6" s="12" t="inlineStr">
        <is>
          <t>km</t>
        </is>
      </c>
      <c r="K6" s="13" t="n">
        <v>1</v>
      </c>
      <c r="L6" s="51" t="n"/>
      <c r="M6" s="56">
        <f>'S29'!M6+L6</f>
        <v/>
      </c>
      <c r="N6" s="57">
        <f>IFERROR(M6/K6,0)</f>
        <v/>
      </c>
      <c r="O6" s="58">
        <f>'S29'!N6</f>
        <v/>
      </c>
      <c r="P6" s="57">
        <f>N6-O6</f>
        <v/>
      </c>
      <c r="Q6" s="32" t="n"/>
      <c r="R6" s="32" t="n"/>
      <c r="S6" s="32" t="n"/>
      <c r="T6" s="55" t="n"/>
      <c r="U6" s="58">
        <f>'S29'!T6</f>
        <v/>
      </c>
      <c r="V6" s="57">
        <f>T6-U6</f>
        <v/>
      </c>
      <c r="W6" s="57">
        <f>N6-T6</f>
        <v/>
      </c>
      <c r="X6" s="34" t="n"/>
    </row>
    <row r="7" ht="22" customHeight="1">
      <c r="B7" s="5" t="n">
        <v>3</v>
      </c>
      <c r="C7" s="6" t="inlineStr">
        <is>
          <t>Sidi Kacem</t>
        </is>
      </c>
      <c r="D7" s="5" t="inlineStr">
        <is>
          <t>KHENICHET</t>
        </is>
      </c>
      <c r="E7" s="5" t="inlineStr">
        <is>
          <t>50-23</t>
        </is>
      </c>
      <c r="F7" s="5" t="inlineStr">
        <is>
          <t>Entretien et réparation du réseau d'assainissement et de drainage</t>
        </is>
      </c>
      <c r="G7" s="5" t="inlineStr">
        <is>
          <t>Curage des prises sur l’oued, bâche d’aspiration et bassin de régulation.</t>
        </is>
      </c>
      <c r="H7" s="5" t="inlineStr">
        <is>
          <t>Curage de la chambre des joints de démontage des siphonnes  de la station de pompage EST2.</t>
        </is>
      </c>
      <c r="I7" s="7" t="n">
        <v>126000</v>
      </c>
      <c r="J7" s="8" t="inlineStr">
        <is>
          <t>ml</t>
        </is>
      </c>
      <c r="K7" s="9" t="n">
        <v>42</v>
      </c>
      <c r="L7" s="51" t="n"/>
      <c r="M7" s="52">
        <f>'S29'!M7+L7</f>
        <v/>
      </c>
      <c r="N7" s="53">
        <f>IFERROR(M7/K7,0)</f>
        <v/>
      </c>
      <c r="O7" s="54">
        <f>'S29'!N7</f>
        <v/>
      </c>
      <c r="P7" s="53">
        <f>N7-O7</f>
        <v/>
      </c>
      <c r="Q7" s="32" t="n"/>
      <c r="R7" s="32" t="n"/>
      <c r="S7" s="32" t="n"/>
      <c r="T7" s="55" t="n"/>
      <c r="U7" s="54">
        <f>'S29'!T7</f>
        <v/>
      </c>
      <c r="V7" s="53">
        <f>T7-U7</f>
        <v/>
      </c>
      <c r="W7" s="53">
        <f>N7-T7</f>
        <v/>
      </c>
      <c r="X7" s="34" t="n"/>
    </row>
    <row r="8" ht="22" customHeight="1">
      <c r="B8" s="10" t="n">
        <v>4</v>
      </c>
      <c r="C8" s="6" t="inlineStr">
        <is>
          <t>Sidi Kacem</t>
        </is>
      </c>
      <c r="D8" s="10" t="inlineStr">
        <is>
          <t>KHENICHET</t>
        </is>
      </c>
      <c r="E8" s="10" t="inlineStr">
        <is>
          <t>50-21</t>
        </is>
      </c>
      <c r="F8" s="10" t="inlineStr">
        <is>
          <t>Entretien et réparation des stations de pompage</t>
        </is>
      </c>
      <c r="G8" s="10" t="inlineStr">
        <is>
          <t>Prestation de maintenance des débitmètres et leurs équipements annexes installés au niveau des station de pompage</t>
        </is>
      </c>
      <c r="H8" s="10" t="inlineStr">
        <is>
          <t>Changement trois débitmètre Ø 600mm inondés de la station de pompage EST 2 et deux capteurs VEGASON 62</t>
        </is>
      </c>
      <c r="I8" s="11" t="n">
        <v>165500</v>
      </c>
      <c r="J8" s="12" t="inlineStr">
        <is>
          <t>U</t>
        </is>
      </c>
      <c r="K8" s="13" t="n">
        <v>3</v>
      </c>
      <c r="L8" s="51" t="n"/>
      <c r="M8" s="56">
        <f>'S29'!M8+L8</f>
        <v/>
      </c>
      <c r="N8" s="57">
        <f>IFERROR(M8/K8,0)</f>
        <v/>
      </c>
      <c r="O8" s="58">
        <f>'S29'!N8</f>
        <v/>
      </c>
      <c r="P8" s="57">
        <f>N8-O8</f>
        <v/>
      </c>
      <c r="Q8" s="32" t="n"/>
      <c r="R8" s="32" t="n"/>
      <c r="S8" s="32" t="n"/>
      <c r="T8" s="55" t="n"/>
      <c r="U8" s="58">
        <f>'S29'!T8</f>
        <v/>
      </c>
      <c r="V8" s="57">
        <f>T8-U8</f>
        <v/>
      </c>
      <c r="W8" s="57">
        <f>N8-T8</f>
        <v/>
      </c>
      <c r="X8" s="34" t="n"/>
    </row>
    <row r="9" ht="22" customHeight="1">
      <c r="B9" s="5" t="n">
        <v>5</v>
      </c>
      <c r="C9" s="6" t="inlineStr">
        <is>
          <t>Sidi Kacem</t>
        </is>
      </c>
      <c r="D9" s="5" t="inlineStr">
        <is>
          <t>BIR TALEB</t>
        </is>
      </c>
      <c r="E9" s="5" t="inlineStr">
        <is>
          <t>50-23</t>
        </is>
      </c>
      <c r="F9" s="5" t="inlineStr">
        <is>
          <t>Entretien et réparation du réseau d'assainissement et de drainage</t>
        </is>
      </c>
      <c r="G9" s="5" t="inlineStr">
        <is>
          <t>Travaux de curage des canaux en terre</t>
        </is>
      </c>
      <c r="H9" s="5" t="inlineStr">
        <is>
          <t>Curage du canal d'assainisement Tihli Aval</t>
        </is>
      </c>
      <c r="I9" s="7" t="n">
        <v>1000000</v>
      </c>
      <c r="J9" s="8" t="inlineStr">
        <is>
          <t>ml</t>
        </is>
      </c>
      <c r="K9" s="9" t="n">
        <v>500</v>
      </c>
      <c r="L9" s="51" t="n"/>
      <c r="M9" s="52">
        <f>'S29'!M9+L9</f>
        <v/>
      </c>
      <c r="N9" s="53">
        <f>IFERROR(M9/K9,0)</f>
        <v/>
      </c>
      <c r="O9" s="54">
        <f>'S29'!N9</f>
        <v/>
      </c>
      <c r="P9" s="53">
        <f>N9-O9</f>
        <v/>
      </c>
      <c r="Q9" s="32" t="n"/>
      <c r="R9" s="32" t="n"/>
      <c r="S9" s="32" t="n"/>
      <c r="T9" s="55" t="n"/>
      <c r="U9" s="54">
        <f>'S29'!T9</f>
        <v/>
      </c>
      <c r="V9" s="53">
        <f>T9-U9</f>
        <v/>
      </c>
      <c r="W9" s="53">
        <f>N9-T9</f>
        <v/>
      </c>
      <c r="X9" s="34" t="n"/>
    </row>
    <row r="10" ht="22" customHeight="1">
      <c r="B10" s="10" t="n">
        <v>6</v>
      </c>
      <c r="C10" s="6" t="inlineStr">
        <is>
          <t>Sidi Kacem</t>
        </is>
      </c>
      <c r="D10" s="10" t="inlineStr">
        <is>
          <t>BIR TALEB</t>
        </is>
      </c>
      <c r="E10" s="10" t="inlineStr">
        <is>
          <t>50-23</t>
        </is>
      </c>
      <c r="F10" s="10" t="inlineStr">
        <is>
          <t>Entretien et réparation du réseau d'assainissement et de drainage</t>
        </is>
      </c>
      <c r="G10" s="10" t="inlineStr"/>
      <c r="H10" s="10" t="inlineStr">
        <is>
          <t>Curage des collecteurs d'assainissement du secteur P11/1</t>
        </is>
      </c>
      <c r="I10" s="11" t="n">
        <v>846731</v>
      </c>
      <c r="J10" s="12" t="inlineStr">
        <is>
          <t>ml</t>
        </is>
      </c>
      <c r="K10" s="13" t="n">
        <v>423</v>
      </c>
      <c r="L10" s="51" t="n"/>
      <c r="M10" s="56">
        <f>'S29'!M10+L10</f>
        <v/>
      </c>
      <c r="N10" s="57">
        <f>IFERROR(M10/K10,0)</f>
        <v/>
      </c>
      <c r="O10" s="58">
        <f>'S29'!N10</f>
        <v/>
      </c>
      <c r="P10" s="57">
        <f>N10-O10</f>
        <v/>
      </c>
      <c r="Q10" s="32" t="n"/>
      <c r="R10" s="32" t="n"/>
      <c r="S10" s="32" t="n"/>
      <c r="T10" s="55" t="n"/>
      <c r="U10" s="58">
        <f>'S29'!T10</f>
        <v/>
      </c>
      <c r="V10" s="57">
        <f>T10-U10</f>
        <v/>
      </c>
      <c r="W10" s="57">
        <f>N10-T10</f>
        <v/>
      </c>
      <c r="X10" s="34" t="n"/>
    </row>
    <row r="11" ht="22" customHeight="1">
      <c r="B11" s="5" t="n">
        <v>7</v>
      </c>
      <c r="C11" s="6" t="inlineStr">
        <is>
          <t>Sidi Kacem</t>
        </is>
      </c>
      <c r="D11" s="5" t="inlineStr">
        <is>
          <t>BIR TALEB</t>
        </is>
      </c>
      <c r="E11" s="5" t="inlineStr">
        <is>
          <t>50-23</t>
        </is>
      </c>
      <c r="F11" s="5" t="inlineStr">
        <is>
          <t>Entretien et réparation du réseau d'assainissement et de drainage</t>
        </is>
      </c>
      <c r="G11" s="5" t="inlineStr">
        <is>
          <t>Curage des prises sur l’oued, bâche d’aspiration et bassin de régulation.</t>
        </is>
      </c>
      <c r="H11" s="5" t="inlineStr">
        <is>
          <t>Curage des prises sur l’oued de la station de pompage P11/1.</t>
        </is>
      </c>
      <c r="I11" s="7" t="n">
        <v>200000</v>
      </c>
      <c r="J11" s="8" t="inlineStr">
        <is>
          <t>ml</t>
        </is>
      </c>
      <c r="K11" s="9" t="n">
        <v>67</v>
      </c>
      <c r="L11" s="51" t="n"/>
      <c r="M11" s="52">
        <f>'S29'!M11+L11</f>
        <v/>
      </c>
      <c r="N11" s="53">
        <f>IFERROR(M11/K11,0)</f>
        <v/>
      </c>
      <c r="O11" s="54">
        <f>'S29'!N11</f>
        <v/>
      </c>
      <c r="P11" s="53">
        <f>N11-O11</f>
        <v/>
      </c>
      <c r="Q11" s="32" t="n"/>
      <c r="R11" s="32" t="n"/>
      <c r="S11" s="32" t="n"/>
      <c r="T11" s="55" t="n"/>
      <c r="U11" s="54">
        <f>'S29'!T11</f>
        <v/>
      </c>
      <c r="V11" s="53">
        <f>T11-U11</f>
        <v/>
      </c>
      <c r="W11" s="53">
        <f>N11-T11</f>
        <v/>
      </c>
      <c r="X11" s="34" t="n"/>
    </row>
    <row r="12" ht="22" customHeight="1">
      <c r="B12" s="10" t="n">
        <v>8</v>
      </c>
      <c r="C12" s="6" t="inlineStr">
        <is>
          <t>Sidi Kacem</t>
        </is>
      </c>
      <c r="D12" s="10" t="inlineStr">
        <is>
          <t>BIR TALEB</t>
        </is>
      </c>
      <c r="E12" s="10" t="inlineStr">
        <is>
          <t>50-21</t>
        </is>
      </c>
      <c r="F12" s="10" t="inlineStr">
        <is>
          <t>Entretien et réparation des stations de pompage</t>
        </is>
      </c>
      <c r="G12" s="10" t="inlineStr">
        <is>
          <t>Prestation de maintenance des débitmètres et leurs équipements annexes installés au niveau des station de pompage</t>
        </is>
      </c>
      <c r="H12" s="10" t="inlineStr">
        <is>
          <t>Changement trois débitmètre Ø 400mm inondés de la station de pompage P11/1</t>
        </is>
      </c>
      <c r="I12" s="11" t="n">
        <v>141900</v>
      </c>
      <c r="J12" s="12" t="inlineStr">
        <is>
          <t>U</t>
        </is>
      </c>
      <c r="K12" s="13" t="n">
        <v>3</v>
      </c>
      <c r="L12" s="51" t="n"/>
      <c r="M12" s="56">
        <f>'S29'!M12+L12</f>
        <v/>
      </c>
      <c r="N12" s="57">
        <f>IFERROR(M12/K12,0)</f>
        <v/>
      </c>
      <c r="O12" s="58">
        <f>'S29'!N12</f>
        <v/>
      </c>
      <c r="P12" s="57">
        <f>N12-O12</f>
        <v/>
      </c>
      <c r="Q12" s="32" t="n"/>
      <c r="R12" s="32" t="n"/>
      <c r="S12" s="32" t="n"/>
      <c r="T12" s="55" t="n"/>
      <c r="U12" s="58">
        <f>'S29'!T12</f>
        <v/>
      </c>
      <c r="V12" s="57">
        <f>T12-U12</f>
        <v/>
      </c>
      <c r="W12" s="57">
        <f>N12-T12</f>
        <v/>
      </c>
      <c r="X12" s="34" t="n"/>
    </row>
    <row r="13" ht="22" customHeight="1">
      <c r="B13" s="5" t="n">
        <v>9</v>
      </c>
      <c r="C13" s="6" t="inlineStr">
        <is>
          <t>Sidi Kacem</t>
        </is>
      </c>
      <c r="D13" s="5" t="inlineStr">
        <is>
          <t>BIR TALEB</t>
        </is>
      </c>
      <c r="E13" s="5" t="inlineStr">
        <is>
          <t>50-21</t>
        </is>
      </c>
      <c r="F13" s="5" t="inlineStr">
        <is>
          <t>Entretien et réparation des stations de pompage</t>
        </is>
      </c>
      <c r="G13" s="5" t="inlineStr">
        <is>
          <t>Prestations de maintenance et de réparation mécanique des pompes et des groupes motopompes submersibles des stations de pompage.</t>
        </is>
      </c>
      <c r="H13" s="5" t="inlineStr">
        <is>
          <t>Démontage et expertise des roues des  pompes principaux et pompes a vide de la station P11/1
Changement des roulements, tresses et organes d’effectués de la station P11/1</t>
        </is>
      </c>
      <c r="I13" s="7" t="n">
        <v>26700</v>
      </c>
      <c r="J13" s="8" t="inlineStr">
        <is>
          <t>U</t>
        </is>
      </c>
      <c r="K13" s="9" t="n">
        <v>1</v>
      </c>
      <c r="L13" s="51" t="n"/>
      <c r="M13" s="52">
        <f>'S29'!M13+L13</f>
        <v/>
      </c>
      <c r="N13" s="53">
        <f>IFERROR(M13/K13,0)</f>
        <v/>
      </c>
      <c r="O13" s="54">
        <f>'S29'!N13</f>
        <v/>
      </c>
      <c r="P13" s="53">
        <f>N13-O13</f>
        <v/>
      </c>
      <c r="Q13" s="32" t="n"/>
      <c r="R13" s="32" t="n"/>
      <c r="S13" s="32" t="n"/>
      <c r="T13" s="55" t="n"/>
      <c r="U13" s="54">
        <f>'S29'!T13</f>
        <v/>
      </c>
      <c r="V13" s="53">
        <f>T13-U13</f>
        <v/>
      </c>
      <c r="W13" s="53">
        <f>N13-T13</f>
        <v/>
      </c>
      <c r="X13" s="34" t="n"/>
    </row>
    <row r="14" ht="22" customHeight="1">
      <c r="B14" s="10" t="n">
        <v>10</v>
      </c>
      <c r="C14" s="6" t="inlineStr">
        <is>
          <t>Sidi Kacem</t>
        </is>
      </c>
      <c r="D14" s="10" t="inlineStr">
        <is>
          <t>BIR TALEB</t>
        </is>
      </c>
      <c r="E14" s="10" t="inlineStr">
        <is>
          <t>50-21</t>
        </is>
      </c>
      <c r="F14" s="10" t="inlineStr">
        <is>
          <t>Entretien et réparation des stations de pompage</t>
        </is>
      </c>
      <c r="G14" s="10" t="inlineStr">
        <is>
          <t>Stabilisation Berge oued</t>
        </is>
      </c>
      <c r="H14" s="10" t="inlineStr">
        <is>
          <t>Pose de  gabions et recouvrement du talus par matelas Reno des stations de pompage P11/1.</t>
        </is>
      </c>
      <c r="I14" s="11" t="n">
        <v>480000</v>
      </c>
      <c r="J14" s="12" t="inlineStr">
        <is>
          <t>m³</t>
        </is>
      </c>
      <c r="K14" s="13" t="n">
        <v>320</v>
      </c>
      <c r="L14" s="51" t="n"/>
      <c r="M14" s="56">
        <f>'S29'!M14+L14</f>
        <v/>
      </c>
      <c r="N14" s="57">
        <f>IFERROR(M14/K14,0)</f>
        <v/>
      </c>
      <c r="O14" s="58">
        <f>'S29'!N14</f>
        <v/>
      </c>
      <c r="P14" s="57">
        <f>N14-O14</f>
        <v/>
      </c>
      <c r="Q14" s="32" t="n"/>
      <c r="R14" s="32" t="n"/>
      <c r="S14" s="32" t="n"/>
      <c r="T14" s="55" t="n"/>
      <c r="U14" s="58">
        <f>'S29'!T14</f>
        <v/>
      </c>
      <c r="V14" s="57">
        <f>T14-U14</f>
        <v/>
      </c>
      <c r="W14" s="57">
        <f>N14-T14</f>
        <v/>
      </c>
      <c r="X14" s="34" t="n"/>
    </row>
    <row r="15" ht="22" customHeight="1">
      <c r="B15" s="5" t="n">
        <v>11</v>
      </c>
      <c r="C15" s="6" t="inlineStr">
        <is>
          <t>Sidi Kacem</t>
        </is>
      </c>
      <c r="D15" s="5" t="inlineStr">
        <is>
          <t>BIR TALEB</t>
        </is>
      </c>
      <c r="E15" s="5" t="inlineStr">
        <is>
          <t>50-21</t>
        </is>
      </c>
      <c r="F15" s="5" t="inlineStr">
        <is>
          <t>Entretien et réparation des stations de pompage</t>
        </is>
      </c>
      <c r="G15" s="5" t="inlineStr">
        <is>
          <t>Génie civile des locaux des stations de pompage.</t>
        </is>
      </c>
      <c r="H15" s="5" t="inlineStr">
        <is>
          <t>Expertise d’état et d’étanchéité des locaux pompes.
Renforcement d’étanchéité des locaux pompe sous niveau des oueds des stations de pompage P11/1.
Entretien des supports en béton des conduites d’aspiration.</t>
        </is>
      </c>
      <c r="I15" s="7" t="n">
        <v>300000</v>
      </c>
      <c r="J15" s="8" t="inlineStr">
        <is>
          <t>U</t>
        </is>
      </c>
      <c r="K15" s="9" t="n">
        <v>1</v>
      </c>
      <c r="L15" s="51" t="n"/>
      <c r="M15" s="52">
        <f>'S29'!M15+L15</f>
        <v/>
      </c>
      <c r="N15" s="53">
        <f>IFERROR(M15/K15,0)</f>
        <v/>
      </c>
      <c r="O15" s="54">
        <f>'S29'!N15</f>
        <v/>
      </c>
      <c r="P15" s="53">
        <f>N15-O15</f>
        <v/>
      </c>
      <c r="Q15" s="32" t="n"/>
      <c r="R15" s="32" t="n"/>
      <c r="S15" s="32" t="n"/>
      <c r="T15" s="55" t="n"/>
      <c r="U15" s="54">
        <f>'S29'!T15</f>
        <v/>
      </c>
      <c r="V15" s="53">
        <f>T15-U15</f>
        <v/>
      </c>
      <c r="W15" s="53">
        <f>N15-T15</f>
        <v/>
      </c>
      <c r="X15" s="34" t="n"/>
    </row>
    <row r="16" ht="22" customHeight="1">
      <c r="B16" s="10" t="n">
        <v>12</v>
      </c>
      <c r="C16" s="6" t="inlineStr">
        <is>
          <t>Sidi Kacem</t>
        </is>
      </c>
      <c r="D16" s="10" t="inlineStr">
        <is>
          <t>CHEBANAT</t>
        </is>
      </c>
      <c r="E16" s="10" t="inlineStr">
        <is>
          <t>50-23</t>
        </is>
      </c>
      <c r="F16" s="10" t="inlineStr">
        <is>
          <t>Entretien et réparation du réseau d'assainissement et de drainage</t>
        </is>
      </c>
      <c r="G16" s="10" t="inlineStr">
        <is>
          <t>Travaux de curage des canaux en terre</t>
        </is>
      </c>
      <c r="H16" s="10" t="inlineStr">
        <is>
          <t>Curage des collecteurs d'assainissement des secteur SH5 et SH6.</t>
        </is>
      </c>
      <c r="I16" s="11" t="n">
        <v>1000000</v>
      </c>
      <c r="J16" s="12" t="inlineStr">
        <is>
          <t>ml</t>
        </is>
      </c>
      <c r="K16" s="13" t="n">
        <v>500</v>
      </c>
      <c r="L16" s="51" t="n"/>
      <c r="M16" s="56">
        <f>'S29'!M16+L16</f>
        <v/>
      </c>
      <c r="N16" s="57">
        <f>IFERROR(M16/K16,0)</f>
        <v/>
      </c>
      <c r="O16" s="58">
        <f>'S29'!N16</f>
        <v/>
      </c>
      <c r="P16" s="57">
        <f>N16-O16</f>
        <v/>
      </c>
      <c r="Q16" s="32" t="n"/>
      <c r="R16" s="32" t="n"/>
      <c r="S16" s="32" t="n"/>
      <c r="T16" s="55" t="n"/>
      <c r="U16" s="58">
        <f>'S29'!T16</f>
        <v/>
      </c>
      <c r="V16" s="57">
        <f>T16-U16</f>
        <v/>
      </c>
      <c r="W16" s="57">
        <f>N16-T16</f>
        <v/>
      </c>
      <c r="X16" s="34" t="n"/>
    </row>
    <row r="17" ht="22" customHeight="1">
      <c r="B17" s="5" t="n">
        <v>13</v>
      </c>
      <c r="C17" s="6" t="inlineStr">
        <is>
          <t>Sidi Kacem</t>
        </is>
      </c>
      <c r="D17" s="5" t="inlineStr">
        <is>
          <t>CHEBANAT</t>
        </is>
      </c>
      <c r="E17" s="5" t="inlineStr">
        <is>
          <t>50-23</t>
        </is>
      </c>
      <c r="F17" s="5" t="inlineStr">
        <is>
          <t>Entretien et réparation du réseau d'assainissement et de drainage</t>
        </is>
      </c>
      <c r="G17" s="5" t="inlineStr">
        <is>
          <t>Travaux de curage des canaux révetus</t>
        </is>
      </c>
      <c r="H17" s="5" t="inlineStr">
        <is>
          <t>Curage du canal principal d'irrigation beht partie aval 1.</t>
        </is>
      </c>
      <c r="I17" s="7" t="n">
        <v>739200</v>
      </c>
      <c r="J17" s="8" t="inlineStr">
        <is>
          <t>ml</t>
        </is>
      </c>
      <c r="K17" s="9" t="n">
        <v>370</v>
      </c>
      <c r="L17" s="51" t="n"/>
      <c r="M17" s="52">
        <f>'S29'!M17+L17</f>
        <v/>
      </c>
      <c r="N17" s="53">
        <f>IFERROR(M17/K17,0)</f>
        <v/>
      </c>
      <c r="O17" s="54">
        <f>'S29'!N17</f>
        <v/>
      </c>
      <c r="P17" s="53">
        <f>N17-O17</f>
        <v/>
      </c>
      <c r="Q17" s="32" t="n"/>
      <c r="R17" s="32" t="n"/>
      <c r="S17" s="32" t="n"/>
      <c r="T17" s="55" t="n"/>
      <c r="U17" s="54">
        <f>'S29'!T17</f>
        <v/>
      </c>
      <c r="V17" s="53">
        <f>T17-U17</f>
        <v/>
      </c>
      <c r="W17" s="53">
        <f>N17-T17</f>
        <v/>
      </c>
      <c r="X17" s="34" t="n"/>
    </row>
    <row r="18" ht="22" customHeight="1">
      <c r="B18" s="10" t="n">
        <v>14</v>
      </c>
      <c r="C18" s="6" t="inlineStr">
        <is>
          <t>Sidi Kacem</t>
        </is>
      </c>
      <c r="D18" s="10" t="inlineStr">
        <is>
          <t>ZIRARA</t>
        </is>
      </c>
      <c r="E18" s="10" t="inlineStr">
        <is>
          <t>50-23</t>
        </is>
      </c>
      <c r="F18" s="10" t="inlineStr">
        <is>
          <t>Entretien et réparation du réseau d'assainissement et de drainage</t>
        </is>
      </c>
      <c r="G18" s="10" t="inlineStr">
        <is>
          <t>Travaux de curage des canaux révetus</t>
        </is>
      </c>
      <c r="H18" s="10" t="inlineStr">
        <is>
          <t>Curage du canal principal d'irrigation beht partie aval 2.</t>
        </is>
      </c>
      <c r="I18" s="11" t="n">
        <v>1276800</v>
      </c>
      <c r="J18" s="12" t="inlineStr">
        <is>
          <t>ml</t>
        </is>
      </c>
      <c r="K18" s="13" t="n">
        <v>638</v>
      </c>
      <c r="L18" s="51" t="n"/>
      <c r="M18" s="56">
        <f>'S29'!M18+L18</f>
        <v/>
      </c>
      <c r="N18" s="57">
        <f>IFERROR(M18/K18,0)</f>
        <v/>
      </c>
      <c r="O18" s="58">
        <f>'S29'!N18</f>
        <v/>
      </c>
      <c r="P18" s="57">
        <f>N18-O18</f>
        <v/>
      </c>
      <c r="Q18" s="32" t="n"/>
      <c r="R18" s="32" t="n"/>
      <c r="S18" s="32" t="n"/>
      <c r="T18" s="55" t="n"/>
      <c r="U18" s="58">
        <f>'S29'!T18</f>
        <v/>
      </c>
      <c r="V18" s="57">
        <f>T18-U18</f>
        <v/>
      </c>
      <c r="W18" s="57">
        <f>N18-T18</f>
        <v/>
      </c>
      <c r="X18" s="34" t="n"/>
    </row>
    <row r="19" ht="22" customHeight="1">
      <c r="B19" s="5" t="n">
        <v>15</v>
      </c>
      <c r="C19" s="6" t="inlineStr">
        <is>
          <t>Sidi Kacem</t>
        </is>
      </c>
      <c r="D19" s="5" t="inlineStr">
        <is>
          <t>DAR LAASLOUJI</t>
        </is>
      </c>
      <c r="E19" s="5" t="inlineStr">
        <is>
          <t>50-23</t>
        </is>
      </c>
      <c r="F19" s="5" t="inlineStr">
        <is>
          <t>Entretien et réparation du réseau d'assainissement et de drainage</t>
        </is>
      </c>
      <c r="G19" s="5" t="inlineStr">
        <is>
          <t>Travaux de curage des canaux en terre</t>
        </is>
      </c>
      <c r="H19" s="5" t="inlineStr">
        <is>
          <t>Curage des collecteurs d'assainissement des secteurs P8-1 et P8-2</t>
        </is>
      </c>
      <c r="I19" s="7" t="n">
        <v>5796360</v>
      </c>
      <c r="J19" s="8" t="inlineStr">
        <is>
          <t>ml</t>
        </is>
      </c>
      <c r="K19" s="9" t="n">
        <v>2898</v>
      </c>
      <c r="L19" s="51" t="n"/>
      <c r="M19" s="52">
        <f>'S29'!M19+L19</f>
        <v/>
      </c>
      <c r="N19" s="53">
        <f>IFERROR(M19/K19,0)</f>
        <v/>
      </c>
      <c r="O19" s="54">
        <f>'S29'!N19</f>
        <v/>
      </c>
      <c r="P19" s="53">
        <f>N19-O19</f>
        <v/>
      </c>
      <c r="Q19" s="32" t="n"/>
      <c r="R19" s="32" t="n"/>
      <c r="S19" s="32" t="n"/>
      <c r="T19" s="55" t="n"/>
      <c r="U19" s="54">
        <f>'S29'!T19</f>
        <v/>
      </c>
      <c r="V19" s="53">
        <f>T19-U19</f>
        <v/>
      </c>
      <c r="W19" s="53">
        <f>N19-T19</f>
        <v/>
      </c>
      <c r="X19" s="34" t="n"/>
    </row>
    <row r="20" ht="22" customHeight="1">
      <c r="B20" s="10" t="n">
        <v>16</v>
      </c>
      <c r="C20" s="6" t="inlineStr">
        <is>
          <t>Sidi Kacem</t>
        </is>
      </c>
      <c r="D20" s="10" t="inlineStr">
        <is>
          <t>DAR LAASLOUJI</t>
        </is>
      </c>
      <c r="E20" s="10" t="inlineStr">
        <is>
          <t>40-21</t>
        </is>
      </c>
      <c r="F20" s="10" t="inlineStr">
        <is>
          <t>Travaux de pistes</t>
        </is>
      </c>
      <c r="G20" s="10" t="inlineStr">
        <is>
          <t>Entretien des pistes agricoles</t>
        </is>
      </c>
      <c r="H20" s="10" t="inlineStr">
        <is>
          <t>Entretien des pistes agricoles</t>
        </is>
      </c>
      <c r="I20" s="11" t="n">
        <v>340000</v>
      </c>
      <c r="J20" s="12" t="inlineStr">
        <is>
          <t>km</t>
        </is>
      </c>
      <c r="K20" s="13" t="n">
        <v>1</v>
      </c>
      <c r="L20" s="51" t="n"/>
      <c r="M20" s="56">
        <f>'S29'!M20+L20</f>
        <v/>
      </c>
      <c r="N20" s="57">
        <f>IFERROR(M20/K20,0)</f>
        <v/>
      </c>
      <c r="O20" s="58">
        <f>'S29'!N20</f>
        <v/>
      </c>
      <c r="P20" s="57">
        <f>N20-O20</f>
        <v/>
      </c>
      <c r="Q20" s="32" t="n"/>
      <c r="R20" s="32" t="n"/>
      <c r="S20" s="32" t="n"/>
      <c r="T20" s="55" t="n"/>
      <c r="U20" s="58">
        <f>'S29'!T20</f>
        <v/>
      </c>
      <c r="V20" s="57">
        <f>T20-U20</f>
        <v/>
      </c>
      <c r="W20" s="57">
        <f>N20-T20</f>
        <v/>
      </c>
      <c r="X20" s="34" t="n"/>
    </row>
    <row r="21" ht="22" customHeight="1">
      <c r="B21" s="5" t="n">
        <v>17</v>
      </c>
      <c r="C21" s="6" t="inlineStr">
        <is>
          <t>Sidi Kacem</t>
        </is>
      </c>
      <c r="D21" s="5" t="inlineStr">
        <is>
          <t>HOUAFATE</t>
        </is>
      </c>
      <c r="E21" s="5" t="inlineStr">
        <is>
          <t>20-11</t>
        </is>
      </c>
      <c r="F21" s="5" t="inlineStr">
        <is>
          <t>Travaux de réhabilitation des équipements</t>
        </is>
      </c>
      <c r="G21" s="5" t="inlineStr">
        <is>
          <t>Travaux de réhabilitation des canaux portés d'irrigation</t>
        </is>
      </c>
      <c r="H21" s="5" t="inlineStr">
        <is>
          <t>Fourniture et de pose de canaux porté et accessoires du réseau S3 du secteur S13</t>
        </is>
      </c>
      <c r="I21" s="7" t="n">
        <v>397934</v>
      </c>
      <c r="J21" s="8" t="inlineStr">
        <is>
          <t>ml</t>
        </is>
      </c>
      <c r="K21" s="9" t="n">
        <v>133</v>
      </c>
      <c r="L21" s="51" t="n"/>
      <c r="M21" s="52">
        <f>'S29'!M21+L21</f>
        <v/>
      </c>
      <c r="N21" s="53">
        <f>IFERROR(M21/K21,0)</f>
        <v/>
      </c>
      <c r="O21" s="54">
        <f>'S29'!N21</f>
        <v/>
      </c>
      <c r="P21" s="53">
        <f>N21-O21</f>
        <v/>
      </c>
      <c r="Q21" s="32" t="n"/>
      <c r="R21" s="32" t="n"/>
      <c r="S21" s="32" t="n"/>
      <c r="T21" s="55" t="n"/>
      <c r="U21" s="54">
        <f>'S29'!T21</f>
        <v/>
      </c>
      <c r="V21" s="53">
        <f>T21-U21</f>
        <v/>
      </c>
      <c r="W21" s="53">
        <f>N21-T21</f>
        <v/>
      </c>
      <c r="X21" s="34" t="n"/>
    </row>
    <row r="22" ht="22" customHeight="1">
      <c r="B22" s="10" t="n">
        <v>18</v>
      </c>
      <c r="C22" s="6" t="inlineStr">
        <is>
          <t>Sidi Kacem</t>
        </is>
      </c>
      <c r="D22" s="10" t="inlineStr">
        <is>
          <t>HOUAFATE</t>
        </is>
      </c>
      <c r="E22" s="10" t="inlineStr">
        <is>
          <t>20-11</t>
        </is>
      </c>
      <c r="F22" s="10" t="inlineStr">
        <is>
          <t>Travaux de réhabilitation des équipements</t>
        </is>
      </c>
      <c r="G22" s="10" t="inlineStr"/>
      <c r="H22" s="10" t="inlineStr">
        <is>
          <t>Fourniture et de pose de canaux porté et accessoires du réseau T2S1 du secteur S13</t>
        </is>
      </c>
      <c r="I22" s="11" t="n">
        <v>207575</v>
      </c>
      <c r="J22" s="12" t="inlineStr">
        <is>
          <t>ml</t>
        </is>
      </c>
      <c r="K22" s="13" t="n">
        <v>69</v>
      </c>
      <c r="L22" s="51" t="n"/>
      <c r="M22" s="56">
        <f>'S29'!M22+L22</f>
        <v/>
      </c>
      <c r="N22" s="57">
        <f>IFERROR(M22/K22,0)</f>
        <v/>
      </c>
      <c r="O22" s="58">
        <f>'S29'!N22</f>
        <v/>
      </c>
      <c r="P22" s="57">
        <f>N22-O22</f>
        <v/>
      </c>
      <c r="Q22" s="32" t="n"/>
      <c r="R22" s="32" t="n"/>
      <c r="S22" s="32" t="n"/>
      <c r="T22" s="55" t="n"/>
      <c r="U22" s="58">
        <f>'S29'!T22</f>
        <v/>
      </c>
      <c r="V22" s="57">
        <f>T22-U22</f>
        <v/>
      </c>
      <c r="W22" s="57">
        <f>N22-T22</f>
        <v/>
      </c>
      <c r="X22" s="34" t="n"/>
    </row>
    <row r="23" ht="22" customHeight="1">
      <c r="B23" s="5" t="n">
        <v>19</v>
      </c>
      <c r="C23" s="6" t="inlineStr">
        <is>
          <t>Sidi Kacem</t>
        </is>
      </c>
      <c r="D23" s="5" t="inlineStr">
        <is>
          <t>HOUAFATE</t>
        </is>
      </c>
      <c r="E23" s="5" t="inlineStr">
        <is>
          <t>40-21</t>
        </is>
      </c>
      <c r="F23" s="5" t="inlineStr">
        <is>
          <t>Travaux de pistes</t>
        </is>
      </c>
      <c r="G23" s="5" t="inlineStr">
        <is>
          <t>Entretien des pistes agricoles</t>
        </is>
      </c>
      <c r="H23" s="5" t="inlineStr">
        <is>
          <t>Entretien des pistes agricoles</t>
        </is>
      </c>
      <c r="I23" s="7" t="n">
        <v>2200000</v>
      </c>
      <c r="J23" s="8" t="inlineStr">
        <is>
          <t>km</t>
        </is>
      </c>
      <c r="K23" s="9" t="n">
        <v>4</v>
      </c>
      <c r="L23" s="51" t="n"/>
      <c r="M23" s="52">
        <f>'S29'!M23+L23</f>
        <v/>
      </c>
      <c r="N23" s="53">
        <f>IFERROR(M23/K23,0)</f>
        <v/>
      </c>
      <c r="O23" s="54">
        <f>'S29'!N23</f>
        <v/>
      </c>
      <c r="P23" s="53">
        <f>N23-O23</f>
        <v/>
      </c>
      <c r="Q23" s="32" t="n"/>
      <c r="R23" s="32" t="n"/>
      <c r="S23" s="32" t="n"/>
      <c r="T23" s="55" t="n"/>
      <c r="U23" s="54">
        <f>'S29'!T23</f>
        <v/>
      </c>
      <c r="V23" s="53">
        <f>T23-U23</f>
        <v/>
      </c>
      <c r="W23" s="53">
        <f>N23-T23</f>
        <v/>
      </c>
      <c r="X23" s="34" t="n"/>
    </row>
    <row r="24" ht="22" customHeight="1">
      <c r="B24" s="10" t="n">
        <v>20</v>
      </c>
      <c r="C24" s="6" t="inlineStr">
        <is>
          <t>Sidi Kacem</t>
        </is>
      </c>
      <c r="D24" s="10" t="inlineStr">
        <is>
          <t>HOUAFATE</t>
        </is>
      </c>
      <c r="E24" s="10" t="inlineStr">
        <is>
          <t>50-23</t>
        </is>
      </c>
      <c r="F24" s="10" t="inlineStr">
        <is>
          <t>Entretien et réparation du réseau d'assainissement et de drainage</t>
        </is>
      </c>
      <c r="G24" s="10" t="inlineStr">
        <is>
          <t>Curage des prises sur l’oued, bâche d’aspiration et bassin de régulation.</t>
        </is>
      </c>
      <c r="H24" s="10" t="inlineStr">
        <is>
          <t>Curage des prises sur l’oued de la station de pompage S17 et S13.
Nettoyage des grilles de préfiltration des boues colmaté de la station de pompage S17 et S13.
Curage de la bâche d’aspiration de la station S17 et S13.</t>
        </is>
      </c>
      <c r="I24" s="11" t="n">
        <v>300000</v>
      </c>
      <c r="J24" s="12" t="inlineStr">
        <is>
          <t>ml</t>
        </is>
      </c>
      <c r="K24" s="13" t="n">
        <v>100</v>
      </c>
      <c r="L24" s="51" t="n"/>
      <c r="M24" s="56">
        <f>'S29'!M24+L24</f>
        <v/>
      </c>
      <c r="N24" s="57">
        <f>IFERROR(M24/K24,0)</f>
        <v/>
      </c>
      <c r="O24" s="58">
        <f>'S29'!N24</f>
        <v/>
      </c>
      <c r="P24" s="57">
        <f>N24-O24</f>
        <v/>
      </c>
      <c r="Q24" s="32" t="n"/>
      <c r="R24" s="32" t="n"/>
      <c r="S24" s="32" t="n"/>
      <c r="T24" s="55" t="n"/>
      <c r="U24" s="58">
        <f>'S29'!T24</f>
        <v/>
      </c>
      <c r="V24" s="57">
        <f>T24-U24</f>
        <v/>
      </c>
      <c r="W24" s="57">
        <f>N24-T24</f>
        <v/>
      </c>
      <c r="X24" s="34" t="n"/>
    </row>
    <row r="25" ht="22" customHeight="1">
      <c r="B25" s="5" t="n">
        <v>21</v>
      </c>
      <c r="C25" s="6" t="inlineStr">
        <is>
          <t>Sidi Kacem</t>
        </is>
      </c>
      <c r="D25" s="5" t="inlineStr">
        <is>
          <t>HOUAFATE</t>
        </is>
      </c>
      <c r="E25" s="5" t="inlineStr">
        <is>
          <t>50-21</t>
        </is>
      </c>
      <c r="F25" s="5" t="inlineStr">
        <is>
          <t>Entretien et réparation des stations de pompage</t>
        </is>
      </c>
      <c r="G25" s="5" t="inlineStr">
        <is>
          <t>Prestation de maintenance des débitmètres et leurs équipements annexes installés au niveau des station de pompage</t>
        </is>
      </c>
      <c r="H25" s="5" t="inlineStr">
        <is>
          <t>Changement trois débitmètre Ø 600mm inondés de la station de pompage S13.</t>
        </is>
      </c>
      <c r="I25" s="7" t="n">
        <v>250000</v>
      </c>
      <c r="J25" s="8" t="inlineStr">
        <is>
          <t>U</t>
        </is>
      </c>
      <c r="K25" s="9" t="n">
        <v>3</v>
      </c>
      <c r="L25" s="51" t="n"/>
      <c r="M25" s="52">
        <f>'S29'!M25+L25</f>
        <v/>
      </c>
      <c r="N25" s="53">
        <f>IFERROR(M25/K25,0)</f>
        <v/>
      </c>
      <c r="O25" s="54">
        <f>'S29'!N25</f>
        <v/>
      </c>
      <c r="P25" s="53">
        <f>N25-O25</f>
        <v/>
      </c>
      <c r="Q25" s="32" t="n"/>
      <c r="R25" s="32" t="n"/>
      <c r="S25" s="32" t="n"/>
      <c r="T25" s="55" t="n"/>
      <c r="U25" s="54">
        <f>'S29'!T25</f>
        <v/>
      </c>
      <c r="V25" s="53">
        <f>T25-U25</f>
        <v/>
      </c>
      <c r="W25" s="53">
        <f>N25-T25</f>
        <v/>
      </c>
      <c r="X25" s="34" t="n"/>
    </row>
    <row r="26" ht="22" customHeight="1">
      <c r="B26" s="10" t="n">
        <v>22</v>
      </c>
      <c r="C26" s="6" t="inlineStr">
        <is>
          <t>Sidi Kacem</t>
        </is>
      </c>
      <c r="D26" s="10" t="inlineStr">
        <is>
          <t>HOUAFATE</t>
        </is>
      </c>
      <c r="E26" s="10" t="inlineStr">
        <is>
          <t>50-21</t>
        </is>
      </c>
      <c r="F26" s="10" t="inlineStr">
        <is>
          <t>Entretien et réparation des stations de pompage</t>
        </is>
      </c>
      <c r="G26" s="10" t="inlineStr">
        <is>
          <t>Prestations de maintenance des moteurs électriques des stations de pompage.</t>
        </is>
      </c>
      <c r="H26" s="10" t="inlineStr">
        <is>
          <t>Révision des trois moteurs électriques 200 KW principaux de la station S13. 
Révision des deux moteurs électriques 5,5 KW groupes vide de la station S13.</t>
        </is>
      </c>
      <c r="I26" s="11" t="n">
        <v>25000</v>
      </c>
      <c r="J26" s="12" t="inlineStr">
        <is>
          <t>U</t>
        </is>
      </c>
      <c r="K26" s="13" t="n">
        <v>3</v>
      </c>
      <c r="L26" s="51" t="n"/>
      <c r="M26" s="56">
        <f>'S29'!M26+L26</f>
        <v/>
      </c>
      <c r="N26" s="57">
        <f>IFERROR(M26/K26,0)</f>
        <v/>
      </c>
      <c r="O26" s="58">
        <f>'S29'!N26</f>
        <v/>
      </c>
      <c r="P26" s="57">
        <f>N26-O26</f>
        <v/>
      </c>
      <c r="Q26" s="32" t="n"/>
      <c r="R26" s="32" t="n"/>
      <c r="S26" s="32" t="n"/>
      <c r="T26" s="55" t="n"/>
      <c r="U26" s="58">
        <f>'S29'!T26</f>
        <v/>
      </c>
      <c r="V26" s="57">
        <f>T26-U26</f>
        <v/>
      </c>
      <c r="W26" s="57">
        <f>N26-T26</f>
        <v/>
      </c>
      <c r="X26" s="34" t="n"/>
    </row>
    <row r="27" ht="22" customHeight="1">
      <c r="B27" s="5" t="n">
        <v>23</v>
      </c>
      <c r="C27" s="6" t="inlineStr">
        <is>
          <t>Sidi Kacem</t>
        </is>
      </c>
      <c r="D27" s="5" t="inlineStr">
        <is>
          <t>HOUAFATE</t>
        </is>
      </c>
      <c r="E27" s="5" t="inlineStr">
        <is>
          <t>50-21</t>
        </is>
      </c>
      <c r="F27" s="5" t="inlineStr">
        <is>
          <t>Entretien et réparation des stations de pompage</t>
        </is>
      </c>
      <c r="G27" s="5" t="inlineStr">
        <is>
          <t>Prestations de maintenance et de réparation mécanique des pompes et des groupes motopompes submersibles des stations de pompage.</t>
        </is>
      </c>
      <c r="H27" s="5" t="inlineStr">
        <is>
          <t>Démontage et expertise des roues des  pompes principaux et pompes a vide de la station S13.
Changement des roulements, tresses et organes d’effectués de la station S13.</t>
        </is>
      </c>
      <c r="I27" s="7" t="n">
        <v>38000</v>
      </c>
      <c r="J27" s="8" t="inlineStr">
        <is>
          <t>U</t>
        </is>
      </c>
      <c r="K27" s="9" t="n">
        <v>1</v>
      </c>
      <c r="L27" s="51" t="n"/>
      <c r="M27" s="52">
        <f>'S29'!M27+L27</f>
        <v/>
      </c>
      <c r="N27" s="53">
        <f>IFERROR(M27/K27,0)</f>
        <v/>
      </c>
      <c r="O27" s="54">
        <f>'S29'!N27</f>
        <v/>
      </c>
      <c r="P27" s="53">
        <f>N27-O27</f>
        <v/>
      </c>
      <c r="Q27" s="32" t="n"/>
      <c r="R27" s="32" t="n"/>
      <c r="S27" s="32" t="n"/>
      <c r="T27" s="55" t="n"/>
      <c r="U27" s="54">
        <f>'S29'!T27</f>
        <v/>
      </c>
      <c r="V27" s="53">
        <f>T27-U27</f>
        <v/>
      </c>
      <c r="W27" s="53">
        <f>N27-T27</f>
        <v/>
      </c>
      <c r="X27" s="34" t="n"/>
    </row>
    <row r="28" ht="22" customHeight="1">
      <c r="B28" s="10" t="n">
        <v>24</v>
      </c>
      <c r="C28" s="6" t="inlineStr">
        <is>
          <t>Sidi Kacem</t>
        </is>
      </c>
      <c r="D28" s="10" t="inlineStr">
        <is>
          <t>HOUAFATE</t>
        </is>
      </c>
      <c r="E28" s="10" t="inlineStr">
        <is>
          <t>50-21</t>
        </is>
      </c>
      <c r="F28" s="10" t="inlineStr">
        <is>
          <t>Entretien et réparation des stations de pompage</t>
        </is>
      </c>
      <c r="G28" s="10" t="inlineStr">
        <is>
          <t>Stabilisation Berge oued</t>
        </is>
      </c>
      <c r="H28" s="10" t="inlineStr">
        <is>
          <t>Pose de  gabions et recouvrement du talus par matelas Reno des stations de pompage S13.</t>
        </is>
      </c>
      <c r="I28" s="11" t="n">
        <v>10560000</v>
      </c>
      <c r="J28" s="12" t="inlineStr">
        <is>
          <t>m³</t>
        </is>
      </c>
      <c r="K28" s="13" t="n">
        <v>7040</v>
      </c>
      <c r="L28" s="51" t="n"/>
      <c r="M28" s="56">
        <f>'S29'!M28+L28</f>
        <v/>
      </c>
      <c r="N28" s="57">
        <f>IFERROR(M28/K28,0)</f>
        <v/>
      </c>
      <c r="O28" s="58">
        <f>'S29'!N28</f>
        <v/>
      </c>
      <c r="P28" s="57">
        <f>N28-O28</f>
        <v/>
      </c>
      <c r="Q28" s="32" t="n"/>
      <c r="R28" s="32" t="n"/>
      <c r="S28" s="32" t="n"/>
      <c r="T28" s="55" t="n"/>
      <c r="U28" s="58">
        <f>'S29'!T28</f>
        <v/>
      </c>
      <c r="V28" s="57">
        <f>T28-U28</f>
        <v/>
      </c>
      <c r="W28" s="57">
        <f>N28-T28</f>
        <v/>
      </c>
      <c r="X28" s="34" t="n"/>
    </row>
    <row r="29" ht="22" customHeight="1">
      <c r="B29" s="5" t="n">
        <v>25</v>
      </c>
      <c r="C29" s="6" t="inlineStr">
        <is>
          <t>Sidi Kacem</t>
        </is>
      </c>
      <c r="D29" s="5" t="inlineStr">
        <is>
          <t>HOUAFATE</t>
        </is>
      </c>
      <c r="E29" s="5" t="inlineStr">
        <is>
          <t>50-21</t>
        </is>
      </c>
      <c r="F29" s="5" t="inlineStr">
        <is>
          <t>Entretien et réparation des stations de pompage</t>
        </is>
      </c>
      <c r="G29" s="5" t="inlineStr">
        <is>
          <t>Mur clôture des stations de pompage.</t>
        </is>
      </c>
      <c r="H29" s="5" t="inlineStr">
        <is>
          <t>Stabilisation du sol et reconstruction des murs clôture (270m) cote oued de la station S17.</t>
        </is>
      </c>
      <c r="I29" s="7" t="n">
        <v>144000</v>
      </c>
      <c r="J29" s="8" t="inlineStr">
        <is>
          <t>ml</t>
        </is>
      </c>
      <c r="K29" s="9" t="n">
        <v>270</v>
      </c>
      <c r="L29" s="51" t="n"/>
      <c r="M29" s="52">
        <f>'S29'!M29+L29</f>
        <v/>
      </c>
      <c r="N29" s="53">
        <f>IFERROR(M29/K29,0)</f>
        <v/>
      </c>
      <c r="O29" s="54">
        <f>'S29'!N29</f>
        <v/>
      </c>
      <c r="P29" s="53">
        <f>N29-O29</f>
        <v/>
      </c>
      <c r="Q29" s="32" t="n"/>
      <c r="R29" s="32" t="n"/>
      <c r="S29" s="32" t="n"/>
      <c r="T29" s="55" t="n"/>
      <c r="U29" s="54">
        <f>'S29'!T29</f>
        <v/>
      </c>
      <c r="V29" s="53">
        <f>T29-U29</f>
        <v/>
      </c>
      <c r="W29" s="53">
        <f>N29-T29</f>
        <v/>
      </c>
      <c r="X29" s="34" t="n"/>
    </row>
    <row r="30" ht="22" customHeight="1">
      <c r="B30" s="10" t="n">
        <v>26</v>
      </c>
      <c r="C30" s="6" t="inlineStr">
        <is>
          <t>Sidi Kacem</t>
        </is>
      </c>
      <c r="D30" s="10" t="inlineStr">
        <is>
          <t>HOUAFATE</t>
        </is>
      </c>
      <c r="E30" s="10" t="inlineStr">
        <is>
          <t>50-21</t>
        </is>
      </c>
      <c r="F30" s="10" t="inlineStr">
        <is>
          <t>Entretien et réparation des stations de pompage</t>
        </is>
      </c>
      <c r="G30" s="10" t="inlineStr">
        <is>
          <t>Génie civile des locaux des stations de pompage.</t>
        </is>
      </c>
      <c r="H30" s="10" t="inlineStr">
        <is>
          <t>Expertise d’état et d’étanchéité des locaux pompes, commande, puissance des stations de pompage S17 et S13.
Renforcement d’étanchéité des locaux pompe sous niveau des oueds des stations de pompage S17 et S13.</t>
        </is>
      </c>
      <c r="I30" s="11" t="n">
        <v>800000</v>
      </c>
      <c r="J30" s="12" t="inlineStr">
        <is>
          <t>U</t>
        </is>
      </c>
      <c r="K30" s="13" t="n">
        <v>1</v>
      </c>
      <c r="L30" s="51" t="n"/>
      <c r="M30" s="56">
        <f>'S29'!M30+L30</f>
        <v/>
      </c>
      <c r="N30" s="57">
        <f>IFERROR(M30/K30,0)</f>
        <v/>
      </c>
      <c r="O30" s="58">
        <f>'S29'!N30</f>
        <v/>
      </c>
      <c r="P30" s="57">
        <f>N30-O30</f>
        <v/>
      </c>
      <c r="Q30" s="32" t="n"/>
      <c r="R30" s="32" t="n"/>
      <c r="S30" s="32" t="n"/>
      <c r="T30" s="55" t="n"/>
      <c r="U30" s="58">
        <f>'S29'!T30</f>
        <v/>
      </c>
      <c r="V30" s="57">
        <f>T30-U30</f>
        <v/>
      </c>
      <c r="W30" s="57">
        <f>N30-T30</f>
        <v/>
      </c>
      <c r="X30" s="34" t="n"/>
    </row>
    <row r="31" ht="22" customHeight="1">
      <c r="B31" s="5" t="n">
        <v>27</v>
      </c>
      <c r="C31" s="6" t="inlineStr">
        <is>
          <t>Sidi Kacem</t>
        </is>
      </c>
      <c r="D31" s="5" t="inlineStr">
        <is>
          <t>NOUIRAT</t>
        </is>
      </c>
      <c r="E31" s="5" t="inlineStr">
        <is>
          <t>50-23</t>
        </is>
      </c>
      <c r="F31" s="5" t="inlineStr">
        <is>
          <t>Entretien et réparation du réseau d'assainissement et de drainage</t>
        </is>
      </c>
      <c r="G31" s="5" t="inlineStr">
        <is>
          <t>Travaux de curage des canaux en terre</t>
        </is>
      </c>
      <c r="H31" s="5" t="inlineStr">
        <is>
          <t>Curage des collecteurs d'assainissement des secteurs EST1 et N5</t>
        </is>
      </c>
      <c r="I31" s="7" t="n">
        <v>1733306</v>
      </c>
      <c r="J31" s="8" t="inlineStr">
        <is>
          <t>ml</t>
        </is>
      </c>
      <c r="K31" s="9" t="n">
        <v>867</v>
      </c>
      <c r="L31" s="51" t="n"/>
      <c r="M31" s="52">
        <f>'S29'!M31+L31</f>
        <v/>
      </c>
      <c r="N31" s="53">
        <f>IFERROR(M31/K31,0)</f>
        <v/>
      </c>
      <c r="O31" s="54">
        <f>'S29'!N31</f>
        <v/>
      </c>
      <c r="P31" s="53">
        <f>N31-O31</f>
        <v/>
      </c>
      <c r="Q31" s="32" t="n"/>
      <c r="R31" s="32" t="n"/>
      <c r="S31" s="32" t="n"/>
      <c r="T31" s="55" t="n"/>
      <c r="U31" s="54">
        <f>'S29'!T31</f>
        <v/>
      </c>
      <c r="V31" s="53">
        <f>T31-U31</f>
        <v/>
      </c>
      <c r="W31" s="53">
        <f>N31-T31</f>
        <v/>
      </c>
      <c r="X31" s="34" t="n"/>
    </row>
    <row r="32" ht="22" customHeight="1">
      <c r="B32" s="10" t="n">
        <v>28</v>
      </c>
      <c r="C32" s="6" t="inlineStr">
        <is>
          <t>Sidi Kacem</t>
        </is>
      </c>
      <c r="D32" s="10" t="inlineStr">
        <is>
          <t>NOUIRAT</t>
        </is>
      </c>
      <c r="E32" s="10" t="inlineStr">
        <is>
          <t>40-21</t>
        </is>
      </c>
      <c r="F32" s="10" t="inlineStr">
        <is>
          <t>Travaux de pistes</t>
        </is>
      </c>
      <c r="G32" s="10" t="inlineStr">
        <is>
          <t>Entretien des pistes agricoles</t>
        </is>
      </c>
      <c r="H32" s="10" t="inlineStr">
        <is>
          <t>Entretien des pistes agricoles</t>
        </is>
      </c>
      <c r="I32" s="11" t="n">
        <v>670000</v>
      </c>
      <c r="J32" s="12" t="inlineStr">
        <is>
          <t>km</t>
        </is>
      </c>
      <c r="K32" s="13" t="n">
        <v>1</v>
      </c>
      <c r="L32" s="51" t="n"/>
      <c r="M32" s="56">
        <f>'S29'!M32+L32</f>
        <v/>
      </c>
      <c r="N32" s="57">
        <f>IFERROR(M32/K32,0)</f>
        <v/>
      </c>
      <c r="O32" s="58">
        <f>'S29'!N32</f>
        <v/>
      </c>
      <c r="P32" s="57">
        <f>N32-O32</f>
        <v/>
      </c>
      <c r="Q32" s="32" t="n"/>
      <c r="R32" s="32" t="n"/>
      <c r="S32" s="32" t="n"/>
      <c r="T32" s="55" t="n"/>
      <c r="U32" s="58">
        <f>'S29'!T32</f>
        <v/>
      </c>
      <c r="V32" s="57">
        <f>T32-U32</f>
        <v/>
      </c>
      <c r="W32" s="57">
        <f>N32-T32</f>
        <v/>
      </c>
      <c r="X32" s="34" t="n"/>
    </row>
    <row r="33" ht="22" customHeight="1">
      <c r="B33" s="5" t="n">
        <v>29</v>
      </c>
      <c r="C33" s="6" t="inlineStr">
        <is>
          <t>Sidi Kacem</t>
        </is>
      </c>
      <c r="D33" s="5" t="inlineStr">
        <is>
          <t>NOUIRAT</t>
        </is>
      </c>
      <c r="E33" s="5" t="inlineStr">
        <is>
          <t>20-11</t>
        </is>
      </c>
      <c r="F33" s="5" t="inlineStr">
        <is>
          <t>Travaux de réhabilitation des équipements</t>
        </is>
      </c>
      <c r="G33" s="5" t="inlineStr">
        <is>
          <t>Travaux de réhabilitation des ouvrages de génie civil</t>
        </is>
      </c>
      <c r="H33" s="5" t="inlineStr">
        <is>
          <t>Réhabilitation de l'ouvrage( genie civil ,gabiollannage,clapet anti retour et buse) de l'ouvrage de débouche SE1</t>
        </is>
      </c>
      <c r="I33" s="7" t="n">
        <v>2500000</v>
      </c>
      <c r="J33" s="8" t="inlineStr">
        <is>
          <t>U</t>
        </is>
      </c>
      <c r="K33" s="9" t="n">
        <v>5</v>
      </c>
      <c r="L33" s="51" t="n"/>
      <c r="M33" s="52">
        <f>'S29'!M33+L33</f>
        <v/>
      </c>
      <c r="N33" s="53">
        <f>IFERROR(M33/K33,0)</f>
        <v/>
      </c>
      <c r="O33" s="54">
        <f>'S29'!N33</f>
        <v/>
      </c>
      <c r="P33" s="53">
        <f>N33-O33</f>
        <v/>
      </c>
      <c r="Q33" s="32" t="n"/>
      <c r="R33" s="32" t="n"/>
      <c r="S33" s="32" t="n"/>
      <c r="T33" s="55" t="n"/>
      <c r="U33" s="54">
        <f>'S29'!T33</f>
        <v/>
      </c>
      <c r="V33" s="53">
        <f>T33-U33</f>
        <v/>
      </c>
      <c r="W33" s="53">
        <f>N33-T33</f>
        <v/>
      </c>
      <c r="X33" s="34" t="n"/>
    </row>
    <row r="34" ht="22" customHeight="1">
      <c r="B34" s="10" t="n">
        <v>30</v>
      </c>
      <c r="C34" s="6" t="inlineStr">
        <is>
          <t>Sidi Kacem</t>
        </is>
      </c>
      <c r="D34" s="10" t="inlineStr">
        <is>
          <t>NOUIRAT</t>
        </is>
      </c>
      <c r="E34" s="10" t="inlineStr">
        <is>
          <t>50-23</t>
        </is>
      </c>
      <c r="F34" s="10" t="inlineStr">
        <is>
          <t>Entretien et réparation du réseau d'assainissement et de drainage</t>
        </is>
      </c>
      <c r="G34" s="10" t="inlineStr">
        <is>
          <t>Curage des prises sur l’oued, bâche d’aspiration et bassin de régulation.</t>
        </is>
      </c>
      <c r="H34" s="10" t="inlineStr">
        <is>
          <t>Curage des prises sur l’oued de la station de pompage E1.
Nettoyage des grilles de préfiltration des boues colmaté de la station de pompage E1.
Curage de la bâche d’aspiration de la station E1.</t>
        </is>
      </c>
      <c r="I34" s="11" t="n">
        <v>800000</v>
      </c>
      <c r="J34" s="12" t="inlineStr">
        <is>
          <t>ml</t>
        </is>
      </c>
      <c r="K34" s="13" t="n">
        <v>267</v>
      </c>
      <c r="L34" s="51" t="n"/>
      <c r="M34" s="56">
        <f>'S29'!M34+L34</f>
        <v/>
      </c>
      <c r="N34" s="57">
        <f>IFERROR(M34/K34,0)</f>
        <v/>
      </c>
      <c r="O34" s="58">
        <f>'S29'!N34</f>
        <v/>
      </c>
      <c r="P34" s="57">
        <f>N34-O34</f>
        <v/>
      </c>
      <c r="Q34" s="32" t="n"/>
      <c r="R34" s="32" t="n"/>
      <c r="S34" s="32" t="n"/>
      <c r="T34" s="55" t="n"/>
      <c r="U34" s="58">
        <f>'S29'!T34</f>
        <v/>
      </c>
      <c r="V34" s="57">
        <f>T34-U34</f>
        <v/>
      </c>
      <c r="W34" s="57">
        <f>N34-T34</f>
        <v/>
      </c>
      <c r="X34" s="34" t="n"/>
    </row>
    <row r="35" ht="22" customHeight="1">
      <c r="B35" s="5" t="n">
        <v>31</v>
      </c>
      <c r="C35" s="6" t="inlineStr">
        <is>
          <t>Sidi Kacem</t>
        </is>
      </c>
      <c r="D35" s="5" t="inlineStr">
        <is>
          <t>NOUIRAT</t>
        </is>
      </c>
      <c r="E35" s="5" t="inlineStr">
        <is>
          <t>50-21</t>
        </is>
      </c>
      <c r="F35" s="5" t="inlineStr">
        <is>
          <t>Entretien et réparation des stations de pompage</t>
        </is>
      </c>
      <c r="G35" s="5" t="inlineStr">
        <is>
          <t>Prestation de maintenance des débitmètres et leurs équipements annexes installés au niveau des station de pompage</t>
        </is>
      </c>
      <c r="H35" s="5" t="inlineStr">
        <is>
          <t>Changement du débitmètre Ø 1200mm inondé de la station de pompage E1.</t>
        </is>
      </c>
      <c r="I35" s="7" t="n">
        <v>195000</v>
      </c>
      <c r="J35" s="8" t="inlineStr">
        <is>
          <t>U</t>
        </is>
      </c>
      <c r="K35" s="9" t="n">
        <v>2</v>
      </c>
      <c r="L35" s="51" t="n"/>
      <c r="M35" s="52">
        <f>'S29'!M35+L35</f>
        <v/>
      </c>
      <c r="N35" s="53">
        <f>IFERROR(M35/K35,0)</f>
        <v/>
      </c>
      <c r="O35" s="54">
        <f>'S29'!N35</f>
        <v/>
      </c>
      <c r="P35" s="53">
        <f>N35-O35</f>
        <v/>
      </c>
      <c r="Q35" s="32" t="n"/>
      <c r="R35" s="32" t="n"/>
      <c r="S35" s="32" t="n"/>
      <c r="T35" s="55" t="n"/>
      <c r="U35" s="54">
        <f>'S29'!T35</f>
        <v/>
      </c>
      <c r="V35" s="53">
        <f>T35-U35</f>
        <v/>
      </c>
      <c r="W35" s="53">
        <f>N35-T35</f>
        <v/>
      </c>
      <c r="X35" s="34" t="n"/>
    </row>
    <row r="36" ht="22" customHeight="1">
      <c r="B36" s="10" t="n">
        <v>32</v>
      </c>
      <c r="C36" s="6" t="inlineStr">
        <is>
          <t>Sidi Kacem</t>
        </is>
      </c>
      <c r="D36" s="10" t="inlineStr">
        <is>
          <t>NOUIRAT</t>
        </is>
      </c>
      <c r="E36" s="10" t="inlineStr">
        <is>
          <t>50-21</t>
        </is>
      </c>
      <c r="F36" s="10" t="inlineStr">
        <is>
          <t>Entretien et réparation des stations de pompage</t>
        </is>
      </c>
      <c r="G36" s="10" t="inlineStr">
        <is>
          <t>Prestations de maintenance des moteurs électriques des stations de pompage.</t>
        </is>
      </c>
      <c r="H36" s="10" t="inlineStr">
        <is>
          <t>Révision des deux moteurs électriques principaux de la station E1.</t>
        </is>
      </c>
      <c r="I36" s="11" t="n">
        <v>50000</v>
      </c>
      <c r="J36" s="12" t="inlineStr">
        <is>
          <t>U</t>
        </is>
      </c>
      <c r="K36" s="13" t="n">
        <v>2</v>
      </c>
      <c r="L36" s="51" t="n"/>
      <c r="M36" s="56">
        <f>'S29'!M36+L36</f>
        <v/>
      </c>
      <c r="N36" s="57">
        <f>IFERROR(M36/K36,0)</f>
        <v/>
      </c>
      <c r="O36" s="58">
        <f>'S29'!N36</f>
        <v/>
      </c>
      <c r="P36" s="57">
        <f>N36-O36</f>
        <v/>
      </c>
      <c r="Q36" s="32" t="n"/>
      <c r="R36" s="32" t="n"/>
      <c r="S36" s="32" t="n"/>
      <c r="T36" s="55" t="n"/>
      <c r="U36" s="58">
        <f>'S29'!T36</f>
        <v/>
      </c>
      <c r="V36" s="57">
        <f>T36-U36</f>
        <v/>
      </c>
      <c r="W36" s="57">
        <f>N36-T36</f>
        <v/>
      </c>
      <c r="X36" s="34" t="n"/>
    </row>
    <row r="37" ht="22" customHeight="1">
      <c r="B37" s="5" t="n">
        <v>33</v>
      </c>
      <c r="C37" s="6" t="inlineStr">
        <is>
          <t>Sidi Kacem</t>
        </is>
      </c>
      <c r="D37" s="5" t="inlineStr">
        <is>
          <t>NOUIRAT</t>
        </is>
      </c>
      <c r="E37" s="5" t="inlineStr">
        <is>
          <t>50-21</t>
        </is>
      </c>
      <c r="F37" s="5" t="inlineStr">
        <is>
          <t>Entretien et réparation des stations de pompage</t>
        </is>
      </c>
      <c r="G37" s="5" t="inlineStr">
        <is>
          <t>Prestations de maintenance et de réparation mécanique des pompes et des groupes motopompes submersibles des stations de pompage.</t>
        </is>
      </c>
      <c r="H37" s="5" t="inlineStr">
        <is>
          <t>Démontage et expertise des cinq pompes principaux et pompes a vide de la station E1.
Changement des roulements, tresses et organes d’effectués de la station E1.</t>
        </is>
      </c>
      <c r="I37" s="7" t="n">
        <v>245000</v>
      </c>
      <c r="J37" s="8" t="inlineStr">
        <is>
          <t>U</t>
        </is>
      </c>
      <c r="K37" s="9" t="n">
        <v>5</v>
      </c>
      <c r="L37" s="51" t="n"/>
      <c r="M37" s="52">
        <f>'S29'!M37+L37</f>
        <v/>
      </c>
      <c r="N37" s="53">
        <f>IFERROR(M37/K37,0)</f>
        <v/>
      </c>
      <c r="O37" s="54">
        <f>'S29'!N37</f>
        <v/>
      </c>
      <c r="P37" s="53">
        <f>N37-O37</f>
        <v/>
      </c>
      <c r="Q37" s="32" t="n"/>
      <c r="R37" s="32" t="n"/>
      <c r="S37" s="32" t="n"/>
      <c r="T37" s="55" t="n"/>
      <c r="U37" s="54">
        <f>'S29'!T37</f>
        <v/>
      </c>
      <c r="V37" s="53">
        <f>T37-U37</f>
        <v/>
      </c>
      <c r="W37" s="53">
        <f>N37-T37</f>
        <v/>
      </c>
      <c r="X37" s="34" t="n"/>
    </row>
    <row r="38" ht="22" customHeight="1">
      <c r="B38" s="10" t="n">
        <v>34</v>
      </c>
      <c r="C38" s="6" t="inlineStr">
        <is>
          <t>Sidi Kacem</t>
        </is>
      </c>
      <c r="D38" s="10" t="inlineStr">
        <is>
          <t>NOUIRAT</t>
        </is>
      </c>
      <c r="E38" s="10" t="inlineStr">
        <is>
          <t>50-21</t>
        </is>
      </c>
      <c r="F38" s="10" t="inlineStr">
        <is>
          <t>Entretien et réparation des stations de pompage</t>
        </is>
      </c>
      <c r="G38" s="10" t="inlineStr">
        <is>
          <t>Génie civile des locaux des stations de pompage.</t>
        </is>
      </c>
      <c r="H38" s="10" t="inlineStr">
        <is>
          <t>Expertise d’état et d’étanchéité des locaux pompes, commande, puissance de la station de pompage E1.
Renforcement d’étanchéité des locaux pompe sous niveau des oueds de la station de pompage E1.</t>
        </is>
      </c>
      <c r="I38" s="11" t="n">
        <v>1000000</v>
      </c>
      <c r="J38" s="12" t="inlineStr">
        <is>
          <t>U</t>
        </is>
      </c>
      <c r="K38" s="13" t="n">
        <v>1</v>
      </c>
      <c r="L38" s="51" t="n"/>
      <c r="M38" s="56">
        <f>'S29'!M38+L38</f>
        <v/>
      </c>
      <c r="N38" s="57">
        <f>IFERROR(M38/K38,0)</f>
        <v/>
      </c>
      <c r="O38" s="58">
        <f>'S29'!N38</f>
        <v/>
      </c>
      <c r="P38" s="57">
        <f>N38-O38</f>
        <v/>
      </c>
      <c r="Q38" s="32" t="n"/>
      <c r="R38" s="32" t="n"/>
      <c r="S38" s="32" t="n"/>
      <c r="T38" s="55" t="n"/>
      <c r="U38" s="58">
        <f>'S29'!T38</f>
        <v/>
      </c>
      <c r="V38" s="57">
        <f>T38-U38</f>
        <v/>
      </c>
      <c r="W38" s="57">
        <f>N38-T38</f>
        <v/>
      </c>
      <c r="X38" s="34" t="n"/>
    </row>
    <row r="39" ht="22" customHeight="1">
      <c r="B39" s="5" t="n">
        <v>35</v>
      </c>
      <c r="C39" s="6" t="inlineStr">
        <is>
          <t>Sidi Kacem</t>
        </is>
      </c>
      <c r="D39" s="5" t="inlineStr">
        <is>
          <t>RMILAT</t>
        </is>
      </c>
      <c r="E39" s="5" t="inlineStr">
        <is>
          <t>50-23</t>
        </is>
      </c>
      <c r="F39" s="5" t="inlineStr">
        <is>
          <t>Entretien et réparation du réseau d'assainissement et de drainage</t>
        </is>
      </c>
      <c r="G39" s="5" t="inlineStr">
        <is>
          <t>Travaux de curage des canaux en terre</t>
        </is>
      </c>
      <c r="H39" s="5" t="inlineStr">
        <is>
          <t>Curage des collecteurs d'assainissement des secteurs P7</t>
        </is>
      </c>
      <c r="I39" s="7" t="n">
        <v>5024032</v>
      </c>
      <c r="J39" s="8" t="inlineStr">
        <is>
          <t>ml</t>
        </is>
      </c>
      <c r="K39" s="9" t="n">
        <v>2512</v>
      </c>
      <c r="L39" s="51" t="n"/>
      <c r="M39" s="52">
        <f>'S29'!M39+L39</f>
        <v/>
      </c>
      <c r="N39" s="53">
        <f>IFERROR(M39/K39,0)</f>
        <v/>
      </c>
      <c r="O39" s="54">
        <f>'S29'!N39</f>
        <v/>
      </c>
      <c r="P39" s="53">
        <f>N39-O39</f>
        <v/>
      </c>
      <c r="Q39" s="32" t="n"/>
      <c r="R39" s="32" t="n"/>
      <c r="S39" s="32" t="n"/>
      <c r="T39" s="55" t="n"/>
      <c r="U39" s="54">
        <f>'S29'!T39</f>
        <v/>
      </c>
      <c r="V39" s="53">
        <f>T39-U39</f>
        <v/>
      </c>
      <c r="W39" s="53">
        <f>N39-T39</f>
        <v/>
      </c>
      <c r="X39" s="34" t="n"/>
    </row>
    <row r="40" ht="22" customHeight="1">
      <c r="B40" s="10" t="n">
        <v>36</v>
      </c>
      <c r="C40" s="6" t="inlineStr">
        <is>
          <t>Sidi Kacem</t>
        </is>
      </c>
      <c r="D40" s="10" t="inlineStr">
        <is>
          <t>RMILAT</t>
        </is>
      </c>
      <c r="E40" s="10" t="inlineStr">
        <is>
          <t>40-21</t>
        </is>
      </c>
      <c r="F40" s="10" t="inlineStr">
        <is>
          <t>Travaux de pistes</t>
        </is>
      </c>
      <c r="G40" s="10" t="inlineStr">
        <is>
          <t>Entretien des pistes agricoles</t>
        </is>
      </c>
      <c r="H40" s="10" t="inlineStr">
        <is>
          <t>Entretien des pistes agricoles</t>
        </is>
      </c>
      <c r="I40" s="11" t="n">
        <v>400000</v>
      </c>
      <c r="J40" s="12" t="inlineStr">
        <is>
          <t>km</t>
        </is>
      </c>
      <c r="K40" s="13" t="n">
        <v>1</v>
      </c>
      <c r="L40" s="51" t="n"/>
      <c r="M40" s="56">
        <f>'S29'!M40+L40</f>
        <v/>
      </c>
      <c r="N40" s="57">
        <f>IFERROR(M40/K40,0)</f>
        <v/>
      </c>
      <c r="O40" s="58">
        <f>'S29'!N40</f>
        <v/>
      </c>
      <c r="P40" s="57">
        <f>N40-O40</f>
        <v/>
      </c>
      <c r="Q40" s="32" t="n"/>
      <c r="R40" s="32" t="n"/>
      <c r="S40" s="32" t="n"/>
      <c r="T40" s="55" t="n"/>
      <c r="U40" s="58">
        <f>'S29'!T40</f>
        <v/>
      </c>
      <c r="V40" s="57">
        <f>T40-U40</f>
        <v/>
      </c>
      <c r="W40" s="57">
        <f>N40-T40</f>
        <v/>
      </c>
      <c r="X40" s="34" t="n"/>
    </row>
    <row r="41" ht="22" customHeight="1">
      <c r="B41" s="5" t="n">
        <v>37</v>
      </c>
      <c r="C41" s="6" t="inlineStr">
        <is>
          <t>Sidi Kacem</t>
        </is>
      </c>
      <c r="D41" s="5" t="inlineStr">
        <is>
          <t>SAFSAF</t>
        </is>
      </c>
      <c r="E41" s="5" t="inlineStr">
        <is>
          <t>50-23</t>
        </is>
      </c>
      <c r="F41" s="5" t="inlineStr">
        <is>
          <t>Entretien et réparation du réseau d'assainissement et de drainage</t>
        </is>
      </c>
      <c r="G41" s="5" t="inlineStr">
        <is>
          <t>Travaux de curage des canaux en terre</t>
        </is>
      </c>
      <c r="H41" s="5" t="inlineStr">
        <is>
          <t>Curage des collecteurs d'assainissement des secteurs S7, S9 et S11</t>
        </is>
      </c>
      <c r="I41" s="7" t="n">
        <v>6000000</v>
      </c>
      <c r="J41" s="8" t="inlineStr">
        <is>
          <t>ml</t>
        </is>
      </c>
      <c r="K41" s="9" t="n">
        <v>3000</v>
      </c>
      <c r="L41" s="51" t="n"/>
      <c r="M41" s="52">
        <f>'S29'!M41+L41</f>
        <v/>
      </c>
      <c r="N41" s="53">
        <f>IFERROR(M41/K41,0)</f>
        <v/>
      </c>
      <c r="O41" s="54">
        <f>'S29'!N41</f>
        <v/>
      </c>
      <c r="P41" s="53">
        <f>N41-O41</f>
        <v/>
      </c>
      <c r="Q41" s="32" t="n"/>
      <c r="R41" s="32" t="n"/>
      <c r="S41" s="32" t="n"/>
      <c r="T41" s="55" t="n"/>
      <c r="U41" s="54">
        <f>'S29'!T41</f>
        <v/>
      </c>
      <c r="V41" s="53">
        <f>T41-U41</f>
        <v/>
      </c>
      <c r="W41" s="53">
        <f>N41-T41</f>
        <v/>
      </c>
      <c r="X41" s="34" t="n"/>
    </row>
    <row r="42" ht="22" customHeight="1">
      <c r="B42" s="10" t="n">
        <v>38</v>
      </c>
      <c r="C42" s="6" t="inlineStr">
        <is>
          <t>Sidi Kacem</t>
        </is>
      </c>
      <c r="D42" s="10" t="inlineStr">
        <is>
          <t>SAFSAF</t>
        </is>
      </c>
      <c r="E42" s="10" t="inlineStr">
        <is>
          <t>20-11</t>
        </is>
      </c>
      <c r="F42" s="10" t="inlineStr">
        <is>
          <t>Travaux de réhabilitation des équipements</t>
        </is>
      </c>
      <c r="G42" s="10" t="inlineStr">
        <is>
          <t>Travaux de réhabilitation des canaux portés d'irrigation</t>
        </is>
      </c>
      <c r="H42" s="10" t="inlineStr">
        <is>
          <t>Fourniture et  pose de canaux porté et accessoires du réseau S4 du secteur S11</t>
        </is>
      </c>
      <c r="I42" s="11" t="n">
        <v>232266</v>
      </c>
      <c r="J42" s="12" t="inlineStr">
        <is>
          <t>ml</t>
        </is>
      </c>
      <c r="K42" s="13" t="n">
        <v>77</v>
      </c>
      <c r="L42" s="51" t="n"/>
      <c r="M42" s="56">
        <f>'S29'!M42+L42</f>
        <v/>
      </c>
      <c r="N42" s="57">
        <f>IFERROR(M42/K42,0)</f>
        <v/>
      </c>
      <c r="O42" s="58">
        <f>'S29'!N42</f>
        <v/>
      </c>
      <c r="P42" s="57">
        <f>N42-O42</f>
        <v/>
      </c>
      <c r="Q42" s="32" t="n"/>
      <c r="R42" s="32" t="n"/>
      <c r="S42" s="32" t="n"/>
      <c r="T42" s="55" t="n"/>
      <c r="U42" s="58">
        <f>'S29'!T42</f>
        <v/>
      </c>
      <c r="V42" s="57">
        <f>T42-U42</f>
        <v/>
      </c>
      <c r="W42" s="57">
        <f>N42-T42</f>
        <v/>
      </c>
      <c r="X42" s="34" t="n"/>
    </row>
    <row r="43" ht="22" customHeight="1">
      <c r="B43" s="5" t="n">
        <v>39</v>
      </c>
      <c r="C43" s="6" t="inlineStr">
        <is>
          <t>Sidi Kacem</t>
        </is>
      </c>
      <c r="D43" s="5" t="inlineStr">
        <is>
          <t>SAFSAF</t>
        </is>
      </c>
      <c r="E43" s="5" t="inlineStr">
        <is>
          <t>20-11</t>
        </is>
      </c>
      <c r="F43" s="5" t="inlineStr">
        <is>
          <t>Travaux de réhabilitation des équipements</t>
        </is>
      </c>
      <c r="G43" s="5" t="inlineStr"/>
      <c r="H43" s="5" t="inlineStr">
        <is>
          <t>Recalage des canaux portés du réseau T5S5 du secteur S9</t>
        </is>
      </c>
      <c r="I43" s="7" t="n">
        <v>1055025</v>
      </c>
      <c r="J43" s="8" t="inlineStr">
        <is>
          <t>ml</t>
        </is>
      </c>
      <c r="K43" s="9" t="n">
        <v>352</v>
      </c>
      <c r="L43" s="51" t="n"/>
      <c r="M43" s="52">
        <f>'S29'!M43+L43</f>
        <v/>
      </c>
      <c r="N43" s="53">
        <f>IFERROR(M43/K43,0)</f>
        <v/>
      </c>
      <c r="O43" s="54">
        <f>'S29'!N43</f>
        <v/>
      </c>
      <c r="P43" s="53">
        <f>N43-O43</f>
        <v/>
      </c>
      <c r="Q43" s="32" t="n"/>
      <c r="R43" s="32" t="n"/>
      <c r="S43" s="32" t="n"/>
      <c r="T43" s="55" t="n"/>
      <c r="U43" s="54">
        <f>'S29'!T43</f>
        <v/>
      </c>
      <c r="V43" s="53">
        <f>T43-U43</f>
        <v/>
      </c>
      <c r="W43" s="53">
        <f>N43-T43</f>
        <v/>
      </c>
      <c r="X43" s="34" t="n"/>
    </row>
    <row r="44" ht="22" customHeight="1">
      <c r="B44" s="10" t="n">
        <v>40</v>
      </c>
      <c r="C44" s="6" t="inlineStr">
        <is>
          <t>Sidi Kacem</t>
        </is>
      </c>
      <c r="D44" s="10" t="inlineStr">
        <is>
          <t>SAFSAF</t>
        </is>
      </c>
      <c r="E44" s="10" t="inlineStr">
        <is>
          <t>20-11</t>
        </is>
      </c>
      <c r="F44" s="10" t="inlineStr">
        <is>
          <t>Travaux de réhabilitation des équipements</t>
        </is>
      </c>
      <c r="G44" s="10" t="inlineStr"/>
      <c r="H44" s="10" t="inlineStr">
        <is>
          <t>Recalage des canaux portés du réseau T7S5 du secteur S9</t>
        </is>
      </c>
      <c r="I44" s="11" t="n">
        <v>1004535</v>
      </c>
      <c r="J44" s="12" t="inlineStr">
        <is>
          <t>ml</t>
        </is>
      </c>
      <c r="K44" s="13" t="n">
        <v>335</v>
      </c>
      <c r="L44" s="51" t="n"/>
      <c r="M44" s="56">
        <f>'S29'!M44+L44</f>
        <v/>
      </c>
      <c r="N44" s="57">
        <f>IFERROR(M44/K44,0)</f>
        <v/>
      </c>
      <c r="O44" s="58">
        <f>'S29'!N44</f>
        <v/>
      </c>
      <c r="P44" s="57">
        <f>N44-O44</f>
        <v/>
      </c>
      <c r="Q44" s="32" t="n"/>
      <c r="R44" s="32" t="n"/>
      <c r="S44" s="32" t="n"/>
      <c r="T44" s="55" t="n"/>
      <c r="U44" s="58">
        <f>'S29'!T44</f>
        <v/>
      </c>
      <c r="V44" s="57">
        <f>T44-U44</f>
        <v/>
      </c>
      <c r="W44" s="57">
        <f>N44-T44</f>
        <v/>
      </c>
      <c r="X44" s="34" t="n"/>
    </row>
    <row r="45" ht="22" customHeight="1">
      <c r="B45" s="5" t="n">
        <v>41</v>
      </c>
      <c r="C45" s="6" t="inlineStr">
        <is>
          <t>Sidi Kacem</t>
        </is>
      </c>
      <c r="D45" s="5" t="inlineStr">
        <is>
          <t>SAFSAF</t>
        </is>
      </c>
      <c r="E45" s="5" t="inlineStr">
        <is>
          <t>20-11</t>
        </is>
      </c>
      <c r="F45" s="5" t="inlineStr">
        <is>
          <t>Travaux de réhabilitation des équipements</t>
        </is>
      </c>
      <c r="G45" s="5" t="inlineStr"/>
      <c r="H45" s="5" t="inlineStr">
        <is>
          <t>Recalage des canaux portés du réseau T2S5 du secteur S9</t>
        </is>
      </c>
      <c r="I45" s="7" t="n">
        <v>793830</v>
      </c>
      <c r="J45" s="8" t="inlineStr">
        <is>
          <t>ml</t>
        </is>
      </c>
      <c r="K45" s="9" t="n">
        <v>265</v>
      </c>
      <c r="L45" s="51" t="n"/>
      <c r="M45" s="52">
        <f>'S29'!M45+L45</f>
        <v/>
      </c>
      <c r="N45" s="53">
        <f>IFERROR(M45/K45,0)</f>
        <v/>
      </c>
      <c r="O45" s="54">
        <f>'S29'!N45</f>
        <v/>
      </c>
      <c r="P45" s="53">
        <f>N45-O45</f>
        <v/>
      </c>
      <c r="Q45" s="32" t="n"/>
      <c r="R45" s="32" t="n"/>
      <c r="S45" s="32" t="n"/>
      <c r="T45" s="55" t="n"/>
      <c r="U45" s="54">
        <f>'S29'!T45</f>
        <v/>
      </c>
      <c r="V45" s="53">
        <f>T45-U45</f>
        <v/>
      </c>
      <c r="W45" s="53">
        <f>N45-T45</f>
        <v/>
      </c>
      <c r="X45" s="34" t="n"/>
    </row>
    <row r="46" ht="22" customHeight="1">
      <c r="B46" s="10" t="n">
        <v>42</v>
      </c>
      <c r="C46" s="6" t="inlineStr">
        <is>
          <t>Sidi Kacem</t>
        </is>
      </c>
      <c r="D46" s="10" t="inlineStr">
        <is>
          <t>SAFSAF</t>
        </is>
      </c>
      <c r="E46" s="10" t="inlineStr">
        <is>
          <t>40-21</t>
        </is>
      </c>
      <c r="F46" s="10" t="inlineStr">
        <is>
          <t>Travaux de pistes</t>
        </is>
      </c>
      <c r="G46" s="10" t="inlineStr">
        <is>
          <t>Entretien des pistes agricoles</t>
        </is>
      </c>
      <c r="H46" s="10" t="inlineStr">
        <is>
          <t>Entretien des pistes agricoles</t>
        </is>
      </c>
      <c r="I46" s="11" t="n">
        <v>2000000</v>
      </c>
      <c r="J46" s="12" t="inlineStr">
        <is>
          <t>km</t>
        </is>
      </c>
      <c r="K46" s="13" t="n">
        <v>4</v>
      </c>
      <c r="L46" s="51" t="n"/>
      <c r="M46" s="56">
        <f>'S29'!M46+L46</f>
        <v/>
      </c>
      <c r="N46" s="57">
        <f>IFERROR(M46/K46,0)</f>
        <v/>
      </c>
      <c r="O46" s="58">
        <f>'S29'!N46</f>
        <v/>
      </c>
      <c r="P46" s="57">
        <f>N46-O46</f>
        <v/>
      </c>
      <c r="Q46" s="32" t="n"/>
      <c r="R46" s="32" t="n"/>
      <c r="S46" s="32" t="n"/>
      <c r="T46" s="55" t="n"/>
      <c r="U46" s="58">
        <f>'S29'!T46</f>
        <v/>
      </c>
      <c r="V46" s="57">
        <f>T46-U46</f>
        <v/>
      </c>
      <c r="W46" s="57">
        <f>N46-T46</f>
        <v/>
      </c>
      <c r="X46" s="34" t="n"/>
    </row>
    <row r="47" ht="22" customHeight="1">
      <c r="B47" s="5" t="n">
        <v>43</v>
      </c>
      <c r="C47" s="6" t="inlineStr">
        <is>
          <t>Sidi Kacem</t>
        </is>
      </c>
      <c r="D47" s="5" t="inlineStr">
        <is>
          <t>SAFSAF</t>
        </is>
      </c>
      <c r="E47" s="5" t="inlineStr">
        <is>
          <t>50-23</t>
        </is>
      </c>
      <c r="F47" s="5" t="inlineStr">
        <is>
          <t>Entretien et réparation du réseau d'assainissement et de drainage</t>
        </is>
      </c>
      <c r="G47" s="5" t="inlineStr">
        <is>
          <t>Curage des prises sur l’oued, bâche d’aspiration et bassin de régulation.</t>
        </is>
      </c>
      <c r="H47" s="5" t="inlineStr">
        <is>
          <t>Curage des prises sur l’oued des stations de pompage S11, S9, 7D et 7B.
Nettoyage des grilles de préfiltration des boues colmaté des stations de pompage S11, S9, 7D et 7B.
Nettoyage des crépines des boues colmaté de station pompage 7D.
Curage des dalots et bâche d’aspiration des stations de pompage S11, S9, 7B.</t>
        </is>
      </c>
      <c r="I47" s="7" t="n">
        <v>200000</v>
      </c>
      <c r="J47" s="8" t="inlineStr">
        <is>
          <t>ml</t>
        </is>
      </c>
      <c r="K47" s="9" t="n">
        <v>67</v>
      </c>
      <c r="L47" s="51" t="n"/>
      <c r="M47" s="52">
        <f>'S29'!M47+L47</f>
        <v/>
      </c>
      <c r="N47" s="53">
        <f>IFERROR(M47/K47,0)</f>
        <v/>
      </c>
      <c r="O47" s="54">
        <f>'S29'!N47</f>
        <v/>
      </c>
      <c r="P47" s="53">
        <f>N47-O47</f>
        <v/>
      </c>
      <c r="Q47" s="32" t="n"/>
      <c r="R47" s="32" t="n"/>
      <c r="S47" s="32" t="n"/>
      <c r="T47" s="55" t="n"/>
      <c r="U47" s="54">
        <f>'S29'!T47</f>
        <v/>
      </c>
      <c r="V47" s="53">
        <f>T47-U47</f>
        <v/>
      </c>
      <c r="W47" s="53">
        <f>N47-T47</f>
        <v/>
      </c>
      <c r="X47" s="34" t="n"/>
    </row>
    <row r="48" ht="22" customHeight="1">
      <c r="B48" s="10" t="n">
        <v>44</v>
      </c>
      <c r="C48" s="6" t="inlineStr">
        <is>
          <t>Sidi Kacem</t>
        </is>
      </c>
      <c r="D48" s="10" t="inlineStr">
        <is>
          <t>SAFSAF</t>
        </is>
      </c>
      <c r="E48" s="10" t="inlineStr">
        <is>
          <t>50-21</t>
        </is>
      </c>
      <c r="F48" s="10" t="inlineStr">
        <is>
          <t>Entretien et réparation des stations de pompage</t>
        </is>
      </c>
      <c r="G48" s="10" t="inlineStr">
        <is>
          <t>Prestation de maintenance des débitmètres et leurs équipements annexes installés au niveau des station de pompage</t>
        </is>
      </c>
      <c r="H48" s="10" t="inlineStr">
        <is>
          <t>Changements Sept des débitmètres Ø 600mm inondé des deux stations de pompage S11 et S9.</t>
        </is>
      </c>
      <c r="I48" s="11" t="n">
        <v>580000</v>
      </c>
      <c r="J48" s="12" t="inlineStr">
        <is>
          <t>U</t>
        </is>
      </c>
      <c r="K48" s="13" t="n">
        <v>7</v>
      </c>
      <c r="L48" s="51" t="n"/>
      <c r="M48" s="56">
        <f>'S29'!M48+L48</f>
        <v/>
      </c>
      <c r="N48" s="57">
        <f>IFERROR(M48/K48,0)</f>
        <v/>
      </c>
      <c r="O48" s="58">
        <f>'S29'!N48</f>
        <v/>
      </c>
      <c r="P48" s="57">
        <f>N48-O48</f>
        <v/>
      </c>
      <c r="Q48" s="32" t="n"/>
      <c r="R48" s="32" t="n"/>
      <c r="S48" s="32" t="n"/>
      <c r="T48" s="55" t="n"/>
      <c r="U48" s="58">
        <f>'S29'!T48</f>
        <v/>
      </c>
      <c r="V48" s="57">
        <f>T48-U48</f>
        <v/>
      </c>
      <c r="W48" s="57">
        <f>N48-T48</f>
        <v/>
      </c>
      <c r="X48" s="34" t="n"/>
    </row>
    <row r="49" ht="22" customHeight="1">
      <c r="B49" s="5" t="n">
        <v>45</v>
      </c>
      <c r="C49" s="6" t="inlineStr">
        <is>
          <t>Sidi Kacem</t>
        </is>
      </c>
      <c r="D49" s="5" t="inlineStr">
        <is>
          <t>SAFSAF</t>
        </is>
      </c>
      <c r="E49" s="5" t="inlineStr">
        <is>
          <t>50-21</t>
        </is>
      </c>
      <c r="F49" s="5" t="inlineStr">
        <is>
          <t>Entretien et réparation des stations de pompage</t>
        </is>
      </c>
      <c r="G49" s="5" t="inlineStr">
        <is>
          <t>Stabilisation Berge oued</t>
        </is>
      </c>
      <c r="H49" s="5" t="inlineStr">
        <is>
          <t>Pose de murs en gabions et recouvrement du talus par matelas Reno des stations de pompage S11, S9, 7D et 7B .</t>
        </is>
      </c>
      <c r="I49" s="7" t="n">
        <v>4000000</v>
      </c>
      <c r="J49" s="8" t="inlineStr">
        <is>
          <t>m³</t>
        </is>
      </c>
      <c r="K49" s="9" t="n">
        <v>2667</v>
      </c>
      <c r="L49" s="51" t="n"/>
      <c r="M49" s="52">
        <f>'S29'!M49+L49</f>
        <v/>
      </c>
      <c r="N49" s="53">
        <f>IFERROR(M49/K49,0)</f>
        <v/>
      </c>
      <c r="O49" s="54">
        <f>'S29'!N49</f>
        <v/>
      </c>
      <c r="P49" s="53">
        <f>N49-O49</f>
        <v/>
      </c>
      <c r="Q49" s="32" t="n"/>
      <c r="R49" s="32" t="n"/>
      <c r="S49" s="32" t="n"/>
      <c r="T49" s="55" t="n"/>
      <c r="U49" s="54">
        <f>'S29'!T49</f>
        <v/>
      </c>
      <c r="V49" s="53">
        <f>T49-U49</f>
        <v/>
      </c>
      <c r="W49" s="53">
        <f>N49-T49</f>
        <v/>
      </c>
      <c r="X49" s="34" t="n"/>
    </row>
    <row r="50" ht="22" customHeight="1">
      <c r="B50" s="10" t="n">
        <v>46</v>
      </c>
      <c r="C50" s="6" t="inlineStr">
        <is>
          <t>Sidi Kacem</t>
        </is>
      </c>
      <c r="D50" s="10" t="inlineStr">
        <is>
          <t>SIDI AZZOUZ</t>
        </is>
      </c>
      <c r="E50" s="10" t="inlineStr">
        <is>
          <t>40-21</t>
        </is>
      </c>
      <c r="F50" s="10" t="inlineStr">
        <is>
          <t>Travaux de pistes</t>
        </is>
      </c>
      <c r="G50" s="10" t="inlineStr">
        <is>
          <t>Entretien des pistes agricoles</t>
        </is>
      </c>
      <c r="H50" s="10" t="inlineStr">
        <is>
          <t>Entretien des pistes agricoles</t>
        </is>
      </c>
      <c r="I50" s="11" t="n">
        <v>655000</v>
      </c>
      <c r="J50" s="12" t="inlineStr">
        <is>
          <t>km</t>
        </is>
      </c>
      <c r="K50" s="13" t="n">
        <v>1</v>
      </c>
      <c r="L50" s="51" t="n"/>
      <c r="M50" s="56">
        <f>'S29'!M50+L50</f>
        <v/>
      </c>
      <c r="N50" s="57">
        <f>IFERROR(M50/K50,0)</f>
        <v/>
      </c>
      <c r="O50" s="58">
        <f>'S29'!N50</f>
        <v/>
      </c>
      <c r="P50" s="57">
        <f>N50-O50</f>
        <v/>
      </c>
      <c r="Q50" s="32" t="n"/>
      <c r="R50" s="32" t="n"/>
      <c r="S50" s="32" t="n"/>
      <c r="T50" s="55" t="n"/>
      <c r="U50" s="58">
        <f>'S29'!T50</f>
        <v/>
      </c>
      <c r="V50" s="57">
        <f>T50-U50</f>
        <v/>
      </c>
      <c r="W50" s="57">
        <f>N50-T50</f>
        <v/>
      </c>
      <c r="X50" s="34" t="n"/>
    </row>
    <row r="51" ht="22" customHeight="1">
      <c r="B51" s="5" t="n">
        <v>47</v>
      </c>
      <c r="C51" s="6" t="inlineStr">
        <is>
          <t>Sidi Kacem</t>
        </is>
      </c>
      <c r="D51" s="5" t="inlineStr">
        <is>
          <t>SIDI EL KAMEL</t>
        </is>
      </c>
      <c r="E51" s="5" t="inlineStr">
        <is>
          <t>20-11</t>
        </is>
      </c>
      <c r="F51" s="5" t="inlineStr">
        <is>
          <t>Travaux de réhabilitation des équipements</t>
        </is>
      </c>
      <c r="G51" s="5" t="inlineStr">
        <is>
          <t>Travaux de réhabilitation des canaux portés d'irrigation</t>
        </is>
      </c>
      <c r="H51" s="5" t="inlineStr">
        <is>
          <t>Fourniture et de pose de canaux porté et accessoires du réseau SR4 du secteur S3R</t>
        </is>
      </c>
      <c r="I51" s="7" t="n">
        <v>5182920</v>
      </c>
      <c r="J51" s="8" t="inlineStr">
        <is>
          <t>ml</t>
        </is>
      </c>
      <c r="K51" s="9" t="n">
        <v>1728</v>
      </c>
      <c r="L51" s="51" t="n"/>
      <c r="M51" s="52">
        <f>'S29'!M51+L51</f>
        <v/>
      </c>
      <c r="N51" s="53">
        <f>IFERROR(M51/K51,0)</f>
        <v/>
      </c>
      <c r="O51" s="54">
        <f>'S29'!N51</f>
        <v/>
      </c>
      <c r="P51" s="53">
        <f>N51-O51</f>
        <v/>
      </c>
      <c r="Q51" s="32" t="n"/>
      <c r="R51" s="32" t="n"/>
      <c r="S51" s="32" t="n"/>
      <c r="T51" s="55" t="n"/>
      <c r="U51" s="54">
        <f>'S29'!T51</f>
        <v/>
      </c>
      <c r="V51" s="53">
        <f>T51-U51</f>
        <v/>
      </c>
      <c r="W51" s="53">
        <f>N51-T51</f>
        <v/>
      </c>
      <c r="X51" s="34" t="n"/>
    </row>
    <row r="52" ht="22" customHeight="1">
      <c r="B52" s="10" t="n">
        <v>48</v>
      </c>
      <c r="C52" s="6" t="inlineStr">
        <is>
          <t>Sidi Kacem</t>
        </is>
      </c>
      <c r="D52" s="10" t="inlineStr">
        <is>
          <t>SIDI EL KAMEL</t>
        </is>
      </c>
      <c r="E52" s="10" t="inlineStr">
        <is>
          <t>20-11</t>
        </is>
      </c>
      <c r="F52" s="10" t="inlineStr">
        <is>
          <t>Travaux de réhabilitation des équipements</t>
        </is>
      </c>
      <c r="G52" s="10" t="inlineStr"/>
      <c r="H52" s="10" t="inlineStr">
        <is>
          <t>Fourniture et de pose de canaux porté et accessoires du réseau SR6 du secteur S1RIZ</t>
        </is>
      </c>
      <c r="I52" s="11" t="n">
        <v>152818</v>
      </c>
      <c r="J52" s="12" t="inlineStr">
        <is>
          <t>ml</t>
        </is>
      </c>
      <c r="K52" s="13" t="n">
        <v>51</v>
      </c>
      <c r="L52" s="51" t="n"/>
      <c r="M52" s="56">
        <f>'S29'!M52+L52</f>
        <v/>
      </c>
      <c r="N52" s="57">
        <f>IFERROR(M52/K52,0)</f>
        <v/>
      </c>
      <c r="O52" s="58">
        <f>'S29'!N52</f>
        <v/>
      </c>
      <c r="P52" s="57">
        <f>N52-O52</f>
        <v/>
      </c>
      <c r="Q52" s="32" t="n"/>
      <c r="R52" s="32" t="n"/>
      <c r="S52" s="32" t="n"/>
      <c r="T52" s="55" t="n"/>
      <c r="U52" s="58">
        <f>'S29'!T52</f>
        <v/>
      </c>
      <c r="V52" s="57">
        <f>T52-U52</f>
        <v/>
      </c>
      <c r="W52" s="57">
        <f>N52-T52</f>
        <v/>
      </c>
      <c r="X52" s="34" t="n"/>
    </row>
    <row r="53" ht="22" customHeight="1">
      <c r="B53" s="5" t="n">
        <v>49</v>
      </c>
      <c r="C53" s="6" t="inlineStr">
        <is>
          <t>Sidi Kacem</t>
        </is>
      </c>
      <c r="D53" s="5" t="inlineStr">
        <is>
          <t>SIDI EL KAMEL</t>
        </is>
      </c>
      <c r="E53" s="5" t="inlineStr">
        <is>
          <t>20-11</t>
        </is>
      </c>
      <c r="F53" s="5" t="inlineStr">
        <is>
          <t>Travaux de réhabilitation des équipements</t>
        </is>
      </c>
      <c r="G53" s="5" t="inlineStr"/>
      <c r="H53" s="5" t="inlineStr">
        <is>
          <t>Recalage des canaux portés du réseau SR4 du secteur S3R</t>
        </is>
      </c>
      <c r="I53" s="7" t="n">
        <v>1418000</v>
      </c>
      <c r="J53" s="8" t="inlineStr">
        <is>
          <t>ml</t>
        </is>
      </c>
      <c r="K53" s="9" t="n">
        <v>473</v>
      </c>
      <c r="L53" s="51" t="n"/>
      <c r="M53" s="52">
        <f>'S29'!M53+L53</f>
        <v/>
      </c>
      <c r="N53" s="53">
        <f>IFERROR(M53/K53,0)</f>
        <v/>
      </c>
      <c r="O53" s="54">
        <f>'S29'!N53</f>
        <v/>
      </c>
      <c r="P53" s="53">
        <f>N53-O53</f>
        <v/>
      </c>
      <c r="Q53" s="32" t="n"/>
      <c r="R53" s="32" t="n"/>
      <c r="S53" s="32" t="n"/>
      <c r="T53" s="55" t="n"/>
      <c r="U53" s="54">
        <f>'S29'!T53</f>
        <v/>
      </c>
      <c r="V53" s="53">
        <f>T53-U53</f>
        <v/>
      </c>
      <c r="W53" s="53">
        <f>N53-T53</f>
        <v/>
      </c>
      <c r="X53" s="34" t="n"/>
    </row>
    <row r="54" ht="22" customHeight="1">
      <c r="B54" s="10" t="n">
        <v>50</v>
      </c>
      <c r="C54" s="6" t="inlineStr">
        <is>
          <t>Sidi Kacem</t>
        </is>
      </c>
      <c r="D54" s="10" t="inlineStr">
        <is>
          <t>SIDI EL KAMEL</t>
        </is>
      </c>
      <c r="E54" s="10" t="inlineStr">
        <is>
          <t>20-11</t>
        </is>
      </c>
      <c r="F54" s="10" t="inlineStr">
        <is>
          <t>Travaux de réhabilitation des équipements</t>
        </is>
      </c>
      <c r="G54" s="10" t="inlineStr">
        <is>
          <t>Travaux de réhabilitation des ouvrages de génie civil</t>
        </is>
      </c>
      <c r="H54" s="10" t="inlineStr">
        <is>
          <t>Réhabilitation des murs de soutènements des ouvrages de franchissements du canal d'assainissement CS3 secteur S3 et de l’ouvrage de franchissement du canal primaire d’irrigation du secteur S1R au niveau de la route provinciale P4234</t>
        </is>
      </c>
      <c r="I54" s="11" t="n">
        <v>800000</v>
      </c>
      <c r="J54" s="12" t="inlineStr">
        <is>
          <t>ml</t>
        </is>
      </c>
      <c r="K54" s="13" t="n">
        <v>400</v>
      </c>
      <c r="L54" s="51" t="n"/>
      <c r="M54" s="56">
        <f>'S29'!M54+L54</f>
        <v/>
      </c>
      <c r="N54" s="57">
        <f>IFERROR(M54/K54,0)</f>
        <v/>
      </c>
      <c r="O54" s="58">
        <f>'S29'!N54</f>
        <v/>
      </c>
      <c r="P54" s="57">
        <f>N54-O54</f>
        <v/>
      </c>
      <c r="Q54" s="32" t="n"/>
      <c r="R54" s="32" t="n"/>
      <c r="S54" s="32" t="n"/>
      <c r="T54" s="55" t="n"/>
      <c r="U54" s="58">
        <f>'S29'!T54</f>
        <v/>
      </c>
      <c r="V54" s="57">
        <f>T54-U54</f>
        <v/>
      </c>
      <c r="W54" s="57">
        <f>N54-T54</f>
        <v/>
      </c>
      <c r="X54" s="34" t="n"/>
    </row>
    <row r="55" ht="22" customHeight="1">
      <c r="B55" s="5" t="n">
        <v>51</v>
      </c>
      <c r="C55" s="6" t="inlineStr">
        <is>
          <t>Sidi Kacem</t>
        </is>
      </c>
      <c r="D55" s="5" t="inlineStr">
        <is>
          <t>SIDI EL KAMEL</t>
        </is>
      </c>
      <c r="E55" s="5" t="inlineStr">
        <is>
          <t>40-21</t>
        </is>
      </c>
      <c r="F55" s="5" t="inlineStr">
        <is>
          <t>Travaux de pistes</t>
        </is>
      </c>
      <c r="G55" s="5" t="inlineStr">
        <is>
          <t>Entretien des pistes agricoles</t>
        </is>
      </c>
      <c r="H55" s="5" t="inlineStr">
        <is>
          <t>Entretien des pistes agricoles</t>
        </is>
      </c>
      <c r="I55" s="7" t="n">
        <v>3700000</v>
      </c>
      <c r="J55" s="8" t="inlineStr">
        <is>
          <t>km</t>
        </is>
      </c>
      <c r="K55" s="9" t="n">
        <v>7</v>
      </c>
      <c r="L55" s="51" t="n"/>
      <c r="M55" s="52">
        <f>'S29'!M55+L55</f>
        <v/>
      </c>
      <c r="N55" s="53">
        <f>IFERROR(M55/K55,0)</f>
        <v/>
      </c>
      <c r="O55" s="54">
        <f>'S29'!N55</f>
        <v/>
      </c>
      <c r="P55" s="53">
        <f>N55-O55</f>
        <v/>
      </c>
      <c r="Q55" s="32" t="n"/>
      <c r="R55" s="32" t="n"/>
      <c r="S55" s="32" t="n"/>
      <c r="T55" s="55" t="n"/>
      <c r="U55" s="54">
        <f>'S29'!T55</f>
        <v/>
      </c>
      <c r="V55" s="53">
        <f>T55-U55</f>
        <v/>
      </c>
      <c r="W55" s="53">
        <f>N55-T55</f>
        <v/>
      </c>
      <c r="X55" s="34" t="n"/>
    </row>
    <row r="56" ht="22" customHeight="1">
      <c r="B56" s="10" t="n">
        <v>52</v>
      </c>
      <c r="C56" s="6" t="inlineStr">
        <is>
          <t>Sidi Kacem</t>
        </is>
      </c>
      <c r="D56" s="10" t="inlineStr">
        <is>
          <t>SIDI EL KAMEL</t>
        </is>
      </c>
      <c r="E56" s="10" t="inlineStr">
        <is>
          <t>50-21</t>
        </is>
      </c>
      <c r="F56" s="10" t="inlineStr">
        <is>
          <t>Entretien et réparation des stations de pompage</t>
        </is>
      </c>
      <c r="G56" s="10" t="inlineStr">
        <is>
          <t>Prestation de maintenance des débitmètres et leurs équipements annexes installés au niveau des station de pompage</t>
        </is>
      </c>
      <c r="H56" s="10" t="inlineStr">
        <is>
          <t>Changement de quatre débitmètres Ø 500mm et trois Ø 800mm inondé des stations de pompage 1R, 3R et 5R.</t>
        </is>
      </c>
      <c r="I56" s="11" t="n">
        <v>705000</v>
      </c>
      <c r="J56" s="12" t="inlineStr">
        <is>
          <t>U</t>
        </is>
      </c>
      <c r="K56" s="13" t="n">
        <v>3</v>
      </c>
      <c r="L56" s="51" t="n"/>
      <c r="M56" s="56">
        <f>'S29'!M56+L56</f>
        <v/>
      </c>
      <c r="N56" s="57">
        <f>IFERROR(M56/K56,0)</f>
        <v/>
      </c>
      <c r="O56" s="58">
        <f>'S29'!N56</f>
        <v/>
      </c>
      <c r="P56" s="57">
        <f>N56-O56</f>
        <v/>
      </c>
      <c r="Q56" s="32" t="n"/>
      <c r="R56" s="32" t="n"/>
      <c r="S56" s="32" t="n"/>
      <c r="T56" s="55" t="n"/>
      <c r="U56" s="58">
        <f>'S29'!T56</f>
        <v/>
      </c>
      <c r="V56" s="57">
        <f>T56-U56</f>
        <v/>
      </c>
      <c r="W56" s="57">
        <f>N56-T56</f>
        <v/>
      </c>
      <c r="X56" s="34" t="n"/>
    </row>
    <row r="57" ht="22" customHeight="1">
      <c r="B57" s="5" t="n">
        <v>53</v>
      </c>
      <c r="C57" s="6" t="inlineStr">
        <is>
          <t>Sidi Kacem</t>
        </is>
      </c>
      <c r="D57" s="5" t="inlineStr">
        <is>
          <t>SIDI EL KAMEL</t>
        </is>
      </c>
      <c r="E57" s="5" t="inlineStr">
        <is>
          <t>50-21</t>
        </is>
      </c>
      <c r="F57" s="5" t="inlineStr">
        <is>
          <t>Entretien et réparation des stations de pompage</t>
        </is>
      </c>
      <c r="G57" s="5" t="inlineStr">
        <is>
          <t>Mur clôture des stations de pompage.</t>
        </is>
      </c>
      <c r="H57" s="5" t="inlineStr">
        <is>
          <t>Stabilisation et reconstruction des murs clôture cote oued des stations de pompage 7A, 3R et 1R.</t>
        </is>
      </c>
      <c r="I57" s="7" t="n">
        <v>372000</v>
      </c>
      <c r="J57" s="8" t="inlineStr">
        <is>
          <t>ml</t>
        </is>
      </c>
      <c r="K57" s="9" t="n">
        <v>124</v>
      </c>
      <c r="L57" s="51" t="n"/>
      <c r="M57" s="52">
        <f>'S29'!M57+L57</f>
        <v/>
      </c>
      <c r="N57" s="53">
        <f>IFERROR(M57/K57,0)</f>
        <v/>
      </c>
      <c r="O57" s="54">
        <f>'S29'!N57</f>
        <v/>
      </c>
      <c r="P57" s="53">
        <f>N57-O57</f>
        <v/>
      </c>
      <c r="Q57" s="32" t="n"/>
      <c r="R57" s="32" t="n"/>
      <c r="S57" s="32" t="n"/>
      <c r="T57" s="55" t="n"/>
      <c r="U57" s="54">
        <f>'S29'!T57</f>
        <v/>
      </c>
      <c r="V57" s="53">
        <f>T57-U57</f>
        <v/>
      </c>
      <c r="W57" s="53">
        <f>N57-T57</f>
        <v/>
      </c>
      <c r="X57" s="34" t="n"/>
    </row>
    <row r="58" ht="22" customHeight="1">
      <c r="B58" s="10" t="n">
        <v>54</v>
      </c>
      <c r="C58" s="14" t="inlineStr">
        <is>
          <t>Kénitra</t>
        </is>
      </c>
      <c r="D58" s="10" t="inlineStr">
        <is>
          <t>Bni malek</t>
        </is>
      </c>
      <c r="E58" s="10" t="inlineStr">
        <is>
          <t>50-23</t>
        </is>
      </c>
      <c r="F58" s="10" t="inlineStr">
        <is>
          <t>Entretien et réparation du réseau d'assainissement et de drainage</t>
        </is>
      </c>
      <c r="G58" s="10" t="inlineStr">
        <is>
          <t>Travaux de curage des canaux en terre</t>
        </is>
      </c>
      <c r="H58" s="10" t="inlineStr">
        <is>
          <t>Curage des emissaires et colatures secondaire au niveau des secteurs MDA ET N9</t>
        </is>
      </c>
      <c r="I58" s="11" t="n">
        <v>10000000</v>
      </c>
      <c r="J58" s="12" t="inlineStr">
        <is>
          <t>ml</t>
        </is>
      </c>
      <c r="K58" s="13" t="n">
        <v>5000</v>
      </c>
      <c r="L58" s="51" t="n"/>
      <c r="M58" s="56">
        <f>'S29'!M58+L58</f>
        <v/>
      </c>
      <c r="N58" s="57">
        <f>IFERROR(M58/K58,0)</f>
        <v/>
      </c>
      <c r="O58" s="58">
        <f>'S29'!N58</f>
        <v/>
      </c>
      <c r="P58" s="57">
        <f>N58-O58</f>
        <v/>
      </c>
      <c r="Q58" s="32" t="n"/>
      <c r="R58" s="32" t="n"/>
      <c r="S58" s="32" t="n"/>
      <c r="T58" s="55" t="n"/>
      <c r="U58" s="58">
        <f>'S29'!T58</f>
        <v/>
      </c>
      <c r="V58" s="57">
        <f>T58-U58</f>
        <v/>
      </c>
      <c r="W58" s="57">
        <f>N58-T58</f>
        <v/>
      </c>
      <c r="X58" s="34" t="n"/>
    </row>
    <row r="59" ht="22" customHeight="1">
      <c r="B59" s="5" t="n">
        <v>55</v>
      </c>
      <c r="C59" s="14" t="inlineStr">
        <is>
          <t>Kénitra</t>
        </is>
      </c>
      <c r="D59" s="5" t="inlineStr">
        <is>
          <t>Bni malek</t>
        </is>
      </c>
      <c r="E59" s="5" t="inlineStr">
        <is>
          <t>40-21</t>
        </is>
      </c>
      <c r="F59" s="5" t="inlineStr">
        <is>
          <t>Travaux de pistes</t>
        </is>
      </c>
      <c r="G59" s="5" t="inlineStr">
        <is>
          <t>Travaux de réhabilitation des pistes agricoles</t>
        </is>
      </c>
      <c r="H59" s="5" t="inlineStr">
        <is>
          <t>Entretien des pistes agricoles des secteurs MDA et N3</t>
        </is>
      </c>
      <c r="I59" s="7" t="n">
        <v>2000000</v>
      </c>
      <c r="J59" s="8" t="inlineStr">
        <is>
          <t>km</t>
        </is>
      </c>
      <c r="K59" s="9" t="n">
        <v>4</v>
      </c>
      <c r="L59" s="51" t="n"/>
      <c r="M59" s="52">
        <f>'S29'!M59+L59</f>
        <v/>
      </c>
      <c r="N59" s="53">
        <f>IFERROR(M59/K59,0)</f>
        <v/>
      </c>
      <c r="O59" s="54">
        <f>'S29'!N59</f>
        <v/>
      </c>
      <c r="P59" s="53">
        <f>N59-O59</f>
        <v/>
      </c>
      <c r="Q59" s="32" t="n"/>
      <c r="R59" s="32" t="n"/>
      <c r="S59" s="32" t="n"/>
      <c r="T59" s="55" t="n"/>
      <c r="U59" s="54">
        <f>'S29'!T59</f>
        <v/>
      </c>
      <c r="V59" s="53">
        <f>T59-U59</f>
        <v/>
      </c>
      <c r="W59" s="53">
        <f>N59-T59</f>
        <v/>
      </c>
      <c r="X59" s="34" t="n"/>
    </row>
    <row r="60" ht="22" customHeight="1">
      <c r="B60" s="10" t="n">
        <v>56</v>
      </c>
      <c r="C60" s="14" t="inlineStr">
        <is>
          <t>Kénitra</t>
        </is>
      </c>
      <c r="D60" s="10" t="inlineStr">
        <is>
          <t>Bni malek</t>
        </is>
      </c>
      <c r="E60" s="10" t="inlineStr">
        <is>
          <t>50-21</t>
        </is>
      </c>
      <c r="F60" s="10" t="inlineStr">
        <is>
          <t>Entretien et réparation des stations de pompage</t>
        </is>
      </c>
      <c r="G60" s="10" t="inlineStr">
        <is>
          <t>Prestations de maintenance et de réparation mécanique des pompes et des groupes motopompes submersibles des stations de pompage.</t>
        </is>
      </c>
      <c r="H60" s="10" t="inlineStr">
        <is>
          <t>station de pompage MDA secteur MDA</t>
        </is>
      </c>
      <c r="I60" s="11" t="n">
        <v>300000</v>
      </c>
      <c r="J60" s="12" t="inlineStr">
        <is>
          <t>U</t>
        </is>
      </c>
      <c r="K60" s="13" t="n">
        <v>1</v>
      </c>
      <c r="L60" s="51" t="n"/>
      <c r="M60" s="56">
        <f>'S29'!M60+L60</f>
        <v/>
      </c>
      <c r="N60" s="57">
        <f>IFERROR(M60/K60,0)</f>
        <v/>
      </c>
      <c r="O60" s="58">
        <f>'S29'!N60</f>
        <v/>
      </c>
      <c r="P60" s="57">
        <f>N60-O60</f>
        <v/>
      </c>
      <c r="Q60" s="32" t="n"/>
      <c r="R60" s="32" t="n"/>
      <c r="S60" s="32" t="n"/>
      <c r="T60" s="55" t="n"/>
      <c r="U60" s="58">
        <f>'S29'!T60</f>
        <v/>
      </c>
      <c r="V60" s="57">
        <f>T60-U60</f>
        <v/>
      </c>
      <c r="W60" s="57">
        <f>N60-T60</f>
        <v/>
      </c>
      <c r="X60" s="34" t="n"/>
    </row>
    <row r="61" ht="22" customHeight="1">
      <c r="B61" s="5" t="n">
        <v>57</v>
      </c>
      <c r="C61" s="14" t="inlineStr">
        <is>
          <t>Kénitra</t>
        </is>
      </c>
      <c r="D61" s="5" t="inlineStr">
        <is>
          <t>Bni malek</t>
        </is>
      </c>
      <c r="E61" s="5" t="inlineStr">
        <is>
          <t>20-11</t>
        </is>
      </c>
      <c r="F61" s="5" t="inlineStr">
        <is>
          <t>Travaux de réhabilitation des équipements</t>
        </is>
      </c>
      <c r="G61" s="5" t="inlineStr">
        <is>
          <t>Travaux de réhabilitation des ouvrages de génie civil</t>
        </is>
      </c>
      <c r="H61" s="5" t="inlineStr">
        <is>
          <t>Rétablissement des bornes affaissées des secteurs N2 et N3</t>
        </is>
      </c>
      <c r="I61" s="7" t="n">
        <v>100000</v>
      </c>
      <c r="J61" s="8" t="inlineStr">
        <is>
          <t>U</t>
        </is>
      </c>
      <c r="K61" s="9" t="n">
        <v>200</v>
      </c>
      <c r="L61" s="51" t="n"/>
      <c r="M61" s="52">
        <f>'S29'!M61+L61</f>
        <v/>
      </c>
      <c r="N61" s="53">
        <f>IFERROR(M61/K61,0)</f>
        <v/>
      </c>
      <c r="O61" s="54">
        <f>'S29'!N61</f>
        <v/>
      </c>
      <c r="P61" s="53">
        <f>N61-O61</f>
        <v/>
      </c>
      <c r="Q61" s="32" t="n"/>
      <c r="R61" s="32" t="n"/>
      <c r="S61" s="32" t="n"/>
      <c r="T61" s="55" t="n"/>
      <c r="U61" s="54">
        <f>'S29'!T61</f>
        <v/>
      </c>
      <c r="V61" s="53">
        <f>T61-U61</f>
        <v/>
      </c>
      <c r="W61" s="53">
        <f>N61-T61</f>
        <v/>
      </c>
      <c r="X61" s="34" t="n"/>
    </row>
    <row r="62" ht="22" customHeight="1">
      <c r="B62" s="10" t="n">
        <v>58</v>
      </c>
      <c r="C62" s="14" t="inlineStr">
        <is>
          <t>Kénitra</t>
        </is>
      </c>
      <c r="D62" s="10" t="inlineStr">
        <is>
          <t>SOUK TLET</t>
        </is>
      </c>
      <c r="E62" s="10" t="inlineStr">
        <is>
          <t>50-23</t>
        </is>
      </c>
      <c r="F62" s="10" t="inlineStr">
        <is>
          <t>Entretien et réparation du réseau d'assainissement et de drainage</t>
        </is>
      </c>
      <c r="G62" s="10" t="inlineStr">
        <is>
          <t>Travaux de curage des canaux en terre</t>
        </is>
      </c>
      <c r="H62" s="10" t="inlineStr">
        <is>
          <t>curage des emissaires et colatures secondaire au niveau des secteurs N2,N3 ET N4,</t>
        </is>
      </c>
      <c r="I62" s="11" t="n">
        <v>3000000</v>
      </c>
      <c r="J62" s="12" t="inlineStr">
        <is>
          <t>ml</t>
        </is>
      </c>
      <c r="K62" s="13" t="n">
        <v>1500</v>
      </c>
      <c r="L62" s="51" t="n"/>
      <c r="M62" s="56">
        <f>'S29'!M62+L62</f>
        <v/>
      </c>
      <c r="N62" s="57">
        <f>IFERROR(M62/K62,0)</f>
        <v/>
      </c>
      <c r="O62" s="58">
        <f>'S29'!N62</f>
        <v/>
      </c>
      <c r="P62" s="57">
        <f>N62-O62</f>
        <v/>
      </c>
      <c r="Q62" s="32" t="n"/>
      <c r="R62" s="32" t="n"/>
      <c r="S62" s="32" t="n"/>
      <c r="T62" s="55" t="n"/>
      <c r="U62" s="58">
        <f>'S29'!T62</f>
        <v/>
      </c>
      <c r="V62" s="57">
        <f>T62-U62</f>
        <v/>
      </c>
      <c r="W62" s="57">
        <f>N62-T62</f>
        <v/>
      </c>
      <c r="X62" s="34" t="n"/>
    </row>
    <row r="63" ht="22" customHeight="1">
      <c r="B63" s="5" t="n">
        <v>59</v>
      </c>
      <c r="C63" s="14" t="inlineStr">
        <is>
          <t>Kénitra</t>
        </is>
      </c>
      <c r="D63" s="5" t="inlineStr">
        <is>
          <t>SOUK TLET</t>
        </is>
      </c>
      <c r="E63" s="5" t="inlineStr">
        <is>
          <t>40-21</t>
        </is>
      </c>
      <c r="F63" s="5" t="inlineStr">
        <is>
          <t>Travaux de pistes</t>
        </is>
      </c>
      <c r="G63" s="5" t="inlineStr">
        <is>
          <t>Travaux de réhabilitation des pistes agricoles</t>
        </is>
      </c>
      <c r="H63" s="5" t="inlineStr">
        <is>
          <t>Entretien des pistes des secteurs N2,N3,N4 et C4R,</t>
        </is>
      </c>
      <c r="I63" s="7" t="n">
        <v>5000000</v>
      </c>
      <c r="J63" s="8" t="inlineStr">
        <is>
          <t>U</t>
        </is>
      </c>
      <c r="K63" s="9" t="n">
        <v>1</v>
      </c>
      <c r="L63" s="51" t="n"/>
      <c r="M63" s="52">
        <f>'S29'!M63+L63</f>
        <v/>
      </c>
      <c r="N63" s="53">
        <f>IFERROR(M63/K63,0)</f>
        <v/>
      </c>
      <c r="O63" s="54">
        <f>'S29'!N63</f>
        <v/>
      </c>
      <c r="P63" s="53">
        <f>N63-O63</f>
        <v/>
      </c>
      <c r="Q63" s="32" t="n"/>
      <c r="R63" s="32" t="n"/>
      <c r="S63" s="32" t="n"/>
      <c r="T63" s="55" t="n"/>
      <c r="U63" s="54">
        <f>'S29'!T63</f>
        <v/>
      </c>
      <c r="V63" s="53">
        <f>T63-U63</f>
        <v/>
      </c>
      <c r="W63" s="53">
        <f>N63-T63</f>
        <v/>
      </c>
      <c r="X63" s="34" t="n"/>
    </row>
    <row r="64" ht="22" customHeight="1">
      <c r="B64" s="10" t="n">
        <v>60</v>
      </c>
      <c r="C64" s="14" t="inlineStr">
        <is>
          <t>Kénitra</t>
        </is>
      </c>
      <c r="D64" s="10" t="inlineStr">
        <is>
          <t>Sidi Med Lahmar</t>
        </is>
      </c>
      <c r="E64" s="10" t="inlineStr">
        <is>
          <t>50-23</t>
        </is>
      </c>
      <c r="F64" s="10" t="inlineStr">
        <is>
          <t>Entretien et réparation du réseau d'assainissement et de drainage</t>
        </is>
      </c>
      <c r="G64" s="10" t="inlineStr">
        <is>
          <t>Travaux de curage des canaux en terre</t>
        </is>
      </c>
      <c r="H64" s="10" t="inlineStr">
        <is>
          <t>Curage des emissaires et colatures secondaires secteurs N1</t>
        </is>
      </c>
      <c r="I64" s="11" t="n">
        <v>3000000</v>
      </c>
      <c r="J64" s="12" t="inlineStr">
        <is>
          <t>ml</t>
        </is>
      </c>
      <c r="K64" s="13" t="n">
        <v>1500</v>
      </c>
      <c r="L64" s="51" t="n"/>
      <c r="M64" s="56">
        <f>'S29'!M64+L64</f>
        <v/>
      </c>
      <c r="N64" s="57">
        <f>IFERROR(M64/K64,0)</f>
        <v/>
      </c>
      <c r="O64" s="58">
        <f>'S29'!N64</f>
        <v/>
      </c>
      <c r="P64" s="57">
        <f>N64-O64</f>
        <v/>
      </c>
      <c r="Q64" s="32" t="n"/>
      <c r="R64" s="32" t="n"/>
      <c r="S64" s="32" t="n"/>
      <c r="T64" s="55" t="n"/>
      <c r="U64" s="58">
        <f>'S29'!T64</f>
        <v/>
      </c>
      <c r="V64" s="57">
        <f>T64-U64</f>
        <v/>
      </c>
      <c r="W64" s="57">
        <f>N64-T64</f>
        <v/>
      </c>
      <c r="X64" s="34" t="n"/>
    </row>
    <row r="65" ht="22" customHeight="1">
      <c r="B65" s="5" t="n">
        <v>61</v>
      </c>
      <c r="C65" s="14" t="inlineStr">
        <is>
          <t>Kénitra</t>
        </is>
      </c>
      <c r="D65" s="5" t="inlineStr">
        <is>
          <t>Sidi Med Lahmar</t>
        </is>
      </c>
      <c r="E65" s="5" t="inlineStr">
        <is>
          <t>40-21</t>
        </is>
      </c>
      <c r="F65" s="5" t="inlineStr">
        <is>
          <t>Travaux de pistes</t>
        </is>
      </c>
      <c r="G65" s="5" t="inlineStr">
        <is>
          <t>Travaux de réhabilitation des pistes agricoles</t>
        </is>
      </c>
      <c r="H65" s="5" t="inlineStr">
        <is>
          <t>Entretien des pistes agricoles des secteurs N9 et N1</t>
        </is>
      </c>
      <c r="I65" s="7" t="n">
        <v>3000000</v>
      </c>
      <c r="J65" s="8" t="inlineStr">
        <is>
          <t>km</t>
        </is>
      </c>
      <c r="K65" s="9" t="n">
        <v>6</v>
      </c>
      <c r="L65" s="51" t="n"/>
      <c r="M65" s="52">
        <f>'S29'!M65+L65</f>
        <v/>
      </c>
      <c r="N65" s="53">
        <f>IFERROR(M65/K65,0)</f>
        <v/>
      </c>
      <c r="O65" s="54">
        <f>'S29'!N65</f>
        <v/>
      </c>
      <c r="P65" s="53">
        <f>N65-O65</f>
        <v/>
      </c>
      <c r="Q65" s="32" t="n"/>
      <c r="R65" s="32" t="n"/>
      <c r="S65" s="32" t="n"/>
      <c r="T65" s="55" t="n"/>
      <c r="U65" s="54">
        <f>'S29'!T65</f>
        <v/>
      </c>
      <c r="V65" s="53">
        <f>T65-U65</f>
        <v/>
      </c>
      <c r="W65" s="53">
        <f>N65-T65</f>
        <v/>
      </c>
      <c r="X65" s="34" t="n"/>
    </row>
    <row r="66" ht="22" customHeight="1">
      <c r="B66" s="10" t="n">
        <v>62</v>
      </c>
      <c r="C66" s="14" t="inlineStr">
        <is>
          <t>Kénitra</t>
        </is>
      </c>
      <c r="D66" s="10" t="inlineStr">
        <is>
          <t>Mograne</t>
        </is>
      </c>
      <c r="E66" s="10" t="inlineStr">
        <is>
          <t>50-23</t>
        </is>
      </c>
      <c r="F66" s="10" t="inlineStr">
        <is>
          <t>Entretien et réparation du réseau d'assainissement et de drainage</t>
        </is>
      </c>
      <c r="G66" s="10" t="inlineStr">
        <is>
          <t>Travaux de curage des canaux en terre</t>
        </is>
      </c>
      <c r="H66" s="10" t="inlineStr">
        <is>
          <t>Curage des canaux d'assainissement Hors secteur équipé ghoufera et laison beht sebou ,</t>
        </is>
      </c>
      <c r="I66" s="11" t="n">
        <v>6000000</v>
      </c>
      <c r="J66" s="12" t="inlineStr">
        <is>
          <t>ml</t>
        </is>
      </c>
      <c r="K66" s="13" t="n">
        <v>3000</v>
      </c>
      <c r="L66" s="51" t="n"/>
      <c r="M66" s="56">
        <f>'S29'!M66+L66</f>
        <v/>
      </c>
      <c r="N66" s="57">
        <f>IFERROR(M66/K66,0)</f>
        <v/>
      </c>
      <c r="O66" s="58">
        <f>'S29'!N66</f>
        <v/>
      </c>
      <c r="P66" s="57">
        <f>N66-O66</f>
        <v/>
      </c>
      <c r="Q66" s="32" t="n"/>
      <c r="R66" s="32" t="n"/>
      <c r="S66" s="32" t="n"/>
      <c r="T66" s="55" t="n"/>
      <c r="U66" s="58">
        <f>'S29'!T66</f>
        <v/>
      </c>
      <c r="V66" s="57">
        <f>T66-U66</f>
        <v/>
      </c>
      <c r="W66" s="57">
        <f>N66-T66</f>
        <v/>
      </c>
      <c r="X66" s="34" t="n"/>
    </row>
    <row r="67" ht="22" customHeight="1">
      <c r="B67" s="5" t="n">
        <v>63</v>
      </c>
      <c r="C67" s="14" t="inlineStr">
        <is>
          <t>Kénitra</t>
        </is>
      </c>
      <c r="D67" s="5" t="inlineStr">
        <is>
          <t>Mograne</t>
        </is>
      </c>
      <c r="E67" s="5" t="inlineStr">
        <is>
          <t>40-21</t>
        </is>
      </c>
      <c r="F67" s="5" t="inlineStr">
        <is>
          <t>Travaux de pistes</t>
        </is>
      </c>
      <c r="G67" s="5" t="inlineStr">
        <is>
          <t>Travaux de réhabilitation des pistes agricoles</t>
        </is>
      </c>
      <c r="H67" s="5" t="inlineStr">
        <is>
          <t>Entretien des pistes agricoles des secteurs SEBOU1,SEBOU2? BEHT3 et BEHT4</t>
        </is>
      </c>
      <c r="I67" s="7" t="n">
        <v>6000000</v>
      </c>
      <c r="J67" s="8" t="inlineStr">
        <is>
          <t>km</t>
        </is>
      </c>
      <c r="K67" s="9" t="n">
        <v>12</v>
      </c>
      <c r="L67" s="51" t="n"/>
      <c r="M67" s="52">
        <f>'S29'!M67+L67</f>
        <v/>
      </c>
      <c r="N67" s="53">
        <f>IFERROR(M67/K67,0)</f>
        <v/>
      </c>
      <c r="O67" s="54">
        <f>'S29'!N67</f>
        <v/>
      </c>
      <c r="P67" s="53">
        <f>N67-O67</f>
        <v/>
      </c>
      <c r="Q67" s="32" t="n"/>
      <c r="R67" s="32" t="n"/>
      <c r="S67" s="32" t="n"/>
      <c r="T67" s="55" t="n"/>
      <c r="U67" s="54">
        <f>'S29'!T67</f>
        <v/>
      </c>
      <c r="V67" s="53">
        <f>T67-U67</f>
        <v/>
      </c>
      <c r="W67" s="53">
        <f>N67-T67</f>
        <v/>
      </c>
      <c r="X67" s="34" t="n"/>
    </row>
    <row r="68" ht="22" customHeight="1">
      <c r="B68" s="10" t="n">
        <v>64</v>
      </c>
      <c r="C68" s="14" t="inlineStr">
        <is>
          <t>Kénitra</t>
        </is>
      </c>
      <c r="D68" s="10" t="inlineStr">
        <is>
          <t>Sidi allal tazi</t>
        </is>
      </c>
      <c r="E68" s="10" t="inlineStr">
        <is>
          <t>50-23</t>
        </is>
      </c>
      <c r="F68" s="10" t="inlineStr">
        <is>
          <t>Entretien et réparation du réseau d'assainissement et de drainage</t>
        </is>
      </c>
      <c r="G68" s="10" t="inlineStr">
        <is>
          <t>Travaux de curage des canaux en terre</t>
        </is>
      </c>
      <c r="H68" s="10" t="inlineStr">
        <is>
          <t>Curage du canaL d'assainissement CK,</t>
        </is>
      </c>
      <c r="I68" s="11" t="n">
        <v>3000000</v>
      </c>
      <c r="J68" s="12" t="inlineStr">
        <is>
          <t>ml</t>
        </is>
      </c>
      <c r="K68" s="13" t="n">
        <v>1500</v>
      </c>
      <c r="L68" s="51" t="n"/>
      <c r="M68" s="56">
        <f>'S29'!M68+L68</f>
        <v/>
      </c>
      <c r="N68" s="57">
        <f>IFERROR(M68/K68,0)</f>
        <v/>
      </c>
      <c r="O68" s="58">
        <f>'S29'!N68</f>
        <v/>
      </c>
      <c r="P68" s="57">
        <f>N68-O68</f>
        <v/>
      </c>
      <c r="Q68" s="32" t="n"/>
      <c r="R68" s="32" t="n"/>
      <c r="S68" s="32" t="n"/>
      <c r="T68" s="55" t="n"/>
      <c r="U68" s="58">
        <f>'S29'!T68</f>
        <v/>
      </c>
      <c r="V68" s="57">
        <f>T68-U68</f>
        <v/>
      </c>
      <c r="W68" s="57">
        <f>N68-T68</f>
        <v/>
      </c>
      <c r="X68" s="34" t="n"/>
    </row>
    <row r="69" ht="22" customHeight="1">
      <c r="B69" s="5" t="n">
        <v>65</v>
      </c>
      <c r="C69" s="14" t="inlineStr">
        <is>
          <t>Kénitra</t>
        </is>
      </c>
      <c r="D69" s="5" t="inlineStr">
        <is>
          <t>AMEUR SAFLIA</t>
        </is>
      </c>
      <c r="E69" s="5" t="inlineStr">
        <is>
          <t>50-23</t>
        </is>
      </c>
      <c r="F69" s="5" t="inlineStr">
        <is>
          <t>Entretien et réparation du réseau d'assainissement et de drainage</t>
        </is>
      </c>
      <c r="G69" s="5" t="inlineStr">
        <is>
          <t>Travaux de curage des canaux en terre</t>
        </is>
      </c>
      <c r="H69" s="5" t="inlineStr">
        <is>
          <t>Curage des canaux d'assainissement amontTtiflt Sebou,</t>
        </is>
      </c>
      <c r="I69" s="7" t="n">
        <v>1000000</v>
      </c>
      <c r="J69" s="8" t="inlineStr">
        <is>
          <t>ml</t>
        </is>
      </c>
      <c r="K69" s="9" t="n">
        <v>500</v>
      </c>
      <c r="L69" s="51" t="n"/>
      <c r="M69" s="52">
        <f>'S29'!M69+L69</f>
        <v/>
      </c>
      <c r="N69" s="53">
        <f>IFERROR(M69/K69,0)</f>
        <v/>
      </c>
      <c r="O69" s="54">
        <f>'S29'!N69</f>
        <v/>
      </c>
      <c r="P69" s="53">
        <f>N69-O69</f>
        <v/>
      </c>
      <c r="Q69" s="32" t="n"/>
      <c r="R69" s="32" t="n"/>
      <c r="S69" s="32" t="n"/>
      <c r="T69" s="55" t="n"/>
      <c r="U69" s="54">
        <f>'S29'!T69</f>
        <v/>
      </c>
      <c r="V69" s="53">
        <f>T69-U69</f>
        <v/>
      </c>
      <c r="W69" s="53">
        <f>N69-T69</f>
        <v/>
      </c>
      <c r="X69" s="34" t="n"/>
    </row>
    <row r="70" ht="22" customHeight="1">
      <c r="B70" s="10" t="n">
        <v>66</v>
      </c>
      <c r="C70" s="14" t="inlineStr">
        <is>
          <t>Kénitra</t>
        </is>
      </c>
      <c r="D70" s="10" t="inlineStr">
        <is>
          <t>Oulad SLAMA</t>
        </is>
      </c>
      <c r="E70" s="10" t="inlineStr">
        <is>
          <t>50-23</t>
        </is>
      </c>
      <c r="F70" s="10" t="inlineStr">
        <is>
          <t>Entretien et réparation du réseau d'assainissement et de drainage</t>
        </is>
      </c>
      <c r="G70" s="10" t="inlineStr">
        <is>
          <t>Travaux de curage des canaux en terre</t>
        </is>
      </c>
      <c r="H70" s="10" t="inlineStr">
        <is>
          <t>Curage des canaux d'assainissement debouche Tiflt aval,</t>
        </is>
      </c>
      <c r="I70" s="11" t="n">
        <v>1000000</v>
      </c>
      <c r="J70" s="12" t="inlineStr">
        <is>
          <t>ml</t>
        </is>
      </c>
      <c r="K70" s="13" t="n">
        <v>500</v>
      </c>
      <c r="L70" s="51" t="n"/>
      <c r="M70" s="56">
        <f>'S29'!M70+L70</f>
        <v/>
      </c>
      <c r="N70" s="57">
        <f>IFERROR(M70/K70,0)</f>
        <v/>
      </c>
      <c r="O70" s="58">
        <f>'S29'!N70</f>
        <v/>
      </c>
      <c r="P70" s="57">
        <f>N70-O70</f>
        <v/>
      </c>
      <c r="Q70" s="32" t="n"/>
      <c r="R70" s="32" t="n"/>
      <c r="S70" s="32" t="n"/>
      <c r="T70" s="55" t="n"/>
      <c r="U70" s="58">
        <f>'S29'!T70</f>
        <v/>
      </c>
      <c r="V70" s="57">
        <f>T70-U70</f>
        <v/>
      </c>
      <c r="W70" s="57">
        <f>N70-T70</f>
        <v/>
      </c>
      <c r="X70" s="34" t="n"/>
    </row>
    <row r="71" ht="22" customHeight="1">
      <c r="B71" s="5" t="n">
        <v>67</v>
      </c>
      <c r="C71" s="14" t="inlineStr">
        <is>
          <t>Kénitra</t>
        </is>
      </c>
      <c r="D71" s="5" t="inlineStr">
        <is>
          <t>BHARA Oulad AYAD</t>
        </is>
      </c>
      <c r="E71" s="5" t="inlineStr">
        <is>
          <t>50-23</t>
        </is>
      </c>
      <c r="F71" s="5" t="inlineStr">
        <is>
          <t>Entretien et réparation du réseau d'assainissement et de drainage</t>
        </is>
      </c>
      <c r="G71" s="5" t="inlineStr">
        <is>
          <t>Travaux de curage des canaux en terre</t>
        </is>
      </c>
      <c r="H71" s="5" t="inlineStr">
        <is>
          <t>Curage des canaux d'assainissement canal nador bas et haut segmet,</t>
        </is>
      </c>
      <c r="I71" s="7" t="n">
        <v>6600000</v>
      </c>
      <c r="J71" s="8" t="inlineStr">
        <is>
          <t>ml</t>
        </is>
      </c>
      <c r="K71" s="9" t="n">
        <v>3300</v>
      </c>
      <c r="L71" s="51" t="n"/>
      <c r="M71" s="52">
        <f>'S29'!M71+L71</f>
        <v/>
      </c>
      <c r="N71" s="53">
        <f>IFERROR(M71/K71,0)</f>
        <v/>
      </c>
      <c r="O71" s="54">
        <f>'S29'!N71</f>
        <v/>
      </c>
      <c r="P71" s="53">
        <f>N71-O71</f>
        <v/>
      </c>
      <c r="Q71" s="32" t="n"/>
      <c r="R71" s="32" t="n"/>
      <c r="S71" s="32" t="n"/>
      <c r="T71" s="55" t="n"/>
      <c r="U71" s="54">
        <f>'S29'!T71</f>
        <v/>
      </c>
      <c r="V71" s="53">
        <f>T71-U71</f>
        <v/>
      </c>
      <c r="W71" s="53">
        <f>N71-T71</f>
        <v/>
      </c>
      <c r="X71" s="34" t="n"/>
    </row>
    <row r="72" ht="22" customHeight="1">
      <c r="B72" s="10" t="n">
        <v>68</v>
      </c>
      <c r="C72" s="15" t="inlineStr">
        <is>
          <t>Sidi Slimane</t>
        </is>
      </c>
      <c r="D72" s="10" t="inlineStr">
        <is>
          <t>OULED HCEINE</t>
        </is>
      </c>
      <c r="E72" s="10" t="inlineStr">
        <is>
          <t>50-23</t>
        </is>
      </c>
      <c r="F72" s="10" t="inlineStr">
        <is>
          <t>Entretien et réparation du réseau d'assainissement et de drainage</t>
        </is>
      </c>
      <c r="G72" s="10" t="inlineStr">
        <is>
          <t>Travaux de curage des canaux en terre</t>
        </is>
      </c>
      <c r="H72" s="10" t="inlineStr">
        <is>
          <t>Curage des collecteurs d'assainissement du secteur EST4.</t>
        </is>
      </c>
      <c r="I72" s="11" t="n">
        <v>1805475</v>
      </c>
      <c r="J72" s="12" t="inlineStr">
        <is>
          <t>ml</t>
        </is>
      </c>
      <c r="K72" s="13" t="n">
        <v>903</v>
      </c>
      <c r="L72" s="51" t="n"/>
      <c r="M72" s="56">
        <f>'S29'!M72+L72</f>
        <v/>
      </c>
      <c r="N72" s="57">
        <f>IFERROR(M72/K72,0)</f>
        <v/>
      </c>
      <c r="O72" s="58">
        <f>'S29'!N72</f>
        <v/>
      </c>
      <c r="P72" s="57">
        <f>N72-O72</f>
        <v/>
      </c>
      <c r="Q72" s="32" t="n"/>
      <c r="R72" s="32" t="n"/>
      <c r="S72" s="32" t="n"/>
      <c r="T72" s="55" t="n"/>
      <c r="U72" s="58">
        <f>'S29'!T72</f>
        <v/>
      </c>
      <c r="V72" s="57">
        <f>T72-U72</f>
        <v/>
      </c>
      <c r="W72" s="57">
        <f>N72-T72</f>
        <v/>
      </c>
      <c r="X72" s="34" t="n"/>
    </row>
    <row r="73" ht="22" customHeight="1">
      <c r="B73" s="5" t="n">
        <v>69</v>
      </c>
      <c r="C73" s="15" t="inlineStr">
        <is>
          <t>Sidi Slimane</t>
        </is>
      </c>
      <c r="D73" s="5" t="inlineStr">
        <is>
          <t>OULED HCEINE</t>
        </is>
      </c>
      <c r="E73" s="5" t="inlineStr">
        <is>
          <t>50-23</t>
        </is>
      </c>
      <c r="F73" s="5" t="inlineStr">
        <is>
          <t>Entretien et réparation du réseau d'assainissement et de drainage</t>
        </is>
      </c>
      <c r="G73" s="5" t="inlineStr">
        <is>
          <t>Travaux de curage des canaux en terre</t>
        </is>
      </c>
      <c r="H73" s="5" t="inlineStr">
        <is>
          <t>Curage du canal d'assainissement Tihli central.</t>
        </is>
      </c>
      <c r="I73" s="7" t="n">
        <v>2587200</v>
      </c>
      <c r="J73" s="8" t="inlineStr">
        <is>
          <t>ml</t>
        </is>
      </c>
      <c r="K73" s="9" t="n">
        <v>1294</v>
      </c>
      <c r="L73" s="51" t="n"/>
      <c r="M73" s="52">
        <f>'S29'!M73+L73</f>
        <v/>
      </c>
      <c r="N73" s="53">
        <f>IFERROR(M73/K73,0)</f>
        <v/>
      </c>
      <c r="O73" s="54">
        <f>'S29'!N73</f>
        <v/>
      </c>
      <c r="P73" s="53">
        <f>N73-O73</f>
        <v/>
      </c>
      <c r="Q73" s="32" t="n"/>
      <c r="R73" s="32" t="n"/>
      <c r="S73" s="32" t="n"/>
      <c r="T73" s="55" t="n"/>
      <c r="U73" s="54">
        <f>'S29'!T73</f>
        <v/>
      </c>
      <c r="V73" s="53">
        <f>T73-U73</f>
        <v/>
      </c>
      <c r="W73" s="53">
        <f>N73-T73</f>
        <v/>
      </c>
      <c r="X73" s="34" t="n"/>
    </row>
    <row r="74" ht="22" customHeight="1">
      <c r="B74" s="10" t="n">
        <v>70</v>
      </c>
      <c r="C74" s="15" t="inlineStr">
        <is>
          <t>Sidi Slimane</t>
        </is>
      </c>
      <c r="D74" s="10" t="inlineStr">
        <is>
          <t>OULED HCEINE</t>
        </is>
      </c>
      <c r="E74" s="10" t="inlineStr">
        <is>
          <t>40-21</t>
        </is>
      </c>
      <c r="F74" s="10" t="inlineStr">
        <is>
          <t>Travaux de pistes</t>
        </is>
      </c>
      <c r="G74" s="10" t="inlineStr">
        <is>
          <t>Travaux de réhabilitation des pistes agricoles</t>
        </is>
      </c>
      <c r="H74" s="10" t="inlineStr">
        <is>
          <t>Entretien des pistes agricoles</t>
        </is>
      </c>
      <c r="I74" s="11" t="n">
        <v>3500000</v>
      </c>
      <c r="J74" s="12" t="inlineStr">
        <is>
          <t>km</t>
        </is>
      </c>
      <c r="K74" s="13" t="n">
        <v>7</v>
      </c>
      <c r="L74" s="51" t="n"/>
      <c r="M74" s="56">
        <f>'S29'!M74+L74</f>
        <v/>
      </c>
      <c r="N74" s="57">
        <f>IFERROR(M74/K74,0)</f>
        <v/>
      </c>
      <c r="O74" s="58">
        <f>'S29'!N74</f>
        <v/>
      </c>
      <c r="P74" s="57">
        <f>N74-O74</f>
        <v/>
      </c>
      <c r="Q74" s="32" t="n"/>
      <c r="R74" s="32" t="n"/>
      <c r="S74" s="32" t="n"/>
      <c r="T74" s="55" t="n"/>
      <c r="U74" s="58">
        <f>'S29'!T74</f>
        <v/>
      </c>
      <c r="V74" s="57">
        <f>T74-U74</f>
        <v/>
      </c>
      <c r="W74" s="57">
        <f>N74-T74</f>
        <v/>
      </c>
      <c r="X74" s="34" t="n"/>
    </row>
    <row r="75" ht="22" customHeight="1">
      <c r="B75" s="5" t="n">
        <v>71</v>
      </c>
      <c r="C75" s="15" t="inlineStr">
        <is>
          <t>Sidi Slimane</t>
        </is>
      </c>
      <c r="D75" s="5" t="inlineStr">
        <is>
          <t>OULED HCEINE</t>
        </is>
      </c>
      <c r="E75" s="5" t="inlineStr">
        <is>
          <t>50-21</t>
        </is>
      </c>
      <c r="F75" s="5" t="inlineStr">
        <is>
          <t>Entretien et réparation des stations de pompage</t>
        </is>
      </c>
      <c r="G75" s="5" t="inlineStr">
        <is>
          <t>Travaux de réparation des équipements hydromécaniques et éléctriques et entretien de la partie génie civil des stations de pompage.</t>
        </is>
      </c>
      <c r="H75" s="5" t="inlineStr">
        <is>
          <t>Démontage et expertise des roues des  pompes principaux et pompes a vide de la station EST4 et P11/2.
Changement des roulements, tresses et organes d’effectués de la station EST4 et P11/2
Changement deux débitmètre Ø 1200 mm de la station EST4 et un débimétre de la station P11/2.
Changement des capteurs de niveau inondés.
Révision et réparation des moteurs des vannes motorisées inondées.
changement de six contrôleurs de débits DW181 inondés.
Un capteur de débitmètre inondé nécessitent un diagnostic VEGASON  .
Entretien de l'éclairage du local de vide et bâche d’aspiration inondé de la station EST4 et la partie de l’éclairage du local des pompes inondées de la station P11/2.
Pose de gabions et recouvrement du talus par matelas Reno des stations de pompage P11/2</t>
        </is>
      </c>
      <c r="I75" s="7" t="n">
        <v>870000</v>
      </c>
      <c r="J75" s="8" t="inlineStr">
        <is>
          <t>U</t>
        </is>
      </c>
      <c r="K75" s="9" t="n">
        <v>4</v>
      </c>
      <c r="L75" s="51" t="n"/>
      <c r="M75" s="52">
        <f>'S29'!M75+L75</f>
        <v/>
      </c>
      <c r="N75" s="53">
        <f>IFERROR(M75/K75,0)</f>
        <v/>
      </c>
      <c r="O75" s="54">
        <f>'S29'!N75</f>
        <v/>
      </c>
      <c r="P75" s="53">
        <f>N75-O75</f>
        <v/>
      </c>
      <c r="Q75" s="32" t="n"/>
      <c r="R75" s="32" t="n"/>
      <c r="S75" s="32" t="n"/>
      <c r="T75" s="55" t="n"/>
      <c r="U75" s="54">
        <f>'S29'!T75</f>
        <v/>
      </c>
      <c r="V75" s="53">
        <f>T75-U75</f>
        <v/>
      </c>
      <c r="W75" s="53">
        <f>N75-T75</f>
        <v/>
      </c>
      <c r="X75" s="34" t="n"/>
    </row>
    <row r="76" ht="22" customHeight="1">
      <c r="B76" s="10" t="n">
        <v>72</v>
      </c>
      <c r="C76" s="15" t="inlineStr">
        <is>
          <t>Sidi Slimane</t>
        </is>
      </c>
      <c r="D76" s="10" t="inlineStr">
        <is>
          <t>OULED HCEINE</t>
        </is>
      </c>
      <c r="E76" s="10" t="inlineStr">
        <is>
          <t>50-23</t>
        </is>
      </c>
      <c r="F76" s="10" t="inlineStr">
        <is>
          <t>Entretien et réparation du réseau d'assainissement et de drainage</t>
        </is>
      </c>
      <c r="G76" s="10" t="inlineStr">
        <is>
          <t>Travaux de curage des prises des stations de pompage.</t>
        </is>
      </c>
      <c r="H76" s="10" t="inlineStr">
        <is>
          <t>Curage des siphones des station de pompage EST2 et P11/2.</t>
        </is>
      </c>
      <c r="I76" s="11" t="n">
        <v>500000</v>
      </c>
      <c r="J76" s="12" t="inlineStr">
        <is>
          <t>ml</t>
        </is>
      </c>
      <c r="K76" s="13" t="n">
        <v>167</v>
      </c>
      <c r="L76" s="51" t="n"/>
      <c r="M76" s="56">
        <f>'S29'!M76+L76</f>
        <v/>
      </c>
      <c r="N76" s="57">
        <f>IFERROR(M76/K76,0)</f>
        <v/>
      </c>
      <c r="O76" s="58">
        <f>'S29'!N76</f>
        <v/>
      </c>
      <c r="P76" s="57">
        <f>N76-O76</f>
        <v/>
      </c>
      <c r="Q76" s="32" t="n"/>
      <c r="R76" s="32" t="n"/>
      <c r="S76" s="32" t="n"/>
      <c r="T76" s="55" t="n"/>
      <c r="U76" s="58">
        <f>'S29'!T76</f>
        <v/>
      </c>
      <c r="V76" s="57">
        <f>T76-U76</f>
        <v/>
      </c>
      <c r="W76" s="57">
        <f>N76-T76</f>
        <v/>
      </c>
      <c r="X76" s="34" t="n"/>
    </row>
    <row r="77" ht="26" customHeight="1">
      <c r="B77" s="16" t="inlineStr">
        <is>
          <t>TOTAL</t>
        </is>
      </c>
      <c r="C77" s="16" t="n"/>
      <c r="D77" s="16" t="n"/>
      <c r="E77" s="16" t="n"/>
      <c r="F77" s="16" t="n"/>
      <c r="G77" s="16" t="n"/>
      <c r="H77" s="16" t="n"/>
      <c r="I77" s="17">
        <f>SUM(I5:I76)</f>
        <v/>
      </c>
      <c r="J77" s="16" t="n"/>
      <c r="K77" s="16" t="n"/>
      <c r="L77" s="59">
        <f>SUM(L5:L76)</f>
        <v/>
      </c>
      <c r="M77" s="59">
        <f>SUM(M5:M76)</f>
        <v/>
      </c>
      <c r="N77" s="60">
        <f>IFERROR(SUMPRODUCT(N5:N76,I5:I76)/I77,0)</f>
        <v/>
      </c>
      <c r="O77" s="60">
        <f>IFERROR(SUMPRODUCT(O5:O76,I5:I76)/I77,0)</f>
        <v/>
      </c>
      <c r="P77" s="60">
        <f>N77-O77</f>
        <v/>
      </c>
      <c r="Q77" s="17">
        <f>SUM(Q5:Q76)</f>
        <v/>
      </c>
      <c r="R77" s="17">
        <f>SUM(R5:R76)</f>
        <v/>
      </c>
      <c r="S77" s="17">
        <f>SUM(S5:S76)</f>
        <v/>
      </c>
      <c r="T77" s="60">
        <f>IFERROR(SUMPRODUCT(T5:T76,I5:I76)/I77,0)</f>
        <v/>
      </c>
      <c r="U77" s="60">
        <f>IFERROR(SUMPRODUCT(U5:U76,I5:I76)/I77,0)</f>
        <v/>
      </c>
      <c r="V77" s="60">
        <f>T77-U77</f>
        <v/>
      </c>
      <c r="W77" s="60">
        <f>N77-T77</f>
        <v/>
      </c>
      <c r="X77" s="16" t="n"/>
    </row>
  </sheetData>
  <sheetProtection selectLockedCells="0" selectUnlockedCells="0" sheet="1" objects="0" insertRows="1" insertHyperlinks="1" autoFilter="1" scenarios="0" formatColumns="1" deleteColumns="1" insertColumns="1" pivotTables="1" deleteRows="1" formatCells="1" formatRows="1" sort="1" password="CBBE"/>
  <mergeCells count="6">
    <mergeCell ref="E3:I3"/>
    <mergeCell ref="W3:X3"/>
    <mergeCell ref="J3:P3"/>
    <mergeCell ref="B2:X2"/>
    <mergeCell ref="C3:D3"/>
    <mergeCell ref="Q3:V3"/>
  </mergeCells>
  <conditionalFormatting sqref="P5:P76">
    <cfRule type="cellIs" priority="1" operator="greaterThan" dxfId="0">
      <formula>0</formula>
    </cfRule>
    <cfRule type="cellIs" priority="2" operator="lessThan" dxfId="1">
      <formula>0</formula>
    </cfRule>
  </conditionalFormatting>
  <conditionalFormatting sqref="V5:V76">
    <cfRule type="cellIs" priority="3" operator="greaterThan" dxfId="0">
      <formula>0</formula>
    </cfRule>
    <cfRule type="cellIs" priority="4" operator="lessThan" dxfId="1">
      <formula>0</formula>
    </cfRule>
  </conditionalFormatting>
  <conditionalFormatting sqref="W5:W76">
    <cfRule type="cellIs" priority="5" operator="greaterThan" dxfId="0">
      <formula>0.05</formula>
    </cfRule>
    <cfRule type="cellIs" priority="6" operator="lessThan" dxfId="1">
      <formula>-0.05</formula>
    </cfRule>
    <cfRule type="cellIs" priority="7" operator="between" dxfId="2">
      <formula>-0.05</formula>
      <formula>0.05</formula>
    </cfRule>
  </conditionalFormatting>
  <conditionalFormatting sqref="N5:N76">
    <cfRule type="dataBar" priority="8">
      <dataBar showValue="1">
        <cfvo type="num" val="0"/>
        <cfvo type="num" val="1"/>
        <color rgb="001B7D46"/>
      </dataBar>
    </cfRule>
  </conditionalFormatting>
  <conditionalFormatting sqref="T5:T76">
    <cfRule type="dataBar" priority="9">
      <dataBar showValue="1">
        <cfvo type="num" val="0"/>
        <cfvo type="num" val="1"/>
        <color rgb="00D4820A"/>
      </dataBar>
    </cfRule>
  </conditionalFormatting>
  <dataValidations count="2">
    <dataValidation sqref="T5:T76" showDropDown="0" showInputMessage="0" showErrorMessage="0" allowBlank="1" errorTitle="Invalide" error="Valeur entre 0% et 100%" promptTitle="Avancement %" prompt="Entrez 0.25 pour 25%" type="decimal" operator="between">
      <formula1>0</formula1>
      <formula2>1</formula2>
    </dataValidation>
    <dataValidation sqref="L5:L76" showDropDown="0" showInputMessage="0" showErrorMessage="0" allowBlank="1" errorTitle="Invalide" error="Quantité doit être &gt;= 0" promptTitle="Qté Réalisée" prompt="Entrez la quantité réalisée cette semaine" type="decimal" operator="greaterThanOrEqual">
      <formula1>0</formula1>
    </dataValidation>
  </dataValidations>
  <pageMargins left="0.75" right="0.75" top="1" bottom="1" header="0.5" footer="0.5"/>
</worksheet>
</file>

<file path=xl/worksheets/sheet11.xml><?xml version="1.0" encoding="utf-8"?>
<worksheet xmlns="http://schemas.openxmlformats.org/spreadsheetml/2006/main">
  <sheetPr>
    <tabColor rgb="00C55A11"/>
    <outlinePr summaryBelow="1" summaryRight="1"/>
    <pageSetUpPr/>
  </sheetPr>
  <dimension ref="B2:X77"/>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5" customWidth="1" min="2" max="2"/>
    <col width="14" customWidth="1" min="3" max="3"/>
    <col width="18" customWidth="1" min="4" max="4"/>
    <col width="9" customWidth="1" min="5" max="5"/>
    <col width="32" customWidth="1" min="6" max="6"/>
    <col width="28" customWidth="1" min="7" max="7"/>
    <col width="34" customWidth="1" min="8" max="8"/>
    <col width="14" customWidth="1" min="9" max="9"/>
    <col width="8" customWidth="1" min="10" max="10"/>
    <col width="12" customWidth="1" min="11" max="11"/>
    <col width="14" customWidth="1" min="12" max="12"/>
    <col width="14" customWidth="1" min="13" max="13"/>
    <col width="14" customWidth="1" min="14" max="14"/>
    <col width="14" customWidth="1" min="15" max="15"/>
    <col width="14" customWidth="1" min="16" max="16"/>
    <col width="16" customWidth="1" min="17" max="17"/>
    <col width="16" customWidth="1" min="18" max="18"/>
    <col width="16" customWidth="1" min="19" max="19"/>
    <col width="14" customWidth="1" min="20" max="20"/>
    <col width="14" customWidth="1" min="21" max="21"/>
    <col width="14" customWidth="1" min="22" max="22"/>
    <col width="14" customWidth="1" min="23" max="23"/>
    <col width="24" customWidth="1" min="24" max="24"/>
  </cols>
  <sheetData>
    <row r="1" ht="15" customHeight="1"/>
    <row r="2" ht="32" customHeight="1">
      <c r="B2" s="1" t="inlineStr">
        <is>
          <t>Suivi Hebdomadaire - Semaine 31 (27/07 - 02/08) — Juillet 2026 - Exécution Physique et Financière</t>
        </is>
      </c>
    </row>
    <row r="3" ht="22" customHeight="1">
      <c r="B3" s="20" t="inlineStr">
        <is>
          <t>Date :</t>
        </is>
      </c>
      <c r="C3" s="49" t="n">
        <v>46230</v>
      </c>
      <c r="D3" s="50" t="n"/>
      <c r="E3" s="22" t="inlineStr">
        <is>
          <t>IDENTIFICATION</t>
        </is>
      </c>
      <c r="J3" s="23" t="inlineStr">
        <is>
          <t>INDICATEURS PHYSIQUES</t>
        </is>
      </c>
      <c r="Q3" s="24" t="inlineStr">
        <is>
          <t>INDICATEURS FINANCIERS</t>
        </is>
      </c>
      <c r="W3" s="25" t="inlineStr">
        <is>
          <t>SYNTHÈSE</t>
        </is>
      </c>
    </row>
    <row r="4" ht="28" customHeight="1">
      <c r="B4" s="4" t="inlineStr">
        <is>
          <t>N°</t>
        </is>
      </c>
      <c r="C4" s="4" t="inlineStr">
        <is>
          <t>Province</t>
        </is>
      </c>
      <c r="D4" s="4" t="inlineStr">
        <is>
          <t>Commune</t>
        </is>
      </c>
      <c r="E4" s="4" t="inlineStr">
        <is>
          <t>Rubrique</t>
        </is>
      </c>
      <c r="F4" s="4" t="inlineStr">
        <is>
          <t>Intitulé Rubrique</t>
        </is>
      </c>
      <c r="G4" s="4" t="inlineStr">
        <is>
          <t>Projet</t>
        </is>
      </c>
      <c r="H4" s="4" t="inlineStr">
        <is>
          <t>Consistance</t>
        </is>
      </c>
      <c r="I4" s="4" t="inlineStr">
        <is>
          <t>Coût Total (DH)</t>
        </is>
      </c>
      <c r="J4" s="26" t="inlineStr">
        <is>
          <t>Unité</t>
        </is>
      </c>
      <c r="K4" s="26" t="inlineStr">
        <is>
          <t>Qté Prévue</t>
        </is>
      </c>
      <c r="L4" s="26" t="inlineStr">
        <is>
          <t>Qté Réalisée Sem.</t>
        </is>
      </c>
      <c r="M4" s="26" t="inlineStr">
        <is>
          <t>Qté Réalisée Cumul</t>
        </is>
      </c>
      <c r="N4" s="26" t="inlineStr">
        <is>
          <t>Avancement Physique %</t>
        </is>
      </c>
      <c r="O4" s="26" t="inlineStr">
        <is>
          <t>% Phys. Sem. Préc.</t>
        </is>
      </c>
      <c r="P4" s="26" t="inlineStr">
        <is>
          <t>Accroissement Phys. %</t>
        </is>
      </c>
      <c r="Q4" s="27" t="inlineStr">
        <is>
          <t>Montant Décaissé (DH)</t>
        </is>
      </c>
      <c r="R4" s="27" t="inlineStr">
        <is>
          <t>Montant Payé (DH)</t>
        </is>
      </c>
      <c r="S4" s="27" t="inlineStr">
        <is>
          <t>Montant Ordonné (DH)</t>
        </is>
      </c>
      <c r="T4" s="27" t="inlineStr">
        <is>
          <t>Avancement Financier %</t>
        </is>
      </c>
      <c r="U4" s="27" t="inlineStr">
        <is>
          <t>% Fin. Sem. Préc.</t>
        </is>
      </c>
      <c r="V4" s="27" t="inlineStr">
        <is>
          <t>Accroissement Fin. %</t>
        </is>
      </c>
      <c r="W4" s="28" t="inlineStr">
        <is>
          <t>Écart Phys.-Fin.</t>
        </is>
      </c>
      <c r="X4" s="28" t="inlineStr">
        <is>
          <t>Observations</t>
        </is>
      </c>
    </row>
    <row r="5" ht="22" customHeight="1">
      <c r="B5" s="5" t="n">
        <v>1</v>
      </c>
      <c r="C5" s="6" t="inlineStr">
        <is>
          <t>Sidi Kacem</t>
        </is>
      </c>
      <c r="D5" s="5" t="inlineStr">
        <is>
          <t>KHENICHET</t>
        </is>
      </c>
      <c r="E5" s="5" t="inlineStr">
        <is>
          <t>50-23</t>
        </is>
      </c>
      <c r="F5" s="5" t="inlineStr">
        <is>
          <t>Entretien et réparation du réseau d'assainissement et de drainage</t>
        </is>
      </c>
      <c r="G5" s="5" t="inlineStr">
        <is>
          <t>Travaux de curage des canaux en terre</t>
        </is>
      </c>
      <c r="H5" s="5" t="inlineStr">
        <is>
          <t>Curage des collecteurs d'assainissement du secteur EST2</t>
        </is>
      </c>
      <c r="I5" s="7" t="n">
        <v>2091568</v>
      </c>
      <c r="J5" s="8" t="inlineStr">
        <is>
          <t>ml</t>
        </is>
      </c>
      <c r="K5" s="9" t="n">
        <v>1046</v>
      </c>
      <c r="L5" s="51" t="n"/>
      <c r="M5" s="52">
        <f>'S30'!M5+L5</f>
        <v/>
      </c>
      <c r="N5" s="53">
        <f>IFERROR(M5/K5,0)</f>
        <v/>
      </c>
      <c r="O5" s="54">
        <f>'S30'!N5</f>
        <v/>
      </c>
      <c r="P5" s="53">
        <f>N5-O5</f>
        <v/>
      </c>
      <c r="Q5" s="32" t="n"/>
      <c r="R5" s="32" t="n"/>
      <c r="S5" s="32" t="n"/>
      <c r="T5" s="55" t="n"/>
      <c r="U5" s="54">
        <f>'S30'!T5</f>
        <v/>
      </c>
      <c r="V5" s="53">
        <f>T5-U5</f>
        <v/>
      </c>
      <c r="W5" s="53">
        <f>N5-T5</f>
        <v/>
      </c>
      <c r="X5" s="34" t="n"/>
    </row>
    <row r="6" ht="22" customHeight="1">
      <c r="B6" s="10" t="n">
        <v>2</v>
      </c>
      <c r="C6" s="6" t="inlineStr">
        <is>
          <t>Sidi Kacem</t>
        </is>
      </c>
      <c r="D6" s="10" t="inlineStr">
        <is>
          <t>KHENICHET</t>
        </is>
      </c>
      <c r="E6" s="10" t="inlineStr">
        <is>
          <t>40-21</t>
        </is>
      </c>
      <c r="F6" s="10" t="inlineStr">
        <is>
          <t>Travaux de pistes</t>
        </is>
      </c>
      <c r="G6" s="10" t="inlineStr">
        <is>
          <t>Travaux de réhabilitation des pistes agricoles</t>
        </is>
      </c>
      <c r="H6" s="10" t="inlineStr">
        <is>
          <t>Entretien des pistes agricoles Douar Nouagra et Douar ouled Salem</t>
        </is>
      </c>
      <c r="I6" s="11" t="n">
        <v>78000</v>
      </c>
      <c r="J6" s="12" t="inlineStr">
        <is>
          <t>km</t>
        </is>
      </c>
      <c r="K6" s="13" t="n">
        <v>1</v>
      </c>
      <c r="L6" s="51" t="n"/>
      <c r="M6" s="56">
        <f>'S30'!M6+L6</f>
        <v/>
      </c>
      <c r="N6" s="57">
        <f>IFERROR(M6/K6,0)</f>
        <v/>
      </c>
      <c r="O6" s="58">
        <f>'S30'!N6</f>
        <v/>
      </c>
      <c r="P6" s="57">
        <f>N6-O6</f>
        <v/>
      </c>
      <c r="Q6" s="32" t="n"/>
      <c r="R6" s="32" t="n"/>
      <c r="S6" s="32" t="n"/>
      <c r="T6" s="55" t="n"/>
      <c r="U6" s="58">
        <f>'S30'!T6</f>
        <v/>
      </c>
      <c r="V6" s="57">
        <f>T6-U6</f>
        <v/>
      </c>
      <c r="W6" s="57">
        <f>N6-T6</f>
        <v/>
      </c>
      <c r="X6" s="34" t="n"/>
    </row>
    <row r="7" ht="22" customHeight="1">
      <c r="B7" s="5" t="n">
        <v>3</v>
      </c>
      <c r="C7" s="6" t="inlineStr">
        <is>
          <t>Sidi Kacem</t>
        </is>
      </c>
      <c r="D7" s="5" t="inlineStr">
        <is>
          <t>KHENICHET</t>
        </is>
      </c>
      <c r="E7" s="5" t="inlineStr">
        <is>
          <t>50-23</t>
        </is>
      </c>
      <c r="F7" s="5" t="inlineStr">
        <is>
          <t>Entretien et réparation du réseau d'assainissement et de drainage</t>
        </is>
      </c>
      <c r="G7" s="5" t="inlineStr">
        <is>
          <t>Curage des prises sur l’oued, bâche d’aspiration et bassin de régulation.</t>
        </is>
      </c>
      <c r="H7" s="5" t="inlineStr">
        <is>
          <t>Curage de la chambre des joints de démontage des siphonnes  de la station de pompage EST2.</t>
        </is>
      </c>
      <c r="I7" s="7" t="n">
        <v>126000</v>
      </c>
      <c r="J7" s="8" t="inlineStr">
        <is>
          <t>ml</t>
        </is>
      </c>
      <c r="K7" s="9" t="n">
        <v>42</v>
      </c>
      <c r="L7" s="51" t="n"/>
      <c r="M7" s="52">
        <f>'S30'!M7+L7</f>
        <v/>
      </c>
      <c r="N7" s="53">
        <f>IFERROR(M7/K7,0)</f>
        <v/>
      </c>
      <c r="O7" s="54">
        <f>'S30'!N7</f>
        <v/>
      </c>
      <c r="P7" s="53">
        <f>N7-O7</f>
        <v/>
      </c>
      <c r="Q7" s="32" t="n"/>
      <c r="R7" s="32" t="n"/>
      <c r="S7" s="32" t="n"/>
      <c r="T7" s="55" t="n"/>
      <c r="U7" s="54">
        <f>'S30'!T7</f>
        <v/>
      </c>
      <c r="V7" s="53">
        <f>T7-U7</f>
        <v/>
      </c>
      <c r="W7" s="53">
        <f>N7-T7</f>
        <v/>
      </c>
      <c r="X7" s="34" t="n"/>
    </row>
    <row r="8" ht="22" customHeight="1">
      <c r="B8" s="10" t="n">
        <v>4</v>
      </c>
      <c r="C8" s="6" t="inlineStr">
        <is>
          <t>Sidi Kacem</t>
        </is>
      </c>
      <c r="D8" s="10" t="inlineStr">
        <is>
          <t>KHENICHET</t>
        </is>
      </c>
      <c r="E8" s="10" t="inlineStr">
        <is>
          <t>50-21</t>
        </is>
      </c>
      <c r="F8" s="10" t="inlineStr">
        <is>
          <t>Entretien et réparation des stations de pompage</t>
        </is>
      </c>
      <c r="G8" s="10" t="inlineStr">
        <is>
          <t>Prestation de maintenance des débitmètres et leurs équipements annexes installés au niveau des station de pompage</t>
        </is>
      </c>
      <c r="H8" s="10" t="inlineStr">
        <is>
          <t>Changement trois débitmètre Ø 600mm inondés de la station de pompage EST 2 et deux capteurs VEGASON 62</t>
        </is>
      </c>
      <c r="I8" s="11" t="n">
        <v>165500</v>
      </c>
      <c r="J8" s="12" t="inlineStr">
        <is>
          <t>U</t>
        </is>
      </c>
      <c r="K8" s="13" t="n">
        <v>3</v>
      </c>
      <c r="L8" s="51" t="n"/>
      <c r="M8" s="56">
        <f>'S30'!M8+L8</f>
        <v/>
      </c>
      <c r="N8" s="57">
        <f>IFERROR(M8/K8,0)</f>
        <v/>
      </c>
      <c r="O8" s="58">
        <f>'S30'!N8</f>
        <v/>
      </c>
      <c r="P8" s="57">
        <f>N8-O8</f>
        <v/>
      </c>
      <c r="Q8" s="32" t="n"/>
      <c r="R8" s="32" t="n"/>
      <c r="S8" s="32" t="n"/>
      <c r="T8" s="55" t="n"/>
      <c r="U8" s="58">
        <f>'S30'!T8</f>
        <v/>
      </c>
      <c r="V8" s="57">
        <f>T8-U8</f>
        <v/>
      </c>
      <c r="W8" s="57">
        <f>N8-T8</f>
        <v/>
      </c>
      <c r="X8" s="34" t="n"/>
    </row>
    <row r="9" ht="22" customHeight="1">
      <c r="B9" s="5" t="n">
        <v>5</v>
      </c>
      <c r="C9" s="6" t="inlineStr">
        <is>
          <t>Sidi Kacem</t>
        </is>
      </c>
      <c r="D9" s="5" t="inlineStr">
        <is>
          <t>BIR TALEB</t>
        </is>
      </c>
      <c r="E9" s="5" t="inlineStr">
        <is>
          <t>50-23</t>
        </is>
      </c>
      <c r="F9" s="5" t="inlineStr">
        <is>
          <t>Entretien et réparation du réseau d'assainissement et de drainage</t>
        </is>
      </c>
      <c r="G9" s="5" t="inlineStr">
        <is>
          <t>Travaux de curage des canaux en terre</t>
        </is>
      </c>
      <c r="H9" s="5" t="inlineStr">
        <is>
          <t>Curage du canal d'assainisement Tihli Aval</t>
        </is>
      </c>
      <c r="I9" s="7" t="n">
        <v>1000000</v>
      </c>
      <c r="J9" s="8" t="inlineStr">
        <is>
          <t>ml</t>
        </is>
      </c>
      <c r="K9" s="9" t="n">
        <v>500</v>
      </c>
      <c r="L9" s="51" t="n"/>
      <c r="M9" s="52">
        <f>'S30'!M9+L9</f>
        <v/>
      </c>
      <c r="N9" s="53">
        <f>IFERROR(M9/K9,0)</f>
        <v/>
      </c>
      <c r="O9" s="54">
        <f>'S30'!N9</f>
        <v/>
      </c>
      <c r="P9" s="53">
        <f>N9-O9</f>
        <v/>
      </c>
      <c r="Q9" s="32" t="n"/>
      <c r="R9" s="32" t="n"/>
      <c r="S9" s="32" t="n"/>
      <c r="T9" s="55" t="n"/>
      <c r="U9" s="54">
        <f>'S30'!T9</f>
        <v/>
      </c>
      <c r="V9" s="53">
        <f>T9-U9</f>
        <v/>
      </c>
      <c r="W9" s="53">
        <f>N9-T9</f>
        <v/>
      </c>
      <c r="X9" s="34" t="n"/>
    </row>
    <row r="10" ht="22" customHeight="1">
      <c r="B10" s="10" t="n">
        <v>6</v>
      </c>
      <c r="C10" s="6" t="inlineStr">
        <is>
          <t>Sidi Kacem</t>
        </is>
      </c>
      <c r="D10" s="10" t="inlineStr">
        <is>
          <t>BIR TALEB</t>
        </is>
      </c>
      <c r="E10" s="10" t="inlineStr">
        <is>
          <t>50-23</t>
        </is>
      </c>
      <c r="F10" s="10" t="inlineStr">
        <is>
          <t>Entretien et réparation du réseau d'assainissement et de drainage</t>
        </is>
      </c>
      <c r="G10" s="10" t="inlineStr"/>
      <c r="H10" s="10" t="inlineStr">
        <is>
          <t>Curage des collecteurs d'assainissement du secteur P11/1</t>
        </is>
      </c>
      <c r="I10" s="11" t="n">
        <v>846731</v>
      </c>
      <c r="J10" s="12" t="inlineStr">
        <is>
          <t>ml</t>
        </is>
      </c>
      <c r="K10" s="13" t="n">
        <v>423</v>
      </c>
      <c r="L10" s="51" t="n"/>
      <c r="M10" s="56">
        <f>'S30'!M10+L10</f>
        <v/>
      </c>
      <c r="N10" s="57">
        <f>IFERROR(M10/K10,0)</f>
        <v/>
      </c>
      <c r="O10" s="58">
        <f>'S30'!N10</f>
        <v/>
      </c>
      <c r="P10" s="57">
        <f>N10-O10</f>
        <v/>
      </c>
      <c r="Q10" s="32" t="n"/>
      <c r="R10" s="32" t="n"/>
      <c r="S10" s="32" t="n"/>
      <c r="T10" s="55" t="n"/>
      <c r="U10" s="58">
        <f>'S30'!T10</f>
        <v/>
      </c>
      <c r="V10" s="57">
        <f>T10-U10</f>
        <v/>
      </c>
      <c r="W10" s="57">
        <f>N10-T10</f>
        <v/>
      </c>
      <c r="X10" s="34" t="n"/>
    </row>
    <row r="11" ht="22" customHeight="1">
      <c r="B11" s="5" t="n">
        <v>7</v>
      </c>
      <c r="C11" s="6" t="inlineStr">
        <is>
          <t>Sidi Kacem</t>
        </is>
      </c>
      <c r="D11" s="5" t="inlineStr">
        <is>
          <t>BIR TALEB</t>
        </is>
      </c>
      <c r="E11" s="5" t="inlineStr">
        <is>
          <t>50-23</t>
        </is>
      </c>
      <c r="F11" s="5" t="inlineStr">
        <is>
          <t>Entretien et réparation du réseau d'assainissement et de drainage</t>
        </is>
      </c>
      <c r="G11" s="5" t="inlineStr">
        <is>
          <t>Curage des prises sur l’oued, bâche d’aspiration et bassin de régulation.</t>
        </is>
      </c>
      <c r="H11" s="5" t="inlineStr">
        <is>
          <t>Curage des prises sur l’oued de la station de pompage P11/1.</t>
        </is>
      </c>
      <c r="I11" s="7" t="n">
        <v>200000</v>
      </c>
      <c r="J11" s="8" t="inlineStr">
        <is>
          <t>ml</t>
        </is>
      </c>
      <c r="K11" s="9" t="n">
        <v>67</v>
      </c>
      <c r="L11" s="51" t="n"/>
      <c r="M11" s="52">
        <f>'S30'!M11+L11</f>
        <v/>
      </c>
      <c r="N11" s="53">
        <f>IFERROR(M11/K11,0)</f>
        <v/>
      </c>
      <c r="O11" s="54">
        <f>'S30'!N11</f>
        <v/>
      </c>
      <c r="P11" s="53">
        <f>N11-O11</f>
        <v/>
      </c>
      <c r="Q11" s="32" t="n"/>
      <c r="R11" s="32" t="n"/>
      <c r="S11" s="32" t="n"/>
      <c r="T11" s="55" t="n"/>
      <c r="U11" s="54">
        <f>'S30'!T11</f>
        <v/>
      </c>
      <c r="V11" s="53">
        <f>T11-U11</f>
        <v/>
      </c>
      <c r="W11" s="53">
        <f>N11-T11</f>
        <v/>
      </c>
      <c r="X11" s="34" t="n"/>
    </row>
    <row r="12" ht="22" customHeight="1">
      <c r="B12" s="10" t="n">
        <v>8</v>
      </c>
      <c r="C12" s="6" t="inlineStr">
        <is>
          <t>Sidi Kacem</t>
        </is>
      </c>
      <c r="D12" s="10" t="inlineStr">
        <is>
          <t>BIR TALEB</t>
        </is>
      </c>
      <c r="E12" s="10" t="inlineStr">
        <is>
          <t>50-21</t>
        </is>
      </c>
      <c r="F12" s="10" t="inlineStr">
        <is>
          <t>Entretien et réparation des stations de pompage</t>
        </is>
      </c>
      <c r="G12" s="10" t="inlineStr">
        <is>
          <t>Prestation de maintenance des débitmètres et leurs équipements annexes installés au niveau des station de pompage</t>
        </is>
      </c>
      <c r="H12" s="10" t="inlineStr">
        <is>
          <t>Changement trois débitmètre Ø 400mm inondés de la station de pompage P11/1</t>
        </is>
      </c>
      <c r="I12" s="11" t="n">
        <v>141900</v>
      </c>
      <c r="J12" s="12" t="inlineStr">
        <is>
          <t>U</t>
        </is>
      </c>
      <c r="K12" s="13" t="n">
        <v>3</v>
      </c>
      <c r="L12" s="51" t="n"/>
      <c r="M12" s="56">
        <f>'S30'!M12+L12</f>
        <v/>
      </c>
      <c r="N12" s="57">
        <f>IFERROR(M12/K12,0)</f>
        <v/>
      </c>
      <c r="O12" s="58">
        <f>'S30'!N12</f>
        <v/>
      </c>
      <c r="P12" s="57">
        <f>N12-O12</f>
        <v/>
      </c>
      <c r="Q12" s="32" t="n"/>
      <c r="R12" s="32" t="n"/>
      <c r="S12" s="32" t="n"/>
      <c r="T12" s="55" t="n"/>
      <c r="U12" s="58">
        <f>'S30'!T12</f>
        <v/>
      </c>
      <c r="V12" s="57">
        <f>T12-U12</f>
        <v/>
      </c>
      <c r="W12" s="57">
        <f>N12-T12</f>
        <v/>
      </c>
      <c r="X12" s="34" t="n"/>
    </row>
    <row r="13" ht="22" customHeight="1">
      <c r="B13" s="5" t="n">
        <v>9</v>
      </c>
      <c r="C13" s="6" t="inlineStr">
        <is>
          <t>Sidi Kacem</t>
        </is>
      </c>
      <c r="D13" s="5" t="inlineStr">
        <is>
          <t>BIR TALEB</t>
        </is>
      </c>
      <c r="E13" s="5" t="inlineStr">
        <is>
          <t>50-21</t>
        </is>
      </c>
      <c r="F13" s="5" t="inlineStr">
        <is>
          <t>Entretien et réparation des stations de pompage</t>
        </is>
      </c>
      <c r="G13" s="5" t="inlineStr">
        <is>
          <t>Prestations de maintenance et de réparation mécanique des pompes et des groupes motopompes submersibles des stations de pompage.</t>
        </is>
      </c>
      <c r="H13" s="5" t="inlineStr">
        <is>
          <t>Démontage et expertise des roues des  pompes principaux et pompes a vide de la station P11/1
Changement des roulements, tresses et organes d’effectués de la station P11/1</t>
        </is>
      </c>
      <c r="I13" s="7" t="n">
        <v>26700</v>
      </c>
      <c r="J13" s="8" t="inlineStr">
        <is>
          <t>U</t>
        </is>
      </c>
      <c r="K13" s="9" t="n">
        <v>1</v>
      </c>
      <c r="L13" s="51" t="n"/>
      <c r="M13" s="52">
        <f>'S30'!M13+L13</f>
        <v/>
      </c>
      <c r="N13" s="53">
        <f>IFERROR(M13/K13,0)</f>
        <v/>
      </c>
      <c r="O13" s="54">
        <f>'S30'!N13</f>
        <v/>
      </c>
      <c r="P13" s="53">
        <f>N13-O13</f>
        <v/>
      </c>
      <c r="Q13" s="32" t="n"/>
      <c r="R13" s="32" t="n"/>
      <c r="S13" s="32" t="n"/>
      <c r="T13" s="55" t="n"/>
      <c r="U13" s="54">
        <f>'S30'!T13</f>
        <v/>
      </c>
      <c r="V13" s="53">
        <f>T13-U13</f>
        <v/>
      </c>
      <c r="W13" s="53">
        <f>N13-T13</f>
        <v/>
      </c>
      <c r="X13" s="34" t="n"/>
    </row>
    <row r="14" ht="22" customHeight="1">
      <c r="B14" s="10" t="n">
        <v>10</v>
      </c>
      <c r="C14" s="6" t="inlineStr">
        <is>
          <t>Sidi Kacem</t>
        </is>
      </c>
      <c r="D14" s="10" t="inlineStr">
        <is>
          <t>BIR TALEB</t>
        </is>
      </c>
      <c r="E14" s="10" t="inlineStr">
        <is>
          <t>50-21</t>
        </is>
      </c>
      <c r="F14" s="10" t="inlineStr">
        <is>
          <t>Entretien et réparation des stations de pompage</t>
        </is>
      </c>
      <c r="G14" s="10" t="inlineStr">
        <is>
          <t>Stabilisation Berge oued</t>
        </is>
      </c>
      <c r="H14" s="10" t="inlineStr">
        <is>
          <t>Pose de  gabions et recouvrement du talus par matelas Reno des stations de pompage P11/1.</t>
        </is>
      </c>
      <c r="I14" s="11" t="n">
        <v>480000</v>
      </c>
      <c r="J14" s="12" t="inlineStr">
        <is>
          <t>m³</t>
        </is>
      </c>
      <c r="K14" s="13" t="n">
        <v>320</v>
      </c>
      <c r="L14" s="51" t="n"/>
      <c r="M14" s="56">
        <f>'S30'!M14+L14</f>
        <v/>
      </c>
      <c r="N14" s="57">
        <f>IFERROR(M14/K14,0)</f>
        <v/>
      </c>
      <c r="O14" s="58">
        <f>'S30'!N14</f>
        <v/>
      </c>
      <c r="P14" s="57">
        <f>N14-O14</f>
        <v/>
      </c>
      <c r="Q14" s="32" t="n"/>
      <c r="R14" s="32" t="n"/>
      <c r="S14" s="32" t="n"/>
      <c r="T14" s="55" t="n"/>
      <c r="U14" s="58">
        <f>'S30'!T14</f>
        <v/>
      </c>
      <c r="V14" s="57">
        <f>T14-U14</f>
        <v/>
      </c>
      <c r="W14" s="57">
        <f>N14-T14</f>
        <v/>
      </c>
      <c r="X14" s="34" t="n"/>
    </row>
    <row r="15" ht="22" customHeight="1">
      <c r="B15" s="5" t="n">
        <v>11</v>
      </c>
      <c r="C15" s="6" t="inlineStr">
        <is>
          <t>Sidi Kacem</t>
        </is>
      </c>
      <c r="D15" s="5" t="inlineStr">
        <is>
          <t>BIR TALEB</t>
        </is>
      </c>
      <c r="E15" s="5" t="inlineStr">
        <is>
          <t>50-21</t>
        </is>
      </c>
      <c r="F15" s="5" t="inlineStr">
        <is>
          <t>Entretien et réparation des stations de pompage</t>
        </is>
      </c>
      <c r="G15" s="5" t="inlineStr">
        <is>
          <t>Génie civile des locaux des stations de pompage.</t>
        </is>
      </c>
      <c r="H15" s="5" t="inlineStr">
        <is>
          <t>Expertise d’état et d’étanchéité des locaux pompes.
Renforcement d’étanchéité des locaux pompe sous niveau des oueds des stations de pompage P11/1.
Entretien des supports en béton des conduites d’aspiration.</t>
        </is>
      </c>
      <c r="I15" s="7" t="n">
        <v>300000</v>
      </c>
      <c r="J15" s="8" t="inlineStr">
        <is>
          <t>U</t>
        </is>
      </c>
      <c r="K15" s="9" t="n">
        <v>1</v>
      </c>
      <c r="L15" s="51" t="n"/>
      <c r="M15" s="52">
        <f>'S30'!M15+L15</f>
        <v/>
      </c>
      <c r="N15" s="53">
        <f>IFERROR(M15/K15,0)</f>
        <v/>
      </c>
      <c r="O15" s="54">
        <f>'S30'!N15</f>
        <v/>
      </c>
      <c r="P15" s="53">
        <f>N15-O15</f>
        <v/>
      </c>
      <c r="Q15" s="32" t="n"/>
      <c r="R15" s="32" t="n"/>
      <c r="S15" s="32" t="n"/>
      <c r="T15" s="55" t="n"/>
      <c r="U15" s="54">
        <f>'S30'!T15</f>
        <v/>
      </c>
      <c r="V15" s="53">
        <f>T15-U15</f>
        <v/>
      </c>
      <c r="W15" s="53">
        <f>N15-T15</f>
        <v/>
      </c>
      <c r="X15" s="34" t="n"/>
    </row>
    <row r="16" ht="22" customHeight="1">
      <c r="B16" s="10" t="n">
        <v>12</v>
      </c>
      <c r="C16" s="6" t="inlineStr">
        <is>
          <t>Sidi Kacem</t>
        </is>
      </c>
      <c r="D16" s="10" t="inlineStr">
        <is>
          <t>CHEBANAT</t>
        </is>
      </c>
      <c r="E16" s="10" t="inlineStr">
        <is>
          <t>50-23</t>
        </is>
      </c>
      <c r="F16" s="10" t="inlineStr">
        <is>
          <t>Entretien et réparation du réseau d'assainissement et de drainage</t>
        </is>
      </c>
      <c r="G16" s="10" t="inlineStr">
        <is>
          <t>Travaux de curage des canaux en terre</t>
        </is>
      </c>
      <c r="H16" s="10" t="inlineStr">
        <is>
          <t>Curage des collecteurs d'assainissement des secteur SH5 et SH6.</t>
        </is>
      </c>
      <c r="I16" s="11" t="n">
        <v>1000000</v>
      </c>
      <c r="J16" s="12" t="inlineStr">
        <is>
          <t>ml</t>
        </is>
      </c>
      <c r="K16" s="13" t="n">
        <v>500</v>
      </c>
      <c r="L16" s="51" t="n"/>
      <c r="M16" s="56">
        <f>'S30'!M16+L16</f>
        <v/>
      </c>
      <c r="N16" s="57">
        <f>IFERROR(M16/K16,0)</f>
        <v/>
      </c>
      <c r="O16" s="58">
        <f>'S30'!N16</f>
        <v/>
      </c>
      <c r="P16" s="57">
        <f>N16-O16</f>
        <v/>
      </c>
      <c r="Q16" s="32" t="n"/>
      <c r="R16" s="32" t="n"/>
      <c r="S16" s="32" t="n"/>
      <c r="T16" s="55" t="n"/>
      <c r="U16" s="58">
        <f>'S30'!T16</f>
        <v/>
      </c>
      <c r="V16" s="57">
        <f>T16-U16</f>
        <v/>
      </c>
      <c r="W16" s="57">
        <f>N16-T16</f>
        <v/>
      </c>
      <c r="X16" s="34" t="n"/>
    </row>
    <row r="17" ht="22" customHeight="1">
      <c r="B17" s="5" t="n">
        <v>13</v>
      </c>
      <c r="C17" s="6" t="inlineStr">
        <is>
          <t>Sidi Kacem</t>
        </is>
      </c>
      <c r="D17" s="5" t="inlineStr">
        <is>
          <t>CHEBANAT</t>
        </is>
      </c>
      <c r="E17" s="5" t="inlineStr">
        <is>
          <t>50-23</t>
        </is>
      </c>
      <c r="F17" s="5" t="inlineStr">
        <is>
          <t>Entretien et réparation du réseau d'assainissement et de drainage</t>
        </is>
      </c>
      <c r="G17" s="5" t="inlineStr">
        <is>
          <t>Travaux de curage des canaux révetus</t>
        </is>
      </c>
      <c r="H17" s="5" t="inlineStr">
        <is>
          <t>Curage du canal principal d'irrigation beht partie aval 1.</t>
        </is>
      </c>
      <c r="I17" s="7" t="n">
        <v>739200</v>
      </c>
      <c r="J17" s="8" t="inlineStr">
        <is>
          <t>ml</t>
        </is>
      </c>
      <c r="K17" s="9" t="n">
        <v>370</v>
      </c>
      <c r="L17" s="51" t="n"/>
      <c r="M17" s="52">
        <f>'S30'!M17+L17</f>
        <v/>
      </c>
      <c r="N17" s="53">
        <f>IFERROR(M17/K17,0)</f>
        <v/>
      </c>
      <c r="O17" s="54">
        <f>'S30'!N17</f>
        <v/>
      </c>
      <c r="P17" s="53">
        <f>N17-O17</f>
        <v/>
      </c>
      <c r="Q17" s="32" t="n"/>
      <c r="R17" s="32" t="n"/>
      <c r="S17" s="32" t="n"/>
      <c r="T17" s="55" t="n"/>
      <c r="U17" s="54">
        <f>'S30'!T17</f>
        <v/>
      </c>
      <c r="V17" s="53">
        <f>T17-U17</f>
        <v/>
      </c>
      <c r="W17" s="53">
        <f>N17-T17</f>
        <v/>
      </c>
      <c r="X17" s="34" t="n"/>
    </row>
    <row r="18" ht="22" customHeight="1">
      <c r="B18" s="10" t="n">
        <v>14</v>
      </c>
      <c r="C18" s="6" t="inlineStr">
        <is>
          <t>Sidi Kacem</t>
        </is>
      </c>
      <c r="D18" s="10" t="inlineStr">
        <is>
          <t>ZIRARA</t>
        </is>
      </c>
      <c r="E18" s="10" t="inlineStr">
        <is>
          <t>50-23</t>
        </is>
      </c>
      <c r="F18" s="10" t="inlineStr">
        <is>
          <t>Entretien et réparation du réseau d'assainissement et de drainage</t>
        </is>
      </c>
      <c r="G18" s="10" t="inlineStr">
        <is>
          <t>Travaux de curage des canaux révetus</t>
        </is>
      </c>
      <c r="H18" s="10" t="inlineStr">
        <is>
          <t>Curage du canal principal d'irrigation beht partie aval 2.</t>
        </is>
      </c>
      <c r="I18" s="11" t="n">
        <v>1276800</v>
      </c>
      <c r="J18" s="12" t="inlineStr">
        <is>
          <t>ml</t>
        </is>
      </c>
      <c r="K18" s="13" t="n">
        <v>638</v>
      </c>
      <c r="L18" s="51" t="n"/>
      <c r="M18" s="56">
        <f>'S30'!M18+L18</f>
        <v/>
      </c>
      <c r="N18" s="57">
        <f>IFERROR(M18/K18,0)</f>
        <v/>
      </c>
      <c r="O18" s="58">
        <f>'S30'!N18</f>
        <v/>
      </c>
      <c r="P18" s="57">
        <f>N18-O18</f>
        <v/>
      </c>
      <c r="Q18" s="32" t="n"/>
      <c r="R18" s="32" t="n"/>
      <c r="S18" s="32" t="n"/>
      <c r="T18" s="55" t="n"/>
      <c r="U18" s="58">
        <f>'S30'!T18</f>
        <v/>
      </c>
      <c r="V18" s="57">
        <f>T18-U18</f>
        <v/>
      </c>
      <c r="W18" s="57">
        <f>N18-T18</f>
        <v/>
      </c>
      <c r="X18" s="34" t="n"/>
    </row>
    <row r="19" ht="22" customHeight="1">
      <c r="B19" s="5" t="n">
        <v>15</v>
      </c>
      <c r="C19" s="6" t="inlineStr">
        <is>
          <t>Sidi Kacem</t>
        </is>
      </c>
      <c r="D19" s="5" t="inlineStr">
        <is>
          <t>DAR LAASLOUJI</t>
        </is>
      </c>
      <c r="E19" s="5" t="inlineStr">
        <is>
          <t>50-23</t>
        </is>
      </c>
      <c r="F19" s="5" t="inlineStr">
        <is>
          <t>Entretien et réparation du réseau d'assainissement et de drainage</t>
        </is>
      </c>
      <c r="G19" s="5" t="inlineStr">
        <is>
          <t>Travaux de curage des canaux en terre</t>
        </is>
      </c>
      <c r="H19" s="5" t="inlineStr">
        <is>
          <t>Curage des collecteurs d'assainissement des secteurs P8-1 et P8-2</t>
        </is>
      </c>
      <c r="I19" s="7" t="n">
        <v>5796360</v>
      </c>
      <c r="J19" s="8" t="inlineStr">
        <is>
          <t>ml</t>
        </is>
      </c>
      <c r="K19" s="9" t="n">
        <v>2898</v>
      </c>
      <c r="L19" s="51" t="n"/>
      <c r="M19" s="52">
        <f>'S30'!M19+L19</f>
        <v/>
      </c>
      <c r="N19" s="53">
        <f>IFERROR(M19/K19,0)</f>
        <v/>
      </c>
      <c r="O19" s="54">
        <f>'S30'!N19</f>
        <v/>
      </c>
      <c r="P19" s="53">
        <f>N19-O19</f>
        <v/>
      </c>
      <c r="Q19" s="32" t="n"/>
      <c r="R19" s="32" t="n"/>
      <c r="S19" s="32" t="n"/>
      <c r="T19" s="55" t="n"/>
      <c r="U19" s="54">
        <f>'S30'!T19</f>
        <v/>
      </c>
      <c r="V19" s="53">
        <f>T19-U19</f>
        <v/>
      </c>
      <c r="W19" s="53">
        <f>N19-T19</f>
        <v/>
      </c>
      <c r="X19" s="34" t="n"/>
    </row>
    <row r="20" ht="22" customHeight="1">
      <c r="B20" s="10" t="n">
        <v>16</v>
      </c>
      <c r="C20" s="6" t="inlineStr">
        <is>
          <t>Sidi Kacem</t>
        </is>
      </c>
      <c r="D20" s="10" t="inlineStr">
        <is>
          <t>DAR LAASLOUJI</t>
        </is>
      </c>
      <c r="E20" s="10" t="inlineStr">
        <is>
          <t>40-21</t>
        </is>
      </c>
      <c r="F20" s="10" t="inlineStr">
        <is>
          <t>Travaux de pistes</t>
        </is>
      </c>
      <c r="G20" s="10" t="inlineStr">
        <is>
          <t>Entretien des pistes agricoles</t>
        </is>
      </c>
      <c r="H20" s="10" t="inlineStr">
        <is>
          <t>Entretien des pistes agricoles</t>
        </is>
      </c>
      <c r="I20" s="11" t="n">
        <v>340000</v>
      </c>
      <c r="J20" s="12" t="inlineStr">
        <is>
          <t>km</t>
        </is>
      </c>
      <c r="K20" s="13" t="n">
        <v>1</v>
      </c>
      <c r="L20" s="51" t="n"/>
      <c r="M20" s="56">
        <f>'S30'!M20+L20</f>
        <v/>
      </c>
      <c r="N20" s="57">
        <f>IFERROR(M20/K20,0)</f>
        <v/>
      </c>
      <c r="O20" s="58">
        <f>'S30'!N20</f>
        <v/>
      </c>
      <c r="P20" s="57">
        <f>N20-O20</f>
        <v/>
      </c>
      <c r="Q20" s="32" t="n"/>
      <c r="R20" s="32" t="n"/>
      <c r="S20" s="32" t="n"/>
      <c r="T20" s="55" t="n"/>
      <c r="U20" s="58">
        <f>'S30'!T20</f>
        <v/>
      </c>
      <c r="V20" s="57">
        <f>T20-U20</f>
        <v/>
      </c>
      <c r="W20" s="57">
        <f>N20-T20</f>
        <v/>
      </c>
      <c r="X20" s="34" t="n"/>
    </row>
    <row r="21" ht="22" customHeight="1">
      <c r="B21" s="5" t="n">
        <v>17</v>
      </c>
      <c r="C21" s="6" t="inlineStr">
        <is>
          <t>Sidi Kacem</t>
        </is>
      </c>
      <c r="D21" s="5" t="inlineStr">
        <is>
          <t>HOUAFATE</t>
        </is>
      </c>
      <c r="E21" s="5" t="inlineStr">
        <is>
          <t>20-11</t>
        </is>
      </c>
      <c r="F21" s="5" t="inlineStr">
        <is>
          <t>Travaux de réhabilitation des équipements</t>
        </is>
      </c>
      <c r="G21" s="5" t="inlineStr">
        <is>
          <t>Travaux de réhabilitation des canaux portés d'irrigation</t>
        </is>
      </c>
      <c r="H21" s="5" t="inlineStr">
        <is>
          <t>Fourniture et de pose de canaux porté et accessoires du réseau S3 du secteur S13</t>
        </is>
      </c>
      <c r="I21" s="7" t="n">
        <v>397934</v>
      </c>
      <c r="J21" s="8" t="inlineStr">
        <is>
          <t>ml</t>
        </is>
      </c>
      <c r="K21" s="9" t="n">
        <v>133</v>
      </c>
      <c r="L21" s="51" t="n"/>
      <c r="M21" s="52">
        <f>'S30'!M21+L21</f>
        <v/>
      </c>
      <c r="N21" s="53">
        <f>IFERROR(M21/K21,0)</f>
        <v/>
      </c>
      <c r="O21" s="54">
        <f>'S30'!N21</f>
        <v/>
      </c>
      <c r="P21" s="53">
        <f>N21-O21</f>
        <v/>
      </c>
      <c r="Q21" s="32" t="n"/>
      <c r="R21" s="32" t="n"/>
      <c r="S21" s="32" t="n"/>
      <c r="T21" s="55" t="n"/>
      <c r="U21" s="54">
        <f>'S30'!T21</f>
        <v/>
      </c>
      <c r="V21" s="53">
        <f>T21-U21</f>
        <v/>
      </c>
      <c r="W21" s="53">
        <f>N21-T21</f>
        <v/>
      </c>
      <c r="X21" s="34" t="n"/>
    </row>
    <row r="22" ht="22" customHeight="1">
      <c r="B22" s="10" t="n">
        <v>18</v>
      </c>
      <c r="C22" s="6" t="inlineStr">
        <is>
          <t>Sidi Kacem</t>
        </is>
      </c>
      <c r="D22" s="10" t="inlineStr">
        <is>
          <t>HOUAFATE</t>
        </is>
      </c>
      <c r="E22" s="10" t="inlineStr">
        <is>
          <t>20-11</t>
        </is>
      </c>
      <c r="F22" s="10" t="inlineStr">
        <is>
          <t>Travaux de réhabilitation des équipements</t>
        </is>
      </c>
      <c r="G22" s="10" t="inlineStr"/>
      <c r="H22" s="10" t="inlineStr">
        <is>
          <t>Fourniture et de pose de canaux porté et accessoires du réseau T2S1 du secteur S13</t>
        </is>
      </c>
      <c r="I22" s="11" t="n">
        <v>207575</v>
      </c>
      <c r="J22" s="12" t="inlineStr">
        <is>
          <t>ml</t>
        </is>
      </c>
      <c r="K22" s="13" t="n">
        <v>69</v>
      </c>
      <c r="L22" s="51" t="n"/>
      <c r="M22" s="56">
        <f>'S30'!M22+L22</f>
        <v/>
      </c>
      <c r="N22" s="57">
        <f>IFERROR(M22/K22,0)</f>
        <v/>
      </c>
      <c r="O22" s="58">
        <f>'S30'!N22</f>
        <v/>
      </c>
      <c r="P22" s="57">
        <f>N22-O22</f>
        <v/>
      </c>
      <c r="Q22" s="32" t="n"/>
      <c r="R22" s="32" t="n"/>
      <c r="S22" s="32" t="n"/>
      <c r="T22" s="55" t="n"/>
      <c r="U22" s="58">
        <f>'S30'!T22</f>
        <v/>
      </c>
      <c r="V22" s="57">
        <f>T22-U22</f>
        <v/>
      </c>
      <c r="W22" s="57">
        <f>N22-T22</f>
        <v/>
      </c>
      <c r="X22" s="34" t="n"/>
    </row>
    <row r="23" ht="22" customHeight="1">
      <c r="B23" s="5" t="n">
        <v>19</v>
      </c>
      <c r="C23" s="6" t="inlineStr">
        <is>
          <t>Sidi Kacem</t>
        </is>
      </c>
      <c r="D23" s="5" t="inlineStr">
        <is>
          <t>HOUAFATE</t>
        </is>
      </c>
      <c r="E23" s="5" t="inlineStr">
        <is>
          <t>40-21</t>
        </is>
      </c>
      <c r="F23" s="5" t="inlineStr">
        <is>
          <t>Travaux de pistes</t>
        </is>
      </c>
      <c r="G23" s="5" t="inlineStr">
        <is>
          <t>Entretien des pistes agricoles</t>
        </is>
      </c>
      <c r="H23" s="5" t="inlineStr">
        <is>
          <t>Entretien des pistes agricoles</t>
        </is>
      </c>
      <c r="I23" s="7" t="n">
        <v>2200000</v>
      </c>
      <c r="J23" s="8" t="inlineStr">
        <is>
          <t>km</t>
        </is>
      </c>
      <c r="K23" s="9" t="n">
        <v>4</v>
      </c>
      <c r="L23" s="51" t="n"/>
      <c r="M23" s="52">
        <f>'S30'!M23+L23</f>
        <v/>
      </c>
      <c r="N23" s="53">
        <f>IFERROR(M23/K23,0)</f>
        <v/>
      </c>
      <c r="O23" s="54">
        <f>'S30'!N23</f>
        <v/>
      </c>
      <c r="P23" s="53">
        <f>N23-O23</f>
        <v/>
      </c>
      <c r="Q23" s="32" t="n"/>
      <c r="R23" s="32" t="n"/>
      <c r="S23" s="32" t="n"/>
      <c r="T23" s="55" t="n"/>
      <c r="U23" s="54">
        <f>'S30'!T23</f>
        <v/>
      </c>
      <c r="V23" s="53">
        <f>T23-U23</f>
        <v/>
      </c>
      <c r="W23" s="53">
        <f>N23-T23</f>
        <v/>
      </c>
      <c r="X23" s="34" t="n"/>
    </row>
    <row r="24" ht="22" customHeight="1">
      <c r="B24" s="10" t="n">
        <v>20</v>
      </c>
      <c r="C24" s="6" t="inlineStr">
        <is>
          <t>Sidi Kacem</t>
        </is>
      </c>
      <c r="D24" s="10" t="inlineStr">
        <is>
          <t>HOUAFATE</t>
        </is>
      </c>
      <c r="E24" s="10" t="inlineStr">
        <is>
          <t>50-23</t>
        </is>
      </c>
      <c r="F24" s="10" t="inlineStr">
        <is>
          <t>Entretien et réparation du réseau d'assainissement et de drainage</t>
        </is>
      </c>
      <c r="G24" s="10" t="inlineStr">
        <is>
          <t>Curage des prises sur l’oued, bâche d’aspiration et bassin de régulation.</t>
        </is>
      </c>
      <c r="H24" s="10" t="inlineStr">
        <is>
          <t>Curage des prises sur l’oued de la station de pompage S17 et S13.
Nettoyage des grilles de préfiltration des boues colmaté de la station de pompage S17 et S13.
Curage de la bâche d’aspiration de la station S17 et S13.</t>
        </is>
      </c>
      <c r="I24" s="11" t="n">
        <v>300000</v>
      </c>
      <c r="J24" s="12" t="inlineStr">
        <is>
          <t>ml</t>
        </is>
      </c>
      <c r="K24" s="13" t="n">
        <v>100</v>
      </c>
      <c r="L24" s="51" t="n"/>
      <c r="M24" s="56">
        <f>'S30'!M24+L24</f>
        <v/>
      </c>
      <c r="N24" s="57">
        <f>IFERROR(M24/K24,0)</f>
        <v/>
      </c>
      <c r="O24" s="58">
        <f>'S30'!N24</f>
        <v/>
      </c>
      <c r="P24" s="57">
        <f>N24-O24</f>
        <v/>
      </c>
      <c r="Q24" s="32" t="n"/>
      <c r="R24" s="32" t="n"/>
      <c r="S24" s="32" t="n"/>
      <c r="T24" s="55" t="n"/>
      <c r="U24" s="58">
        <f>'S30'!T24</f>
        <v/>
      </c>
      <c r="V24" s="57">
        <f>T24-U24</f>
        <v/>
      </c>
      <c r="W24" s="57">
        <f>N24-T24</f>
        <v/>
      </c>
      <c r="X24" s="34" t="n"/>
    </row>
    <row r="25" ht="22" customHeight="1">
      <c r="B25" s="5" t="n">
        <v>21</v>
      </c>
      <c r="C25" s="6" t="inlineStr">
        <is>
          <t>Sidi Kacem</t>
        </is>
      </c>
      <c r="D25" s="5" t="inlineStr">
        <is>
          <t>HOUAFATE</t>
        </is>
      </c>
      <c r="E25" s="5" t="inlineStr">
        <is>
          <t>50-21</t>
        </is>
      </c>
      <c r="F25" s="5" t="inlineStr">
        <is>
          <t>Entretien et réparation des stations de pompage</t>
        </is>
      </c>
      <c r="G25" s="5" t="inlineStr">
        <is>
          <t>Prestation de maintenance des débitmètres et leurs équipements annexes installés au niveau des station de pompage</t>
        </is>
      </c>
      <c r="H25" s="5" t="inlineStr">
        <is>
          <t>Changement trois débitmètre Ø 600mm inondés de la station de pompage S13.</t>
        </is>
      </c>
      <c r="I25" s="7" t="n">
        <v>250000</v>
      </c>
      <c r="J25" s="8" t="inlineStr">
        <is>
          <t>U</t>
        </is>
      </c>
      <c r="K25" s="9" t="n">
        <v>3</v>
      </c>
      <c r="L25" s="51" t="n"/>
      <c r="M25" s="52">
        <f>'S30'!M25+L25</f>
        <v/>
      </c>
      <c r="N25" s="53">
        <f>IFERROR(M25/K25,0)</f>
        <v/>
      </c>
      <c r="O25" s="54">
        <f>'S30'!N25</f>
        <v/>
      </c>
      <c r="P25" s="53">
        <f>N25-O25</f>
        <v/>
      </c>
      <c r="Q25" s="32" t="n"/>
      <c r="R25" s="32" t="n"/>
      <c r="S25" s="32" t="n"/>
      <c r="T25" s="55" t="n"/>
      <c r="U25" s="54">
        <f>'S30'!T25</f>
        <v/>
      </c>
      <c r="V25" s="53">
        <f>T25-U25</f>
        <v/>
      </c>
      <c r="W25" s="53">
        <f>N25-T25</f>
        <v/>
      </c>
      <c r="X25" s="34" t="n"/>
    </row>
    <row r="26" ht="22" customHeight="1">
      <c r="B26" s="10" t="n">
        <v>22</v>
      </c>
      <c r="C26" s="6" t="inlineStr">
        <is>
          <t>Sidi Kacem</t>
        </is>
      </c>
      <c r="D26" s="10" t="inlineStr">
        <is>
          <t>HOUAFATE</t>
        </is>
      </c>
      <c r="E26" s="10" t="inlineStr">
        <is>
          <t>50-21</t>
        </is>
      </c>
      <c r="F26" s="10" t="inlineStr">
        <is>
          <t>Entretien et réparation des stations de pompage</t>
        </is>
      </c>
      <c r="G26" s="10" t="inlineStr">
        <is>
          <t>Prestations de maintenance des moteurs électriques des stations de pompage.</t>
        </is>
      </c>
      <c r="H26" s="10" t="inlineStr">
        <is>
          <t>Révision des trois moteurs électriques 200 KW principaux de la station S13. 
Révision des deux moteurs électriques 5,5 KW groupes vide de la station S13.</t>
        </is>
      </c>
      <c r="I26" s="11" t="n">
        <v>25000</v>
      </c>
      <c r="J26" s="12" t="inlineStr">
        <is>
          <t>U</t>
        </is>
      </c>
      <c r="K26" s="13" t="n">
        <v>3</v>
      </c>
      <c r="L26" s="51" t="n"/>
      <c r="M26" s="56">
        <f>'S30'!M26+L26</f>
        <v/>
      </c>
      <c r="N26" s="57">
        <f>IFERROR(M26/K26,0)</f>
        <v/>
      </c>
      <c r="O26" s="58">
        <f>'S30'!N26</f>
        <v/>
      </c>
      <c r="P26" s="57">
        <f>N26-O26</f>
        <v/>
      </c>
      <c r="Q26" s="32" t="n"/>
      <c r="R26" s="32" t="n"/>
      <c r="S26" s="32" t="n"/>
      <c r="T26" s="55" t="n"/>
      <c r="U26" s="58">
        <f>'S30'!T26</f>
        <v/>
      </c>
      <c r="V26" s="57">
        <f>T26-U26</f>
        <v/>
      </c>
      <c r="W26" s="57">
        <f>N26-T26</f>
        <v/>
      </c>
      <c r="X26" s="34" t="n"/>
    </row>
    <row r="27" ht="22" customHeight="1">
      <c r="B27" s="5" t="n">
        <v>23</v>
      </c>
      <c r="C27" s="6" t="inlineStr">
        <is>
          <t>Sidi Kacem</t>
        </is>
      </c>
      <c r="D27" s="5" t="inlineStr">
        <is>
          <t>HOUAFATE</t>
        </is>
      </c>
      <c r="E27" s="5" t="inlineStr">
        <is>
          <t>50-21</t>
        </is>
      </c>
      <c r="F27" s="5" t="inlineStr">
        <is>
          <t>Entretien et réparation des stations de pompage</t>
        </is>
      </c>
      <c r="G27" s="5" t="inlineStr">
        <is>
          <t>Prestations de maintenance et de réparation mécanique des pompes et des groupes motopompes submersibles des stations de pompage.</t>
        </is>
      </c>
      <c r="H27" s="5" t="inlineStr">
        <is>
          <t>Démontage et expertise des roues des  pompes principaux et pompes a vide de la station S13.
Changement des roulements, tresses et organes d’effectués de la station S13.</t>
        </is>
      </c>
      <c r="I27" s="7" t="n">
        <v>38000</v>
      </c>
      <c r="J27" s="8" t="inlineStr">
        <is>
          <t>U</t>
        </is>
      </c>
      <c r="K27" s="9" t="n">
        <v>1</v>
      </c>
      <c r="L27" s="51" t="n"/>
      <c r="M27" s="52">
        <f>'S30'!M27+L27</f>
        <v/>
      </c>
      <c r="N27" s="53">
        <f>IFERROR(M27/K27,0)</f>
        <v/>
      </c>
      <c r="O27" s="54">
        <f>'S30'!N27</f>
        <v/>
      </c>
      <c r="P27" s="53">
        <f>N27-O27</f>
        <v/>
      </c>
      <c r="Q27" s="32" t="n"/>
      <c r="R27" s="32" t="n"/>
      <c r="S27" s="32" t="n"/>
      <c r="T27" s="55" t="n"/>
      <c r="U27" s="54">
        <f>'S30'!T27</f>
        <v/>
      </c>
      <c r="V27" s="53">
        <f>T27-U27</f>
        <v/>
      </c>
      <c r="W27" s="53">
        <f>N27-T27</f>
        <v/>
      </c>
      <c r="X27" s="34" t="n"/>
    </row>
    <row r="28" ht="22" customHeight="1">
      <c r="B28" s="10" t="n">
        <v>24</v>
      </c>
      <c r="C28" s="6" t="inlineStr">
        <is>
          <t>Sidi Kacem</t>
        </is>
      </c>
      <c r="D28" s="10" t="inlineStr">
        <is>
          <t>HOUAFATE</t>
        </is>
      </c>
      <c r="E28" s="10" t="inlineStr">
        <is>
          <t>50-21</t>
        </is>
      </c>
      <c r="F28" s="10" t="inlineStr">
        <is>
          <t>Entretien et réparation des stations de pompage</t>
        </is>
      </c>
      <c r="G28" s="10" t="inlineStr">
        <is>
          <t>Stabilisation Berge oued</t>
        </is>
      </c>
      <c r="H28" s="10" t="inlineStr">
        <is>
          <t>Pose de  gabions et recouvrement du talus par matelas Reno des stations de pompage S13.</t>
        </is>
      </c>
      <c r="I28" s="11" t="n">
        <v>10560000</v>
      </c>
      <c r="J28" s="12" t="inlineStr">
        <is>
          <t>m³</t>
        </is>
      </c>
      <c r="K28" s="13" t="n">
        <v>7040</v>
      </c>
      <c r="L28" s="51" t="n"/>
      <c r="M28" s="56">
        <f>'S30'!M28+L28</f>
        <v/>
      </c>
      <c r="N28" s="57">
        <f>IFERROR(M28/K28,0)</f>
        <v/>
      </c>
      <c r="O28" s="58">
        <f>'S30'!N28</f>
        <v/>
      </c>
      <c r="P28" s="57">
        <f>N28-O28</f>
        <v/>
      </c>
      <c r="Q28" s="32" t="n"/>
      <c r="R28" s="32" t="n"/>
      <c r="S28" s="32" t="n"/>
      <c r="T28" s="55" t="n"/>
      <c r="U28" s="58">
        <f>'S30'!T28</f>
        <v/>
      </c>
      <c r="V28" s="57">
        <f>T28-U28</f>
        <v/>
      </c>
      <c r="W28" s="57">
        <f>N28-T28</f>
        <v/>
      </c>
      <c r="X28" s="34" t="n"/>
    </row>
    <row r="29" ht="22" customHeight="1">
      <c r="B29" s="5" t="n">
        <v>25</v>
      </c>
      <c r="C29" s="6" t="inlineStr">
        <is>
          <t>Sidi Kacem</t>
        </is>
      </c>
      <c r="D29" s="5" t="inlineStr">
        <is>
          <t>HOUAFATE</t>
        </is>
      </c>
      <c r="E29" s="5" t="inlineStr">
        <is>
          <t>50-21</t>
        </is>
      </c>
      <c r="F29" s="5" t="inlineStr">
        <is>
          <t>Entretien et réparation des stations de pompage</t>
        </is>
      </c>
      <c r="G29" s="5" t="inlineStr">
        <is>
          <t>Mur clôture des stations de pompage.</t>
        </is>
      </c>
      <c r="H29" s="5" t="inlineStr">
        <is>
          <t>Stabilisation du sol et reconstruction des murs clôture (270m) cote oued de la station S17.</t>
        </is>
      </c>
      <c r="I29" s="7" t="n">
        <v>144000</v>
      </c>
      <c r="J29" s="8" t="inlineStr">
        <is>
          <t>ml</t>
        </is>
      </c>
      <c r="K29" s="9" t="n">
        <v>270</v>
      </c>
      <c r="L29" s="51" t="n"/>
      <c r="M29" s="52">
        <f>'S30'!M29+L29</f>
        <v/>
      </c>
      <c r="N29" s="53">
        <f>IFERROR(M29/K29,0)</f>
        <v/>
      </c>
      <c r="O29" s="54">
        <f>'S30'!N29</f>
        <v/>
      </c>
      <c r="P29" s="53">
        <f>N29-O29</f>
        <v/>
      </c>
      <c r="Q29" s="32" t="n"/>
      <c r="R29" s="32" t="n"/>
      <c r="S29" s="32" t="n"/>
      <c r="T29" s="55" t="n"/>
      <c r="U29" s="54">
        <f>'S30'!T29</f>
        <v/>
      </c>
      <c r="V29" s="53">
        <f>T29-U29</f>
        <v/>
      </c>
      <c r="W29" s="53">
        <f>N29-T29</f>
        <v/>
      </c>
      <c r="X29" s="34" t="n"/>
    </row>
    <row r="30" ht="22" customHeight="1">
      <c r="B30" s="10" t="n">
        <v>26</v>
      </c>
      <c r="C30" s="6" t="inlineStr">
        <is>
          <t>Sidi Kacem</t>
        </is>
      </c>
      <c r="D30" s="10" t="inlineStr">
        <is>
          <t>HOUAFATE</t>
        </is>
      </c>
      <c r="E30" s="10" t="inlineStr">
        <is>
          <t>50-21</t>
        </is>
      </c>
      <c r="F30" s="10" t="inlineStr">
        <is>
          <t>Entretien et réparation des stations de pompage</t>
        </is>
      </c>
      <c r="G30" s="10" t="inlineStr">
        <is>
          <t>Génie civile des locaux des stations de pompage.</t>
        </is>
      </c>
      <c r="H30" s="10" t="inlineStr">
        <is>
          <t>Expertise d’état et d’étanchéité des locaux pompes, commande, puissance des stations de pompage S17 et S13.
Renforcement d’étanchéité des locaux pompe sous niveau des oueds des stations de pompage S17 et S13.</t>
        </is>
      </c>
      <c r="I30" s="11" t="n">
        <v>800000</v>
      </c>
      <c r="J30" s="12" t="inlineStr">
        <is>
          <t>U</t>
        </is>
      </c>
      <c r="K30" s="13" t="n">
        <v>1</v>
      </c>
      <c r="L30" s="51" t="n"/>
      <c r="M30" s="56">
        <f>'S30'!M30+L30</f>
        <v/>
      </c>
      <c r="N30" s="57">
        <f>IFERROR(M30/K30,0)</f>
        <v/>
      </c>
      <c r="O30" s="58">
        <f>'S30'!N30</f>
        <v/>
      </c>
      <c r="P30" s="57">
        <f>N30-O30</f>
        <v/>
      </c>
      <c r="Q30" s="32" t="n"/>
      <c r="R30" s="32" t="n"/>
      <c r="S30" s="32" t="n"/>
      <c r="T30" s="55" t="n"/>
      <c r="U30" s="58">
        <f>'S30'!T30</f>
        <v/>
      </c>
      <c r="V30" s="57">
        <f>T30-U30</f>
        <v/>
      </c>
      <c r="W30" s="57">
        <f>N30-T30</f>
        <v/>
      </c>
      <c r="X30" s="34" t="n"/>
    </row>
    <row r="31" ht="22" customHeight="1">
      <c r="B31" s="5" t="n">
        <v>27</v>
      </c>
      <c r="C31" s="6" t="inlineStr">
        <is>
          <t>Sidi Kacem</t>
        </is>
      </c>
      <c r="D31" s="5" t="inlineStr">
        <is>
          <t>NOUIRAT</t>
        </is>
      </c>
      <c r="E31" s="5" t="inlineStr">
        <is>
          <t>50-23</t>
        </is>
      </c>
      <c r="F31" s="5" t="inlineStr">
        <is>
          <t>Entretien et réparation du réseau d'assainissement et de drainage</t>
        </is>
      </c>
      <c r="G31" s="5" t="inlineStr">
        <is>
          <t>Travaux de curage des canaux en terre</t>
        </is>
      </c>
      <c r="H31" s="5" t="inlineStr">
        <is>
          <t>Curage des collecteurs d'assainissement des secteurs EST1 et N5</t>
        </is>
      </c>
      <c r="I31" s="7" t="n">
        <v>1733306</v>
      </c>
      <c r="J31" s="8" t="inlineStr">
        <is>
          <t>ml</t>
        </is>
      </c>
      <c r="K31" s="9" t="n">
        <v>867</v>
      </c>
      <c r="L31" s="51" t="n"/>
      <c r="M31" s="52">
        <f>'S30'!M31+L31</f>
        <v/>
      </c>
      <c r="N31" s="53">
        <f>IFERROR(M31/K31,0)</f>
        <v/>
      </c>
      <c r="O31" s="54">
        <f>'S30'!N31</f>
        <v/>
      </c>
      <c r="P31" s="53">
        <f>N31-O31</f>
        <v/>
      </c>
      <c r="Q31" s="32" t="n"/>
      <c r="R31" s="32" t="n"/>
      <c r="S31" s="32" t="n"/>
      <c r="T31" s="55" t="n"/>
      <c r="U31" s="54">
        <f>'S30'!T31</f>
        <v/>
      </c>
      <c r="V31" s="53">
        <f>T31-U31</f>
        <v/>
      </c>
      <c r="W31" s="53">
        <f>N31-T31</f>
        <v/>
      </c>
      <c r="X31" s="34" t="n"/>
    </row>
    <row r="32" ht="22" customHeight="1">
      <c r="B32" s="10" t="n">
        <v>28</v>
      </c>
      <c r="C32" s="6" t="inlineStr">
        <is>
          <t>Sidi Kacem</t>
        </is>
      </c>
      <c r="D32" s="10" t="inlineStr">
        <is>
          <t>NOUIRAT</t>
        </is>
      </c>
      <c r="E32" s="10" t="inlineStr">
        <is>
          <t>40-21</t>
        </is>
      </c>
      <c r="F32" s="10" t="inlineStr">
        <is>
          <t>Travaux de pistes</t>
        </is>
      </c>
      <c r="G32" s="10" t="inlineStr">
        <is>
          <t>Entretien des pistes agricoles</t>
        </is>
      </c>
      <c r="H32" s="10" t="inlineStr">
        <is>
          <t>Entretien des pistes agricoles</t>
        </is>
      </c>
      <c r="I32" s="11" t="n">
        <v>670000</v>
      </c>
      <c r="J32" s="12" t="inlineStr">
        <is>
          <t>km</t>
        </is>
      </c>
      <c r="K32" s="13" t="n">
        <v>1</v>
      </c>
      <c r="L32" s="51" t="n"/>
      <c r="M32" s="56">
        <f>'S30'!M32+L32</f>
        <v/>
      </c>
      <c r="N32" s="57">
        <f>IFERROR(M32/K32,0)</f>
        <v/>
      </c>
      <c r="O32" s="58">
        <f>'S30'!N32</f>
        <v/>
      </c>
      <c r="P32" s="57">
        <f>N32-O32</f>
        <v/>
      </c>
      <c r="Q32" s="32" t="n"/>
      <c r="R32" s="32" t="n"/>
      <c r="S32" s="32" t="n"/>
      <c r="T32" s="55" t="n"/>
      <c r="U32" s="58">
        <f>'S30'!T32</f>
        <v/>
      </c>
      <c r="V32" s="57">
        <f>T32-U32</f>
        <v/>
      </c>
      <c r="W32" s="57">
        <f>N32-T32</f>
        <v/>
      </c>
      <c r="X32" s="34" t="n"/>
    </row>
    <row r="33" ht="22" customHeight="1">
      <c r="B33" s="5" t="n">
        <v>29</v>
      </c>
      <c r="C33" s="6" t="inlineStr">
        <is>
          <t>Sidi Kacem</t>
        </is>
      </c>
      <c r="D33" s="5" t="inlineStr">
        <is>
          <t>NOUIRAT</t>
        </is>
      </c>
      <c r="E33" s="5" t="inlineStr">
        <is>
          <t>20-11</t>
        </is>
      </c>
      <c r="F33" s="5" t="inlineStr">
        <is>
          <t>Travaux de réhabilitation des équipements</t>
        </is>
      </c>
      <c r="G33" s="5" t="inlineStr">
        <is>
          <t>Travaux de réhabilitation des ouvrages de génie civil</t>
        </is>
      </c>
      <c r="H33" s="5" t="inlineStr">
        <is>
          <t>Réhabilitation de l'ouvrage( genie civil ,gabiollannage,clapet anti retour et buse) de l'ouvrage de débouche SE1</t>
        </is>
      </c>
      <c r="I33" s="7" t="n">
        <v>2500000</v>
      </c>
      <c r="J33" s="8" t="inlineStr">
        <is>
          <t>U</t>
        </is>
      </c>
      <c r="K33" s="9" t="n">
        <v>5</v>
      </c>
      <c r="L33" s="51" t="n"/>
      <c r="M33" s="52">
        <f>'S30'!M33+L33</f>
        <v/>
      </c>
      <c r="N33" s="53">
        <f>IFERROR(M33/K33,0)</f>
        <v/>
      </c>
      <c r="O33" s="54">
        <f>'S30'!N33</f>
        <v/>
      </c>
      <c r="P33" s="53">
        <f>N33-O33</f>
        <v/>
      </c>
      <c r="Q33" s="32" t="n"/>
      <c r="R33" s="32" t="n"/>
      <c r="S33" s="32" t="n"/>
      <c r="T33" s="55" t="n"/>
      <c r="U33" s="54">
        <f>'S30'!T33</f>
        <v/>
      </c>
      <c r="V33" s="53">
        <f>T33-U33</f>
        <v/>
      </c>
      <c r="W33" s="53">
        <f>N33-T33</f>
        <v/>
      </c>
      <c r="X33" s="34" t="n"/>
    </row>
    <row r="34" ht="22" customHeight="1">
      <c r="B34" s="10" t="n">
        <v>30</v>
      </c>
      <c r="C34" s="6" t="inlineStr">
        <is>
          <t>Sidi Kacem</t>
        </is>
      </c>
      <c r="D34" s="10" t="inlineStr">
        <is>
          <t>NOUIRAT</t>
        </is>
      </c>
      <c r="E34" s="10" t="inlineStr">
        <is>
          <t>50-23</t>
        </is>
      </c>
      <c r="F34" s="10" t="inlineStr">
        <is>
          <t>Entretien et réparation du réseau d'assainissement et de drainage</t>
        </is>
      </c>
      <c r="G34" s="10" t="inlineStr">
        <is>
          <t>Curage des prises sur l’oued, bâche d’aspiration et bassin de régulation.</t>
        </is>
      </c>
      <c r="H34" s="10" t="inlineStr">
        <is>
          <t>Curage des prises sur l’oued de la station de pompage E1.
Nettoyage des grilles de préfiltration des boues colmaté de la station de pompage E1.
Curage de la bâche d’aspiration de la station E1.</t>
        </is>
      </c>
      <c r="I34" s="11" t="n">
        <v>800000</v>
      </c>
      <c r="J34" s="12" t="inlineStr">
        <is>
          <t>ml</t>
        </is>
      </c>
      <c r="K34" s="13" t="n">
        <v>267</v>
      </c>
      <c r="L34" s="51" t="n"/>
      <c r="M34" s="56">
        <f>'S30'!M34+L34</f>
        <v/>
      </c>
      <c r="N34" s="57">
        <f>IFERROR(M34/K34,0)</f>
        <v/>
      </c>
      <c r="O34" s="58">
        <f>'S30'!N34</f>
        <v/>
      </c>
      <c r="P34" s="57">
        <f>N34-O34</f>
        <v/>
      </c>
      <c r="Q34" s="32" t="n"/>
      <c r="R34" s="32" t="n"/>
      <c r="S34" s="32" t="n"/>
      <c r="T34" s="55" t="n"/>
      <c r="U34" s="58">
        <f>'S30'!T34</f>
        <v/>
      </c>
      <c r="V34" s="57">
        <f>T34-U34</f>
        <v/>
      </c>
      <c r="W34" s="57">
        <f>N34-T34</f>
        <v/>
      </c>
      <c r="X34" s="34" t="n"/>
    </row>
    <row r="35" ht="22" customHeight="1">
      <c r="B35" s="5" t="n">
        <v>31</v>
      </c>
      <c r="C35" s="6" t="inlineStr">
        <is>
          <t>Sidi Kacem</t>
        </is>
      </c>
      <c r="D35" s="5" t="inlineStr">
        <is>
          <t>NOUIRAT</t>
        </is>
      </c>
      <c r="E35" s="5" t="inlineStr">
        <is>
          <t>50-21</t>
        </is>
      </c>
      <c r="F35" s="5" t="inlineStr">
        <is>
          <t>Entretien et réparation des stations de pompage</t>
        </is>
      </c>
      <c r="G35" s="5" t="inlineStr">
        <is>
          <t>Prestation de maintenance des débitmètres et leurs équipements annexes installés au niveau des station de pompage</t>
        </is>
      </c>
      <c r="H35" s="5" t="inlineStr">
        <is>
          <t>Changement du débitmètre Ø 1200mm inondé de la station de pompage E1.</t>
        </is>
      </c>
      <c r="I35" s="7" t="n">
        <v>195000</v>
      </c>
      <c r="J35" s="8" t="inlineStr">
        <is>
          <t>U</t>
        </is>
      </c>
      <c r="K35" s="9" t="n">
        <v>2</v>
      </c>
      <c r="L35" s="51" t="n"/>
      <c r="M35" s="52">
        <f>'S30'!M35+L35</f>
        <v/>
      </c>
      <c r="N35" s="53">
        <f>IFERROR(M35/K35,0)</f>
        <v/>
      </c>
      <c r="O35" s="54">
        <f>'S30'!N35</f>
        <v/>
      </c>
      <c r="P35" s="53">
        <f>N35-O35</f>
        <v/>
      </c>
      <c r="Q35" s="32" t="n"/>
      <c r="R35" s="32" t="n"/>
      <c r="S35" s="32" t="n"/>
      <c r="T35" s="55" t="n"/>
      <c r="U35" s="54">
        <f>'S30'!T35</f>
        <v/>
      </c>
      <c r="V35" s="53">
        <f>T35-U35</f>
        <v/>
      </c>
      <c r="W35" s="53">
        <f>N35-T35</f>
        <v/>
      </c>
      <c r="X35" s="34" t="n"/>
    </row>
    <row r="36" ht="22" customHeight="1">
      <c r="B36" s="10" t="n">
        <v>32</v>
      </c>
      <c r="C36" s="6" t="inlineStr">
        <is>
          <t>Sidi Kacem</t>
        </is>
      </c>
      <c r="D36" s="10" t="inlineStr">
        <is>
          <t>NOUIRAT</t>
        </is>
      </c>
      <c r="E36" s="10" t="inlineStr">
        <is>
          <t>50-21</t>
        </is>
      </c>
      <c r="F36" s="10" t="inlineStr">
        <is>
          <t>Entretien et réparation des stations de pompage</t>
        </is>
      </c>
      <c r="G36" s="10" t="inlineStr">
        <is>
          <t>Prestations de maintenance des moteurs électriques des stations de pompage.</t>
        </is>
      </c>
      <c r="H36" s="10" t="inlineStr">
        <is>
          <t>Révision des deux moteurs électriques principaux de la station E1.</t>
        </is>
      </c>
      <c r="I36" s="11" t="n">
        <v>50000</v>
      </c>
      <c r="J36" s="12" t="inlineStr">
        <is>
          <t>U</t>
        </is>
      </c>
      <c r="K36" s="13" t="n">
        <v>2</v>
      </c>
      <c r="L36" s="51" t="n"/>
      <c r="M36" s="56">
        <f>'S30'!M36+L36</f>
        <v/>
      </c>
      <c r="N36" s="57">
        <f>IFERROR(M36/K36,0)</f>
        <v/>
      </c>
      <c r="O36" s="58">
        <f>'S30'!N36</f>
        <v/>
      </c>
      <c r="P36" s="57">
        <f>N36-O36</f>
        <v/>
      </c>
      <c r="Q36" s="32" t="n"/>
      <c r="R36" s="32" t="n"/>
      <c r="S36" s="32" t="n"/>
      <c r="T36" s="55" t="n"/>
      <c r="U36" s="58">
        <f>'S30'!T36</f>
        <v/>
      </c>
      <c r="V36" s="57">
        <f>T36-U36</f>
        <v/>
      </c>
      <c r="W36" s="57">
        <f>N36-T36</f>
        <v/>
      </c>
      <c r="X36" s="34" t="n"/>
    </row>
    <row r="37" ht="22" customHeight="1">
      <c r="B37" s="5" t="n">
        <v>33</v>
      </c>
      <c r="C37" s="6" t="inlineStr">
        <is>
          <t>Sidi Kacem</t>
        </is>
      </c>
      <c r="D37" s="5" t="inlineStr">
        <is>
          <t>NOUIRAT</t>
        </is>
      </c>
      <c r="E37" s="5" t="inlineStr">
        <is>
          <t>50-21</t>
        </is>
      </c>
      <c r="F37" s="5" t="inlineStr">
        <is>
          <t>Entretien et réparation des stations de pompage</t>
        </is>
      </c>
      <c r="G37" s="5" t="inlineStr">
        <is>
          <t>Prestations de maintenance et de réparation mécanique des pompes et des groupes motopompes submersibles des stations de pompage.</t>
        </is>
      </c>
      <c r="H37" s="5" t="inlineStr">
        <is>
          <t>Démontage et expertise des cinq pompes principaux et pompes a vide de la station E1.
Changement des roulements, tresses et organes d’effectués de la station E1.</t>
        </is>
      </c>
      <c r="I37" s="7" t="n">
        <v>245000</v>
      </c>
      <c r="J37" s="8" t="inlineStr">
        <is>
          <t>U</t>
        </is>
      </c>
      <c r="K37" s="9" t="n">
        <v>5</v>
      </c>
      <c r="L37" s="51" t="n"/>
      <c r="M37" s="52">
        <f>'S30'!M37+L37</f>
        <v/>
      </c>
      <c r="N37" s="53">
        <f>IFERROR(M37/K37,0)</f>
        <v/>
      </c>
      <c r="O37" s="54">
        <f>'S30'!N37</f>
        <v/>
      </c>
      <c r="P37" s="53">
        <f>N37-O37</f>
        <v/>
      </c>
      <c r="Q37" s="32" t="n"/>
      <c r="R37" s="32" t="n"/>
      <c r="S37" s="32" t="n"/>
      <c r="T37" s="55" t="n"/>
      <c r="U37" s="54">
        <f>'S30'!T37</f>
        <v/>
      </c>
      <c r="V37" s="53">
        <f>T37-U37</f>
        <v/>
      </c>
      <c r="W37" s="53">
        <f>N37-T37</f>
        <v/>
      </c>
      <c r="X37" s="34" t="n"/>
    </row>
    <row r="38" ht="22" customHeight="1">
      <c r="B38" s="10" t="n">
        <v>34</v>
      </c>
      <c r="C38" s="6" t="inlineStr">
        <is>
          <t>Sidi Kacem</t>
        </is>
      </c>
      <c r="D38" s="10" t="inlineStr">
        <is>
          <t>NOUIRAT</t>
        </is>
      </c>
      <c r="E38" s="10" t="inlineStr">
        <is>
          <t>50-21</t>
        </is>
      </c>
      <c r="F38" s="10" t="inlineStr">
        <is>
          <t>Entretien et réparation des stations de pompage</t>
        </is>
      </c>
      <c r="G38" s="10" t="inlineStr">
        <is>
          <t>Génie civile des locaux des stations de pompage.</t>
        </is>
      </c>
      <c r="H38" s="10" t="inlineStr">
        <is>
          <t>Expertise d’état et d’étanchéité des locaux pompes, commande, puissance de la station de pompage E1.
Renforcement d’étanchéité des locaux pompe sous niveau des oueds de la station de pompage E1.</t>
        </is>
      </c>
      <c r="I38" s="11" t="n">
        <v>1000000</v>
      </c>
      <c r="J38" s="12" t="inlineStr">
        <is>
          <t>U</t>
        </is>
      </c>
      <c r="K38" s="13" t="n">
        <v>1</v>
      </c>
      <c r="L38" s="51" t="n"/>
      <c r="M38" s="56">
        <f>'S30'!M38+L38</f>
        <v/>
      </c>
      <c r="N38" s="57">
        <f>IFERROR(M38/K38,0)</f>
        <v/>
      </c>
      <c r="O38" s="58">
        <f>'S30'!N38</f>
        <v/>
      </c>
      <c r="P38" s="57">
        <f>N38-O38</f>
        <v/>
      </c>
      <c r="Q38" s="32" t="n"/>
      <c r="R38" s="32" t="n"/>
      <c r="S38" s="32" t="n"/>
      <c r="T38" s="55" t="n"/>
      <c r="U38" s="58">
        <f>'S30'!T38</f>
        <v/>
      </c>
      <c r="V38" s="57">
        <f>T38-U38</f>
        <v/>
      </c>
      <c r="W38" s="57">
        <f>N38-T38</f>
        <v/>
      </c>
      <c r="X38" s="34" t="n"/>
    </row>
    <row r="39" ht="22" customHeight="1">
      <c r="B39" s="5" t="n">
        <v>35</v>
      </c>
      <c r="C39" s="6" t="inlineStr">
        <is>
          <t>Sidi Kacem</t>
        </is>
      </c>
      <c r="D39" s="5" t="inlineStr">
        <is>
          <t>RMILAT</t>
        </is>
      </c>
      <c r="E39" s="5" t="inlineStr">
        <is>
          <t>50-23</t>
        </is>
      </c>
      <c r="F39" s="5" t="inlineStr">
        <is>
          <t>Entretien et réparation du réseau d'assainissement et de drainage</t>
        </is>
      </c>
      <c r="G39" s="5" t="inlineStr">
        <is>
          <t>Travaux de curage des canaux en terre</t>
        </is>
      </c>
      <c r="H39" s="5" t="inlineStr">
        <is>
          <t>Curage des collecteurs d'assainissement des secteurs P7</t>
        </is>
      </c>
      <c r="I39" s="7" t="n">
        <v>5024032</v>
      </c>
      <c r="J39" s="8" t="inlineStr">
        <is>
          <t>ml</t>
        </is>
      </c>
      <c r="K39" s="9" t="n">
        <v>2512</v>
      </c>
      <c r="L39" s="51" t="n"/>
      <c r="M39" s="52">
        <f>'S30'!M39+L39</f>
        <v/>
      </c>
      <c r="N39" s="53">
        <f>IFERROR(M39/K39,0)</f>
        <v/>
      </c>
      <c r="O39" s="54">
        <f>'S30'!N39</f>
        <v/>
      </c>
      <c r="P39" s="53">
        <f>N39-O39</f>
        <v/>
      </c>
      <c r="Q39" s="32" t="n"/>
      <c r="R39" s="32" t="n"/>
      <c r="S39" s="32" t="n"/>
      <c r="T39" s="55" t="n"/>
      <c r="U39" s="54">
        <f>'S30'!T39</f>
        <v/>
      </c>
      <c r="V39" s="53">
        <f>T39-U39</f>
        <v/>
      </c>
      <c r="W39" s="53">
        <f>N39-T39</f>
        <v/>
      </c>
      <c r="X39" s="34" t="n"/>
    </row>
    <row r="40" ht="22" customHeight="1">
      <c r="B40" s="10" t="n">
        <v>36</v>
      </c>
      <c r="C40" s="6" t="inlineStr">
        <is>
          <t>Sidi Kacem</t>
        </is>
      </c>
      <c r="D40" s="10" t="inlineStr">
        <is>
          <t>RMILAT</t>
        </is>
      </c>
      <c r="E40" s="10" t="inlineStr">
        <is>
          <t>40-21</t>
        </is>
      </c>
      <c r="F40" s="10" t="inlineStr">
        <is>
          <t>Travaux de pistes</t>
        </is>
      </c>
      <c r="G40" s="10" t="inlineStr">
        <is>
          <t>Entretien des pistes agricoles</t>
        </is>
      </c>
      <c r="H40" s="10" t="inlineStr">
        <is>
          <t>Entretien des pistes agricoles</t>
        </is>
      </c>
      <c r="I40" s="11" t="n">
        <v>400000</v>
      </c>
      <c r="J40" s="12" t="inlineStr">
        <is>
          <t>km</t>
        </is>
      </c>
      <c r="K40" s="13" t="n">
        <v>1</v>
      </c>
      <c r="L40" s="51" t="n"/>
      <c r="M40" s="56">
        <f>'S30'!M40+L40</f>
        <v/>
      </c>
      <c r="N40" s="57">
        <f>IFERROR(M40/K40,0)</f>
        <v/>
      </c>
      <c r="O40" s="58">
        <f>'S30'!N40</f>
        <v/>
      </c>
      <c r="P40" s="57">
        <f>N40-O40</f>
        <v/>
      </c>
      <c r="Q40" s="32" t="n"/>
      <c r="R40" s="32" t="n"/>
      <c r="S40" s="32" t="n"/>
      <c r="T40" s="55" t="n"/>
      <c r="U40" s="58">
        <f>'S30'!T40</f>
        <v/>
      </c>
      <c r="V40" s="57">
        <f>T40-U40</f>
        <v/>
      </c>
      <c r="W40" s="57">
        <f>N40-T40</f>
        <v/>
      </c>
      <c r="X40" s="34" t="n"/>
    </row>
    <row r="41" ht="22" customHeight="1">
      <c r="B41" s="5" t="n">
        <v>37</v>
      </c>
      <c r="C41" s="6" t="inlineStr">
        <is>
          <t>Sidi Kacem</t>
        </is>
      </c>
      <c r="D41" s="5" t="inlineStr">
        <is>
          <t>SAFSAF</t>
        </is>
      </c>
      <c r="E41" s="5" t="inlineStr">
        <is>
          <t>50-23</t>
        </is>
      </c>
      <c r="F41" s="5" t="inlineStr">
        <is>
          <t>Entretien et réparation du réseau d'assainissement et de drainage</t>
        </is>
      </c>
      <c r="G41" s="5" t="inlineStr">
        <is>
          <t>Travaux de curage des canaux en terre</t>
        </is>
      </c>
      <c r="H41" s="5" t="inlineStr">
        <is>
          <t>Curage des collecteurs d'assainissement des secteurs S7, S9 et S11</t>
        </is>
      </c>
      <c r="I41" s="7" t="n">
        <v>6000000</v>
      </c>
      <c r="J41" s="8" t="inlineStr">
        <is>
          <t>ml</t>
        </is>
      </c>
      <c r="K41" s="9" t="n">
        <v>3000</v>
      </c>
      <c r="L41" s="51" t="n"/>
      <c r="M41" s="52">
        <f>'S30'!M41+L41</f>
        <v/>
      </c>
      <c r="N41" s="53">
        <f>IFERROR(M41/K41,0)</f>
        <v/>
      </c>
      <c r="O41" s="54">
        <f>'S30'!N41</f>
        <v/>
      </c>
      <c r="P41" s="53">
        <f>N41-O41</f>
        <v/>
      </c>
      <c r="Q41" s="32" t="n"/>
      <c r="R41" s="32" t="n"/>
      <c r="S41" s="32" t="n"/>
      <c r="T41" s="55" t="n"/>
      <c r="U41" s="54">
        <f>'S30'!T41</f>
        <v/>
      </c>
      <c r="V41" s="53">
        <f>T41-U41</f>
        <v/>
      </c>
      <c r="W41" s="53">
        <f>N41-T41</f>
        <v/>
      </c>
      <c r="X41" s="34" t="n"/>
    </row>
    <row r="42" ht="22" customHeight="1">
      <c r="B42" s="10" t="n">
        <v>38</v>
      </c>
      <c r="C42" s="6" t="inlineStr">
        <is>
          <t>Sidi Kacem</t>
        </is>
      </c>
      <c r="D42" s="10" t="inlineStr">
        <is>
          <t>SAFSAF</t>
        </is>
      </c>
      <c r="E42" s="10" t="inlineStr">
        <is>
          <t>20-11</t>
        </is>
      </c>
      <c r="F42" s="10" t="inlineStr">
        <is>
          <t>Travaux de réhabilitation des équipements</t>
        </is>
      </c>
      <c r="G42" s="10" t="inlineStr">
        <is>
          <t>Travaux de réhabilitation des canaux portés d'irrigation</t>
        </is>
      </c>
      <c r="H42" s="10" t="inlineStr">
        <is>
          <t>Fourniture et  pose de canaux porté et accessoires du réseau S4 du secteur S11</t>
        </is>
      </c>
      <c r="I42" s="11" t="n">
        <v>232266</v>
      </c>
      <c r="J42" s="12" t="inlineStr">
        <is>
          <t>ml</t>
        </is>
      </c>
      <c r="K42" s="13" t="n">
        <v>77</v>
      </c>
      <c r="L42" s="51" t="n"/>
      <c r="M42" s="56">
        <f>'S30'!M42+L42</f>
        <v/>
      </c>
      <c r="N42" s="57">
        <f>IFERROR(M42/K42,0)</f>
        <v/>
      </c>
      <c r="O42" s="58">
        <f>'S30'!N42</f>
        <v/>
      </c>
      <c r="P42" s="57">
        <f>N42-O42</f>
        <v/>
      </c>
      <c r="Q42" s="32" t="n"/>
      <c r="R42" s="32" t="n"/>
      <c r="S42" s="32" t="n"/>
      <c r="T42" s="55" t="n"/>
      <c r="U42" s="58">
        <f>'S30'!T42</f>
        <v/>
      </c>
      <c r="V42" s="57">
        <f>T42-U42</f>
        <v/>
      </c>
      <c r="W42" s="57">
        <f>N42-T42</f>
        <v/>
      </c>
      <c r="X42" s="34" t="n"/>
    </row>
    <row r="43" ht="22" customHeight="1">
      <c r="B43" s="5" t="n">
        <v>39</v>
      </c>
      <c r="C43" s="6" t="inlineStr">
        <is>
          <t>Sidi Kacem</t>
        </is>
      </c>
      <c r="D43" s="5" t="inlineStr">
        <is>
          <t>SAFSAF</t>
        </is>
      </c>
      <c r="E43" s="5" t="inlineStr">
        <is>
          <t>20-11</t>
        </is>
      </c>
      <c r="F43" s="5" t="inlineStr">
        <is>
          <t>Travaux de réhabilitation des équipements</t>
        </is>
      </c>
      <c r="G43" s="5" t="inlineStr"/>
      <c r="H43" s="5" t="inlineStr">
        <is>
          <t>Recalage des canaux portés du réseau T5S5 du secteur S9</t>
        </is>
      </c>
      <c r="I43" s="7" t="n">
        <v>1055025</v>
      </c>
      <c r="J43" s="8" t="inlineStr">
        <is>
          <t>ml</t>
        </is>
      </c>
      <c r="K43" s="9" t="n">
        <v>352</v>
      </c>
      <c r="L43" s="51" t="n"/>
      <c r="M43" s="52">
        <f>'S30'!M43+L43</f>
        <v/>
      </c>
      <c r="N43" s="53">
        <f>IFERROR(M43/K43,0)</f>
        <v/>
      </c>
      <c r="O43" s="54">
        <f>'S30'!N43</f>
        <v/>
      </c>
      <c r="P43" s="53">
        <f>N43-O43</f>
        <v/>
      </c>
      <c r="Q43" s="32" t="n"/>
      <c r="R43" s="32" t="n"/>
      <c r="S43" s="32" t="n"/>
      <c r="T43" s="55" t="n"/>
      <c r="U43" s="54">
        <f>'S30'!T43</f>
        <v/>
      </c>
      <c r="V43" s="53">
        <f>T43-U43</f>
        <v/>
      </c>
      <c r="W43" s="53">
        <f>N43-T43</f>
        <v/>
      </c>
      <c r="X43" s="34" t="n"/>
    </row>
    <row r="44" ht="22" customHeight="1">
      <c r="B44" s="10" t="n">
        <v>40</v>
      </c>
      <c r="C44" s="6" t="inlineStr">
        <is>
          <t>Sidi Kacem</t>
        </is>
      </c>
      <c r="D44" s="10" t="inlineStr">
        <is>
          <t>SAFSAF</t>
        </is>
      </c>
      <c r="E44" s="10" t="inlineStr">
        <is>
          <t>20-11</t>
        </is>
      </c>
      <c r="F44" s="10" t="inlineStr">
        <is>
          <t>Travaux de réhabilitation des équipements</t>
        </is>
      </c>
      <c r="G44" s="10" t="inlineStr"/>
      <c r="H44" s="10" t="inlineStr">
        <is>
          <t>Recalage des canaux portés du réseau T7S5 du secteur S9</t>
        </is>
      </c>
      <c r="I44" s="11" t="n">
        <v>1004535</v>
      </c>
      <c r="J44" s="12" t="inlineStr">
        <is>
          <t>ml</t>
        </is>
      </c>
      <c r="K44" s="13" t="n">
        <v>335</v>
      </c>
      <c r="L44" s="51" t="n"/>
      <c r="M44" s="56">
        <f>'S30'!M44+L44</f>
        <v/>
      </c>
      <c r="N44" s="57">
        <f>IFERROR(M44/K44,0)</f>
        <v/>
      </c>
      <c r="O44" s="58">
        <f>'S30'!N44</f>
        <v/>
      </c>
      <c r="P44" s="57">
        <f>N44-O44</f>
        <v/>
      </c>
      <c r="Q44" s="32" t="n"/>
      <c r="R44" s="32" t="n"/>
      <c r="S44" s="32" t="n"/>
      <c r="T44" s="55" t="n"/>
      <c r="U44" s="58">
        <f>'S30'!T44</f>
        <v/>
      </c>
      <c r="V44" s="57">
        <f>T44-U44</f>
        <v/>
      </c>
      <c r="W44" s="57">
        <f>N44-T44</f>
        <v/>
      </c>
      <c r="X44" s="34" t="n"/>
    </row>
    <row r="45" ht="22" customHeight="1">
      <c r="B45" s="5" t="n">
        <v>41</v>
      </c>
      <c r="C45" s="6" t="inlineStr">
        <is>
          <t>Sidi Kacem</t>
        </is>
      </c>
      <c r="D45" s="5" t="inlineStr">
        <is>
          <t>SAFSAF</t>
        </is>
      </c>
      <c r="E45" s="5" t="inlineStr">
        <is>
          <t>20-11</t>
        </is>
      </c>
      <c r="F45" s="5" t="inlineStr">
        <is>
          <t>Travaux de réhabilitation des équipements</t>
        </is>
      </c>
      <c r="G45" s="5" t="inlineStr"/>
      <c r="H45" s="5" t="inlineStr">
        <is>
          <t>Recalage des canaux portés du réseau T2S5 du secteur S9</t>
        </is>
      </c>
      <c r="I45" s="7" t="n">
        <v>793830</v>
      </c>
      <c r="J45" s="8" t="inlineStr">
        <is>
          <t>ml</t>
        </is>
      </c>
      <c r="K45" s="9" t="n">
        <v>265</v>
      </c>
      <c r="L45" s="51" t="n"/>
      <c r="M45" s="52">
        <f>'S30'!M45+L45</f>
        <v/>
      </c>
      <c r="N45" s="53">
        <f>IFERROR(M45/K45,0)</f>
        <v/>
      </c>
      <c r="O45" s="54">
        <f>'S30'!N45</f>
        <v/>
      </c>
      <c r="P45" s="53">
        <f>N45-O45</f>
        <v/>
      </c>
      <c r="Q45" s="32" t="n"/>
      <c r="R45" s="32" t="n"/>
      <c r="S45" s="32" t="n"/>
      <c r="T45" s="55" t="n"/>
      <c r="U45" s="54">
        <f>'S30'!T45</f>
        <v/>
      </c>
      <c r="V45" s="53">
        <f>T45-U45</f>
        <v/>
      </c>
      <c r="W45" s="53">
        <f>N45-T45</f>
        <v/>
      </c>
      <c r="X45" s="34" t="n"/>
    </row>
    <row r="46" ht="22" customHeight="1">
      <c r="B46" s="10" t="n">
        <v>42</v>
      </c>
      <c r="C46" s="6" t="inlineStr">
        <is>
          <t>Sidi Kacem</t>
        </is>
      </c>
      <c r="D46" s="10" t="inlineStr">
        <is>
          <t>SAFSAF</t>
        </is>
      </c>
      <c r="E46" s="10" t="inlineStr">
        <is>
          <t>40-21</t>
        </is>
      </c>
      <c r="F46" s="10" t="inlineStr">
        <is>
          <t>Travaux de pistes</t>
        </is>
      </c>
      <c r="G46" s="10" t="inlineStr">
        <is>
          <t>Entretien des pistes agricoles</t>
        </is>
      </c>
      <c r="H46" s="10" t="inlineStr">
        <is>
          <t>Entretien des pistes agricoles</t>
        </is>
      </c>
      <c r="I46" s="11" t="n">
        <v>2000000</v>
      </c>
      <c r="J46" s="12" t="inlineStr">
        <is>
          <t>km</t>
        </is>
      </c>
      <c r="K46" s="13" t="n">
        <v>4</v>
      </c>
      <c r="L46" s="51" t="n"/>
      <c r="M46" s="56">
        <f>'S30'!M46+L46</f>
        <v/>
      </c>
      <c r="N46" s="57">
        <f>IFERROR(M46/K46,0)</f>
        <v/>
      </c>
      <c r="O46" s="58">
        <f>'S30'!N46</f>
        <v/>
      </c>
      <c r="P46" s="57">
        <f>N46-O46</f>
        <v/>
      </c>
      <c r="Q46" s="32" t="n"/>
      <c r="R46" s="32" t="n"/>
      <c r="S46" s="32" t="n"/>
      <c r="T46" s="55" t="n"/>
      <c r="U46" s="58">
        <f>'S30'!T46</f>
        <v/>
      </c>
      <c r="V46" s="57">
        <f>T46-U46</f>
        <v/>
      </c>
      <c r="W46" s="57">
        <f>N46-T46</f>
        <v/>
      </c>
      <c r="X46" s="34" t="n"/>
    </row>
    <row r="47" ht="22" customHeight="1">
      <c r="B47" s="5" t="n">
        <v>43</v>
      </c>
      <c r="C47" s="6" t="inlineStr">
        <is>
          <t>Sidi Kacem</t>
        </is>
      </c>
      <c r="D47" s="5" t="inlineStr">
        <is>
          <t>SAFSAF</t>
        </is>
      </c>
      <c r="E47" s="5" t="inlineStr">
        <is>
          <t>50-23</t>
        </is>
      </c>
      <c r="F47" s="5" t="inlineStr">
        <is>
          <t>Entretien et réparation du réseau d'assainissement et de drainage</t>
        </is>
      </c>
      <c r="G47" s="5" t="inlineStr">
        <is>
          <t>Curage des prises sur l’oued, bâche d’aspiration et bassin de régulation.</t>
        </is>
      </c>
      <c r="H47" s="5" t="inlineStr">
        <is>
          <t>Curage des prises sur l’oued des stations de pompage S11, S9, 7D et 7B.
Nettoyage des grilles de préfiltration des boues colmaté des stations de pompage S11, S9, 7D et 7B.
Nettoyage des crépines des boues colmaté de station pompage 7D.
Curage des dalots et bâche d’aspiration des stations de pompage S11, S9, 7B.</t>
        </is>
      </c>
      <c r="I47" s="7" t="n">
        <v>200000</v>
      </c>
      <c r="J47" s="8" t="inlineStr">
        <is>
          <t>ml</t>
        </is>
      </c>
      <c r="K47" s="9" t="n">
        <v>67</v>
      </c>
      <c r="L47" s="51" t="n"/>
      <c r="M47" s="52">
        <f>'S30'!M47+L47</f>
        <v/>
      </c>
      <c r="N47" s="53">
        <f>IFERROR(M47/K47,0)</f>
        <v/>
      </c>
      <c r="O47" s="54">
        <f>'S30'!N47</f>
        <v/>
      </c>
      <c r="P47" s="53">
        <f>N47-O47</f>
        <v/>
      </c>
      <c r="Q47" s="32" t="n"/>
      <c r="R47" s="32" t="n"/>
      <c r="S47" s="32" t="n"/>
      <c r="T47" s="55" t="n"/>
      <c r="U47" s="54">
        <f>'S30'!T47</f>
        <v/>
      </c>
      <c r="V47" s="53">
        <f>T47-U47</f>
        <v/>
      </c>
      <c r="W47" s="53">
        <f>N47-T47</f>
        <v/>
      </c>
      <c r="X47" s="34" t="n"/>
    </row>
    <row r="48" ht="22" customHeight="1">
      <c r="B48" s="10" t="n">
        <v>44</v>
      </c>
      <c r="C48" s="6" t="inlineStr">
        <is>
          <t>Sidi Kacem</t>
        </is>
      </c>
      <c r="D48" s="10" t="inlineStr">
        <is>
          <t>SAFSAF</t>
        </is>
      </c>
      <c r="E48" s="10" t="inlineStr">
        <is>
          <t>50-21</t>
        </is>
      </c>
      <c r="F48" s="10" t="inlineStr">
        <is>
          <t>Entretien et réparation des stations de pompage</t>
        </is>
      </c>
      <c r="G48" s="10" t="inlineStr">
        <is>
          <t>Prestation de maintenance des débitmètres et leurs équipements annexes installés au niveau des station de pompage</t>
        </is>
      </c>
      <c r="H48" s="10" t="inlineStr">
        <is>
          <t>Changements Sept des débitmètres Ø 600mm inondé des deux stations de pompage S11 et S9.</t>
        </is>
      </c>
      <c r="I48" s="11" t="n">
        <v>580000</v>
      </c>
      <c r="J48" s="12" t="inlineStr">
        <is>
          <t>U</t>
        </is>
      </c>
      <c r="K48" s="13" t="n">
        <v>7</v>
      </c>
      <c r="L48" s="51" t="n"/>
      <c r="M48" s="56">
        <f>'S30'!M48+L48</f>
        <v/>
      </c>
      <c r="N48" s="57">
        <f>IFERROR(M48/K48,0)</f>
        <v/>
      </c>
      <c r="O48" s="58">
        <f>'S30'!N48</f>
        <v/>
      </c>
      <c r="P48" s="57">
        <f>N48-O48</f>
        <v/>
      </c>
      <c r="Q48" s="32" t="n"/>
      <c r="R48" s="32" t="n"/>
      <c r="S48" s="32" t="n"/>
      <c r="T48" s="55" t="n"/>
      <c r="U48" s="58">
        <f>'S30'!T48</f>
        <v/>
      </c>
      <c r="V48" s="57">
        <f>T48-U48</f>
        <v/>
      </c>
      <c r="W48" s="57">
        <f>N48-T48</f>
        <v/>
      </c>
      <c r="X48" s="34" t="n"/>
    </row>
    <row r="49" ht="22" customHeight="1">
      <c r="B49" s="5" t="n">
        <v>45</v>
      </c>
      <c r="C49" s="6" t="inlineStr">
        <is>
          <t>Sidi Kacem</t>
        </is>
      </c>
      <c r="D49" s="5" t="inlineStr">
        <is>
          <t>SAFSAF</t>
        </is>
      </c>
      <c r="E49" s="5" t="inlineStr">
        <is>
          <t>50-21</t>
        </is>
      </c>
      <c r="F49" s="5" t="inlineStr">
        <is>
          <t>Entretien et réparation des stations de pompage</t>
        </is>
      </c>
      <c r="G49" s="5" t="inlineStr">
        <is>
          <t>Stabilisation Berge oued</t>
        </is>
      </c>
      <c r="H49" s="5" t="inlineStr">
        <is>
          <t>Pose de murs en gabions et recouvrement du talus par matelas Reno des stations de pompage S11, S9, 7D et 7B .</t>
        </is>
      </c>
      <c r="I49" s="7" t="n">
        <v>4000000</v>
      </c>
      <c r="J49" s="8" t="inlineStr">
        <is>
          <t>m³</t>
        </is>
      </c>
      <c r="K49" s="9" t="n">
        <v>2667</v>
      </c>
      <c r="L49" s="51" t="n"/>
      <c r="M49" s="52">
        <f>'S30'!M49+L49</f>
        <v/>
      </c>
      <c r="N49" s="53">
        <f>IFERROR(M49/K49,0)</f>
        <v/>
      </c>
      <c r="O49" s="54">
        <f>'S30'!N49</f>
        <v/>
      </c>
      <c r="P49" s="53">
        <f>N49-O49</f>
        <v/>
      </c>
      <c r="Q49" s="32" t="n"/>
      <c r="R49" s="32" t="n"/>
      <c r="S49" s="32" t="n"/>
      <c r="T49" s="55" t="n"/>
      <c r="U49" s="54">
        <f>'S30'!T49</f>
        <v/>
      </c>
      <c r="V49" s="53">
        <f>T49-U49</f>
        <v/>
      </c>
      <c r="W49" s="53">
        <f>N49-T49</f>
        <v/>
      </c>
      <c r="X49" s="34" t="n"/>
    </row>
    <row r="50" ht="22" customHeight="1">
      <c r="B50" s="10" t="n">
        <v>46</v>
      </c>
      <c r="C50" s="6" t="inlineStr">
        <is>
          <t>Sidi Kacem</t>
        </is>
      </c>
      <c r="D50" s="10" t="inlineStr">
        <is>
          <t>SIDI AZZOUZ</t>
        </is>
      </c>
      <c r="E50" s="10" t="inlineStr">
        <is>
          <t>40-21</t>
        </is>
      </c>
      <c r="F50" s="10" t="inlineStr">
        <is>
          <t>Travaux de pistes</t>
        </is>
      </c>
      <c r="G50" s="10" t="inlineStr">
        <is>
          <t>Entretien des pistes agricoles</t>
        </is>
      </c>
      <c r="H50" s="10" t="inlineStr">
        <is>
          <t>Entretien des pistes agricoles</t>
        </is>
      </c>
      <c r="I50" s="11" t="n">
        <v>655000</v>
      </c>
      <c r="J50" s="12" t="inlineStr">
        <is>
          <t>km</t>
        </is>
      </c>
      <c r="K50" s="13" t="n">
        <v>1</v>
      </c>
      <c r="L50" s="51" t="n"/>
      <c r="M50" s="56">
        <f>'S30'!M50+L50</f>
        <v/>
      </c>
      <c r="N50" s="57">
        <f>IFERROR(M50/K50,0)</f>
        <v/>
      </c>
      <c r="O50" s="58">
        <f>'S30'!N50</f>
        <v/>
      </c>
      <c r="P50" s="57">
        <f>N50-O50</f>
        <v/>
      </c>
      <c r="Q50" s="32" t="n"/>
      <c r="R50" s="32" t="n"/>
      <c r="S50" s="32" t="n"/>
      <c r="T50" s="55" t="n"/>
      <c r="U50" s="58">
        <f>'S30'!T50</f>
        <v/>
      </c>
      <c r="V50" s="57">
        <f>T50-U50</f>
        <v/>
      </c>
      <c r="W50" s="57">
        <f>N50-T50</f>
        <v/>
      </c>
      <c r="X50" s="34" t="n"/>
    </row>
    <row r="51" ht="22" customHeight="1">
      <c r="B51" s="5" t="n">
        <v>47</v>
      </c>
      <c r="C51" s="6" t="inlineStr">
        <is>
          <t>Sidi Kacem</t>
        </is>
      </c>
      <c r="D51" s="5" t="inlineStr">
        <is>
          <t>SIDI EL KAMEL</t>
        </is>
      </c>
      <c r="E51" s="5" t="inlineStr">
        <is>
          <t>20-11</t>
        </is>
      </c>
      <c r="F51" s="5" t="inlineStr">
        <is>
          <t>Travaux de réhabilitation des équipements</t>
        </is>
      </c>
      <c r="G51" s="5" t="inlineStr">
        <is>
          <t>Travaux de réhabilitation des canaux portés d'irrigation</t>
        </is>
      </c>
      <c r="H51" s="5" t="inlineStr">
        <is>
          <t>Fourniture et de pose de canaux porté et accessoires du réseau SR4 du secteur S3R</t>
        </is>
      </c>
      <c r="I51" s="7" t="n">
        <v>5182920</v>
      </c>
      <c r="J51" s="8" t="inlineStr">
        <is>
          <t>ml</t>
        </is>
      </c>
      <c r="K51" s="9" t="n">
        <v>1728</v>
      </c>
      <c r="L51" s="51" t="n"/>
      <c r="M51" s="52">
        <f>'S30'!M51+L51</f>
        <v/>
      </c>
      <c r="N51" s="53">
        <f>IFERROR(M51/K51,0)</f>
        <v/>
      </c>
      <c r="O51" s="54">
        <f>'S30'!N51</f>
        <v/>
      </c>
      <c r="P51" s="53">
        <f>N51-O51</f>
        <v/>
      </c>
      <c r="Q51" s="32" t="n"/>
      <c r="R51" s="32" t="n"/>
      <c r="S51" s="32" t="n"/>
      <c r="T51" s="55" t="n"/>
      <c r="U51" s="54">
        <f>'S30'!T51</f>
        <v/>
      </c>
      <c r="V51" s="53">
        <f>T51-U51</f>
        <v/>
      </c>
      <c r="W51" s="53">
        <f>N51-T51</f>
        <v/>
      </c>
      <c r="X51" s="34" t="n"/>
    </row>
    <row r="52" ht="22" customHeight="1">
      <c r="B52" s="10" t="n">
        <v>48</v>
      </c>
      <c r="C52" s="6" t="inlineStr">
        <is>
          <t>Sidi Kacem</t>
        </is>
      </c>
      <c r="D52" s="10" t="inlineStr">
        <is>
          <t>SIDI EL KAMEL</t>
        </is>
      </c>
      <c r="E52" s="10" t="inlineStr">
        <is>
          <t>20-11</t>
        </is>
      </c>
      <c r="F52" s="10" t="inlineStr">
        <is>
          <t>Travaux de réhabilitation des équipements</t>
        </is>
      </c>
      <c r="G52" s="10" t="inlineStr"/>
      <c r="H52" s="10" t="inlineStr">
        <is>
          <t>Fourniture et de pose de canaux porté et accessoires du réseau SR6 du secteur S1RIZ</t>
        </is>
      </c>
      <c r="I52" s="11" t="n">
        <v>152818</v>
      </c>
      <c r="J52" s="12" t="inlineStr">
        <is>
          <t>ml</t>
        </is>
      </c>
      <c r="K52" s="13" t="n">
        <v>51</v>
      </c>
      <c r="L52" s="51" t="n"/>
      <c r="M52" s="56">
        <f>'S30'!M52+L52</f>
        <v/>
      </c>
      <c r="N52" s="57">
        <f>IFERROR(M52/K52,0)</f>
        <v/>
      </c>
      <c r="O52" s="58">
        <f>'S30'!N52</f>
        <v/>
      </c>
      <c r="P52" s="57">
        <f>N52-O52</f>
        <v/>
      </c>
      <c r="Q52" s="32" t="n"/>
      <c r="R52" s="32" t="n"/>
      <c r="S52" s="32" t="n"/>
      <c r="T52" s="55" t="n"/>
      <c r="U52" s="58">
        <f>'S30'!T52</f>
        <v/>
      </c>
      <c r="V52" s="57">
        <f>T52-U52</f>
        <v/>
      </c>
      <c r="W52" s="57">
        <f>N52-T52</f>
        <v/>
      </c>
      <c r="X52" s="34" t="n"/>
    </row>
    <row r="53" ht="22" customHeight="1">
      <c r="B53" s="5" t="n">
        <v>49</v>
      </c>
      <c r="C53" s="6" t="inlineStr">
        <is>
          <t>Sidi Kacem</t>
        </is>
      </c>
      <c r="D53" s="5" t="inlineStr">
        <is>
          <t>SIDI EL KAMEL</t>
        </is>
      </c>
      <c r="E53" s="5" t="inlineStr">
        <is>
          <t>20-11</t>
        </is>
      </c>
      <c r="F53" s="5" t="inlineStr">
        <is>
          <t>Travaux de réhabilitation des équipements</t>
        </is>
      </c>
      <c r="G53" s="5" t="inlineStr"/>
      <c r="H53" s="5" t="inlineStr">
        <is>
          <t>Recalage des canaux portés du réseau SR4 du secteur S3R</t>
        </is>
      </c>
      <c r="I53" s="7" t="n">
        <v>1418000</v>
      </c>
      <c r="J53" s="8" t="inlineStr">
        <is>
          <t>ml</t>
        </is>
      </c>
      <c r="K53" s="9" t="n">
        <v>473</v>
      </c>
      <c r="L53" s="51" t="n"/>
      <c r="M53" s="52">
        <f>'S30'!M53+L53</f>
        <v/>
      </c>
      <c r="N53" s="53">
        <f>IFERROR(M53/K53,0)</f>
        <v/>
      </c>
      <c r="O53" s="54">
        <f>'S30'!N53</f>
        <v/>
      </c>
      <c r="P53" s="53">
        <f>N53-O53</f>
        <v/>
      </c>
      <c r="Q53" s="32" t="n"/>
      <c r="R53" s="32" t="n"/>
      <c r="S53" s="32" t="n"/>
      <c r="T53" s="55" t="n"/>
      <c r="U53" s="54">
        <f>'S30'!T53</f>
        <v/>
      </c>
      <c r="V53" s="53">
        <f>T53-U53</f>
        <v/>
      </c>
      <c r="W53" s="53">
        <f>N53-T53</f>
        <v/>
      </c>
      <c r="X53" s="34" t="n"/>
    </row>
    <row r="54" ht="22" customHeight="1">
      <c r="B54" s="10" t="n">
        <v>50</v>
      </c>
      <c r="C54" s="6" t="inlineStr">
        <is>
          <t>Sidi Kacem</t>
        </is>
      </c>
      <c r="D54" s="10" t="inlineStr">
        <is>
          <t>SIDI EL KAMEL</t>
        </is>
      </c>
      <c r="E54" s="10" t="inlineStr">
        <is>
          <t>20-11</t>
        </is>
      </c>
      <c r="F54" s="10" t="inlineStr">
        <is>
          <t>Travaux de réhabilitation des équipements</t>
        </is>
      </c>
      <c r="G54" s="10" t="inlineStr">
        <is>
          <t>Travaux de réhabilitation des ouvrages de génie civil</t>
        </is>
      </c>
      <c r="H54" s="10" t="inlineStr">
        <is>
          <t>Réhabilitation des murs de soutènements des ouvrages de franchissements du canal d'assainissement CS3 secteur S3 et de l’ouvrage de franchissement du canal primaire d’irrigation du secteur S1R au niveau de la route provinciale P4234</t>
        </is>
      </c>
      <c r="I54" s="11" t="n">
        <v>800000</v>
      </c>
      <c r="J54" s="12" t="inlineStr">
        <is>
          <t>ml</t>
        </is>
      </c>
      <c r="K54" s="13" t="n">
        <v>400</v>
      </c>
      <c r="L54" s="51" t="n"/>
      <c r="M54" s="56">
        <f>'S30'!M54+L54</f>
        <v/>
      </c>
      <c r="N54" s="57">
        <f>IFERROR(M54/K54,0)</f>
        <v/>
      </c>
      <c r="O54" s="58">
        <f>'S30'!N54</f>
        <v/>
      </c>
      <c r="P54" s="57">
        <f>N54-O54</f>
        <v/>
      </c>
      <c r="Q54" s="32" t="n"/>
      <c r="R54" s="32" t="n"/>
      <c r="S54" s="32" t="n"/>
      <c r="T54" s="55" t="n"/>
      <c r="U54" s="58">
        <f>'S30'!T54</f>
        <v/>
      </c>
      <c r="V54" s="57">
        <f>T54-U54</f>
        <v/>
      </c>
      <c r="W54" s="57">
        <f>N54-T54</f>
        <v/>
      </c>
      <c r="X54" s="34" t="n"/>
    </row>
    <row r="55" ht="22" customHeight="1">
      <c r="B55" s="5" t="n">
        <v>51</v>
      </c>
      <c r="C55" s="6" t="inlineStr">
        <is>
          <t>Sidi Kacem</t>
        </is>
      </c>
      <c r="D55" s="5" t="inlineStr">
        <is>
          <t>SIDI EL KAMEL</t>
        </is>
      </c>
      <c r="E55" s="5" t="inlineStr">
        <is>
          <t>40-21</t>
        </is>
      </c>
      <c r="F55" s="5" t="inlineStr">
        <is>
          <t>Travaux de pistes</t>
        </is>
      </c>
      <c r="G55" s="5" t="inlineStr">
        <is>
          <t>Entretien des pistes agricoles</t>
        </is>
      </c>
      <c r="H55" s="5" t="inlineStr">
        <is>
          <t>Entretien des pistes agricoles</t>
        </is>
      </c>
      <c r="I55" s="7" t="n">
        <v>3700000</v>
      </c>
      <c r="J55" s="8" t="inlineStr">
        <is>
          <t>km</t>
        </is>
      </c>
      <c r="K55" s="9" t="n">
        <v>7</v>
      </c>
      <c r="L55" s="51" t="n"/>
      <c r="M55" s="52">
        <f>'S30'!M55+L55</f>
        <v/>
      </c>
      <c r="N55" s="53">
        <f>IFERROR(M55/K55,0)</f>
        <v/>
      </c>
      <c r="O55" s="54">
        <f>'S30'!N55</f>
        <v/>
      </c>
      <c r="P55" s="53">
        <f>N55-O55</f>
        <v/>
      </c>
      <c r="Q55" s="32" t="n"/>
      <c r="R55" s="32" t="n"/>
      <c r="S55" s="32" t="n"/>
      <c r="T55" s="55" t="n"/>
      <c r="U55" s="54">
        <f>'S30'!T55</f>
        <v/>
      </c>
      <c r="V55" s="53">
        <f>T55-U55</f>
        <v/>
      </c>
      <c r="W55" s="53">
        <f>N55-T55</f>
        <v/>
      </c>
      <c r="X55" s="34" t="n"/>
    </row>
    <row r="56" ht="22" customHeight="1">
      <c r="B56" s="10" t="n">
        <v>52</v>
      </c>
      <c r="C56" s="6" t="inlineStr">
        <is>
          <t>Sidi Kacem</t>
        </is>
      </c>
      <c r="D56" s="10" t="inlineStr">
        <is>
          <t>SIDI EL KAMEL</t>
        </is>
      </c>
      <c r="E56" s="10" t="inlineStr">
        <is>
          <t>50-21</t>
        </is>
      </c>
      <c r="F56" s="10" t="inlineStr">
        <is>
          <t>Entretien et réparation des stations de pompage</t>
        </is>
      </c>
      <c r="G56" s="10" t="inlineStr">
        <is>
          <t>Prestation de maintenance des débitmètres et leurs équipements annexes installés au niveau des station de pompage</t>
        </is>
      </c>
      <c r="H56" s="10" t="inlineStr">
        <is>
          <t>Changement de quatre débitmètres Ø 500mm et trois Ø 800mm inondé des stations de pompage 1R, 3R et 5R.</t>
        </is>
      </c>
      <c r="I56" s="11" t="n">
        <v>705000</v>
      </c>
      <c r="J56" s="12" t="inlineStr">
        <is>
          <t>U</t>
        </is>
      </c>
      <c r="K56" s="13" t="n">
        <v>3</v>
      </c>
      <c r="L56" s="51" t="n"/>
      <c r="M56" s="56">
        <f>'S30'!M56+L56</f>
        <v/>
      </c>
      <c r="N56" s="57">
        <f>IFERROR(M56/K56,0)</f>
        <v/>
      </c>
      <c r="O56" s="58">
        <f>'S30'!N56</f>
        <v/>
      </c>
      <c r="P56" s="57">
        <f>N56-O56</f>
        <v/>
      </c>
      <c r="Q56" s="32" t="n"/>
      <c r="R56" s="32" t="n"/>
      <c r="S56" s="32" t="n"/>
      <c r="T56" s="55" t="n"/>
      <c r="U56" s="58">
        <f>'S30'!T56</f>
        <v/>
      </c>
      <c r="V56" s="57">
        <f>T56-U56</f>
        <v/>
      </c>
      <c r="W56" s="57">
        <f>N56-T56</f>
        <v/>
      </c>
      <c r="X56" s="34" t="n"/>
    </row>
    <row r="57" ht="22" customHeight="1">
      <c r="B57" s="5" t="n">
        <v>53</v>
      </c>
      <c r="C57" s="6" t="inlineStr">
        <is>
          <t>Sidi Kacem</t>
        </is>
      </c>
      <c r="D57" s="5" t="inlineStr">
        <is>
          <t>SIDI EL KAMEL</t>
        </is>
      </c>
      <c r="E57" s="5" t="inlineStr">
        <is>
          <t>50-21</t>
        </is>
      </c>
      <c r="F57" s="5" t="inlineStr">
        <is>
          <t>Entretien et réparation des stations de pompage</t>
        </is>
      </c>
      <c r="G57" s="5" t="inlineStr">
        <is>
          <t>Mur clôture des stations de pompage.</t>
        </is>
      </c>
      <c r="H57" s="5" t="inlineStr">
        <is>
          <t>Stabilisation et reconstruction des murs clôture cote oued des stations de pompage 7A, 3R et 1R.</t>
        </is>
      </c>
      <c r="I57" s="7" t="n">
        <v>372000</v>
      </c>
      <c r="J57" s="8" t="inlineStr">
        <is>
          <t>ml</t>
        </is>
      </c>
      <c r="K57" s="9" t="n">
        <v>124</v>
      </c>
      <c r="L57" s="51" t="n"/>
      <c r="M57" s="52">
        <f>'S30'!M57+L57</f>
        <v/>
      </c>
      <c r="N57" s="53">
        <f>IFERROR(M57/K57,0)</f>
        <v/>
      </c>
      <c r="O57" s="54">
        <f>'S30'!N57</f>
        <v/>
      </c>
      <c r="P57" s="53">
        <f>N57-O57</f>
        <v/>
      </c>
      <c r="Q57" s="32" t="n"/>
      <c r="R57" s="32" t="n"/>
      <c r="S57" s="32" t="n"/>
      <c r="T57" s="55" t="n"/>
      <c r="U57" s="54">
        <f>'S30'!T57</f>
        <v/>
      </c>
      <c r="V57" s="53">
        <f>T57-U57</f>
        <v/>
      </c>
      <c r="W57" s="53">
        <f>N57-T57</f>
        <v/>
      </c>
      <c r="X57" s="34" t="n"/>
    </row>
    <row r="58" ht="22" customHeight="1">
      <c r="B58" s="10" t="n">
        <v>54</v>
      </c>
      <c r="C58" s="14" t="inlineStr">
        <is>
          <t>Kénitra</t>
        </is>
      </c>
      <c r="D58" s="10" t="inlineStr">
        <is>
          <t>Bni malek</t>
        </is>
      </c>
      <c r="E58" s="10" t="inlineStr">
        <is>
          <t>50-23</t>
        </is>
      </c>
      <c r="F58" s="10" t="inlineStr">
        <is>
          <t>Entretien et réparation du réseau d'assainissement et de drainage</t>
        </is>
      </c>
      <c r="G58" s="10" t="inlineStr">
        <is>
          <t>Travaux de curage des canaux en terre</t>
        </is>
      </c>
      <c r="H58" s="10" t="inlineStr">
        <is>
          <t>Curage des emissaires et colatures secondaire au niveau des secteurs MDA ET N9</t>
        </is>
      </c>
      <c r="I58" s="11" t="n">
        <v>10000000</v>
      </c>
      <c r="J58" s="12" t="inlineStr">
        <is>
          <t>ml</t>
        </is>
      </c>
      <c r="K58" s="13" t="n">
        <v>5000</v>
      </c>
      <c r="L58" s="51" t="n"/>
      <c r="M58" s="56">
        <f>'S30'!M58+L58</f>
        <v/>
      </c>
      <c r="N58" s="57">
        <f>IFERROR(M58/K58,0)</f>
        <v/>
      </c>
      <c r="O58" s="58">
        <f>'S30'!N58</f>
        <v/>
      </c>
      <c r="P58" s="57">
        <f>N58-O58</f>
        <v/>
      </c>
      <c r="Q58" s="32" t="n"/>
      <c r="R58" s="32" t="n"/>
      <c r="S58" s="32" t="n"/>
      <c r="T58" s="55" t="n"/>
      <c r="U58" s="58">
        <f>'S30'!T58</f>
        <v/>
      </c>
      <c r="V58" s="57">
        <f>T58-U58</f>
        <v/>
      </c>
      <c r="W58" s="57">
        <f>N58-T58</f>
        <v/>
      </c>
      <c r="X58" s="34" t="n"/>
    </row>
    <row r="59" ht="22" customHeight="1">
      <c r="B59" s="5" t="n">
        <v>55</v>
      </c>
      <c r="C59" s="14" t="inlineStr">
        <is>
          <t>Kénitra</t>
        </is>
      </c>
      <c r="D59" s="5" t="inlineStr">
        <is>
          <t>Bni malek</t>
        </is>
      </c>
      <c r="E59" s="5" t="inlineStr">
        <is>
          <t>40-21</t>
        </is>
      </c>
      <c r="F59" s="5" t="inlineStr">
        <is>
          <t>Travaux de pistes</t>
        </is>
      </c>
      <c r="G59" s="5" t="inlineStr">
        <is>
          <t>Travaux de réhabilitation des pistes agricoles</t>
        </is>
      </c>
      <c r="H59" s="5" t="inlineStr">
        <is>
          <t>Entretien des pistes agricoles des secteurs MDA et N3</t>
        </is>
      </c>
      <c r="I59" s="7" t="n">
        <v>2000000</v>
      </c>
      <c r="J59" s="8" t="inlineStr">
        <is>
          <t>km</t>
        </is>
      </c>
      <c r="K59" s="9" t="n">
        <v>4</v>
      </c>
      <c r="L59" s="51" t="n"/>
      <c r="M59" s="52">
        <f>'S30'!M59+L59</f>
        <v/>
      </c>
      <c r="N59" s="53">
        <f>IFERROR(M59/K59,0)</f>
        <v/>
      </c>
      <c r="O59" s="54">
        <f>'S30'!N59</f>
        <v/>
      </c>
      <c r="P59" s="53">
        <f>N59-O59</f>
        <v/>
      </c>
      <c r="Q59" s="32" t="n"/>
      <c r="R59" s="32" t="n"/>
      <c r="S59" s="32" t="n"/>
      <c r="T59" s="55" t="n"/>
      <c r="U59" s="54">
        <f>'S30'!T59</f>
        <v/>
      </c>
      <c r="V59" s="53">
        <f>T59-U59</f>
        <v/>
      </c>
      <c r="W59" s="53">
        <f>N59-T59</f>
        <v/>
      </c>
      <c r="X59" s="34" t="n"/>
    </row>
    <row r="60" ht="22" customHeight="1">
      <c r="B60" s="10" t="n">
        <v>56</v>
      </c>
      <c r="C60" s="14" t="inlineStr">
        <is>
          <t>Kénitra</t>
        </is>
      </c>
      <c r="D60" s="10" t="inlineStr">
        <is>
          <t>Bni malek</t>
        </is>
      </c>
      <c r="E60" s="10" t="inlineStr">
        <is>
          <t>50-21</t>
        </is>
      </c>
      <c r="F60" s="10" t="inlineStr">
        <is>
          <t>Entretien et réparation des stations de pompage</t>
        </is>
      </c>
      <c r="G60" s="10" t="inlineStr">
        <is>
          <t>Prestations de maintenance et de réparation mécanique des pompes et des groupes motopompes submersibles des stations de pompage.</t>
        </is>
      </c>
      <c r="H60" s="10" t="inlineStr">
        <is>
          <t>station de pompage MDA secteur MDA</t>
        </is>
      </c>
      <c r="I60" s="11" t="n">
        <v>300000</v>
      </c>
      <c r="J60" s="12" t="inlineStr">
        <is>
          <t>U</t>
        </is>
      </c>
      <c r="K60" s="13" t="n">
        <v>1</v>
      </c>
      <c r="L60" s="51" t="n"/>
      <c r="M60" s="56">
        <f>'S30'!M60+L60</f>
        <v/>
      </c>
      <c r="N60" s="57">
        <f>IFERROR(M60/K60,0)</f>
        <v/>
      </c>
      <c r="O60" s="58">
        <f>'S30'!N60</f>
        <v/>
      </c>
      <c r="P60" s="57">
        <f>N60-O60</f>
        <v/>
      </c>
      <c r="Q60" s="32" t="n"/>
      <c r="R60" s="32" t="n"/>
      <c r="S60" s="32" t="n"/>
      <c r="T60" s="55" t="n"/>
      <c r="U60" s="58">
        <f>'S30'!T60</f>
        <v/>
      </c>
      <c r="V60" s="57">
        <f>T60-U60</f>
        <v/>
      </c>
      <c r="W60" s="57">
        <f>N60-T60</f>
        <v/>
      </c>
      <c r="X60" s="34" t="n"/>
    </row>
    <row r="61" ht="22" customHeight="1">
      <c r="B61" s="5" t="n">
        <v>57</v>
      </c>
      <c r="C61" s="14" t="inlineStr">
        <is>
          <t>Kénitra</t>
        </is>
      </c>
      <c r="D61" s="5" t="inlineStr">
        <is>
          <t>Bni malek</t>
        </is>
      </c>
      <c r="E61" s="5" t="inlineStr">
        <is>
          <t>20-11</t>
        </is>
      </c>
      <c r="F61" s="5" t="inlineStr">
        <is>
          <t>Travaux de réhabilitation des équipements</t>
        </is>
      </c>
      <c r="G61" s="5" t="inlineStr">
        <is>
          <t>Travaux de réhabilitation des ouvrages de génie civil</t>
        </is>
      </c>
      <c r="H61" s="5" t="inlineStr">
        <is>
          <t>Rétablissement des bornes affaissées des secteurs N2 et N3</t>
        </is>
      </c>
      <c r="I61" s="7" t="n">
        <v>100000</v>
      </c>
      <c r="J61" s="8" t="inlineStr">
        <is>
          <t>U</t>
        </is>
      </c>
      <c r="K61" s="9" t="n">
        <v>200</v>
      </c>
      <c r="L61" s="51" t="n"/>
      <c r="M61" s="52">
        <f>'S30'!M61+L61</f>
        <v/>
      </c>
      <c r="N61" s="53">
        <f>IFERROR(M61/K61,0)</f>
        <v/>
      </c>
      <c r="O61" s="54">
        <f>'S30'!N61</f>
        <v/>
      </c>
      <c r="P61" s="53">
        <f>N61-O61</f>
        <v/>
      </c>
      <c r="Q61" s="32" t="n"/>
      <c r="R61" s="32" t="n"/>
      <c r="S61" s="32" t="n"/>
      <c r="T61" s="55" t="n"/>
      <c r="U61" s="54">
        <f>'S30'!T61</f>
        <v/>
      </c>
      <c r="V61" s="53">
        <f>T61-U61</f>
        <v/>
      </c>
      <c r="W61" s="53">
        <f>N61-T61</f>
        <v/>
      </c>
      <c r="X61" s="34" t="n"/>
    </row>
    <row r="62" ht="22" customHeight="1">
      <c r="B62" s="10" t="n">
        <v>58</v>
      </c>
      <c r="C62" s="14" t="inlineStr">
        <is>
          <t>Kénitra</t>
        </is>
      </c>
      <c r="D62" s="10" t="inlineStr">
        <is>
          <t>SOUK TLET</t>
        </is>
      </c>
      <c r="E62" s="10" t="inlineStr">
        <is>
          <t>50-23</t>
        </is>
      </c>
      <c r="F62" s="10" t="inlineStr">
        <is>
          <t>Entretien et réparation du réseau d'assainissement et de drainage</t>
        </is>
      </c>
      <c r="G62" s="10" t="inlineStr">
        <is>
          <t>Travaux de curage des canaux en terre</t>
        </is>
      </c>
      <c r="H62" s="10" t="inlineStr">
        <is>
          <t>curage des emissaires et colatures secondaire au niveau des secteurs N2,N3 ET N4,</t>
        </is>
      </c>
      <c r="I62" s="11" t="n">
        <v>3000000</v>
      </c>
      <c r="J62" s="12" t="inlineStr">
        <is>
          <t>ml</t>
        </is>
      </c>
      <c r="K62" s="13" t="n">
        <v>1500</v>
      </c>
      <c r="L62" s="51" t="n"/>
      <c r="M62" s="56">
        <f>'S30'!M62+L62</f>
        <v/>
      </c>
      <c r="N62" s="57">
        <f>IFERROR(M62/K62,0)</f>
        <v/>
      </c>
      <c r="O62" s="58">
        <f>'S30'!N62</f>
        <v/>
      </c>
      <c r="P62" s="57">
        <f>N62-O62</f>
        <v/>
      </c>
      <c r="Q62" s="32" t="n"/>
      <c r="R62" s="32" t="n"/>
      <c r="S62" s="32" t="n"/>
      <c r="T62" s="55" t="n"/>
      <c r="U62" s="58">
        <f>'S30'!T62</f>
        <v/>
      </c>
      <c r="V62" s="57">
        <f>T62-U62</f>
        <v/>
      </c>
      <c r="W62" s="57">
        <f>N62-T62</f>
        <v/>
      </c>
      <c r="X62" s="34" t="n"/>
    </row>
    <row r="63" ht="22" customHeight="1">
      <c r="B63" s="5" t="n">
        <v>59</v>
      </c>
      <c r="C63" s="14" t="inlineStr">
        <is>
          <t>Kénitra</t>
        </is>
      </c>
      <c r="D63" s="5" t="inlineStr">
        <is>
          <t>SOUK TLET</t>
        </is>
      </c>
      <c r="E63" s="5" t="inlineStr">
        <is>
          <t>40-21</t>
        </is>
      </c>
      <c r="F63" s="5" t="inlineStr">
        <is>
          <t>Travaux de pistes</t>
        </is>
      </c>
      <c r="G63" s="5" t="inlineStr">
        <is>
          <t>Travaux de réhabilitation des pistes agricoles</t>
        </is>
      </c>
      <c r="H63" s="5" t="inlineStr">
        <is>
          <t>Entretien des pistes des secteurs N2,N3,N4 et C4R,</t>
        </is>
      </c>
      <c r="I63" s="7" t="n">
        <v>5000000</v>
      </c>
      <c r="J63" s="8" t="inlineStr">
        <is>
          <t>U</t>
        </is>
      </c>
      <c r="K63" s="9" t="n">
        <v>1</v>
      </c>
      <c r="L63" s="51" t="n"/>
      <c r="M63" s="52">
        <f>'S30'!M63+L63</f>
        <v/>
      </c>
      <c r="N63" s="53">
        <f>IFERROR(M63/K63,0)</f>
        <v/>
      </c>
      <c r="O63" s="54">
        <f>'S30'!N63</f>
        <v/>
      </c>
      <c r="P63" s="53">
        <f>N63-O63</f>
        <v/>
      </c>
      <c r="Q63" s="32" t="n"/>
      <c r="R63" s="32" t="n"/>
      <c r="S63" s="32" t="n"/>
      <c r="T63" s="55" t="n"/>
      <c r="U63" s="54">
        <f>'S30'!T63</f>
        <v/>
      </c>
      <c r="V63" s="53">
        <f>T63-U63</f>
        <v/>
      </c>
      <c r="W63" s="53">
        <f>N63-T63</f>
        <v/>
      </c>
      <c r="X63" s="34" t="n"/>
    </row>
    <row r="64" ht="22" customHeight="1">
      <c r="B64" s="10" t="n">
        <v>60</v>
      </c>
      <c r="C64" s="14" t="inlineStr">
        <is>
          <t>Kénitra</t>
        </is>
      </c>
      <c r="D64" s="10" t="inlineStr">
        <is>
          <t>Sidi Med Lahmar</t>
        </is>
      </c>
      <c r="E64" s="10" t="inlineStr">
        <is>
          <t>50-23</t>
        </is>
      </c>
      <c r="F64" s="10" t="inlineStr">
        <is>
          <t>Entretien et réparation du réseau d'assainissement et de drainage</t>
        </is>
      </c>
      <c r="G64" s="10" t="inlineStr">
        <is>
          <t>Travaux de curage des canaux en terre</t>
        </is>
      </c>
      <c r="H64" s="10" t="inlineStr">
        <is>
          <t>Curage des emissaires et colatures secondaires secteurs N1</t>
        </is>
      </c>
      <c r="I64" s="11" t="n">
        <v>3000000</v>
      </c>
      <c r="J64" s="12" t="inlineStr">
        <is>
          <t>ml</t>
        </is>
      </c>
      <c r="K64" s="13" t="n">
        <v>1500</v>
      </c>
      <c r="L64" s="51" t="n"/>
      <c r="M64" s="56">
        <f>'S30'!M64+L64</f>
        <v/>
      </c>
      <c r="N64" s="57">
        <f>IFERROR(M64/K64,0)</f>
        <v/>
      </c>
      <c r="O64" s="58">
        <f>'S30'!N64</f>
        <v/>
      </c>
      <c r="P64" s="57">
        <f>N64-O64</f>
        <v/>
      </c>
      <c r="Q64" s="32" t="n"/>
      <c r="R64" s="32" t="n"/>
      <c r="S64" s="32" t="n"/>
      <c r="T64" s="55" t="n"/>
      <c r="U64" s="58">
        <f>'S30'!T64</f>
        <v/>
      </c>
      <c r="V64" s="57">
        <f>T64-U64</f>
        <v/>
      </c>
      <c r="W64" s="57">
        <f>N64-T64</f>
        <v/>
      </c>
      <c r="X64" s="34" t="n"/>
    </row>
    <row r="65" ht="22" customHeight="1">
      <c r="B65" s="5" t="n">
        <v>61</v>
      </c>
      <c r="C65" s="14" t="inlineStr">
        <is>
          <t>Kénitra</t>
        </is>
      </c>
      <c r="D65" s="5" t="inlineStr">
        <is>
          <t>Sidi Med Lahmar</t>
        </is>
      </c>
      <c r="E65" s="5" t="inlineStr">
        <is>
          <t>40-21</t>
        </is>
      </c>
      <c r="F65" s="5" t="inlineStr">
        <is>
          <t>Travaux de pistes</t>
        </is>
      </c>
      <c r="G65" s="5" t="inlineStr">
        <is>
          <t>Travaux de réhabilitation des pistes agricoles</t>
        </is>
      </c>
      <c r="H65" s="5" t="inlineStr">
        <is>
          <t>Entretien des pistes agricoles des secteurs N9 et N1</t>
        </is>
      </c>
      <c r="I65" s="7" t="n">
        <v>3000000</v>
      </c>
      <c r="J65" s="8" t="inlineStr">
        <is>
          <t>km</t>
        </is>
      </c>
      <c r="K65" s="9" t="n">
        <v>6</v>
      </c>
      <c r="L65" s="51" t="n"/>
      <c r="M65" s="52">
        <f>'S30'!M65+L65</f>
        <v/>
      </c>
      <c r="N65" s="53">
        <f>IFERROR(M65/K65,0)</f>
        <v/>
      </c>
      <c r="O65" s="54">
        <f>'S30'!N65</f>
        <v/>
      </c>
      <c r="P65" s="53">
        <f>N65-O65</f>
        <v/>
      </c>
      <c r="Q65" s="32" t="n"/>
      <c r="R65" s="32" t="n"/>
      <c r="S65" s="32" t="n"/>
      <c r="T65" s="55" t="n"/>
      <c r="U65" s="54">
        <f>'S30'!T65</f>
        <v/>
      </c>
      <c r="V65" s="53">
        <f>T65-U65</f>
        <v/>
      </c>
      <c r="W65" s="53">
        <f>N65-T65</f>
        <v/>
      </c>
      <c r="X65" s="34" t="n"/>
    </row>
    <row r="66" ht="22" customHeight="1">
      <c r="B66" s="10" t="n">
        <v>62</v>
      </c>
      <c r="C66" s="14" t="inlineStr">
        <is>
          <t>Kénitra</t>
        </is>
      </c>
      <c r="D66" s="10" t="inlineStr">
        <is>
          <t>Mograne</t>
        </is>
      </c>
      <c r="E66" s="10" t="inlineStr">
        <is>
          <t>50-23</t>
        </is>
      </c>
      <c r="F66" s="10" t="inlineStr">
        <is>
          <t>Entretien et réparation du réseau d'assainissement et de drainage</t>
        </is>
      </c>
      <c r="G66" s="10" t="inlineStr">
        <is>
          <t>Travaux de curage des canaux en terre</t>
        </is>
      </c>
      <c r="H66" s="10" t="inlineStr">
        <is>
          <t>Curage des canaux d'assainissement Hors secteur équipé ghoufera et laison beht sebou ,</t>
        </is>
      </c>
      <c r="I66" s="11" t="n">
        <v>6000000</v>
      </c>
      <c r="J66" s="12" t="inlineStr">
        <is>
          <t>ml</t>
        </is>
      </c>
      <c r="K66" s="13" t="n">
        <v>3000</v>
      </c>
      <c r="L66" s="51" t="n"/>
      <c r="M66" s="56">
        <f>'S30'!M66+L66</f>
        <v/>
      </c>
      <c r="N66" s="57">
        <f>IFERROR(M66/K66,0)</f>
        <v/>
      </c>
      <c r="O66" s="58">
        <f>'S30'!N66</f>
        <v/>
      </c>
      <c r="P66" s="57">
        <f>N66-O66</f>
        <v/>
      </c>
      <c r="Q66" s="32" t="n"/>
      <c r="R66" s="32" t="n"/>
      <c r="S66" s="32" t="n"/>
      <c r="T66" s="55" t="n"/>
      <c r="U66" s="58">
        <f>'S30'!T66</f>
        <v/>
      </c>
      <c r="V66" s="57">
        <f>T66-U66</f>
        <v/>
      </c>
      <c r="W66" s="57">
        <f>N66-T66</f>
        <v/>
      </c>
      <c r="X66" s="34" t="n"/>
    </row>
    <row r="67" ht="22" customHeight="1">
      <c r="B67" s="5" t="n">
        <v>63</v>
      </c>
      <c r="C67" s="14" t="inlineStr">
        <is>
          <t>Kénitra</t>
        </is>
      </c>
      <c r="D67" s="5" t="inlineStr">
        <is>
          <t>Mograne</t>
        </is>
      </c>
      <c r="E67" s="5" t="inlineStr">
        <is>
          <t>40-21</t>
        </is>
      </c>
      <c r="F67" s="5" t="inlineStr">
        <is>
          <t>Travaux de pistes</t>
        </is>
      </c>
      <c r="G67" s="5" t="inlineStr">
        <is>
          <t>Travaux de réhabilitation des pistes agricoles</t>
        </is>
      </c>
      <c r="H67" s="5" t="inlineStr">
        <is>
          <t>Entretien des pistes agricoles des secteurs SEBOU1,SEBOU2? BEHT3 et BEHT4</t>
        </is>
      </c>
      <c r="I67" s="7" t="n">
        <v>6000000</v>
      </c>
      <c r="J67" s="8" t="inlineStr">
        <is>
          <t>km</t>
        </is>
      </c>
      <c r="K67" s="9" t="n">
        <v>12</v>
      </c>
      <c r="L67" s="51" t="n"/>
      <c r="M67" s="52">
        <f>'S30'!M67+L67</f>
        <v/>
      </c>
      <c r="N67" s="53">
        <f>IFERROR(M67/K67,0)</f>
        <v/>
      </c>
      <c r="O67" s="54">
        <f>'S30'!N67</f>
        <v/>
      </c>
      <c r="P67" s="53">
        <f>N67-O67</f>
        <v/>
      </c>
      <c r="Q67" s="32" t="n"/>
      <c r="R67" s="32" t="n"/>
      <c r="S67" s="32" t="n"/>
      <c r="T67" s="55" t="n"/>
      <c r="U67" s="54">
        <f>'S30'!T67</f>
        <v/>
      </c>
      <c r="V67" s="53">
        <f>T67-U67</f>
        <v/>
      </c>
      <c r="W67" s="53">
        <f>N67-T67</f>
        <v/>
      </c>
      <c r="X67" s="34" t="n"/>
    </row>
    <row r="68" ht="22" customHeight="1">
      <c r="B68" s="10" t="n">
        <v>64</v>
      </c>
      <c r="C68" s="14" t="inlineStr">
        <is>
          <t>Kénitra</t>
        </is>
      </c>
      <c r="D68" s="10" t="inlineStr">
        <is>
          <t>Sidi allal tazi</t>
        </is>
      </c>
      <c r="E68" s="10" t="inlineStr">
        <is>
          <t>50-23</t>
        </is>
      </c>
      <c r="F68" s="10" t="inlineStr">
        <is>
          <t>Entretien et réparation du réseau d'assainissement et de drainage</t>
        </is>
      </c>
      <c r="G68" s="10" t="inlineStr">
        <is>
          <t>Travaux de curage des canaux en terre</t>
        </is>
      </c>
      <c r="H68" s="10" t="inlineStr">
        <is>
          <t>Curage du canaL d'assainissement CK,</t>
        </is>
      </c>
      <c r="I68" s="11" t="n">
        <v>3000000</v>
      </c>
      <c r="J68" s="12" t="inlineStr">
        <is>
          <t>ml</t>
        </is>
      </c>
      <c r="K68" s="13" t="n">
        <v>1500</v>
      </c>
      <c r="L68" s="51" t="n"/>
      <c r="M68" s="56">
        <f>'S30'!M68+L68</f>
        <v/>
      </c>
      <c r="N68" s="57">
        <f>IFERROR(M68/K68,0)</f>
        <v/>
      </c>
      <c r="O68" s="58">
        <f>'S30'!N68</f>
        <v/>
      </c>
      <c r="P68" s="57">
        <f>N68-O68</f>
        <v/>
      </c>
      <c r="Q68" s="32" t="n"/>
      <c r="R68" s="32" t="n"/>
      <c r="S68" s="32" t="n"/>
      <c r="T68" s="55" t="n"/>
      <c r="U68" s="58">
        <f>'S30'!T68</f>
        <v/>
      </c>
      <c r="V68" s="57">
        <f>T68-U68</f>
        <v/>
      </c>
      <c r="W68" s="57">
        <f>N68-T68</f>
        <v/>
      </c>
      <c r="X68" s="34" t="n"/>
    </row>
    <row r="69" ht="22" customHeight="1">
      <c r="B69" s="5" t="n">
        <v>65</v>
      </c>
      <c r="C69" s="14" t="inlineStr">
        <is>
          <t>Kénitra</t>
        </is>
      </c>
      <c r="D69" s="5" t="inlineStr">
        <is>
          <t>AMEUR SAFLIA</t>
        </is>
      </c>
      <c r="E69" s="5" t="inlineStr">
        <is>
          <t>50-23</t>
        </is>
      </c>
      <c r="F69" s="5" t="inlineStr">
        <is>
          <t>Entretien et réparation du réseau d'assainissement et de drainage</t>
        </is>
      </c>
      <c r="G69" s="5" t="inlineStr">
        <is>
          <t>Travaux de curage des canaux en terre</t>
        </is>
      </c>
      <c r="H69" s="5" t="inlineStr">
        <is>
          <t>Curage des canaux d'assainissement amontTtiflt Sebou,</t>
        </is>
      </c>
      <c r="I69" s="7" t="n">
        <v>1000000</v>
      </c>
      <c r="J69" s="8" t="inlineStr">
        <is>
          <t>ml</t>
        </is>
      </c>
      <c r="K69" s="9" t="n">
        <v>500</v>
      </c>
      <c r="L69" s="51" t="n"/>
      <c r="M69" s="52">
        <f>'S30'!M69+L69</f>
        <v/>
      </c>
      <c r="N69" s="53">
        <f>IFERROR(M69/K69,0)</f>
        <v/>
      </c>
      <c r="O69" s="54">
        <f>'S30'!N69</f>
        <v/>
      </c>
      <c r="P69" s="53">
        <f>N69-O69</f>
        <v/>
      </c>
      <c r="Q69" s="32" t="n"/>
      <c r="R69" s="32" t="n"/>
      <c r="S69" s="32" t="n"/>
      <c r="T69" s="55" t="n"/>
      <c r="U69" s="54">
        <f>'S30'!T69</f>
        <v/>
      </c>
      <c r="V69" s="53">
        <f>T69-U69</f>
        <v/>
      </c>
      <c r="W69" s="53">
        <f>N69-T69</f>
        <v/>
      </c>
      <c r="X69" s="34" t="n"/>
    </row>
    <row r="70" ht="22" customHeight="1">
      <c r="B70" s="10" t="n">
        <v>66</v>
      </c>
      <c r="C70" s="14" t="inlineStr">
        <is>
          <t>Kénitra</t>
        </is>
      </c>
      <c r="D70" s="10" t="inlineStr">
        <is>
          <t>Oulad SLAMA</t>
        </is>
      </c>
      <c r="E70" s="10" t="inlineStr">
        <is>
          <t>50-23</t>
        </is>
      </c>
      <c r="F70" s="10" t="inlineStr">
        <is>
          <t>Entretien et réparation du réseau d'assainissement et de drainage</t>
        </is>
      </c>
      <c r="G70" s="10" t="inlineStr">
        <is>
          <t>Travaux de curage des canaux en terre</t>
        </is>
      </c>
      <c r="H70" s="10" t="inlineStr">
        <is>
          <t>Curage des canaux d'assainissement debouche Tiflt aval,</t>
        </is>
      </c>
      <c r="I70" s="11" t="n">
        <v>1000000</v>
      </c>
      <c r="J70" s="12" t="inlineStr">
        <is>
          <t>ml</t>
        </is>
      </c>
      <c r="K70" s="13" t="n">
        <v>500</v>
      </c>
      <c r="L70" s="51" t="n"/>
      <c r="M70" s="56">
        <f>'S30'!M70+L70</f>
        <v/>
      </c>
      <c r="N70" s="57">
        <f>IFERROR(M70/K70,0)</f>
        <v/>
      </c>
      <c r="O70" s="58">
        <f>'S30'!N70</f>
        <v/>
      </c>
      <c r="P70" s="57">
        <f>N70-O70</f>
        <v/>
      </c>
      <c r="Q70" s="32" t="n"/>
      <c r="R70" s="32" t="n"/>
      <c r="S70" s="32" t="n"/>
      <c r="T70" s="55" t="n"/>
      <c r="U70" s="58">
        <f>'S30'!T70</f>
        <v/>
      </c>
      <c r="V70" s="57">
        <f>T70-U70</f>
        <v/>
      </c>
      <c r="W70" s="57">
        <f>N70-T70</f>
        <v/>
      </c>
      <c r="X70" s="34" t="n"/>
    </row>
    <row r="71" ht="22" customHeight="1">
      <c r="B71" s="5" t="n">
        <v>67</v>
      </c>
      <c r="C71" s="14" t="inlineStr">
        <is>
          <t>Kénitra</t>
        </is>
      </c>
      <c r="D71" s="5" t="inlineStr">
        <is>
          <t>BHARA Oulad AYAD</t>
        </is>
      </c>
      <c r="E71" s="5" t="inlineStr">
        <is>
          <t>50-23</t>
        </is>
      </c>
      <c r="F71" s="5" t="inlineStr">
        <is>
          <t>Entretien et réparation du réseau d'assainissement et de drainage</t>
        </is>
      </c>
      <c r="G71" s="5" t="inlineStr">
        <is>
          <t>Travaux de curage des canaux en terre</t>
        </is>
      </c>
      <c r="H71" s="5" t="inlineStr">
        <is>
          <t>Curage des canaux d'assainissement canal nador bas et haut segmet,</t>
        </is>
      </c>
      <c r="I71" s="7" t="n">
        <v>6600000</v>
      </c>
      <c r="J71" s="8" t="inlineStr">
        <is>
          <t>ml</t>
        </is>
      </c>
      <c r="K71" s="9" t="n">
        <v>3300</v>
      </c>
      <c r="L71" s="51" t="n"/>
      <c r="M71" s="52">
        <f>'S30'!M71+L71</f>
        <v/>
      </c>
      <c r="N71" s="53">
        <f>IFERROR(M71/K71,0)</f>
        <v/>
      </c>
      <c r="O71" s="54">
        <f>'S30'!N71</f>
        <v/>
      </c>
      <c r="P71" s="53">
        <f>N71-O71</f>
        <v/>
      </c>
      <c r="Q71" s="32" t="n"/>
      <c r="R71" s="32" t="n"/>
      <c r="S71" s="32" t="n"/>
      <c r="T71" s="55" t="n"/>
      <c r="U71" s="54">
        <f>'S30'!T71</f>
        <v/>
      </c>
      <c r="V71" s="53">
        <f>T71-U71</f>
        <v/>
      </c>
      <c r="W71" s="53">
        <f>N71-T71</f>
        <v/>
      </c>
      <c r="X71" s="34" t="n"/>
    </row>
    <row r="72" ht="22" customHeight="1">
      <c r="B72" s="10" t="n">
        <v>68</v>
      </c>
      <c r="C72" s="15" t="inlineStr">
        <is>
          <t>Sidi Slimane</t>
        </is>
      </c>
      <c r="D72" s="10" t="inlineStr">
        <is>
          <t>OULED HCEINE</t>
        </is>
      </c>
      <c r="E72" s="10" t="inlineStr">
        <is>
          <t>50-23</t>
        </is>
      </c>
      <c r="F72" s="10" t="inlineStr">
        <is>
          <t>Entretien et réparation du réseau d'assainissement et de drainage</t>
        </is>
      </c>
      <c r="G72" s="10" t="inlineStr">
        <is>
          <t>Travaux de curage des canaux en terre</t>
        </is>
      </c>
      <c r="H72" s="10" t="inlineStr">
        <is>
          <t>Curage des collecteurs d'assainissement du secteur EST4.</t>
        </is>
      </c>
      <c r="I72" s="11" t="n">
        <v>1805475</v>
      </c>
      <c r="J72" s="12" t="inlineStr">
        <is>
          <t>ml</t>
        </is>
      </c>
      <c r="K72" s="13" t="n">
        <v>903</v>
      </c>
      <c r="L72" s="51" t="n"/>
      <c r="M72" s="56">
        <f>'S30'!M72+L72</f>
        <v/>
      </c>
      <c r="N72" s="57">
        <f>IFERROR(M72/K72,0)</f>
        <v/>
      </c>
      <c r="O72" s="58">
        <f>'S30'!N72</f>
        <v/>
      </c>
      <c r="P72" s="57">
        <f>N72-O72</f>
        <v/>
      </c>
      <c r="Q72" s="32" t="n"/>
      <c r="R72" s="32" t="n"/>
      <c r="S72" s="32" t="n"/>
      <c r="T72" s="55" t="n"/>
      <c r="U72" s="58">
        <f>'S30'!T72</f>
        <v/>
      </c>
      <c r="V72" s="57">
        <f>T72-U72</f>
        <v/>
      </c>
      <c r="W72" s="57">
        <f>N72-T72</f>
        <v/>
      </c>
      <c r="X72" s="34" t="n"/>
    </row>
    <row r="73" ht="22" customHeight="1">
      <c r="B73" s="5" t="n">
        <v>69</v>
      </c>
      <c r="C73" s="15" t="inlineStr">
        <is>
          <t>Sidi Slimane</t>
        </is>
      </c>
      <c r="D73" s="5" t="inlineStr">
        <is>
          <t>OULED HCEINE</t>
        </is>
      </c>
      <c r="E73" s="5" t="inlineStr">
        <is>
          <t>50-23</t>
        </is>
      </c>
      <c r="F73" s="5" t="inlineStr">
        <is>
          <t>Entretien et réparation du réseau d'assainissement et de drainage</t>
        </is>
      </c>
      <c r="G73" s="5" t="inlineStr">
        <is>
          <t>Travaux de curage des canaux en terre</t>
        </is>
      </c>
      <c r="H73" s="5" t="inlineStr">
        <is>
          <t>Curage du canal d'assainissement Tihli central.</t>
        </is>
      </c>
      <c r="I73" s="7" t="n">
        <v>2587200</v>
      </c>
      <c r="J73" s="8" t="inlineStr">
        <is>
          <t>ml</t>
        </is>
      </c>
      <c r="K73" s="9" t="n">
        <v>1294</v>
      </c>
      <c r="L73" s="51" t="n"/>
      <c r="M73" s="52">
        <f>'S30'!M73+L73</f>
        <v/>
      </c>
      <c r="N73" s="53">
        <f>IFERROR(M73/K73,0)</f>
        <v/>
      </c>
      <c r="O73" s="54">
        <f>'S30'!N73</f>
        <v/>
      </c>
      <c r="P73" s="53">
        <f>N73-O73</f>
        <v/>
      </c>
      <c r="Q73" s="32" t="n"/>
      <c r="R73" s="32" t="n"/>
      <c r="S73" s="32" t="n"/>
      <c r="T73" s="55" t="n"/>
      <c r="U73" s="54">
        <f>'S30'!T73</f>
        <v/>
      </c>
      <c r="V73" s="53">
        <f>T73-U73</f>
        <v/>
      </c>
      <c r="W73" s="53">
        <f>N73-T73</f>
        <v/>
      </c>
      <c r="X73" s="34" t="n"/>
    </row>
    <row r="74" ht="22" customHeight="1">
      <c r="B74" s="10" t="n">
        <v>70</v>
      </c>
      <c r="C74" s="15" t="inlineStr">
        <is>
          <t>Sidi Slimane</t>
        </is>
      </c>
      <c r="D74" s="10" t="inlineStr">
        <is>
          <t>OULED HCEINE</t>
        </is>
      </c>
      <c r="E74" s="10" t="inlineStr">
        <is>
          <t>40-21</t>
        </is>
      </c>
      <c r="F74" s="10" t="inlineStr">
        <is>
          <t>Travaux de pistes</t>
        </is>
      </c>
      <c r="G74" s="10" t="inlineStr">
        <is>
          <t>Travaux de réhabilitation des pistes agricoles</t>
        </is>
      </c>
      <c r="H74" s="10" t="inlineStr">
        <is>
          <t>Entretien des pistes agricoles</t>
        </is>
      </c>
      <c r="I74" s="11" t="n">
        <v>3500000</v>
      </c>
      <c r="J74" s="12" t="inlineStr">
        <is>
          <t>km</t>
        </is>
      </c>
      <c r="K74" s="13" t="n">
        <v>7</v>
      </c>
      <c r="L74" s="51" t="n"/>
      <c r="M74" s="56">
        <f>'S30'!M74+L74</f>
        <v/>
      </c>
      <c r="N74" s="57">
        <f>IFERROR(M74/K74,0)</f>
        <v/>
      </c>
      <c r="O74" s="58">
        <f>'S30'!N74</f>
        <v/>
      </c>
      <c r="P74" s="57">
        <f>N74-O74</f>
        <v/>
      </c>
      <c r="Q74" s="32" t="n"/>
      <c r="R74" s="32" t="n"/>
      <c r="S74" s="32" t="n"/>
      <c r="T74" s="55" t="n"/>
      <c r="U74" s="58">
        <f>'S30'!T74</f>
        <v/>
      </c>
      <c r="V74" s="57">
        <f>T74-U74</f>
        <v/>
      </c>
      <c r="W74" s="57">
        <f>N74-T74</f>
        <v/>
      </c>
      <c r="X74" s="34" t="n"/>
    </row>
    <row r="75" ht="22" customHeight="1">
      <c r="B75" s="5" t="n">
        <v>71</v>
      </c>
      <c r="C75" s="15" t="inlineStr">
        <is>
          <t>Sidi Slimane</t>
        </is>
      </c>
      <c r="D75" s="5" t="inlineStr">
        <is>
          <t>OULED HCEINE</t>
        </is>
      </c>
      <c r="E75" s="5" t="inlineStr">
        <is>
          <t>50-21</t>
        </is>
      </c>
      <c r="F75" s="5" t="inlineStr">
        <is>
          <t>Entretien et réparation des stations de pompage</t>
        </is>
      </c>
      <c r="G75" s="5" t="inlineStr">
        <is>
          <t>Travaux de réparation des équipements hydromécaniques et éléctriques et entretien de la partie génie civil des stations de pompage.</t>
        </is>
      </c>
      <c r="H75" s="5" t="inlineStr">
        <is>
          <t>Démontage et expertise des roues des  pompes principaux et pompes a vide de la station EST4 et P11/2.
Changement des roulements, tresses et organes d’effectués de la station EST4 et P11/2
Changement deux débitmètre Ø 1200 mm de la station EST4 et un débimétre de la station P11/2.
Changement des capteurs de niveau inondés.
Révision et réparation des moteurs des vannes motorisées inondées.
changement de six contrôleurs de débits DW181 inondés.
Un capteur de débitmètre inondé nécessitent un diagnostic VEGASON  .
Entretien de l'éclairage du local de vide et bâche d’aspiration inondé de la station EST4 et la partie de l’éclairage du local des pompes inondées de la station P11/2.
Pose de gabions et recouvrement du talus par matelas Reno des stations de pompage P11/2</t>
        </is>
      </c>
      <c r="I75" s="7" t="n">
        <v>870000</v>
      </c>
      <c r="J75" s="8" t="inlineStr">
        <is>
          <t>U</t>
        </is>
      </c>
      <c r="K75" s="9" t="n">
        <v>4</v>
      </c>
      <c r="L75" s="51" t="n"/>
      <c r="M75" s="52">
        <f>'S30'!M75+L75</f>
        <v/>
      </c>
      <c r="N75" s="53">
        <f>IFERROR(M75/K75,0)</f>
        <v/>
      </c>
      <c r="O75" s="54">
        <f>'S30'!N75</f>
        <v/>
      </c>
      <c r="P75" s="53">
        <f>N75-O75</f>
        <v/>
      </c>
      <c r="Q75" s="32" t="n"/>
      <c r="R75" s="32" t="n"/>
      <c r="S75" s="32" t="n"/>
      <c r="T75" s="55" t="n"/>
      <c r="U75" s="54">
        <f>'S30'!T75</f>
        <v/>
      </c>
      <c r="V75" s="53">
        <f>T75-U75</f>
        <v/>
      </c>
      <c r="W75" s="53">
        <f>N75-T75</f>
        <v/>
      </c>
      <c r="X75" s="34" t="n"/>
    </row>
    <row r="76" ht="22" customHeight="1">
      <c r="B76" s="10" t="n">
        <v>72</v>
      </c>
      <c r="C76" s="15" t="inlineStr">
        <is>
          <t>Sidi Slimane</t>
        </is>
      </c>
      <c r="D76" s="10" t="inlineStr">
        <is>
          <t>OULED HCEINE</t>
        </is>
      </c>
      <c r="E76" s="10" t="inlineStr">
        <is>
          <t>50-23</t>
        </is>
      </c>
      <c r="F76" s="10" t="inlineStr">
        <is>
          <t>Entretien et réparation du réseau d'assainissement et de drainage</t>
        </is>
      </c>
      <c r="G76" s="10" t="inlineStr">
        <is>
          <t>Travaux de curage des prises des stations de pompage.</t>
        </is>
      </c>
      <c r="H76" s="10" t="inlineStr">
        <is>
          <t>Curage des siphones des station de pompage EST2 et P11/2.</t>
        </is>
      </c>
      <c r="I76" s="11" t="n">
        <v>500000</v>
      </c>
      <c r="J76" s="12" t="inlineStr">
        <is>
          <t>ml</t>
        </is>
      </c>
      <c r="K76" s="13" t="n">
        <v>167</v>
      </c>
      <c r="L76" s="51" t="n"/>
      <c r="M76" s="56">
        <f>'S30'!M76+L76</f>
        <v/>
      </c>
      <c r="N76" s="57">
        <f>IFERROR(M76/K76,0)</f>
        <v/>
      </c>
      <c r="O76" s="58">
        <f>'S30'!N76</f>
        <v/>
      </c>
      <c r="P76" s="57">
        <f>N76-O76</f>
        <v/>
      </c>
      <c r="Q76" s="32" t="n"/>
      <c r="R76" s="32" t="n"/>
      <c r="S76" s="32" t="n"/>
      <c r="T76" s="55" t="n"/>
      <c r="U76" s="58">
        <f>'S30'!T76</f>
        <v/>
      </c>
      <c r="V76" s="57">
        <f>T76-U76</f>
        <v/>
      </c>
      <c r="W76" s="57">
        <f>N76-T76</f>
        <v/>
      </c>
      <c r="X76" s="34" t="n"/>
    </row>
    <row r="77" ht="26" customHeight="1">
      <c r="B77" s="16" t="inlineStr">
        <is>
          <t>TOTAL</t>
        </is>
      </c>
      <c r="C77" s="16" t="n"/>
      <c r="D77" s="16" t="n"/>
      <c r="E77" s="16" t="n"/>
      <c r="F77" s="16" t="n"/>
      <c r="G77" s="16" t="n"/>
      <c r="H77" s="16" t="n"/>
      <c r="I77" s="17">
        <f>SUM(I5:I76)</f>
        <v/>
      </c>
      <c r="J77" s="16" t="n"/>
      <c r="K77" s="16" t="n"/>
      <c r="L77" s="59">
        <f>SUM(L5:L76)</f>
        <v/>
      </c>
      <c r="M77" s="59">
        <f>SUM(M5:M76)</f>
        <v/>
      </c>
      <c r="N77" s="60">
        <f>IFERROR(SUMPRODUCT(N5:N76,I5:I76)/I77,0)</f>
        <v/>
      </c>
      <c r="O77" s="60">
        <f>IFERROR(SUMPRODUCT(O5:O76,I5:I76)/I77,0)</f>
        <v/>
      </c>
      <c r="P77" s="60">
        <f>N77-O77</f>
        <v/>
      </c>
      <c r="Q77" s="17">
        <f>SUM(Q5:Q76)</f>
        <v/>
      </c>
      <c r="R77" s="17">
        <f>SUM(R5:R76)</f>
        <v/>
      </c>
      <c r="S77" s="17">
        <f>SUM(S5:S76)</f>
        <v/>
      </c>
      <c r="T77" s="60">
        <f>IFERROR(SUMPRODUCT(T5:T76,I5:I76)/I77,0)</f>
        <v/>
      </c>
      <c r="U77" s="60">
        <f>IFERROR(SUMPRODUCT(U5:U76,I5:I76)/I77,0)</f>
        <v/>
      </c>
      <c r="V77" s="60">
        <f>T77-U77</f>
        <v/>
      </c>
      <c r="W77" s="60">
        <f>N77-T77</f>
        <v/>
      </c>
      <c r="X77" s="16" t="n"/>
    </row>
  </sheetData>
  <sheetProtection selectLockedCells="0" selectUnlockedCells="0" sheet="1" objects="0" insertRows="1" insertHyperlinks="1" autoFilter="1" scenarios="0" formatColumns="1" deleteColumns="1" insertColumns="1" pivotTables="1" deleteRows="1" formatCells="1" formatRows="1" sort="1" password="CBBE"/>
  <mergeCells count="6">
    <mergeCell ref="E3:I3"/>
    <mergeCell ref="W3:X3"/>
    <mergeCell ref="J3:P3"/>
    <mergeCell ref="B2:X2"/>
    <mergeCell ref="C3:D3"/>
    <mergeCell ref="Q3:V3"/>
  </mergeCells>
  <conditionalFormatting sqref="P5:P76">
    <cfRule type="cellIs" priority="1" operator="greaterThan" dxfId="0">
      <formula>0</formula>
    </cfRule>
    <cfRule type="cellIs" priority="2" operator="lessThan" dxfId="1">
      <formula>0</formula>
    </cfRule>
  </conditionalFormatting>
  <conditionalFormatting sqref="V5:V76">
    <cfRule type="cellIs" priority="3" operator="greaterThan" dxfId="0">
      <formula>0</formula>
    </cfRule>
    <cfRule type="cellIs" priority="4" operator="lessThan" dxfId="1">
      <formula>0</formula>
    </cfRule>
  </conditionalFormatting>
  <conditionalFormatting sqref="W5:W76">
    <cfRule type="cellIs" priority="5" operator="greaterThan" dxfId="0">
      <formula>0.05</formula>
    </cfRule>
    <cfRule type="cellIs" priority="6" operator="lessThan" dxfId="1">
      <formula>-0.05</formula>
    </cfRule>
    <cfRule type="cellIs" priority="7" operator="between" dxfId="2">
      <formula>-0.05</formula>
      <formula>0.05</formula>
    </cfRule>
  </conditionalFormatting>
  <conditionalFormatting sqref="N5:N76">
    <cfRule type="dataBar" priority="8">
      <dataBar showValue="1">
        <cfvo type="num" val="0"/>
        <cfvo type="num" val="1"/>
        <color rgb="001B7D46"/>
      </dataBar>
    </cfRule>
  </conditionalFormatting>
  <conditionalFormatting sqref="T5:T76">
    <cfRule type="dataBar" priority="9">
      <dataBar showValue="1">
        <cfvo type="num" val="0"/>
        <cfvo type="num" val="1"/>
        <color rgb="00D4820A"/>
      </dataBar>
    </cfRule>
  </conditionalFormatting>
  <dataValidations count="2">
    <dataValidation sqref="T5:T76" showDropDown="0" showInputMessage="0" showErrorMessage="0" allowBlank="1" errorTitle="Invalide" error="Valeur entre 0% et 100%" promptTitle="Avancement %" prompt="Entrez 0.25 pour 25%" type="decimal" operator="between">
      <formula1>0</formula1>
      <formula2>1</formula2>
    </dataValidation>
    <dataValidation sqref="L5:L76" showDropDown="0" showInputMessage="0" showErrorMessage="0" allowBlank="1" errorTitle="Invalide" error="Quantité doit être &gt;= 0" promptTitle="Qté Réalisée" prompt="Entrez la quantité réalisée cette semaine" type="decimal" operator="greaterThanOrEqual">
      <formula1>0</formula1>
    </dataValidation>
  </dataValidations>
  <pageMargins left="0.75" right="0.75" top="1" bottom="1" header="0.5" footer="0.5"/>
</worksheet>
</file>

<file path=xl/worksheets/sheet12.xml><?xml version="1.0" encoding="utf-8"?>
<worksheet xmlns="http://schemas.openxmlformats.org/spreadsheetml/2006/main">
  <sheetPr>
    <tabColor rgb="00FF0000"/>
    <outlinePr summaryBelow="1" summaryRight="1"/>
    <pageSetUpPr/>
  </sheetPr>
  <dimension ref="B2:X77"/>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5" customWidth="1" min="2" max="2"/>
    <col width="14" customWidth="1" min="3" max="3"/>
    <col width="18" customWidth="1" min="4" max="4"/>
    <col width="9" customWidth="1" min="5" max="5"/>
    <col width="32" customWidth="1" min="6" max="6"/>
    <col width="28" customWidth="1" min="7" max="7"/>
    <col width="34" customWidth="1" min="8" max="8"/>
    <col width="14" customWidth="1" min="9" max="9"/>
    <col width="8" customWidth="1" min="10" max="10"/>
    <col width="12" customWidth="1" min="11" max="11"/>
    <col width="14" customWidth="1" min="12" max="12"/>
    <col width="14" customWidth="1" min="13" max="13"/>
    <col width="14" customWidth="1" min="14" max="14"/>
    <col width="14" customWidth="1" min="15" max="15"/>
    <col width="14" customWidth="1" min="16" max="16"/>
    <col width="16" customWidth="1" min="17" max="17"/>
    <col width="16" customWidth="1" min="18" max="18"/>
    <col width="16" customWidth="1" min="19" max="19"/>
    <col width="14" customWidth="1" min="20" max="20"/>
    <col width="14" customWidth="1" min="21" max="21"/>
    <col width="14" customWidth="1" min="22" max="22"/>
    <col width="14" customWidth="1" min="23" max="23"/>
    <col width="24" customWidth="1" min="24" max="24"/>
  </cols>
  <sheetData>
    <row r="1" ht="15" customHeight="1"/>
    <row r="2" ht="32" customHeight="1">
      <c r="B2" s="1" t="inlineStr">
        <is>
          <t>Suivi Hebdomadaire - Semaine 32 (03/08 - 09/08) — Août 2026 - Exécution Physique et Financière</t>
        </is>
      </c>
    </row>
    <row r="3" ht="22" customHeight="1">
      <c r="B3" s="20" t="inlineStr">
        <is>
          <t>Date :</t>
        </is>
      </c>
      <c r="C3" s="49" t="n">
        <v>46237</v>
      </c>
      <c r="D3" s="50" t="n"/>
      <c r="E3" s="22" t="inlineStr">
        <is>
          <t>IDENTIFICATION</t>
        </is>
      </c>
      <c r="J3" s="23" t="inlineStr">
        <is>
          <t>INDICATEURS PHYSIQUES</t>
        </is>
      </c>
      <c r="Q3" s="24" t="inlineStr">
        <is>
          <t>INDICATEURS FINANCIERS</t>
        </is>
      </c>
      <c r="W3" s="25" t="inlineStr">
        <is>
          <t>SYNTHÈSE</t>
        </is>
      </c>
    </row>
    <row r="4" ht="28" customHeight="1">
      <c r="B4" s="4" t="inlineStr">
        <is>
          <t>N°</t>
        </is>
      </c>
      <c r="C4" s="4" t="inlineStr">
        <is>
          <t>Province</t>
        </is>
      </c>
      <c r="D4" s="4" t="inlineStr">
        <is>
          <t>Commune</t>
        </is>
      </c>
      <c r="E4" s="4" t="inlineStr">
        <is>
          <t>Rubrique</t>
        </is>
      </c>
      <c r="F4" s="4" t="inlineStr">
        <is>
          <t>Intitulé Rubrique</t>
        </is>
      </c>
      <c r="G4" s="4" t="inlineStr">
        <is>
          <t>Projet</t>
        </is>
      </c>
      <c r="H4" s="4" t="inlineStr">
        <is>
          <t>Consistance</t>
        </is>
      </c>
      <c r="I4" s="4" t="inlineStr">
        <is>
          <t>Coût Total (DH)</t>
        </is>
      </c>
      <c r="J4" s="26" t="inlineStr">
        <is>
          <t>Unité</t>
        </is>
      </c>
      <c r="K4" s="26" t="inlineStr">
        <is>
          <t>Qté Prévue</t>
        </is>
      </c>
      <c r="L4" s="26" t="inlineStr">
        <is>
          <t>Qté Réalisée Sem.</t>
        </is>
      </c>
      <c r="M4" s="26" t="inlineStr">
        <is>
          <t>Qté Réalisée Cumul</t>
        </is>
      </c>
      <c r="N4" s="26" t="inlineStr">
        <is>
          <t>Avancement Physique %</t>
        </is>
      </c>
      <c r="O4" s="26" t="inlineStr">
        <is>
          <t>% Phys. Sem. Préc.</t>
        </is>
      </c>
      <c r="P4" s="26" t="inlineStr">
        <is>
          <t>Accroissement Phys. %</t>
        </is>
      </c>
      <c r="Q4" s="27" t="inlineStr">
        <is>
          <t>Montant Décaissé (DH)</t>
        </is>
      </c>
      <c r="R4" s="27" t="inlineStr">
        <is>
          <t>Montant Payé (DH)</t>
        </is>
      </c>
      <c r="S4" s="27" t="inlineStr">
        <is>
          <t>Montant Ordonné (DH)</t>
        </is>
      </c>
      <c r="T4" s="27" t="inlineStr">
        <is>
          <t>Avancement Financier %</t>
        </is>
      </c>
      <c r="U4" s="27" t="inlineStr">
        <is>
          <t>% Fin. Sem. Préc.</t>
        </is>
      </c>
      <c r="V4" s="27" t="inlineStr">
        <is>
          <t>Accroissement Fin. %</t>
        </is>
      </c>
      <c r="W4" s="28" t="inlineStr">
        <is>
          <t>Écart Phys.-Fin.</t>
        </is>
      </c>
      <c r="X4" s="28" t="inlineStr">
        <is>
          <t>Observations</t>
        </is>
      </c>
    </row>
    <row r="5" ht="22" customHeight="1">
      <c r="B5" s="5" t="n">
        <v>1</v>
      </c>
      <c r="C5" s="6" t="inlineStr">
        <is>
          <t>Sidi Kacem</t>
        </is>
      </c>
      <c r="D5" s="5" t="inlineStr">
        <is>
          <t>KHENICHET</t>
        </is>
      </c>
      <c r="E5" s="5" t="inlineStr">
        <is>
          <t>50-23</t>
        </is>
      </c>
      <c r="F5" s="5" t="inlineStr">
        <is>
          <t>Entretien et réparation du réseau d'assainissement et de drainage</t>
        </is>
      </c>
      <c r="G5" s="5" t="inlineStr">
        <is>
          <t>Travaux de curage des canaux en terre</t>
        </is>
      </c>
      <c r="H5" s="5" t="inlineStr">
        <is>
          <t>Curage des collecteurs d'assainissement du secteur EST2</t>
        </is>
      </c>
      <c r="I5" s="7" t="n">
        <v>2091568</v>
      </c>
      <c r="J5" s="8" t="inlineStr">
        <is>
          <t>ml</t>
        </is>
      </c>
      <c r="K5" s="9" t="n">
        <v>1046</v>
      </c>
      <c r="L5" s="51" t="n"/>
      <c r="M5" s="52">
        <f>'S31'!M5+L5</f>
        <v/>
      </c>
      <c r="N5" s="53">
        <f>IFERROR(M5/K5,0)</f>
        <v/>
      </c>
      <c r="O5" s="54">
        <f>'S31'!N5</f>
        <v/>
      </c>
      <c r="P5" s="53">
        <f>N5-O5</f>
        <v/>
      </c>
      <c r="Q5" s="32" t="n"/>
      <c r="R5" s="32" t="n"/>
      <c r="S5" s="32" t="n"/>
      <c r="T5" s="55" t="n"/>
      <c r="U5" s="54">
        <f>'S31'!T5</f>
        <v/>
      </c>
      <c r="V5" s="53">
        <f>T5-U5</f>
        <v/>
      </c>
      <c r="W5" s="53">
        <f>N5-T5</f>
        <v/>
      </c>
      <c r="X5" s="34" t="n"/>
    </row>
    <row r="6" ht="22" customHeight="1">
      <c r="B6" s="10" t="n">
        <v>2</v>
      </c>
      <c r="C6" s="6" t="inlineStr">
        <is>
          <t>Sidi Kacem</t>
        </is>
      </c>
      <c r="D6" s="10" t="inlineStr">
        <is>
          <t>KHENICHET</t>
        </is>
      </c>
      <c r="E6" s="10" t="inlineStr">
        <is>
          <t>40-21</t>
        </is>
      </c>
      <c r="F6" s="10" t="inlineStr">
        <is>
          <t>Travaux de pistes</t>
        </is>
      </c>
      <c r="G6" s="10" t="inlineStr">
        <is>
          <t>Travaux de réhabilitation des pistes agricoles</t>
        </is>
      </c>
      <c r="H6" s="10" t="inlineStr">
        <is>
          <t>Entretien des pistes agricoles Douar Nouagra et Douar ouled Salem</t>
        </is>
      </c>
      <c r="I6" s="11" t="n">
        <v>78000</v>
      </c>
      <c r="J6" s="12" t="inlineStr">
        <is>
          <t>km</t>
        </is>
      </c>
      <c r="K6" s="13" t="n">
        <v>1</v>
      </c>
      <c r="L6" s="51" t="n"/>
      <c r="M6" s="56">
        <f>'S31'!M6+L6</f>
        <v/>
      </c>
      <c r="N6" s="57">
        <f>IFERROR(M6/K6,0)</f>
        <v/>
      </c>
      <c r="O6" s="58">
        <f>'S31'!N6</f>
        <v/>
      </c>
      <c r="P6" s="57">
        <f>N6-O6</f>
        <v/>
      </c>
      <c r="Q6" s="32" t="n"/>
      <c r="R6" s="32" t="n"/>
      <c r="S6" s="32" t="n"/>
      <c r="T6" s="55" t="n"/>
      <c r="U6" s="58">
        <f>'S31'!T6</f>
        <v/>
      </c>
      <c r="V6" s="57">
        <f>T6-U6</f>
        <v/>
      </c>
      <c r="W6" s="57">
        <f>N6-T6</f>
        <v/>
      </c>
      <c r="X6" s="34" t="n"/>
    </row>
    <row r="7" ht="22" customHeight="1">
      <c r="B7" s="5" t="n">
        <v>3</v>
      </c>
      <c r="C7" s="6" t="inlineStr">
        <is>
          <t>Sidi Kacem</t>
        </is>
      </c>
      <c r="D7" s="5" t="inlineStr">
        <is>
          <t>KHENICHET</t>
        </is>
      </c>
      <c r="E7" s="5" t="inlineStr">
        <is>
          <t>50-23</t>
        </is>
      </c>
      <c r="F7" s="5" t="inlineStr">
        <is>
          <t>Entretien et réparation du réseau d'assainissement et de drainage</t>
        </is>
      </c>
      <c r="G7" s="5" t="inlineStr">
        <is>
          <t>Curage des prises sur l’oued, bâche d’aspiration et bassin de régulation.</t>
        </is>
      </c>
      <c r="H7" s="5" t="inlineStr">
        <is>
          <t>Curage de la chambre des joints de démontage des siphonnes  de la station de pompage EST2.</t>
        </is>
      </c>
      <c r="I7" s="7" t="n">
        <v>126000</v>
      </c>
      <c r="J7" s="8" t="inlineStr">
        <is>
          <t>ml</t>
        </is>
      </c>
      <c r="K7" s="9" t="n">
        <v>42</v>
      </c>
      <c r="L7" s="51" t="n"/>
      <c r="M7" s="52">
        <f>'S31'!M7+L7</f>
        <v/>
      </c>
      <c r="N7" s="53">
        <f>IFERROR(M7/K7,0)</f>
        <v/>
      </c>
      <c r="O7" s="54">
        <f>'S31'!N7</f>
        <v/>
      </c>
      <c r="P7" s="53">
        <f>N7-O7</f>
        <v/>
      </c>
      <c r="Q7" s="32" t="n"/>
      <c r="R7" s="32" t="n"/>
      <c r="S7" s="32" t="n"/>
      <c r="T7" s="55" t="n"/>
      <c r="U7" s="54">
        <f>'S31'!T7</f>
        <v/>
      </c>
      <c r="V7" s="53">
        <f>T7-U7</f>
        <v/>
      </c>
      <c r="W7" s="53">
        <f>N7-T7</f>
        <v/>
      </c>
      <c r="X7" s="34" t="n"/>
    </row>
    <row r="8" ht="22" customHeight="1">
      <c r="B8" s="10" t="n">
        <v>4</v>
      </c>
      <c r="C8" s="6" t="inlineStr">
        <is>
          <t>Sidi Kacem</t>
        </is>
      </c>
      <c r="D8" s="10" t="inlineStr">
        <is>
          <t>KHENICHET</t>
        </is>
      </c>
      <c r="E8" s="10" t="inlineStr">
        <is>
          <t>50-21</t>
        </is>
      </c>
      <c r="F8" s="10" t="inlineStr">
        <is>
          <t>Entretien et réparation des stations de pompage</t>
        </is>
      </c>
      <c r="G8" s="10" t="inlineStr">
        <is>
          <t>Prestation de maintenance des débitmètres et leurs équipements annexes installés au niveau des station de pompage</t>
        </is>
      </c>
      <c r="H8" s="10" t="inlineStr">
        <is>
          <t>Changement trois débitmètre Ø 600mm inondés de la station de pompage EST 2 et deux capteurs VEGASON 62</t>
        </is>
      </c>
      <c r="I8" s="11" t="n">
        <v>165500</v>
      </c>
      <c r="J8" s="12" t="inlineStr">
        <is>
          <t>U</t>
        </is>
      </c>
      <c r="K8" s="13" t="n">
        <v>3</v>
      </c>
      <c r="L8" s="51" t="n"/>
      <c r="M8" s="56">
        <f>'S31'!M8+L8</f>
        <v/>
      </c>
      <c r="N8" s="57">
        <f>IFERROR(M8/K8,0)</f>
        <v/>
      </c>
      <c r="O8" s="58">
        <f>'S31'!N8</f>
        <v/>
      </c>
      <c r="P8" s="57">
        <f>N8-O8</f>
        <v/>
      </c>
      <c r="Q8" s="32" t="n"/>
      <c r="R8" s="32" t="n"/>
      <c r="S8" s="32" t="n"/>
      <c r="T8" s="55" t="n"/>
      <c r="U8" s="58">
        <f>'S31'!T8</f>
        <v/>
      </c>
      <c r="V8" s="57">
        <f>T8-U8</f>
        <v/>
      </c>
      <c r="W8" s="57">
        <f>N8-T8</f>
        <v/>
      </c>
      <c r="X8" s="34" t="n"/>
    </row>
    <row r="9" ht="22" customHeight="1">
      <c r="B9" s="5" t="n">
        <v>5</v>
      </c>
      <c r="C9" s="6" t="inlineStr">
        <is>
          <t>Sidi Kacem</t>
        </is>
      </c>
      <c r="D9" s="5" t="inlineStr">
        <is>
          <t>BIR TALEB</t>
        </is>
      </c>
      <c r="E9" s="5" t="inlineStr">
        <is>
          <t>50-23</t>
        </is>
      </c>
      <c r="F9" s="5" t="inlineStr">
        <is>
          <t>Entretien et réparation du réseau d'assainissement et de drainage</t>
        </is>
      </c>
      <c r="G9" s="5" t="inlineStr">
        <is>
          <t>Travaux de curage des canaux en terre</t>
        </is>
      </c>
      <c r="H9" s="5" t="inlineStr">
        <is>
          <t>Curage du canal d'assainisement Tihli Aval</t>
        </is>
      </c>
      <c r="I9" s="7" t="n">
        <v>1000000</v>
      </c>
      <c r="J9" s="8" t="inlineStr">
        <is>
          <t>ml</t>
        </is>
      </c>
      <c r="K9" s="9" t="n">
        <v>500</v>
      </c>
      <c r="L9" s="51" t="n"/>
      <c r="M9" s="52">
        <f>'S31'!M9+L9</f>
        <v/>
      </c>
      <c r="N9" s="53">
        <f>IFERROR(M9/K9,0)</f>
        <v/>
      </c>
      <c r="O9" s="54">
        <f>'S31'!N9</f>
        <v/>
      </c>
      <c r="P9" s="53">
        <f>N9-O9</f>
        <v/>
      </c>
      <c r="Q9" s="32" t="n"/>
      <c r="R9" s="32" t="n"/>
      <c r="S9" s="32" t="n"/>
      <c r="T9" s="55" t="n"/>
      <c r="U9" s="54">
        <f>'S31'!T9</f>
        <v/>
      </c>
      <c r="V9" s="53">
        <f>T9-U9</f>
        <v/>
      </c>
      <c r="W9" s="53">
        <f>N9-T9</f>
        <v/>
      </c>
      <c r="X9" s="34" t="n"/>
    </row>
    <row r="10" ht="22" customHeight="1">
      <c r="B10" s="10" t="n">
        <v>6</v>
      </c>
      <c r="C10" s="6" t="inlineStr">
        <is>
          <t>Sidi Kacem</t>
        </is>
      </c>
      <c r="D10" s="10" t="inlineStr">
        <is>
          <t>BIR TALEB</t>
        </is>
      </c>
      <c r="E10" s="10" t="inlineStr">
        <is>
          <t>50-23</t>
        </is>
      </c>
      <c r="F10" s="10" t="inlineStr">
        <is>
          <t>Entretien et réparation du réseau d'assainissement et de drainage</t>
        </is>
      </c>
      <c r="G10" s="10" t="inlineStr"/>
      <c r="H10" s="10" t="inlineStr">
        <is>
          <t>Curage des collecteurs d'assainissement du secteur P11/1</t>
        </is>
      </c>
      <c r="I10" s="11" t="n">
        <v>846731</v>
      </c>
      <c r="J10" s="12" t="inlineStr">
        <is>
          <t>ml</t>
        </is>
      </c>
      <c r="K10" s="13" t="n">
        <v>423</v>
      </c>
      <c r="L10" s="51" t="n"/>
      <c r="M10" s="56">
        <f>'S31'!M10+L10</f>
        <v/>
      </c>
      <c r="N10" s="57">
        <f>IFERROR(M10/K10,0)</f>
        <v/>
      </c>
      <c r="O10" s="58">
        <f>'S31'!N10</f>
        <v/>
      </c>
      <c r="P10" s="57">
        <f>N10-O10</f>
        <v/>
      </c>
      <c r="Q10" s="32" t="n"/>
      <c r="R10" s="32" t="n"/>
      <c r="S10" s="32" t="n"/>
      <c r="T10" s="55" t="n"/>
      <c r="U10" s="58">
        <f>'S31'!T10</f>
        <v/>
      </c>
      <c r="V10" s="57">
        <f>T10-U10</f>
        <v/>
      </c>
      <c r="W10" s="57">
        <f>N10-T10</f>
        <v/>
      </c>
      <c r="X10" s="34" t="n"/>
    </row>
    <row r="11" ht="22" customHeight="1">
      <c r="B11" s="5" t="n">
        <v>7</v>
      </c>
      <c r="C11" s="6" t="inlineStr">
        <is>
          <t>Sidi Kacem</t>
        </is>
      </c>
      <c r="D11" s="5" t="inlineStr">
        <is>
          <t>BIR TALEB</t>
        </is>
      </c>
      <c r="E11" s="5" t="inlineStr">
        <is>
          <t>50-23</t>
        </is>
      </c>
      <c r="F11" s="5" t="inlineStr">
        <is>
          <t>Entretien et réparation du réseau d'assainissement et de drainage</t>
        </is>
      </c>
      <c r="G11" s="5" t="inlineStr">
        <is>
          <t>Curage des prises sur l’oued, bâche d’aspiration et bassin de régulation.</t>
        </is>
      </c>
      <c r="H11" s="5" t="inlineStr">
        <is>
          <t>Curage des prises sur l’oued de la station de pompage P11/1.</t>
        </is>
      </c>
      <c r="I11" s="7" t="n">
        <v>200000</v>
      </c>
      <c r="J11" s="8" t="inlineStr">
        <is>
          <t>ml</t>
        </is>
      </c>
      <c r="K11" s="9" t="n">
        <v>67</v>
      </c>
      <c r="L11" s="51" t="n"/>
      <c r="M11" s="52">
        <f>'S31'!M11+L11</f>
        <v/>
      </c>
      <c r="N11" s="53">
        <f>IFERROR(M11/K11,0)</f>
        <v/>
      </c>
      <c r="O11" s="54">
        <f>'S31'!N11</f>
        <v/>
      </c>
      <c r="P11" s="53">
        <f>N11-O11</f>
        <v/>
      </c>
      <c r="Q11" s="32" t="n"/>
      <c r="R11" s="32" t="n"/>
      <c r="S11" s="32" t="n"/>
      <c r="T11" s="55" t="n"/>
      <c r="U11" s="54">
        <f>'S31'!T11</f>
        <v/>
      </c>
      <c r="V11" s="53">
        <f>T11-U11</f>
        <v/>
      </c>
      <c r="W11" s="53">
        <f>N11-T11</f>
        <v/>
      </c>
      <c r="X11" s="34" t="n"/>
    </row>
    <row r="12" ht="22" customHeight="1">
      <c r="B12" s="10" t="n">
        <v>8</v>
      </c>
      <c r="C12" s="6" t="inlineStr">
        <is>
          <t>Sidi Kacem</t>
        </is>
      </c>
      <c r="D12" s="10" t="inlineStr">
        <is>
          <t>BIR TALEB</t>
        </is>
      </c>
      <c r="E12" s="10" t="inlineStr">
        <is>
          <t>50-21</t>
        </is>
      </c>
      <c r="F12" s="10" t="inlineStr">
        <is>
          <t>Entretien et réparation des stations de pompage</t>
        </is>
      </c>
      <c r="G12" s="10" t="inlineStr">
        <is>
          <t>Prestation de maintenance des débitmètres et leurs équipements annexes installés au niveau des station de pompage</t>
        </is>
      </c>
      <c r="H12" s="10" t="inlineStr">
        <is>
          <t>Changement trois débitmètre Ø 400mm inondés de la station de pompage P11/1</t>
        </is>
      </c>
      <c r="I12" s="11" t="n">
        <v>141900</v>
      </c>
      <c r="J12" s="12" t="inlineStr">
        <is>
          <t>U</t>
        </is>
      </c>
      <c r="K12" s="13" t="n">
        <v>3</v>
      </c>
      <c r="L12" s="51" t="n"/>
      <c r="M12" s="56">
        <f>'S31'!M12+L12</f>
        <v/>
      </c>
      <c r="N12" s="57">
        <f>IFERROR(M12/K12,0)</f>
        <v/>
      </c>
      <c r="O12" s="58">
        <f>'S31'!N12</f>
        <v/>
      </c>
      <c r="P12" s="57">
        <f>N12-O12</f>
        <v/>
      </c>
      <c r="Q12" s="32" t="n"/>
      <c r="R12" s="32" t="n"/>
      <c r="S12" s="32" t="n"/>
      <c r="T12" s="55" t="n"/>
      <c r="U12" s="58">
        <f>'S31'!T12</f>
        <v/>
      </c>
      <c r="V12" s="57">
        <f>T12-U12</f>
        <v/>
      </c>
      <c r="W12" s="57">
        <f>N12-T12</f>
        <v/>
      </c>
      <c r="X12" s="34" t="n"/>
    </row>
    <row r="13" ht="22" customHeight="1">
      <c r="B13" s="5" t="n">
        <v>9</v>
      </c>
      <c r="C13" s="6" t="inlineStr">
        <is>
          <t>Sidi Kacem</t>
        </is>
      </c>
      <c r="D13" s="5" t="inlineStr">
        <is>
          <t>BIR TALEB</t>
        </is>
      </c>
      <c r="E13" s="5" t="inlineStr">
        <is>
          <t>50-21</t>
        </is>
      </c>
      <c r="F13" s="5" t="inlineStr">
        <is>
          <t>Entretien et réparation des stations de pompage</t>
        </is>
      </c>
      <c r="G13" s="5" t="inlineStr">
        <is>
          <t>Prestations de maintenance et de réparation mécanique des pompes et des groupes motopompes submersibles des stations de pompage.</t>
        </is>
      </c>
      <c r="H13" s="5" t="inlineStr">
        <is>
          <t>Démontage et expertise des roues des  pompes principaux et pompes a vide de la station P11/1
Changement des roulements, tresses et organes d’effectués de la station P11/1</t>
        </is>
      </c>
      <c r="I13" s="7" t="n">
        <v>26700</v>
      </c>
      <c r="J13" s="8" t="inlineStr">
        <is>
          <t>U</t>
        </is>
      </c>
      <c r="K13" s="9" t="n">
        <v>1</v>
      </c>
      <c r="L13" s="51" t="n"/>
      <c r="M13" s="52">
        <f>'S31'!M13+L13</f>
        <v/>
      </c>
      <c r="N13" s="53">
        <f>IFERROR(M13/K13,0)</f>
        <v/>
      </c>
      <c r="O13" s="54">
        <f>'S31'!N13</f>
        <v/>
      </c>
      <c r="P13" s="53">
        <f>N13-O13</f>
        <v/>
      </c>
      <c r="Q13" s="32" t="n"/>
      <c r="R13" s="32" t="n"/>
      <c r="S13" s="32" t="n"/>
      <c r="T13" s="55" t="n"/>
      <c r="U13" s="54">
        <f>'S31'!T13</f>
        <v/>
      </c>
      <c r="V13" s="53">
        <f>T13-U13</f>
        <v/>
      </c>
      <c r="W13" s="53">
        <f>N13-T13</f>
        <v/>
      </c>
      <c r="X13" s="34" t="n"/>
    </row>
    <row r="14" ht="22" customHeight="1">
      <c r="B14" s="10" t="n">
        <v>10</v>
      </c>
      <c r="C14" s="6" t="inlineStr">
        <is>
          <t>Sidi Kacem</t>
        </is>
      </c>
      <c r="D14" s="10" t="inlineStr">
        <is>
          <t>BIR TALEB</t>
        </is>
      </c>
      <c r="E14" s="10" t="inlineStr">
        <is>
          <t>50-21</t>
        </is>
      </c>
      <c r="F14" s="10" t="inlineStr">
        <is>
          <t>Entretien et réparation des stations de pompage</t>
        </is>
      </c>
      <c r="G14" s="10" t="inlineStr">
        <is>
          <t>Stabilisation Berge oued</t>
        </is>
      </c>
      <c r="H14" s="10" t="inlineStr">
        <is>
          <t>Pose de  gabions et recouvrement du talus par matelas Reno des stations de pompage P11/1.</t>
        </is>
      </c>
      <c r="I14" s="11" t="n">
        <v>480000</v>
      </c>
      <c r="J14" s="12" t="inlineStr">
        <is>
          <t>m³</t>
        </is>
      </c>
      <c r="K14" s="13" t="n">
        <v>320</v>
      </c>
      <c r="L14" s="51" t="n"/>
      <c r="M14" s="56">
        <f>'S31'!M14+L14</f>
        <v/>
      </c>
      <c r="N14" s="57">
        <f>IFERROR(M14/K14,0)</f>
        <v/>
      </c>
      <c r="O14" s="58">
        <f>'S31'!N14</f>
        <v/>
      </c>
      <c r="P14" s="57">
        <f>N14-O14</f>
        <v/>
      </c>
      <c r="Q14" s="32" t="n"/>
      <c r="R14" s="32" t="n"/>
      <c r="S14" s="32" t="n"/>
      <c r="T14" s="55" t="n"/>
      <c r="U14" s="58">
        <f>'S31'!T14</f>
        <v/>
      </c>
      <c r="V14" s="57">
        <f>T14-U14</f>
        <v/>
      </c>
      <c r="W14" s="57">
        <f>N14-T14</f>
        <v/>
      </c>
      <c r="X14" s="34" t="n"/>
    </row>
    <row r="15" ht="22" customHeight="1">
      <c r="B15" s="5" t="n">
        <v>11</v>
      </c>
      <c r="C15" s="6" t="inlineStr">
        <is>
          <t>Sidi Kacem</t>
        </is>
      </c>
      <c r="D15" s="5" t="inlineStr">
        <is>
          <t>BIR TALEB</t>
        </is>
      </c>
      <c r="E15" s="5" t="inlineStr">
        <is>
          <t>50-21</t>
        </is>
      </c>
      <c r="F15" s="5" t="inlineStr">
        <is>
          <t>Entretien et réparation des stations de pompage</t>
        </is>
      </c>
      <c r="G15" s="5" t="inlineStr">
        <is>
          <t>Génie civile des locaux des stations de pompage.</t>
        </is>
      </c>
      <c r="H15" s="5" t="inlineStr">
        <is>
          <t>Expertise d’état et d’étanchéité des locaux pompes.
Renforcement d’étanchéité des locaux pompe sous niveau des oueds des stations de pompage P11/1.
Entretien des supports en béton des conduites d’aspiration.</t>
        </is>
      </c>
      <c r="I15" s="7" t="n">
        <v>300000</v>
      </c>
      <c r="J15" s="8" t="inlineStr">
        <is>
          <t>U</t>
        </is>
      </c>
      <c r="K15" s="9" t="n">
        <v>1</v>
      </c>
      <c r="L15" s="51" t="n"/>
      <c r="M15" s="52">
        <f>'S31'!M15+L15</f>
        <v/>
      </c>
      <c r="N15" s="53">
        <f>IFERROR(M15/K15,0)</f>
        <v/>
      </c>
      <c r="O15" s="54">
        <f>'S31'!N15</f>
        <v/>
      </c>
      <c r="P15" s="53">
        <f>N15-O15</f>
        <v/>
      </c>
      <c r="Q15" s="32" t="n"/>
      <c r="R15" s="32" t="n"/>
      <c r="S15" s="32" t="n"/>
      <c r="T15" s="55" t="n"/>
      <c r="U15" s="54">
        <f>'S31'!T15</f>
        <v/>
      </c>
      <c r="V15" s="53">
        <f>T15-U15</f>
        <v/>
      </c>
      <c r="W15" s="53">
        <f>N15-T15</f>
        <v/>
      </c>
      <c r="X15" s="34" t="n"/>
    </row>
    <row r="16" ht="22" customHeight="1">
      <c r="B16" s="10" t="n">
        <v>12</v>
      </c>
      <c r="C16" s="6" t="inlineStr">
        <is>
          <t>Sidi Kacem</t>
        </is>
      </c>
      <c r="D16" s="10" t="inlineStr">
        <is>
          <t>CHEBANAT</t>
        </is>
      </c>
      <c r="E16" s="10" t="inlineStr">
        <is>
          <t>50-23</t>
        </is>
      </c>
      <c r="F16" s="10" t="inlineStr">
        <is>
          <t>Entretien et réparation du réseau d'assainissement et de drainage</t>
        </is>
      </c>
      <c r="G16" s="10" t="inlineStr">
        <is>
          <t>Travaux de curage des canaux en terre</t>
        </is>
      </c>
      <c r="H16" s="10" t="inlineStr">
        <is>
          <t>Curage des collecteurs d'assainissement des secteur SH5 et SH6.</t>
        </is>
      </c>
      <c r="I16" s="11" t="n">
        <v>1000000</v>
      </c>
      <c r="J16" s="12" t="inlineStr">
        <is>
          <t>ml</t>
        </is>
      </c>
      <c r="K16" s="13" t="n">
        <v>500</v>
      </c>
      <c r="L16" s="51" t="n"/>
      <c r="M16" s="56">
        <f>'S31'!M16+L16</f>
        <v/>
      </c>
      <c r="N16" s="57">
        <f>IFERROR(M16/K16,0)</f>
        <v/>
      </c>
      <c r="O16" s="58">
        <f>'S31'!N16</f>
        <v/>
      </c>
      <c r="P16" s="57">
        <f>N16-O16</f>
        <v/>
      </c>
      <c r="Q16" s="32" t="n"/>
      <c r="R16" s="32" t="n"/>
      <c r="S16" s="32" t="n"/>
      <c r="T16" s="55" t="n"/>
      <c r="U16" s="58">
        <f>'S31'!T16</f>
        <v/>
      </c>
      <c r="V16" s="57">
        <f>T16-U16</f>
        <v/>
      </c>
      <c r="W16" s="57">
        <f>N16-T16</f>
        <v/>
      </c>
      <c r="X16" s="34" t="n"/>
    </row>
    <row r="17" ht="22" customHeight="1">
      <c r="B17" s="5" t="n">
        <v>13</v>
      </c>
      <c r="C17" s="6" t="inlineStr">
        <is>
          <t>Sidi Kacem</t>
        </is>
      </c>
      <c r="D17" s="5" t="inlineStr">
        <is>
          <t>CHEBANAT</t>
        </is>
      </c>
      <c r="E17" s="5" t="inlineStr">
        <is>
          <t>50-23</t>
        </is>
      </c>
      <c r="F17" s="5" t="inlineStr">
        <is>
          <t>Entretien et réparation du réseau d'assainissement et de drainage</t>
        </is>
      </c>
      <c r="G17" s="5" t="inlineStr">
        <is>
          <t>Travaux de curage des canaux révetus</t>
        </is>
      </c>
      <c r="H17" s="5" t="inlineStr">
        <is>
          <t>Curage du canal principal d'irrigation beht partie aval 1.</t>
        </is>
      </c>
      <c r="I17" s="7" t="n">
        <v>739200</v>
      </c>
      <c r="J17" s="8" t="inlineStr">
        <is>
          <t>ml</t>
        </is>
      </c>
      <c r="K17" s="9" t="n">
        <v>370</v>
      </c>
      <c r="L17" s="51" t="n"/>
      <c r="M17" s="52">
        <f>'S31'!M17+L17</f>
        <v/>
      </c>
      <c r="N17" s="53">
        <f>IFERROR(M17/K17,0)</f>
        <v/>
      </c>
      <c r="O17" s="54">
        <f>'S31'!N17</f>
        <v/>
      </c>
      <c r="P17" s="53">
        <f>N17-O17</f>
        <v/>
      </c>
      <c r="Q17" s="32" t="n"/>
      <c r="R17" s="32" t="n"/>
      <c r="S17" s="32" t="n"/>
      <c r="T17" s="55" t="n"/>
      <c r="U17" s="54">
        <f>'S31'!T17</f>
        <v/>
      </c>
      <c r="V17" s="53">
        <f>T17-U17</f>
        <v/>
      </c>
      <c r="W17" s="53">
        <f>N17-T17</f>
        <v/>
      </c>
      <c r="X17" s="34" t="n"/>
    </row>
    <row r="18" ht="22" customHeight="1">
      <c r="B18" s="10" t="n">
        <v>14</v>
      </c>
      <c r="C18" s="6" t="inlineStr">
        <is>
          <t>Sidi Kacem</t>
        </is>
      </c>
      <c r="D18" s="10" t="inlineStr">
        <is>
          <t>ZIRARA</t>
        </is>
      </c>
      <c r="E18" s="10" t="inlineStr">
        <is>
          <t>50-23</t>
        </is>
      </c>
      <c r="F18" s="10" t="inlineStr">
        <is>
          <t>Entretien et réparation du réseau d'assainissement et de drainage</t>
        </is>
      </c>
      <c r="G18" s="10" t="inlineStr">
        <is>
          <t>Travaux de curage des canaux révetus</t>
        </is>
      </c>
      <c r="H18" s="10" t="inlineStr">
        <is>
          <t>Curage du canal principal d'irrigation beht partie aval 2.</t>
        </is>
      </c>
      <c r="I18" s="11" t="n">
        <v>1276800</v>
      </c>
      <c r="J18" s="12" t="inlineStr">
        <is>
          <t>ml</t>
        </is>
      </c>
      <c r="K18" s="13" t="n">
        <v>638</v>
      </c>
      <c r="L18" s="51" t="n"/>
      <c r="M18" s="56">
        <f>'S31'!M18+L18</f>
        <v/>
      </c>
      <c r="N18" s="57">
        <f>IFERROR(M18/K18,0)</f>
        <v/>
      </c>
      <c r="O18" s="58">
        <f>'S31'!N18</f>
        <v/>
      </c>
      <c r="P18" s="57">
        <f>N18-O18</f>
        <v/>
      </c>
      <c r="Q18" s="32" t="n"/>
      <c r="R18" s="32" t="n"/>
      <c r="S18" s="32" t="n"/>
      <c r="T18" s="55" t="n"/>
      <c r="U18" s="58">
        <f>'S31'!T18</f>
        <v/>
      </c>
      <c r="V18" s="57">
        <f>T18-U18</f>
        <v/>
      </c>
      <c r="W18" s="57">
        <f>N18-T18</f>
        <v/>
      </c>
      <c r="X18" s="34" t="n"/>
    </row>
    <row r="19" ht="22" customHeight="1">
      <c r="B19" s="5" t="n">
        <v>15</v>
      </c>
      <c r="C19" s="6" t="inlineStr">
        <is>
          <t>Sidi Kacem</t>
        </is>
      </c>
      <c r="D19" s="5" t="inlineStr">
        <is>
          <t>DAR LAASLOUJI</t>
        </is>
      </c>
      <c r="E19" s="5" t="inlineStr">
        <is>
          <t>50-23</t>
        </is>
      </c>
      <c r="F19" s="5" t="inlineStr">
        <is>
          <t>Entretien et réparation du réseau d'assainissement et de drainage</t>
        </is>
      </c>
      <c r="G19" s="5" t="inlineStr">
        <is>
          <t>Travaux de curage des canaux en terre</t>
        </is>
      </c>
      <c r="H19" s="5" t="inlineStr">
        <is>
          <t>Curage des collecteurs d'assainissement des secteurs P8-1 et P8-2</t>
        </is>
      </c>
      <c r="I19" s="7" t="n">
        <v>5796360</v>
      </c>
      <c r="J19" s="8" t="inlineStr">
        <is>
          <t>ml</t>
        </is>
      </c>
      <c r="K19" s="9" t="n">
        <v>2898</v>
      </c>
      <c r="L19" s="51" t="n"/>
      <c r="M19" s="52">
        <f>'S31'!M19+L19</f>
        <v/>
      </c>
      <c r="N19" s="53">
        <f>IFERROR(M19/K19,0)</f>
        <v/>
      </c>
      <c r="O19" s="54">
        <f>'S31'!N19</f>
        <v/>
      </c>
      <c r="P19" s="53">
        <f>N19-O19</f>
        <v/>
      </c>
      <c r="Q19" s="32" t="n"/>
      <c r="R19" s="32" t="n"/>
      <c r="S19" s="32" t="n"/>
      <c r="T19" s="55" t="n"/>
      <c r="U19" s="54">
        <f>'S31'!T19</f>
        <v/>
      </c>
      <c r="V19" s="53">
        <f>T19-U19</f>
        <v/>
      </c>
      <c r="W19" s="53">
        <f>N19-T19</f>
        <v/>
      </c>
      <c r="X19" s="34" t="n"/>
    </row>
    <row r="20" ht="22" customHeight="1">
      <c r="B20" s="10" t="n">
        <v>16</v>
      </c>
      <c r="C20" s="6" t="inlineStr">
        <is>
          <t>Sidi Kacem</t>
        </is>
      </c>
      <c r="D20" s="10" t="inlineStr">
        <is>
          <t>DAR LAASLOUJI</t>
        </is>
      </c>
      <c r="E20" s="10" t="inlineStr">
        <is>
          <t>40-21</t>
        </is>
      </c>
      <c r="F20" s="10" t="inlineStr">
        <is>
          <t>Travaux de pistes</t>
        </is>
      </c>
      <c r="G20" s="10" t="inlineStr">
        <is>
          <t>Entretien des pistes agricoles</t>
        </is>
      </c>
      <c r="H20" s="10" t="inlineStr">
        <is>
          <t>Entretien des pistes agricoles</t>
        </is>
      </c>
      <c r="I20" s="11" t="n">
        <v>340000</v>
      </c>
      <c r="J20" s="12" t="inlineStr">
        <is>
          <t>km</t>
        </is>
      </c>
      <c r="K20" s="13" t="n">
        <v>1</v>
      </c>
      <c r="L20" s="51" t="n"/>
      <c r="M20" s="56">
        <f>'S31'!M20+L20</f>
        <v/>
      </c>
      <c r="N20" s="57">
        <f>IFERROR(M20/K20,0)</f>
        <v/>
      </c>
      <c r="O20" s="58">
        <f>'S31'!N20</f>
        <v/>
      </c>
      <c r="P20" s="57">
        <f>N20-O20</f>
        <v/>
      </c>
      <c r="Q20" s="32" t="n"/>
      <c r="R20" s="32" t="n"/>
      <c r="S20" s="32" t="n"/>
      <c r="T20" s="55" t="n"/>
      <c r="U20" s="58">
        <f>'S31'!T20</f>
        <v/>
      </c>
      <c r="V20" s="57">
        <f>T20-U20</f>
        <v/>
      </c>
      <c r="W20" s="57">
        <f>N20-T20</f>
        <v/>
      </c>
      <c r="X20" s="34" t="n"/>
    </row>
    <row r="21" ht="22" customHeight="1">
      <c r="B21" s="5" t="n">
        <v>17</v>
      </c>
      <c r="C21" s="6" t="inlineStr">
        <is>
          <t>Sidi Kacem</t>
        </is>
      </c>
      <c r="D21" s="5" t="inlineStr">
        <is>
          <t>HOUAFATE</t>
        </is>
      </c>
      <c r="E21" s="5" t="inlineStr">
        <is>
          <t>20-11</t>
        </is>
      </c>
      <c r="F21" s="5" t="inlineStr">
        <is>
          <t>Travaux de réhabilitation des équipements</t>
        </is>
      </c>
      <c r="G21" s="5" t="inlineStr">
        <is>
          <t>Travaux de réhabilitation des canaux portés d'irrigation</t>
        </is>
      </c>
      <c r="H21" s="5" t="inlineStr">
        <is>
          <t>Fourniture et de pose de canaux porté et accessoires du réseau S3 du secteur S13</t>
        </is>
      </c>
      <c r="I21" s="7" t="n">
        <v>397934</v>
      </c>
      <c r="J21" s="8" t="inlineStr">
        <is>
          <t>ml</t>
        </is>
      </c>
      <c r="K21" s="9" t="n">
        <v>133</v>
      </c>
      <c r="L21" s="51" t="n"/>
      <c r="M21" s="52">
        <f>'S31'!M21+L21</f>
        <v/>
      </c>
      <c r="N21" s="53">
        <f>IFERROR(M21/K21,0)</f>
        <v/>
      </c>
      <c r="O21" s="54">
        <f>'S31'!N21</f>
        <v/>
      </c>
      <c r="P21" s="53">
        <f>N21-O21</f>
        <v/>
      </c>
      <c r="Q21" s="32" t="n"/>
      <c r="R21" s="32" t="n"/>
      <c r="S21" s="32" t="n"/>
      <c r="T21" s="55" t="n"/>
      <c r="U21" s="54">
        <f>'S31'!T21</f>
        <v/>
      </c>
      <c r="V21" s="53">
        <f>T21-U21</f>
        <v/>
      </c>
      <c r="W21" s="53">
        <f>N21-T21</f>
        <v/>
      </c>
      <c r="X21" s="34" t="n"/>
    </row>
    <row r="22" ht="22" customHeight="1">
      <c r="B22" s="10" t="n">
        <v>18</v>
      </c>
      <c r="C22" s="6" t="inlineStr">
        <is>
          <t>Sidi Kacem</t>
        </is>
      </c>
      <c r="D22" s="10" t="inlineStr">
        <is>
          <t>HOUAFATE</t>
        </is>
      </c>
      <c r="E22" s="10" t="inlineStr">
        <is>
          <t>20-11</t>
        </is>
      </c>
      <c r="F22" s="10" t="inlineStr">
        <is>
          <t>Travaux de réhabilitation des équipements</t>
        </is>
      </c>
      <c r="G22" s="10" t="inlineStr"/>
      <c r="H22" s="10" t="inlineStr">
        <is>
          <t>Fourniture et de pose de canaux porté et accessoires du réseau T2S1 du secteur S13</t>
        </is>
      </c>
      <c r="I22" s="11" t="n">
        <v>207575</v>
      </c>
      <c r="J22" s="12" t="inlineStr">
        <is>
          <t>ml</t>
        </is>
      </c>
      <c r="K22" s="13" t="n">
        <v>69</v>
      </c>
      <c r="L22" s="51" t="n"/>
      <c r="M22" s="56">
        <f>'S31'!M22+L22</f>
        <v/>
      </c>
      <c r="N22" s="57">
        <f>IFERROR(M22/K22,0)</f>
        <v/>
      </c>
      <c r="O22" s="58">
        <f>'S31'!N22</f>
        <v/>
      </c>
      <c r="P22" s="57">
        <f>N22-O22</f>
        <v/>
      </c>
      <c r="Q22" s="32" t="n"/>
      <c r="R22" s="32" t="n"/>
      <c r="S22" s="32" t="n"/>
      <c r="T22" s="55" t="n"/>
      <c r="U22" s="58">
        <f>'S31'!T22</f>
        <v/>
      </c>
      <c r="V22" s="57">
        <f>T22-U22</f>
        <v/>
      </c>
      <c r="W22" s="57">
        <f>N22-T22</f>
        <v/>
      </c>
      <c r="X22" s="34" t="n"/>
    </row>
    <row r="23" ht="22" customHeight="1">
      <c r="B23" s="5" t="n">
        <v>19</v>
      </c>
      <c r="C23" s="6" t="inlineStr">
        <is>
          <t>Sidi Kacem</t>
        </is>
      </c>
      <c r="D23" s="5" t="inlineStr">
        <is>
          <t>HOUAFATE</t>
        </is>
      </c>
      <c r="E23" s="5" t="inlineStr">
        <is>
          <t>40-21</t>
        </is>
      </c>
      <c r="F23" s="5" t="inlineStr">
        <is>
          <t>Travaux de pistes</t>
        </is>
      </c>
      <c r="G23" s="5" t="inlineStr">
        <is>
          <t>Entretien des pistes agricoles</t>
        </is>
      </c>
      <c r="H23" s="5" t="inlineStr">
        <is>
          <t>Entretien des pistes agricoles</t>
        </is>
      </c>
      <c r="I23" s="7" t="n">
        <v>2200000</v>
      </c>
      <c r="J23" s="8" t="inlineStr">
        <is>
          <t>km</t>
        </is>
      </c>
      <c r="K23" s="9" t="n">
        <v>4</v>
      </c>
      <c r="L23" s="51" t="n"/>
      <c r="M23" s="52">
        <f>'S31'!M23+L23</f>
        <v/>
      </c>
      <c r="N23" s="53">
        <f>IFERROR(M23/K23,0)</f>
        <v/>
      </c>
      <c r="O23" s="54">
        <f>'S31'!N23</f>
        <v/>
      </c>
      <c r="P23" s="53">
        <f>N23-O23</f>
        <v/>
      </c>
      <c r="Q23" s="32" t="n"/>
      <c r="R23" s="32" t="n"/>
      <c r="S23" s="32" t="n"/>
      <c r="T23" s="55" t="n"/>
      <c r="U23" s="54">
        <f>'S31'!T23</f>
        <v/>
      </c>
      <c r="V23" s="53">
        <f>T23-U23</f>
        <v/>
      </c>
      <c r="W23" s="53">
        <f>N23-T23</f>
        <v/>
      </c>
      <c r="X23" s="34" t="n"/>
    </row>
    <row r="24" ht="22" customHeight="1">
      <c r="B24" s="10" t="n">
        <v>20</v>
      </c>
      <c r="C24" s="6" t="inlineStr">
        <is>
          <t>Sidi Kacem</t>
        </is>
      </c>
      <c r="D24" s="10" t="inlineStr">
        <is>
          <t>HOUAFATE</t>
        </is>
      </c>
      <c r="E24" s="10" t="inlineStr">
        <is>
          <t>50-23</t>
        </is>
      </c>
      <c r="F24" s="10" t="inlineStr">
        <is>
          <t>Entretien et réparation du réseau d'assainissement et de drainage</t>
        </is>
      </c>
      <c r="G24" s="10" t="inlineStr">
        <is>
          <t>Curage des prises sur l’oued, bâche d’aspiration et bassin de régulation.</t>
        </is>
      </c>
      <c r="H24" s="10" t="inlineStr">
        <is>
          <t>Curage des prises sur l’oued de la station de pompage S17 et S13.
Nettoyage des grilles de préfiltration des boues colmaté de la station de pompage S17 et S13.
Curage de la bâche d’aspiration de la station S17 et S13.</t>
        </is>
      </c>
      <c r="I24" s="11" t="n">
        <v>300000</v>
      </c>
      <c r="J24" s="12" t="inlineStr">
        <is>
          <t>ml</t>
        </is>
      </c>
      <c r="K24" s="13" t="n">
        <v>100</v>
      </c>
      <c r="L24" s="51" t="n"/>
      <c r="M24" s="56">
        <f>'S31'!M24+L24</f>
        <v/>
      </c>
      <c r="N24" s="57">
        <f>IFERROR(M24/K24,0)</f>
        <v/>
      </c>
      <c r="O24" s="58">
        <f>'S31'!N24</f>
        <v/>
      </c>
      <c r="P24" s="57">
        <f>N24-O24</f>
        <v/>
      </c>
      <c r="Q24" s="32" t="n"/>
      <c r="R24" s="32" t="n"/>
      <c r="S24" s="32" t="n"/>
      <c r="T24" s="55" t="n"/>
      <c r="U24" s="58">
        <f>'S31'!T24</f>
        <v/>
      </c>
      <c r="V24" s="57">
        <f>T24-U24</f>
        <v/>
      </c>
      <c r="W24" s="57">
        <f>N24-T24</f>
        <v/>
      </c>
      <c r="X24" s="34" t="n"/>
    </row>
    <row r="25" ht="22" customHeight="1">
      <c r="B25" s="5" t="n">
        <v>21</v>
      </c>
      <c r="C25" s="6" t="inlineStr">
        <is>
          <t>Sidi Kacem</t>
        </is>
      </c>
      <c r="D25" s="5" t="inlineStr">
        <is>
          <t>HOUAFATE</t>
        </is>
      </c>
      <c r="E25" s="5" t="inlineStr">
        <is>
          <t>50-21</t>
        </is>
      </c>
      <c r="F25" s="5" t="inlineStr">
        <is>
          <t>Entretien et réparation des stations de pompage</t>
        </is>
      </c>
      <c r="G25" s="5" t="inlineStr">
        <is>
          <t>Prestation de maintenance des débitmètres et leurs équipements annexes installés au niveau des station de pompage</t>
        </is>
      </c>
      <c r="H25" s="5" t="inlineStr">
        <is>
          <t>Changement trois débitmètre Ø 600mm inondés de la station de pompage S13.</t>
        </is>
      </c>
      <c r="I25" s="7" t="n">
        <v>250000</v>
      </c>
      <c r="J25" s="8" t="inlineStr">
        <is>
          <t>U</t>
        </is>
      </c>
      <c r="K25" s="9" t="n">
        <v>3</v>
      </c>
      <c r="L25" s="51" t="n"/>
      <c r="M25" s="52">
        <f>'S31'!M25+L25</f>
        <v/>
      </c>
      <c r="N25" s="53">
        <f>IFERROR(M25/K25,0)</f>
        <v/>
      </c>
      <c r="O25" s="54">
        <f>'S31'!N25</f>
        <v/>
      </c>
      <c r="P25" s="53">
        <f>N25-O25</f>
        <v/>
      </c>
      <c r="Q25" s="32" t="n"/>
      <c r="R25" s="32" t="n"/>
      <c r="S25" s="32" t="n"/>
      <c r="T25" s="55" t="n"/>
      <c r="U25" s="54">
        <f>'S31'!T25</f>
        <v/>
      </c>
      <c r="V25" s="53">
        <f>T25-U25</f>
        <v/>
      </c>
      <c r="W25" s="53">
        <f>N25-T25</f>
        <v/>
      </c>
      <c r="X25" s="34" t="n"/>
    </row>
    <row r="26" ht="22" customHeight="1">
      <c r="B26" s="10" t="n">
        <v>22</v>
      </c>
      <c r="C26" s="6" t="inlineStr">
        <is>
          <t>Sidi Kacem</t>
        </is>
      </c>
      <c r="D26" s="10" t="inlineStr">
        <is>
          <t>HOUAFATE</t>
        </is>
      </c>
      <c r="E26" s="10" t="inlineStr">
        <is>
          <t>50-21</t>
        </is>
      </c>
      <c r="F26" s="10" t="inlineStr">
        <is>
          <t>Entretien et réparation des stations de pompage</t>
        </is>
      </c>
      <c r="G26" s="10" t="inlineStr">
        <is>
          <t>Prestations de maintenance des moteurs électriques des stations de pompage.</t>
        </is>
      </c>
      <c r="H26" s="10" t="inlineStr">
        <is>
          <t>Révision des trois moteurs électriques 200 KW principaux de la station S13. 
Révision des deux moteurs électriques 5,5 KW groupes vide de la station S13.</t>
        </is>
      </c>
      <c r="I26" s="11" t="n">
        <v>25000</v>
      </c>
      <c r="J26" s="12" t="inlineStr">
        <is>
          <t>U</t>
        </is>
      </c>
      <c r="K26" s="13" t="n">
        <v>3</v>
      </c>
      <c r="L26" s="51" t="n"/>
      <c r="M26" s="56">
        <f>'S31'!M26+L26</f>
        <v/>
      </c>
      <c r="N26" s="57">
        <f>IFERROR(M26/K26,0)</f>
        <v/>
      </c>
      <c r="O26" s="58">
        <f>'S31'!N26</f>
        <v/>
      </c>
      <c r="P26" s="57">
        <f>N26-O26</f>
        <v/>
      </c>
      <c r="Q26" s="32" t="n"/>
      <c r="R26" s="32" t="n"/>
      <c r="S26" s="32" t="n"/>
      <c r="T26" s="55" t="n"/>
      <c r="U26" s="58">
        <f>'S31'!T26</f>
        <v/>
      </c>
      <c r="V26" s="57">
        <f>T26-U26</f>
        <v/>
      </c>
      <c r="W26" s="57">
        <f>N26-T26</f>
        <v/>
      </c>
      <c r="X26" s="34" t="n"/>
    </row>
    <row r="27" ht="22" customHeight="1">
      <c r="B27" s="5" t="n">
        <v>23</v>
      </c>
      <c r="C27" s="6" t="inlineStr">
        <is>
          <t>Sidi Kacem</t>
        </is>
      </c>
      <c r="D27" s="5" t="inlineStr">
        <is>
          <t>HOUAFATE</t>
        </is>
      </c>
      <c r="E27" s="5" t="inlineStr">
        <is>
          <t>50-21</t>
        </is>
      </c>
      <c r="F27" s="5" t="inlineStr">
        <is>
          <t>Entretien et réparation des stations de pompage</t>
        </is>
      </c>
      <c r="G27" s="5" t="inlineStr">
        <is>
          <t>Prestations de maintenance et de réparation mécanique des pompes et des groupes motopompes submersibles des stations de pompage.</t>
        </is>
      </c>
      <c r="H27" s="5" t="inlineStr">
        <is>
          <t>Démontage et expertise des roues des  pompes principaux et pompes a vide de la station S13.
Changement des roulements, tresses et organes d’effectués de la station S13.</t>
        </is>
      </c>
      <c r="I27" s="7" t="n">
        <v>38000</v>
      </c>
      <c r="J27" s="8" t="inlineStr">
        <is>
          <t>U</t>
        </is>
      </c>
      <c r="K27" s="9" t="n">
        <v>1</v>
      </c>
      <c r="L27" s="51" t="n"/>
      <c r="M27" s="52">
        <f>'S31'!M27+L27</f>
        <v/>
      </c>
      <c r="N27" s="53">
        <f>IFERROR(M27/K27,0)</f>
        <v/>
      </c>
      <c r="O27" s="54">
        <f>'S31'!N27</f>
        <v/>
      </c>
      <c r="P27" s="53">
        <f>N27-O27</f>
        <v/>
      </c>
      <c r="Q27" s="32" t="n"/>
      <c r="R27" s="32" t="n"/>
      <c r="S27" s="32" t="n"/>
      <c r="T27" s="55" t="n"/>
      <c r="U27" s="54">
        <f>'S31'!T27</f>
        <v/>
      </c>
      <c r="V27" s="53">
        <f>T27-U27</f>
        <v/>
      </c>
      <c r="W27" s="53">
        <f>N27-T27</f>
        <v/>
      </c>
      <c r="X27" s="34" t="n"/>
    </row>
    <row r="28" ht="22" customHeight="1">
      <c r="B28" s="10" t="n">
        <v>24</v>
      </c>
      <c r="C28" s="6" t="inlineStr">
        <is>
          <t>Sidi Kacem</t>
        </is>
      </c>
      <c r="D28" s="10" t="inlineStr">
        <is>
          <t>HOUAFATE</t>
        </is>
      </c>
      <c r="E28" s="10" t="inlineStr">
        <is>
          <t>50-21</t>
        </is>
      </c>
      <c r="F28" s="10" t="inlineStr">
        <is>
          <t>Entretien et réparation des stations de pompage</t>
        </is>
      </c>
      <c r="G28" s="10" t="inlineStr">
        <is>
          <t>Stabilisation Berge oued</t>
        </is>
      </c>
      <c r="H28" s="10" t="inlineStr">
        <is>
          <t>Pose de  gabions et recouvrement du talus par matelas Reno des stations de pompage S13.</t>
        </is>
      </c>
      <c r="I28" s="11" t="n">
        <v>10560000</v>
      </c>
      <c r="J28" s="12" t="inlineStr">
        <is>
          <t>m³</t>
        </is>
      </c>
      <c r="K28" s="13" t="n">
        <v>7040</v>
      </c>
      <c r="L28" s="51" t="n"/>
      <c r="M28" s="56">
        <f>'S31'!M28+L28</f>
        <v/>
      </c>
      <c r="N28" s="57">
        <f>IFERROR(M28/K28,0)</f>
        <v/>
      </c>
      <c r="O28" s="58">
        <f>'S31'!N28</f>
        <v/>
      </c>
      <c r="P28" s="57">
        <f>N28-O28</f>
        <v/>
      </c>
      <c r="Q28" s="32" t="n"/>
      <c r="R28" s="32" t="n"/>
      <c r="S28" s="32" t="n"/>
      <c r="T28" s="55" t="n"/>
      <c r="U28" s="58">
        <f>'S31'!T28</f>
        <v/>
      </c>
      <c r="V28" s="57">
        <f>T28-U28</f>
        <v/>
      </c>
      <c r="W28" s="57">
        <f>N28-T28</f>
        <v/>
      </c>
      <c r="X28" s="34" t="n"/>
    </row>
    <row r="29" ht="22" customHeight="1">
      <c r="B29" s="5" t="n">
        <v>25</v>
      </c>
      <c r="C29" s="6" t="inlineStr">
        <is>
          <t>Sidi Kacem</t>
        </is>
      </c>
      <c r="D29" s="5" t="inlineStr">
        <is>
          <t>HOUAFATE</t>
        </is>
      </c>
      <c r="E29" s="5" t="inlineStr">
        <is>
          <t>50-21</t>
        </is>
      </c>
      <c r="F29" s="5" t="inlineStr">
        <is>
          <t>Entretien et réparation des stations de pompage</t>
        </is>
      </c>
      <c r="G29" s="5" t="inlineStr">
        <is>
          <t>Mur clôture des stations de pompage.</t>
        </is>
      </c>
      <c r="H29" s="5" t="inlineStr">
        <is>
          <t>Stabilisation du sol et reconstruction des murs clôture (270m) cote oued de la station S17.</t>
        </is>
      </c>
      <c r="I29" s="7" t="n">
        <v>144000</v>
      </c>
      <c r="J29" s="8" t="inlineStr">
        <is>
          <t>ml</t>
        </is>
      </c>
      <c r="K29" s="9" t="n">
        <v>270</v>
      </c>
      <c r="L29" s="51" t="n"/>
      <c r="M29" s="52">
        <f>'S31'!M29+L29</f>
        <v/>
      </c>
      <c r="N29" s="53">
        <f>IFERROR(M29/K29,0)</f>
        <v/>
      </c>
      <c r="O29" s="54">
        <f>'S31'!N29</f>
        <v/>
      </c>
      <c r="P29" s="53">
        <f>N29-O29</f>
        <v/>
      </c>
      <c r="Q29" s="32" t="n"/>
      <c r="R29" s="32" t="n"/>
      <c r="S29" s="32" t="n"/>
      <c r="T29" s="55" t="n"/>
      <c r="U29" s="54">
        <f>'S31'!T29</f>
        <v/>
      </c>
      <c r="V29" s="53">
        <f>T29-U29</f>
        <v/>
      </c>
      <c r="W29" s="53">
        <f>N29-T29</f>
        <v/>
      </c>
      <c r="X29" s="34" t="n"/>
    </row>
    <row r="30" ht="22" customHeight="1">
      <c r="B30" s="10" t="n">
        <v>26</v>
      </c>
      <c r="C30" s="6" t="inlineStr">
        <is>
          <t>Sidi Kacem</t>
        </is>
      </c>
      <c r="D30" s="10" t="inlineStr">
        <is>
          <t>HOUAFATE</t>
        </is>
      </c>
      <c r="E30" s="10" t="inlineStr">
        <is>
          <t>50-21</t>
        </is>
      </c>
      <c r="F30" s="10" t="inlineStr">
        <is>
          <t>Entretien et réparation des stations de pompage</t>
        </is>
      </c>
      <c r="G30" s="10" t="inlineStr">
        <is>
          <t>Génie civile des locaux des stations de pompage.</t>
        </is>
      </c>
      <c r="H30" s="10" t="inlineStr">
        <is>
          <t>Expertise d’état et d’étanchéité des locaux pompes, commande, puissance des stations de pompage S17 et S13.
Renforcement d’étanchéité des locaux pompe sous niveau des oueds des stations de pompage S17 et S13.</t>
        </is>
      </c>
      <c r="I30" s="11" t="n">
        <v>800000</v>
      </c>
      <c r="J30" s="12" t="inlineStr">
        <is>
          <t>U</t>
        </is>
      </c>
      <c r="K30" s="13" t="n">
        <v>1</v>
      </c>
      <c r="L30" s="51" t="n"/>
      <c r="M30" s="56">
        <f>'S31'!M30+L30</f>
        <v/>
      </c>
      <c r="N30" s="57">
        <f>IFERROR(M30/K30,0)</f>
        <v/>
      </c>
      <c r="O30" s="58">
        <f>'S31'!N30</f>
        <v/>
      </c>
      <c r="P30" s="57">
        <f>N30-O30</f>
        <v/>
      </c>
      <c r="Q30" s="32" t="n"/>
      <c r="R30" s="32" t="n"/>
      <c r="S30" s="32" t="n"/>
      <c r="T30" s="55" t="n"/>
      <c r="U30" s="58">
        <f>'S31'!T30</f>
        <v/>
      </c>
      <c r="V30" s="57">
        <f>T30-U30</f>
        <v/>
      </c>
      <c r="W30" s="57">
        <f>N30-T30</f>
        <v/>
      </c>
      <c r="X30" s="34" t="n"/>
    </row>
    <row r="31" ht="22" customHeight="1">
      <c r="B31" s="5" t="n">
        <v>27</v>
      </c>
      <c r="C31" s="6" t="inlineStr">
        <is>
          <t>Sidi Kacem</t>
        </is>
      </c>
      <c r="D31" s="5" t="inlineStr">
        <is>
          <t>NOUIRAT</t>
        </is>
      </c>
      <c r="E31" s="5" t="inlineStr">
        <is>
          <t>50-23</t>
        </is>
      </c>
      <c r="F31" s="5" t="inlineStr">
        <is>
          <t>Entretien et réparation du réseau d'assainissement et de drainage</t>
        </is>
      </c>
      <c r="G31" s="5" t="inlineStr">
        <is>
          <t>Travaux de curage des canaux en terre</t>
        </is>
      </c>
      <c r="H31" s="5" t="inlineStr">
        <is>
          <t>Curage des collecteurs d'assainissement des secteurs EST1 et N5</t>
        </is>
      </c>
      <c r="I31" s="7" t="n">
        <v>1733306</v>
      </c>
      <c r="J31" s="8" t="inlineStr">
        <is>
          <t>ml</t>
        </is>
      </c>
      <c r="K31" s="9" t="n">
        <v>867</v>
      </c>
      <c r="L31" s="51" t="n"/>
      <c r="M31" s="52">
        <f>'S31'!M31+L31</f>
        <v/>
      </c>
      <c r="N31" s="53">
        <f>IFERROR(M31/K31,0)</f>
        <v/>
      </c>
      <c r="O31" s="54">
        <f>'S31'!N31</f>
        <v/>
      </c>
      <c r="P31" s="53">
        <f>N31-O31</f>
        <v/>
      </c>
      <c r="Q31" s="32" t="n"/>
      <c r="R31" s="32" t="n"/>
      <c r="S31" s="32" t="n"/>
      <c r="T31" s="55" t="n"/>
      <c r="U31" s="54">
        <f>'S31'!T31</f>
        <v/>
      </c>
      <c r="V31" s="53">
        <f>T31-U31</f>
        <v/>
      </c>
      <c r="W31" s="53">
        <f>N31-T31</f>
        <v/>
      </c>
      <c r="X31" s="34" t="n"/>
    </row>
    <row r="32" ht="22" customHeight="1">
      <c r="B32" s="10" t="n">
        <v>28</v>
      </c>
      <c r="C32" s="6" t="inlineStr">
        <is>
          <t>Sidi Kacem</t>
        </is>
      </c>
      <c r="D32" s="10" t="inlineStr">
        <is>
          <t>NOUIRAT</t>
        </is>
      </c>
      <c r="E32" s="10" t="inlineStr">
        <is>
          <t>40-21</t>
        </is>
      </c>
      <c r="F32" s="10" t="inlineStr">
        <is>
          <t>Travaux de pistes</t>
        </is>
      </c>
      <c r="G32" s="10" t="inlineStr">
        <is>
          <t>Entretien des pistes agricoles</t>
        </is>
      </c>
      <c r="H32" s="10" t="inlineStr">
        <is>
          <t>Entretien des pistes agricoles</t>
        </is>
      </c>
      <c r="I32" s="11" t="n">
        <v>670000</v>
      </c>
      <c r="J32" s="12" t="inlineStr">
        <is>
          <t>km</t>
        </is>
      </c>
      <c r="K32" s="13" t="n">
        <v>1</v>
      </c>
      <c r="L32" s="51" t="n"/>
      <c r="M32" s="56">
        <f>'S31'!M32+L32</f>
        <v/>
      </c>
      <c r="N32" s="57">
        <f>IFERROR(M32/K32,0)</f>
        <v/>
      </c>
      <c r="O32" s="58">
        <f>'S31'!N32</f>
        <v/>
      </c>
      <c r="P32" s="57">
        <f>N32-O32</f>
        <v/>
      </c>
      <c r="Q32" s="32" t="n"/>
      <c r="R32" s="32" t="n"/>
      <c r="S32" s="32" t="n"/>
      <c r="T32" s="55" t="n"/>
      <c r="U32" s="58">
        <f>'S31'!T32</f>
        <v/>
      </c>
      <c r="V32" s="57">
        <f>T32-U32</f>
        <v/>
      </c>
      <c r="W32" s="57">
        <f>N32-T32</f>
        <v/>
      </c>
      <c r="X32" s="34" t="n"/>
    </row>
    <row r="33" ht="22" customHeight="1">
      <c r="B33" s="5" t="n">
        <v>29</v>
      </c>
      <c r="C33" s="6" t="inlineStr">
        <is>
          <t>Sidi Kacem</t>
        </is>
      </c>
      <c r="D33" s="5" t="inlineStr">
        <is>
          <t>NOUIRAT</t>
        </is>
      </c>
      <c r="E33" s="5" t="inlineStr">
        <is>
          <t>20-11</t>
        </is>
      </c>
      <c r="F33" s="5" t="inlineStr">
        <is>
          <t>Travaux de réhabilitation des équipements</t>
        </is>
      </c>
      <c r="G33" s="5" t="inlineStr">
        <is>
          <t>Travaux de réhabilitation des ouvrages de génie civil</t>
        </is>
      </c>
      <c r="H33" s="5" t="inlineStr">
        <is>
          <t>Réhabilitation de l'ouvrage( genie civil ,gabiollannage,clapet anti retour et buse) de l'ouvrage de débouche SE1</t>
        </is>
      </c>
      <c r="I33" s="7" t="n">
        <v>2500000</v>
      </c>
      <c r="J33" s="8" t="inlineStr">
        <is>
          <t>U</t>
        </is>
      </c>
      <c r="K33" s="9" t="n">
        <v>5</v>
      </c>
      <c r="L33" s="51" t="n"/>
      <c r="M33" s="52">
        <f>'S31'!M33+L33</f>
        <v/>
      </c>
      <c r="N33" s="53">
        <f>IFERROR(M33/K33,0)</f>
        <v/>
      </c>
      <c r="O33" s="54">
        <f>'S31'!N33</f>
        <v/>
      </c>
      <c r="P33" s="53">
        <f>N33-O33</f>
        <v/>
      </c>
      <c r="Q33" s="32" t="n"/>
      <c r="R33" s="32" t="n"/>
      <c r="S33" s="32" t="n"/>
      <c r="T33" s="55" t="n"/>
      <c r="U33" s="54">
        <f>'S31'!T33</f>
        <v/>
      </c>
      <c r="V33" s="53">
        <f>T33-U33</f>
        <v/>
      </c>
      <c r="W33" s="53">
        <f>N33-T33</f>
        <v/>
      </c>
      <c r="X33" s="34" t="n"/>
    </row>
    <row r="34" ht="22" customHeight="1">
      <c r="B34" s="10" t="n">
        <v>30</v>
      </c>
      <c r="C34" s="6" t="inlineStr">
        <is>
          <t>Sidi Kacem</t>
        </is>
      </c>
      <c r="D34" s="10" t="inlineStr">
        <is>
          <t>NOUIRAT</t>
        </is>
      </c>
      <c r="E34" s="10" t="inlineStr">
        <is>
          <t>50-23</t>
        </is>
      </c>
      <c r="F34" s="10" t="inlineStr">
        <is>
          <t>Entretien et réparation du réseau d'assainissement et de drainage</t>
        </is>
      </c>
      <c r="G34" s="10" t="inlineStr">
        <is>
          <t>Curage des prises sur l’oued, bâche d’aspiration et bassin de régulation.</t>
        </is>
      </c>
      <c r="H34" s="10" t="inlineStr">
        <is>
          <t>Curage des prises sur l’oued de la station de pompage E1.
Nettoyage des grilles de préfiltration des boues colmaté de la station de pompage E1.
Curage de la bâche d’aspiration de la station E1.</t>
        </is>
      </c>
      <c r="I34" s="11" t="n">
        <v>800000</v>
      </c>
      <c r="J34" s="12" t="inlineStr">
        <is>
          <t>ml</t>
        </is>
      </c>
      <c r="K34" s="13" t="n">
        <v>267</v>
      </c>
      <c r="L34" s="51" t="n"/>
      <c r="M34" s="56">
        <f>'S31'!M34+L34</f>
        <v/>
      </c>
      <c r="N34" s="57">
        <f>IFERROR(M34/K34,0)</f>
        <v/>
      </c>
      <c r="O34" s="58">
        <f>'S31'!N34</f>
        <v/>
      </c>
      <c r="P34" s="57">
        <f>N34-O34</f>
        <v/>
      </c>
      <c r="Q34" s="32" t="n"/>
      <c r="R34" s="32" t="n"/>
      <c r="S34" s="32" t="n"/>
      <c r="T34" s="55" t="n"/>
      <c r="U34" s="58">
        <f>'S31'!T34</f>
        <v/>
      </c>
      <c r="V34" s="57">
        <f>T34-U34</f>
        <v/>
      </c>
      <c r="W34" s="57">
        <f>N34-T34</f>
        <v/>
      </c>
      <c r="X34" s="34" t="n"/>
    </row>
    <row r="35" ht="22" customHeight="1">
      <c r="B35" s="5" t="n">
        <v>31</v>
      </c>
      <c r="C35" s="6" t="inlineStr">
        <is>
          <t>Sidi Kacem</t>
        </is>
      </c>
      <c r="D35" s="5" t="inlineStr">
        <is>
          <t>NOUIRAT</t>
        </is>
      </c>
      <c r="E35" s="5" t="inlineStr">
        <is>
          <t>50-21</t>
        </is>
      </c>
      <c r="F35" s="5" t="inlineStr">
        <is>
          <t>Entretien et réparation des stations de pompage</t>
        </is>
      </c>
      <c r="G35" s="5" t="inlineStr">
        <is>
          <t>Prestation de maintenance des débitmètres et leurs équipements annexes installés au niveau des station de pompage</t>
        </is>
      </c>
      <c r="H35" s="5" t="inlineStr">
        <is>
          <t>Changement du débitmètre Ø 1200mm inondé de la station de pompage E1.</t>
        </is>
      </c>
      <c r="I35" s="7" t="n">
        <v>195000</v>
      </c>
      <c r="J35" s="8" t="inlineStr">
        <is>
          <t>U</t>
        </is>
      </c>
      <c r="K35" s="9" t="n">
        <v>2</v>
      </c>
      <c r="L35" s="51" t="n"/>
      <c r="M35" s="52">
        <f>'S31'!M35+L35</f>
        <v/>
      </c>
      <c r="N35" s="53">
        <f>IFERROR(M35/K35,0)</f>
        <v/>
      </c>
      <c r="O35" s="54">
        <f>'S31'!N35</f>
        <v/>
      </c>
      <c r="P35" s="53">
        <f>N35-O35</f>
        <v/>
      </c>
      <c r="Q35" s="32" t="n"/>
      <c r="R35" s="32" t="n"/>
      <c r="S35" s="32" t="n"/>
      <c r="T35" s="55" t="n"/>
      <c r="U35" s="54">
        <f>'S31'!T35</f>
        <v/>
      </c>
      <c r="V35" s="53">
        <f>T35-U35</f>
        <v/>
      </c>
      <c r="W35" s="53">
        <f>N35-T35</f>
        <v/>
      </c>
      <c r="X35" s="34" t="n"/>
    </row>
    <row r="36" ht="22" customHeight="1">
      <c r="B36" s="10" t="n">
        <v>32</v>
      </c>
      <c r="C36" s="6" t="inlineStr">
        <is>
          <t>Sidi Kacem</t>
        </is>
      </c>
      <c r="D36" s="10" t="inlineStr">
        <is>
          <t>NOUIRAT</t>
        </is>
      </c>
      <c r="E36" s="10" t="inlineStr">
        <is>
          <t>50-21</t>
        </is>
      </c>
      <c r="F36" s="10" t="inlineStr">
        <is>
          <t>Entretien et réparation des stations de pompage</t>
        </is>
      </c>
      <c r="G36" s="10" t="inlineStr">
        <is>
          <t>Prestations de maintenance des moteurs électriques des stations de pompage.</t>
        </is>
      </c>
      <c r="H36" s="10" t="inlineStr">
        <is>
          <t>Révision des deux moteurs électriques principaux de la station E1.</t>
        </is>
      </c>
      <c r="I36" s="11" t="n">
        <v>50000</v>
      </c>
      <c r="J36" s="12" t="inlineStr">
        <is>
          <t>U</t>
        </is>
      </c>
      <c r="K36" s="13" t="n">
        <v>2</v>
      </c>
      <c r="L36" s="51" t="n"/>
      <c r="M36" s="56">
        <f>'S31'!M36+L36</f>
        <v/>
      </c>
      <c r="N36" s="57">
        <f>IFERROR(M36/K36,0)</f>
        <v/>
      </c>
      <c r="O36" s="58">
        <f>'S31'!N36</f>
        <v/>
      </c>
      <c r="P36" s="57">
        <f>N36-O36</f>
        <v/>
      </c>
      <c r="Q36" s="32" t="n"/>
      <c r="R36" s="32" t="n"/>
      <c r="S36" s="32" t="n"/>
      <c r="T36" s="55" t="n"/>
      <c r="U36" s="58">
        <f>'S31'!T36</f>
        <v/>
      </c>
      <c r="V36" s="57">
        <f>T36-U36</f>
        <v/>
      </c>
      <c r="W36" s="57">
        <f>N36-T36</f>
        <v/>
      </c>
      <c r="X36" s="34" t="n"/>
    </row>
    <row r="37" ht="22" customHeight="1">
      <c r="B37" s="5" t="n">
        <v>33</v>
      </c>
      <c r="C37" s="6" t="inlineStr">
        <is>
          <t>Sidi Kacem</t>
        </is>
      </c>
      <c r="D37" s="5" t="inlineStr">
        <is>
          <t>NOUIRAT</t>
        </is>
      </c>
      <c r="E37" s="5" t="inlineStr">
        <is>
          <t>50-21</t>
        </is>
      </c>
      <c r="F37" s="5" t="inlineStr">
        <is>
          <t>Entretien et réparation des stations de pompage</t>
        </is>
      </c>
      <c r="G37" s="5" t="inlineStr">
        <is>
          <t>Prestations de maintenance et de réparation mécanique des pompes et des groupes motopompes submersibles des stations de pompage.</t>
        </is>
      </c>
      <c r="H37" s="5" t="inlineStr">
        <is>
          <t>Démontage et expertise des cinq pompes principaux et pompes a vide de la station E1.
Changement des roulements, tresses et organes d’effectués de la station E1.</t>
        </is>
      </c>
      <c r="I37" s="7" t="n">
        <v>245000</v>
      </c>
      <c r="J37" s="8" t="inlineStr">
        <is>
          <t>U</t>
        </is>
      </c>
      <c r="K37" s="9" t="n">
        <v>5</v>
      </c>
      <c r="L37" s="51" t="n"/>
      <c r="M37" s="52">
        <f>'S31'!M37+L37</f>
        <v/>
      </c>
      <c r="N37" s="53">
        <f>IFERROR(M37/K37,0)</f>
        <v/>
      </c>
      <c r="O37" s="54">
        <f>'S31'!N37</f>
        <v/>
      </c>
      <c r="P37" s="53">
        <f>N37-O37</f>
        <v/>
      </c>
      <c r="Q37" s="32" t="n"/>
      <c r="R37" s="32" t="n"/>
      <c r="S37" s="32" t="n"/>
      <c r="T37" s="55" t="n"/>
      <c r="U37" s="54">
        <f>'S31'!T37</f>
        <v/>
      </c>
      <c r="V37" s="53">
        <f>T37-U37</f>
        <v/>
      </c>
      <c r="W37" s="53">
        <f>N37-T37</f>
        <v/>
      </c>
      <c r="X37" s="34" t="n"/>
    </row>
    <row r="38" ht="22" customHeight="1">
      <c r="B38" s="10" t="n">
        <v>34</v>
      </c>
      <c r="C38" s="6" t="inlineStr">
        <is>
          <t>Sidi Kacem</t>
        </is>
      </c>
      <c r="D38" s="10" t="inlineStr">
        <is>
          <t>NOUIRAT</t>
        </is>
      </c>
      <c r="E38" s="10" t="inlineStr">
        <is>
          <t>50-21</t>
        </is>
      </c>
      <c r="F38" s="10" t="inlineStr">
        <is>
          <t>Entretien et réparation des stations de pompage</t>
        </is>
      </c>
      <c r="G38" s="10" t="inlineStr">
        <is>
          <t>Génie civile des locaux des stations de pompage.</t>
        </is>
      </c>
      <c r="H38" s="10" t="inlineStr">
        <is>
          <t>Expertise d’état et d’étanchéité des locaux pompes, commande, puissance de la station de pompage E1.
Renforcement d’étanchéité des locaux pompe sous niveau des oueds de la station de pompage E1.</t>
        </is>
      </c>
      <c r="I38" s="11" t="n">
        <v>1000000</v>
      </c>
      <c r="J38" s="12" t="inlineStr">
        <is>
          <t>U</t>
        </is>
      </c>
      <c r="K38" s="13" t="n">
        <v>1</v>
      </c>
      <c r="L38" s="51" t="n"/>
      <c r="M38" s="56">
        <f>'S31'!M38+L38</f>
        <v/>
      </c>
      <c r="N38" s="57">
        <f>IFERROR(M38/K38,0)</f>
        <v/>
      </c>
      <c r="O38" s="58">
        <f>'S31'!N38</f>
        <v/>
      </c>
      <c r="P38" s="57">
        <f>N38-O38</f>
        <v/>
      </c>
      <c r="Q38" s="32" t="n"/>
      <c r="R38" s="32" t="n"/>
      <c r="S38" s="32" t="n"/>
      <c r="T38" s="55" t="n"/>
      <c r="U38" s="58">
        <f>'S31'!T38</f>
        <v/>
      </c>
      <c r="V38" s="57">
        <f>T38-U38</f>
        <v/>
      </c>
      <c r="W38" s="57">
        <f>N38-T38</f>
        <v/>
      </c>
      <c r="X38" s="34" t="n"/>
    </row>
    <row r="39" ht="22" customHeight="1">
      <c r="B39" s="5" t="n">
        <v>35</v>
      </c>
      <c r="C39" s="6" t="inlineStr">
        <is>
          <t>Sidi Kacem</t>
        </is>
      </c>
      <c r="D39" s="5" t="inlineStr">
        <is>
          <t>RMILAT</t>
        </is>
      </c>
      <c r="E39" s="5" t="inlineStr">
        <is>
          <t>50-23</t>
        </is>
      </c>
      <c r="F39" s="5" t="inlineStr">
        <is>
          <t>Entretien et réparation du réseau d'assainissement et de drainage</t>
        </is>
      </c>
      <c r="G39" s="5" t="inlineStr">
        <is>
          <t>Travaux de curage des canaux en terre</t>
        </is>
      </c>
      <c r="H39" s="5" t="inlineStr">
        <is>
          <t>Curage des collecteurs d'assainissement des secteurs P7</t>
        </is>
      </c>
      <c r="I39" s="7" t="n">
        <v>5024032</v>
      </c>
      <c r="J39" s="8" t="inlineStr">
        <is>
          <t>ml</t>
        </is>
      </c>
      <c r="K39" s="9" t="n">
        <v>2512</v>
      </c>
      <c r="L39" s="51" t="n"/>
      <c r="M39" s="52">
        <f>'S31'!M39+L39</f>
        <v/>
      </c>
      <c r="N39" s="53">
        <f>IFERROR(M39/K39,0)</f>
        <v/>
      </c>
      <c r="O39" s="54">
        <f>'S31'!N39</f>
        <v/>
      </c>
      <c r="P39" s="53">
        <f>N39-O39</f>
        <v/>
      </c>
      <c r="Q39" s="32" t="n"/>
      <c r="R39" s="32" t="n"/>
      <c r="S39" s="32" t="n"/>
      <c r="T39" s="55" t="n"/>
      <c r="U39" s="54">
        <f>'S31'!T39</f>
        <v/>
      </c>
      <c r="V39" s="53">
        <f>T39-U39</f>
        <v/>
      </c>
      <c r="W39" s="53">
        <f>N39-T39</f>
        <v/>
      </c>
      <c r="X39" s="34" t="n"/>
    </row>
    <row r="40" ht="22" customHeight="1">
      <c r="B40" s="10" t="n">
        <v>36</v>
      </c>
      <c r="C40" s="6" t="inlineStr">
        <is>
          <t>Sidi Kacem</t>
        </is>
      </c>
      <c r="D40" s="10" t="inlineStr">
        <is>
          <t>RMILAT</t>
        </is>
      </c>
      <c r="E40" s="10" t="inlineStr">
        <is>
          <t>40-21</t>
        </is>
      </c>
      <c r="F40" s="10" t="inlineStr">
        <is>
          <t>Travaux de pistes</t>
        </is>
      </c>
      <c r="G40" s="10" t="inlineStr">
        <is>
          <t>Entretien des pistes agricoles</t>
        </is>
      </c>
      <c r="H40" s="10" t="inlineStr">
        <is>
          <t>Entretien des pistes agricoles</t>
        </is>
      </c>
      <c r="I40" s="11" t="n">
        <v>400000</v>
      </c>
      <c r="J40" s="12" t="inlineStr">
        <is>
          <t>km</t>
        </is>
      </c>
      <c r="K40" s="13" t="n">
        <v>1</v>
      </c>
      <c r="L40" s="51" t="n"/>
      <c r="M40" s="56">
        <f>'S31'!M40+L40</f>
        <v/>
      </c>
      <c r="N40" s="57">
        <f>IFERROR(M40/K40,0)</f>
        <v/>
      </c>
      <c r="O40" s="58">
        <f>'S31'!N40</f>
        <v/>
      </c>
      <c r="P40" s="57">
        <f>N40-O40</f>
        <v/>
      </c>
      <c r="Q40" s="32" t="n"/>
      <c r="R40" s="32" t="n"/>
      <c r="S40" s="32" t="n"/>
      <c r="T40" s="55" t="n"/>
      <c r="U40" s="58">
        <f>'S31'!T40</f>
        <v/>
      </c>
      <c r="V40" s="57">
        <f>T40-U40</f>
        <v/>
      </c>
      <c r="W40" s="57">
        <f>N40-T40</f>
        <v/>
      </c>
      <c r="X40" s="34" t="n"/>
    </row>
    <row r="41" ht="22" customHeight="1">
      <c r="B41" s="5" t="n">
        <v>37</v>
      </c>
      <c r="C41" s="6" t="inlineStr">
        <is>
          <t>Sidi Kacem</t>
        </is>
      </c>
      <c r="D41" s="5" t="inlineStr">
        <is>
          <t>SAFSAF</t>
        </is>
      </c>
      <c r="E41" s="5" t="inlineStr">
        <is>
          <t>50-23</t>
        </is>
      </c>
      <c r="F41" s="5" t="inlineStr">
        <is>
          <t>Entretien et réparation du réseau d'assainissement et de drainage</t>
        </is>
      </c>
      <c r="G41" s="5" t="inlineStr">
        <is>
          <t>Travaux de curage des canaux en terre</t>
        </is>
      </c>
      <c r="H41" s="5" t="inlineStr">
        <is>
          <t>Curage des collecteurs d'assainissement des secteurs S7, S9 et S11</t>
        </is>
      </c>
      <c r="I41" s="7" t="n">
        <v>6000000</v>
      </c>
      <c r="J41" s="8" t="inlineStr">
        <is>
          <t>ml</t>
        </is>
      </c>
      <c r="K41" s="9" t="n">
        <v>3000</v>
      </c>
      <c r="L41" s="51" t="n"/>
      <c r="M41" s="52">
        <f>'S31'!M41+L41</f>
        <v/>
      </c>
      <c r="N41" s="53">
        <f>IFERROR(M41/K41,0)</f>
        <v/>
      </c>
      <c r="O41" s="54">
        <f>'S31'!N41</f>
        <v/>
      </c>
      <c r="P41" s="53">
        <f>N41-O41</f>
        <v/>
      </c>
      <c r="Q41" s="32" t="n"/>
      <c r="R41" s="32" t="n"/>
      <c r="S41" s="32" t="n"/>
      <c r="T41" s="55" t="n"/>
      <c r="U41" s="54">
        <f>'S31'!T41</f>
        <v/>
      </c>
      <c r="V41" s="53">
        <f>T41-U41</f>
        <v/>
      </c>
      <c r="W41" s="53">
        <f>N41-T41</f>
        <v/>
      </c>
      <c r="X41" s="34" t="n"/>
    </row>
    <row r="42" ht="22" customHeight="1">
      <c r="B42" s="10" t="n">
        <v>38</v>
      </c>
      <c r="C42" s="6" t="inlineStr">
        <is>
          <t>Sidi Kacem</t>
        </is>
      </c>
      <c r="D42" s="10" t="inlineStr">
        <is>
          <t>SAFSAF</t>
        </is>
      </c>
      <c r="E42" s="10" t="inlineStr">
        <is>
          <t>20-11</t>
        </is>
      </c>
      <c r="F42" s="10" t="inlineStr">
        <is>
          <t>Travaux de réhabilitation des équipements</t>
        </is>
      </c>
      <c r="G42" s="10" t="inlineStr">
        <is>
          <t>Travaux de réhabilitation des canaux portés d'irrigation</t>
        </is>
      </c>
      <c r="H42" s="10" t="inlineStr">
        <is>
          <t>Fourniture et  pose de canaux porté et accessoires du réseau S4 du secteur S11</t>
        </is>
      </c>
      <c r="I42" s="11" t="n">
        <v>232266</v>
      </c>
      <c r="J42" s="12" t="inlineStr">
        <is>
          <t>ml</t>
        </is>
      </c>
      <c r="K42" s="13" t="n">
        <v>77</v>
      </c>
      <c r="L42" s="51" t="n"/>
      <c r="M42" s="56">
        <f>'S31'!M42+L42</f>
        <v/>
      </c>
      <c r="N42" s="57">
        <f>IFERROR(M42/K42,0)</f>
        <v/>
      </c>
      <c r="O42" s="58">
        <f>'S31'!N42</f>
        <v/>
      </c>
      <c r="P42" s="57">
        <f>N42-O42</f>
        <v/>
      </c>
      <c r="Q42" s="32" t="n"/>
      <c r="R42" s="32" t="n"/>
      <c r="S42" s="32" t="n"/>
      <c r="T42" s="55" t="n"/>
      <c r="U42" s="58">
        <f>'S31'!T42</f>
        <v/>
      </c>
      <c r="V42" s="57">
        <f>T42-U42</f>
        <v/>
      </c>
      <c r="W42" s="57">
        <f>N42-T42</f>
        <v/>
      </c>
      <c r="X42" s="34" t="n"/>
    </row>
    <row r="43" ht="22" customHeight="1">
      <c r="B43" s="5" t="n">
        <v>39</v>
      </c>
      <c r="C43" s="6" t="inlineStr">
        <is>
          <t>Sidi Kacem</t>
        </is>
      </c>
      <c r="D43" s="5" t="inlineStr">
        <is>
          <t>SAFSAF</t>
        </is>
      </c>
      <c r="E43" s="5" t="inlineStr">
        <is>
          <t>20-11</t>
        </is>
      </c>
      <c r="F43" s="5" t="inlineStr">
        <is>
          <t>Travaux de réhabilitation des équipements</t>
        </is>
      </c>
      <c r="G43" s="5" t="inlineStr"/>
      <c r="H43" s="5" t="inlineStr">
        <is>
          <t>Recalage des canaux portés du réseau T5S5 du secteur S9</t>
        </is>
      </c>
      <c r="I43" s="7" t="n">
        <v>1055025</v>
      </c>
      <c r="J43" s="8" t="inlineStr">
        <is>
          <t>ml</t>
        </is>
      </c>
      <c r="K43" s="9" t="n">
        <v>352</v>
      </c>
      <c r="L43" s="51" t="n"/>
      <c r="M43" s="52">
        <f>'S31'!M43+L43</f>
        <v/>
      </c>
      <c r="N43" s="53">
        <f>IFERROR(M43/K43,0)</f>
        <v/>
      </c>
      <c r="O43" s="54">
        <f>'S31'!N43</f>
        <v/>
      </c>
      <c r="P43" s="53">
        <f>N43-O43</f>
        <v/>
      </c>
      <c r="Q43" s="32" t="n"/>
      <c r="R43" s="32" t="n"/>
      <c r="S43" s="32" t="n"/>
      <c r="T43" s="55" t="n"/>
      <c r="U43" s="54">
        <f>'S31'!T43</f>
        <v/>
      </c>
      <c r="V43" s="53">
        <f>T43-U43</f>
        <v/>
      </c>
      <c r="W43" s="53">
        <f>N43-T43</f>
        <v/>
      </c>
      <c r="X43" s="34" t="n"/>
    </row>
    <row r="44" ht="22" customHeight="1">
      <c r="B44" s="10" t="n">
        <v>40</v>
      </c>
      <c r="C44" s="6" t="inlineStr">
        <is>
          <t>Sidi Kacem</t>
        </is>
      </c>
      <c r="D44" s="10" t="inlineStr">
        <is>
          <t>SAFSAF</t>
        </is>
      </c>
      <c r="E44" s="10" t="inlineStr">
        <is>
          <t>20-11</t>
        </is>
      </c>
      <c r="F44" s="10" t="inlineStr">
        <is>
          <t>Travaux de réhabilitation des équipements</t>
        </is>
      </c>
      <c r="G44" s="10" t="inlineStr"/>
      <c r="H44" s="10" t="inlineStr">
        <is>
          <t>Recalage des canaux portés du réseau T7S5 du secteur S9</t>
        </is>
      </c>
      <c r="I44" s="11" t="n">
        <v>1004535</v>
      </c>
      <c r="J44" s="12" t="inlineStr">
        <is>
          <t>ml</t>
        </is>
      </c>
      <c r="K44" s="13" t="n">
        <v>335</v>
      </c>
      <c r="L44" s="51" t="n"/>
      <c r="M44" s="56">
        <f>'S31'!M44+L44</f>
        <v/>
      </c>
      <c r="N44" s="57">
        <f>IFERROR(M44/K44,0)</f>
        <v/>
      </c>
      <c r="O44" s="58">
        <f>'S31'!N44</f>
        <v/>
      </c>
      <c r="P44" s="57">
        <f>N44-O44</f>
        <v/>
      </c>
      <c r="Q44" s="32" t="n"/>
      <c r="R44" s="32" t="n"/>
      <c r="S44" s="32" t="n"/>
      <c r="T44" s="55" t="n"/>
      <c r="U44" s="58">
        <f>'S31'!T44</f>
        <v/>
      </c>
      <c r="V44" s="57">
        <f>T44-U44</f>
        <v/>
      </c>
      <c r="W44" s="57">
        <f>N44-T44</f>
        <v/>
      </c>
      <c r="X44" s="34" t="n"/>
    </row>
    <row r="45" ht="22" customHeight="1">
      <c r="B45" s="5" t="n">
        <v>41</v>
      </c>
      <c r="C45" s="6" t="inlineStr">
        <is>
          <t>Sidi Kacem</t>
        </is>
      </c>
      <c r="D45" s="5" t="inlineStr">
        <is>
          <t>SAFSAF</t>
        </is>
      </c>
      <c r="E45" s="5" t="inlineStr">
        <is>
          <t>20-11</t>
        </is>
      </c>
      <c r="F45" s="5" t="inlineStr">
        <is>
          <t>Travaux de réhabilitation des équipements</t>
        </is>
      </c>
      <c r="G45" s="5" t="inlineStr"/>
      <c r="H45" s="5" t="inlineStr">
        <is>
          <t>Recalage des canaux portés du réseau T2S5 du secteur S9</t>
        </is>
      </c>
      <c r="I45" s="7" t="n">
        <v>793830</v>
      </c>
      <c r="J45" s="8" t="inlineStr">
        <is>
          <t>ml</t>
        </is>
      </c>
      <c r="K45" s="9" t="n">
        <v>265</v>
      </c>
      <c r="L45" s="51" t="n"/>
      <c r="M45" s="52">
        <f>'S31'!M45+L45</f>
        <v/>
      </c>
      <c r="N45" s="53">
        <f>IFERROR(M45/K45,0)</f>
        <v/>
      </c>
      <c r="O45" s="54">
        <f>'S31'!N45</f>
        <v/>
      </c>
      <c r="P45" s="53">
        <f>N45-O45</f>
        <v/>
      </c>
      <c r="Q45" s="32" t="n"/>
      <c r="R45" s="32" t="n"/>
      <c r="S45" s="32" t="n"/>
      <c r="T45" s="55" t="n"/>
      <c r="U45" s="54">
        <f>'S31'!T45</f>
        <v/>
      </c>
      <c r="V45" s="53">
        <f>T45-U45</f>
        <v/>
      </c>
      <c r="W45" s="53">
        <f>N45-T45</f>
        <v/>
      </c>
      <c r="X45" s="34" t="n"/>
    </row>
    <row r="46" ht="22" customHeight="1">
      <c r="B46" s="10" t="n">
        <v>42</v>
      </c>
      <c r="C46" s="6" t="inlineStr">
        <is>
          <t>Sidi Kacem</t>
        </is>
      </c>
      <c r="D46" s="10" t="inlineStr">
        <is>
          <t>SAFSAF</t>
        </is>
      </c>
      <c r="E46" s="10" t="inlineStr">
        <is>
          <t>40-21</t>
        </is>
      </c>
      <c r="F46" s="10" t="inlineStr">
        <is>
          <t>Travaux de pistes</t>
        </is>
      </c>
      <c r="G46" s="10" t="inlineStr">
        <is>
          <t>Entretien des pistes agricoles</t>
        </is>
      </c>
      <c r="H46" s="10" t="inlineStr">
        <is>
          <t>Entretien des pistes agricoles</t>
        </is>
      </c>
      <c r="I46" s="11" t="n">
        <v>2000000</v>
      </c>
      <c r="J46" s="12" t="inlineStr">
        <is>
          <t>km</t>
        </is>
      </c>
      <c r="K46" s="13" t="n">
        <v>4</v>
      </c>
      <c r="L46" s="51" t="n"/>
      <c r="M46" s="56">
        <f>'S31'!M46+L46</f>
        <v/>
      </c>
      <c r="N46" s="57">
        <f>IFERROR(M46/K46,0)</f>
        <v/>
      </c>
      <c r="O46" s="58">
        <f>'S31'!N46</f>
        <v/>
      </c>
      <c r="P46" s="57">
        <f>N46-O46</f>
        <v/>
      </c>
      <c r="Q46" s="32" t="n"/>
      <c r="R46" s="32" t="n"/>
      <c r="S46" s="32" t="n"/>
      <c r="T46" s="55" t="n"/>
      <c r="U46" s="58">
        <f>'S31'!T46</f>
        <v/>
      </c>
      <c r="V46" s="57">
        <f>T46-U46</f>
        <v/>
      </c>
      <c r="W46" s="57">
        <f>N46-T46</f>
        <v/>
      </c>
      <c r="X46" s="34" t="n"/>
    </row>
    <row r="47" ht="22" customHeight="1">
      <c r="B47" s="5" t="n">
        <v>43</v>
      </c>
      <c r="C47" s="6" t="inlineStr">
        <is>
          <t>Sidi Kacem</t>
        </is>
      </c>
      <c r="D47" s="5" t="inlineStr">
        <is>
          <t>SAFSAF</t>
        </is>
      </c>
      <c r="E47" s="5" t="inlineStr">
        <is>
          <t>50-23</t>
        </is>
      </c>
      <c r="F47" s="5" t="inlineStr">
        <is>
          <t>Entretien et réparation du réseau d'assainissement et de drainage</t>
        </is>
      </c>
      <c r="G47" s="5" t="inlineStr">
        <is>
          <t>Curage des prises sur l’oued, bâche d’aspiration et bassin de régulation.</t>
        </is>
      </c>
      <c r="H47" s="5" t="inlineStr">
        <is>
          <t>Curage des prises sur l’oued des stations de pompage S11, S9, 7D et 7B.
Nettoyage des grilles de préfiltration des boues colmaté des stations de pompage S11, S9, 7D et 7B.
Nettoyage des crépines des boues colmaté de station pompage 7D.
Curage des dalots et bâche d’aspiration des stations de pompage S11, S9, 7B.</t>
        </is>
      </c>
      <c r="I47" s="7" t="n">
        <v>200000</v>
      </c>
      <c r="J47" s="8" t="inlineStr">
        <is>
          <t>ml</t>
        </is>
      </c>
      <c r="K47" s="9" t="n">
        <v>67</v>
      </c>
      <c r="L47" s="51" t="n"/>
      <c r="M47" s="52">
        <f>'S31'!M47+L47</f>
        <v/>
      </c>
      <c r="N47" s="53">
        <f>IFERROR(M47/K47,0)</f>
        <v/>
      </c>
      <c r="O47" s="54">
        <f>'S31'!N47</f>
        <v/>
      </c>
      <c r="P47" s="53">
        <f>N47-O47</f>
        <v/>
      </c>
      <c r="Q47" s="32" t="n"/>
      <c r="R47" s="32" t="n"/>
      <c r="S47" s="32" t="n"/>
      <c r="T47" s="55" t="n"/>
      <c r="U47" s="54">
        <f>'S31'!T47</f>
        <v/>
      </c>
      <c r="V47" s="53">
        <f>T47-U47</f>
        <v/>
      </c>
      <c r="W47" s="53">
        <f>N47-T47</f>
        <v/>
      </c>
      <c r="X47" s="34" t="n"/>
    </row>
    <row r="48" ht="22" customHeight="1">
      <c r="B48" s="10" t="n">
        <v>44</v>
      </c>
      <c r="C48" s="6" t="inlineStr">
        <is>
          <t>Sidi Kacem</t>
        </is>
      </c>
      <c r="D48" s="10" t="inlineStr">
        <is>
          <t>SAFSAF</t>
        </is>
      </c>
      <c r="E48" s="10" t="inlineStr">
        <is>
          <t>50-21</t>
        </is>
      </c>
      <c r="F48" s="10" t="inlineStr">
        <is>
          <t>Entretien et réparation des stations de pompage</t>
        </is>
      </c>
      <c r="G48" s="10" t="inlineStr">
        <is>
          <t>Prestation de maintenance des débitmètres et leurs équipements annexes installés au niveau des station de pompage</t>
        </is>
      </c>
      <c r="H48" s="10" t="inlineStr">
        <is>
          <t>Changements Sept des débitmètres Ø 600mm inondé des deux stations de pompage S11 et S9.</t>
        </is>
      </c>
      <c r="I48" s="11" t="n">
        <v>580000</v>
      </c>
      <c r="J48" s="12" t="inlineStr">
        <is>
          <t>U</t>
        </is>
      </c>
      <c r="K48" s="13" t="n">
        <v>7</v>
      </c>
      <c r="L48" s="51" t="n"/>
      <c r="M48" s="56">
        <f>'S31'!M48+L48</f>
        <v/>
      </c>
      <c r="N48" s="57">
        <f>IFERROR(M48/K48,0)</f>
        <v/>
      </c>
      <c r="O48" s="58">
        <f>'S31'!N48</f>
        <v/>
      </c>
      <c r="P48" s="57">
        <f>N48-O48</f>
        <v/>
      </c>
      <c r="Q48" s="32" t="n"/>
      <c r="R48" s="32" t="n"/>
      <c r="S48" s="32" t="n"/>
      <c r="T48" s="55" t="n"/>
      <c r="U48" s="58">
        <f>'S31'!T48</f>
        <v/>
      </c>
      <c r="V48" s="57">
        <f>T48-U48</f>
        <v/>
      </c>
      <c r="W48" s="57">
        <f>N48-T48</f>
        <v/>
      </c>
      <c r="X48" s="34" t="n"/>
    </row>
    <row r="49" ht="22" customHeight="1">
      <c r="B49" s="5" t="n">
        <v>45</v>
      </c>
      <c r="C49" s="6" t="inlineStr">
        <is>
          <t>Sidi Kacem</t>
        </is>
      </c>
      <c r="D49" s="5" t="inlineStr">
        <is>
          <t>SAFSAF</t>
        </is>
      </c>
      <c r="E49" s="5" t="inlineStr">
        <is>
          <t>50-21</t>
        </is>
      </c>
      <c r="F49" s="5" t="inlineStr">
        <is>
          <t>Entretien et réparation des stations de pompage</t>
        </is>
      </c>
      <c r="G49" s="5" t="inlineStr">
        <is>
          <t>Stabilisation Berge oued</t>
        </is>
      </c>
      <c r="H49" s="5" t="inlineStr">
        <is>
          <t>Pose de murs en gabions et recouvrement du talus par matelas Reno des stations de pompage S11, S9, 7D et 7B .</t>
        </is>
      </c>
      <c r="I49" s="7" t="n">
        <v>4000000</v>
      </c>
      <c r="J49" s="8" t="inlineStr">
        <is>
          <t>m³</t>
        </is>
      </c>
      <c r="K49" s="9" t="n">
        <v>2667</v>
      </c>
      <c r="L49" s="51" t="n"/>
      <c r="M49" s="52">
        <f>'S31'!M49+L49</f>
        <v/>
      </c>
      <c r="N49" s="53">
        <f>IFERROR(M49/K49,0)</f>
        <v/>
      </c>
      <c r="O49" s="54">
        <f>'S31'!N49</f>
        <v/>
      </c>
      <c r="P49" s="53">
        <f>N49-O49</f>
        <v/>
      </c>
      <c r="Q49" s="32" t="n"/>
      <c r="R49" s="32" t="n"/>
      <c r="S49" s="32" t="n"/>
      <c r="T49" s="55" t="n"/>
      <c r="U49" s="54">
        <f>'S31'!T49</f>
        <v/>
      </c>
      <c r="V49" s="53">
        <f>T49-U49</f>
        <v/>
      </c>
      <c r="W49" s="53">
        <f>N49-T49</f>
        <v/>
      </c>
      <c r="X49" s="34" t="n"/>
    </row>
    <row r="50" ht="22" customHeight="1">
      <c r="B50" s="10" t="n">
        <v>46</v>
      </c>
      <c r="C50" s="6" t="inlineStr">
        <is>
          <t>Sidi Kacem</t>
        </is>
      </c>
      <c r="D50" s="10" t="inlineStr">
        <is>
          <t>SIDI AZZOUZ</t>
        </is>
      </c>
      <c r="E50" s="10" t="inlineStr">
        <is>
          <t>40-21</t>
        </is>
      </c>
      <c r="F50" s="10" t="inlineStr">
        <is>
          <t>Travaux de pistes</t>
        </is>
      </c>
      <c r="G50" s="10" t="inlineStr">
        <is>
          <t>Entretien des pistes agricoles</t>
        </is>
      </c>
      <c r="H50" s="10" t="inlineStr">
        <is>
          <t>Entretien des pistes agricoles</t>
        </is>
      </c>
      <c r="I50" s="11" t="n">
        <v>655000</v>
      </c>
      <c r="J50" s="12" t="inlineStr">
        <is>
          <t>km</t>
        </is>
      </c>
      <c r="K50" s="13" t="n">
        <v>1</v>
      </c>
      <c r="L50" s="51" t="n"/>
      <c r="M50" s="56">
        <f>'S31'!M50+L50</f>
        <v/>
      </c>
      <c r="N50" s="57">
        <f>IFERROR(M50/K50,0)</f>
        <v/>
      </c>
      <c r="O50" s="58">
        <f>'S31'!N50</f>
        <v/>
      </c>
      <c r="P50" s="57">
        <f>N50-O50</f>
        <v/>
      </c>
      <c r="Q50" s="32" t="n"/>
      <c r="R50" s="32" t="n"/>
      <c r="S50" s="32" t="n"/>
      <c r="T50" s="55" t="n"/>
      <c r="U50" s="58">
        <f>'S31'!T50</f>
        <v/>
      </c>
      <c r="V50" s="57">
        <f>T50-U50</f>
        <v/>
      </c>
      <c r="W50" s="57">
        <f>N50-T50</f>
        <v/>
      </c>
      <c r="X50" s="34" t="n"/>
    </row>
    <row r="51" ht="22" customHeight="1">
      <c r="B51" s="5" t="n">
        <v>47</v>
      </c>
      <c r="C51" s="6" t="inlineStr">
        <is>
          <t>Sidi Kacem</t>
        </is>
      </c>
      <c r="D51" s="5" t="inlineStr">
        <is>
          <t>SIDI EL KAMEL</t>
        </is>
      </c>
      <c r="E51" s="5" t="inlineStr">
        <is>
          <t>20-11</t>
        </is>
      </c>
      <c r="F51" s="5" t="inlineStr">
        <is>
          <t>Travaux de réhabilitation des équipements</t>
        </is>
      </c>
      <c r="G51" s="5" t="inlineStr">
        <is>
          <t>Travaux de réhabilitation des canaux portés d'irrigation</t>
        </is>
      </c>
      <c r="H51" s="5" t="inlineStr">
        <is>
          <t>Fourniture et de pose de canaux porté et accessoires du réseau SR4 du secteur S3R</t>
        </is>
      </c>
      <c r="I51" s="7" t="n">
        <v>5182920</v>
      </c>
      <c r="J51" s="8" t="inlineStr">
        <is>
          <t>ml</t>
        </is>
      </c>
      <c r="K51" s="9" t="n">
        <v>1728</v>
      </c>
      <c r="L51" s="51" t="n"/>
      <c r="M51" s="52">
        <f>'S31'!M51+L51</f>
        <v/>
      </c>
      <c r="N51" s="53">
        <f>IFERROR(M51/K51,0)</f>
        <v/>
      </c>
      <c r="O51" s="54">
        <f>'S31'!N51</f>
        <v/>
      </c>
      <c r="P51" s="53">
        <f>N51-O51</f>
        <v/>
      </c>
      <c r="Q51" s="32" t="n"/>
      <c r="R51" s="32" t="n"/>
      <c r="S51" s="32" t="n"/>
      <c r="T51" s="55" t="n"/>
      <c r="U51" s="54">
        <f>'S31'!T51</f>
        <v/>
      </c>
      <c r="V51" s="53">
        <f>T51-U51</f>
        <v/>
      </c>
      <c r="W51" s="53">
        <f>N51-T51</f>
        <v/>
      </c>
      <c r="X51" s="34" t="n"/>
    </row>
    <row r="52" ht="22" customHeight="1">
      <c r="B52" s="10" t="n">
        <v>48</v>
      </c>
      <c r="C52" s="6" t="inlineStr">
        <is>
          <t>Sidi Kacem</t>
        </is>
      </c>
      <c r="D52" s="10" t="inlineStr">
        <is>
          <t>SIDI EL KAMEL</t>
        </is>
      </c>
      <c r="E52" s="10" t="inlineStr">
        <is>
          <t>20-11</t>
        </is>
      </c>
      <c r="F52" s="10" t="inlineStr">
        <is>
          <t>Travaux de réhabilitation des équipements</t>
        </is>
      </c>
      <c r="G52" s="10" t="inlineStr"/>
      <c r="H52" s="10" t="inlineStr">
        <is>
          <t>Fourniture et de pose de canaux porté et accessoires du réseau SR6 du secteur S1RIZ</t>
        </is>
      </c>
      <c r="I52" s="11" t="n">
        <v>152818</v>
      </c>
      <c r="J52" s="12" t="inlineStr">
        <is>
          <t>ml</t>
        </is>
      </c>
      <c r="K52" s="13" t="n">
        <v>51</v>
      </c>
      <c r="L52" s="51" t="n"/>
      <c r="M52" s="56">
        <f>'S31'!M52+L52</f>
        <v/>
      </c>
      <c r="N52" s="57">
        <f>IFERROR(M52/K52,0)</f>
        <v/>
      </c>
      <c r="O52" s="58">
        <f>'S31'!N52</f>
        <v/>
      </c>
      <c r="P52" s="57">
        <f>N52-O52</f>
        <v/>
      </c>
      <c r="Q52" s="32" t="n"/>
      <c r="R52" s="32" t="n"/>
      <c r="S52" s="32" t="n"/>
      <c r="T52" s="55" t="n"/>
      <c r="U52" s="58">
        <f>'S31'!T52</f>
        <v/>
      </c>
      <c r="V52" s="57">
        <f>T52-U52</f>
        <v/>
      </c>
      <c r="W52" s="57">
        <f>N52-T52</f>
        <v/>
      </c>
      <c r="X52" s="34" t="n"/>
    </row>
    <row r="53" ht="22" customHeight="1">
      <c r="B53" s="5" t="n">
        <v>49</v>
      </c>
      <c r="C53" s="6" t="inlineStr">
        <is>
          <t>Sidi Kacem</t>
        </is>
      </c>
      <c r="D53" s="5" t="inlineStr">
        <is>
          <t>SIDI EL KAMEL</t>
        </is>
      </c>
      <c r="E53" s="5" t="inlineStr">
        <is>
          <t>20-11</t>
        </is>
      </c>
      <c r="F53" s="5" t="inlineStr">
        <is>
          <t>Travaux de réhabilitation des équipements</t>
        </is>
      </c>
      <c r="G53" s="5" t="inlineStr"/>
      <c r="H53" s="5" t="inlineStr">
        <is>
          <t>Recalage des canaux portés du réseau SR4 du secteur S3R</t>
        </is>
      </c>
      <c r="I53" s="7" t="n">
        <v>1418000</v>
      </c>
      <c r="J53" s="8" t="inlineStr">
        <is>
          <t>ml</t>
        </is>
      </c>
      <c r="K53" s="9" t="n">
        <v>473</v>
      </c>
      <c r="L53" s="51" t="n"/>
      <c r="M53" s="52">
        <f>'S31'!M53+L53</f>
        <v/>
      </c>
      <c r="N53" s="53">
        <f>IFERROR(M53/K53,0)</f>
        <v/>
      </c>
      <c r="O53" s="54">
        <f>'S31'!N53</f>
        <v/>
      </c>
      <c r="P53" s="53">
        <f>N53-O53</f>
        <v/>
      </c>
      <c r="Q53" s="32" t="n"/>
      <c r="R53" s="32" t="n"/>
      <c r="S53" s="32" t="n"/>
      <c r="T53" s="55" t="n"/>
      <c r="U53" s="54">
        <f>'S31'!T53</f>
        <v/>
      </c>
      <c r="V53" s="53">
        <f>T53-U53</f>
        <v/>
      </c>
      <c r="W53" s="53">
        <f>N53-T53</f>
        <v/>
      </c>
      <c r="X53" s="34" t="n"/>
    </row>
    <row r="54" ht="22" customHeight="1">
      <c r="B54" s="10" t="n">
        <v>50</v>
      </c>
      <c r="C54" s="6" t="inlineStr">
        <is>
          <t>Sidi Kacem</t>
        </is>
      </c>
      <c r="D54" s="10" t="inlineStr">
        <is>
          <t>SIDI EL KAMEL</t>
        </is>
      </c>
      <c r="E54" s="10" t="inlineStr">
        <is>
          <t>20-11</t>
        </is>
      </c>
      <c r="F54" s="10" t="inlineStr">
        <is>
          <t>Travaux de réhabilitation des équipements</t>
        </is>
      </c>
      <c r="G54" s="10" t="inlineStr">
        <is>
          <t>Travaux de réhabilitation des ouvrages de génie civil</t>
        </is>
      </c>
      <c r="H54" s="10" t="inlineStr">
        <is>
          <t>Réhabilitation des murs de soutènements des ouvrages de franchissements du canal d'assainissement CS3 secteur S3 et de l’ouvrage de franchissement du canal primaire d’irrigation du secteur S1R au niveau de la route provinciale P4234</t>
        </is>
      </c>
      <c r="I54" s="11" t="n">
        <v>800000</v>
      </c>
      <c r="J54" s="12" t="inlineStr">
        <is>
          <t>ml</t>
        </is>
      </c>
      <c r="K54" s="13" t="n">
        <v>400</v>
      </c>
      <c r="L54" s="51" t="n"/>
      <c r="M54" s="56">
        <f>'S31'!M54+L54</f>
        <v/>
      </c>
      <c r="N54" s="57">
        <f>IFERROR(M54/K54,0)</f>
        <v/>
      </c>
      <c r="O54" s="58">
        <f>'S31'!N54</f>
        <v/>
      </c>
      <c r="P54" s="57">
        <f>N54-O54</f>
        <v/>
      </c>
      <c r="Q54" s="32" t="n"/>
      <c r="R54" s="32" t="n"/>
      <c r="S54" s="32" t="n"/>
      <c r="T54" s="55" t="n"/>
      <c r="U54" s="58">
        <f>'S31'!T54</f>
        <v/>
      </c>
      <c r="V54" s="57">
        <f>T54-U54</f>
        <v/>
      </c>
      <c r="W54" s="57">
        <f>N54-T54</f>
        <v/>
      </c>
      <c r="X54" s="34" t="n"/>
    </row>
    <row r="55" ht="22" customHeight="1">
      <c r="B55" s="5" t="n">
        <v>51</v>
      </c>
      <c r="C55" s="6" t="inlineStr">
        <is>
          <t>Sidi Kacem</t>
        </is>
      </c>
      <c r="D55" s="5" t="inlineStr">
        <is>
          <t>SIDI EL KAMEL</t>
        </is>
      </c>
      <c r="E55" s="5" t="inlineStr">
        <is>
          <t>40-21</t>
        </is>
      </c>
      <c r="F55" s="5" t="inlineStr">
        <is>
          <t>Travaux de pistes</t>
        </is>
      </c>
      <c r="G55" s="5" t="inlineStr">
        <is>
          <t>Entretien des pistes agricoles</t>
        </is>
      </c>
      <c r="H55" s="5" t="inlineStr">
        <is>
          <t>Entretien des pistes agricoles</t>
        </is>
      </c>
      <c r="I55" s="7" t="n">
        <v>3700000</v>
      </c>
      <c r="J55" s="8" t="inlineStr">
        <is>
          <t>km</t>
        </is>
      </c>
      <c r="K55" s="9" t="n">
        <v>7</v>
      </c>
      <c r="L55" s="51" t="n"/>
      <c r="M55" s="52">
        <f>'S31'!M55+L55</f>
        <v/>
      </c>
      <c r="N55" s="53">
        <f>IFERROR(M55/K55,0)</f>
        <v/>
      </c>
      <c r="O55" s="54">
        <f>'S31'!N55</f>
        <v/>
      </c>
      <c r="P55" s="53">
        <f>N55-O55</f>
        <v/>
      </c>
      <c r="Q55" s="32" t="n"/>
      <c r="R55" s="32" t="n"/>
      <c r="S55" s="32" t="n"/>
      <c r="T55" s="55" t="n"/>
      <c r="U55" s="54">
        <f>'S31'!T55</f>
        <v/>
      </c>
      <c r="V55" s="53">
        <f>T55-U55</f>
        <v/>
      </c>
      <c r="W55" s="53">
        <f>N55-T55</f>
        <v/>
      </c>
      <c r="X55" s="34" t="n"/>
    </row>
    <row r="56" ht="22" customHeight="1">
      <c r="B56" s="10" t="n">
        <v>52</v>
      </c>
      <c r="C56" s="6" t="inlineStr">
        <is>
          <t>Sidi Kacem</t>
        </is>
      </c>
      <c r="D56" s="10" t="inlineStr">
        <is>
          <t>SIDI EL KAMEL</t>
        </is>
      </c>
      <c r="E56" s="10" t="inlineStr">
        <is>
          <t>50-21</t>
        </is>
      </c>
      <c r="F56" s="10" t="inlineStr">
        <is>
          <t>Entretien et réparation des stations de pompage</t>
        </is>
      </c>
      <c r="G56" s="10" t="inlineStr">
        <is>
          <t>Prestation de maintenance des débitmètres et leurs équipements annexes installés au niveau des station de pompage</t>
        </is>
      </c>
      <c r="H56" s="10" t="inlineStr">
        <is>
          <t>Changement de quatre débitmètres Ø 500mm et trois Ø 800mm inondé des stations de pompage 1R, 3R et 5R.</t>
        </is>
      </c>
      <c r="I56" s="11" t="n">
        <v>705000</v>
      </c>
      <c r="J56" s="12" t="inlineStr">
        <is>
          <t>U</t>
        </is>
      </c>
      <c r="K56" s="13" t="n">
        <v>3</v>
      </c>
      <c r="L56" s="51" t="n"/>
      <c r="M56" s="56">
        <f>'S31'!M56+L56</f>
        <v/>
      </c>
      <c r="N56" s="57">
        <f>IFERROR(M56/K56,0)</f>
        <v/>
      </c>
      <c r="O56" s="58">
        <f>'S31'!N56</f>
        <v/>
      </c>
      <c r="P56" s="57">
        <f>N56-O56</f>
        <v/>
      </c>
      <c r="Q56" s="32" t="n"/>
      <c r="R56" s="32" t="n"/>
      <c r="S56" s="32" t="n"/>
      <c r="T56" s="55" t="n"/>
      <c r="U56" s="58">
        <f>'S31'!T56</f>
        <v/>
      </c>
      <c r="V56" s="57">
        <f>T56-U56</f>
        <v/>
      </c>
      <c r="W56" s="57">
        <f>N56-T56</f>
        <v/>
      </c>
      <c r="X56" s="34" t="n"/>
    </row>
    <row r="57" ht="22" customHeight="1">
      <c r="B57" s="5" t="n">
        <v>53</v>
      </c>
      <c r="C57" s="6" t="inlineStr">
        <is>
          <t>Sidi Kacem</t>
        </is>
      </c>
      <c r="D57" s="5" t="inlineStr">
        <is>
          <t>SIDI EL KAMEL</t>
        </is>
      </c>
      <c r="E57" s="5" t="inlineStr">
        <is>
          <t>50-21</t>
        </is>
      </c>
      <c r="F57" s="5" t="inlineStr">
        <is>
          <t>Entretien et réparation des stations de pompage</t>
        </is>
      </c>
      <c r="G57" s="5" t="inlineStr">
        <is>
          <t>Mur clôture des stations de pompage.</t>
        </is>
      </c>
      <c r="H57" s="5" t="inlineStr">
        <is>
          <t>Stabilisation et reconstruction des murs clôture cote oued des stations de pompage 7A, 3R et 1R.</t>
        </is>
      </c>
      <c r="I57" s="7" t="n">
        <v>372000</v>
      </c>
      <c r="J57" s="8" t="inlineStr">
        <is>
          <t>ml</t>
        </is>
      </c>
      <c r="K57" s="9" t="n">
        <v>124</v>
      </c>
      <c r="L57" s="51" t="n"/>
      <c r="M57" s="52">
        <f>'S31'!M57+L57</f>
        <v/>
      </c>
      <c r="N57" s="53">
        <f>IFERROR(M57/K57,0)</f>
        <v/>
      </c>
      <c r="O57" s="54">
        <f>'S31'!N57</f>
        <v/>
      </c>
      <c r="P57" s="53">
        <f>N57-O57</f>
        <v/>
      </c>
      <c r="Q57" s="32" t="n"/>
      <c r="R57" s="32" t="n"/>
      <c r="S57" s="32" t="n"/>
      <c r="T57" s="55" t="n"/>
      <c r="U57" s="54">
        <f>'S31'!T57</f>
        <v/>
      </c>
      <c r="V57" s="53">
        <f>T57-U57</f>
        <v/>
      </c>
      <c r="W57" s="53">
        <f>N57-T57</f>
        <v/>
      </c>
      <c r="X57" s="34" t="n"/>
    </row>
    <row r="58" ht="22" customHeight="1">
      <c r="B58" s="10" t="n">
        <v>54</v>
      </c>
      <c r="C58" s="14" t="inlineStr">
        <is>
          <t>Kénitra</t>
        </is>
      </c>
      <c r="D58" s="10" t="inlineStr">
        <is>
          <t>Bni malek</t>
        </is>
      </c>
      <c r="E58" s="10" t="inlineStr">
        <is>
          <t>50-23</t>
        </is>
      </c>
      <c r="F58" s="10" t="inlineStr">
        <is>
          <t>Entretien et réparation du réseau d'assainissement et de drainage</t>
        </is>
      </c>
      <c r="G58" s="10" t="inlineStr">
        <is>
          <t>Travaux de curage des canaux en terre</t>
        </is>
      </c>
      <c r="H58" s="10" t="inlineStr">
        <is>
          <t>Curage des emissaires et colatures secondaire au niveau des secteurs MDA ET N9</t>
        </is>
      </c>
      <c r="I58" s="11" t="n">
        <v>10000000</v>
      </c>
      <c r="J58" s="12" t="inlineStr">
        <is>
          <t>ml</t>
        </is>
      </c>
      <c r="K58" s="13" t="n">
        <v>5000</v>
      </c>
      <c r="L58" s="51" t="n"/>
      <c r="M58" s="56">
        <f>'S31'!M58+L58</f>
        <v/>
      </c>
      <c r="N58" s="57">
        <f>IFERROR(M58/K58,0)</f>
        <v/>
      </c>
      <c r="O58" s="58">
        <f>'S31'!N58</f>
        <v/>
      </c>
      <c r="P58" s="57">
        <f>N58-O58</f>
        <v/>
      </c>
      <c r="Q58" s="32" t="n"/>
      <c r="R58" s="32" t="n"/>
      <c r="S58" s="32" t="n"/>
      <c r="T58" s="55" t="n"/>
      <c r="U58" s="58">
        <f>'S31'!T58</f>
        <v/>
      </c>
      <c r="V58" s="57">
        <f>T58-U58</f>
        <v/>
      </c>
      <c r="W58" s="57">
        <f>N58-T58</f>
        <v/>
      </c>
      <c r="X58" s="34" t="n"/>
    </row>
    <row r="59" ht="22" customHeight="1">
      <c r="B59" s="5" t="n">
        <v>55</v>
      </c>
      <c r="C59" s="14" t="inlineStr">
        <is>
          <t>Kénitra</t>
        </is>
      </c>
      <c r="D59" s="5" t="inlineStr">
        <is>
          <t>Bni malek</t>
        </is>
      </c>
      <c r="E59" s="5" t="inlineStr">
        <is>
          <t>40-21</t>
        </is>
      </c>
      <c r="F59" s="5" t="inlineStr">
        <is>
          <t>Travaux de pistes</t>
        </is>
      </c>
      <c r="G59" s="5" t="inlineStr">
        <is>
          <t>Travaux de réhabilitation des pistes agricoles</t>
        </is>
      </c>
      <c r="H59" s="5" t="inlineStr">
        <is>
          <t>Entretien des pistes agricoles des secteurs MDA et N3</t>
        </is>
      </c>
      <c r="I59" s="7" t="n">
        <v>2000000</v>
      </c>
      <c r="J59" s="8" t="inlineStr">
        <is>
          <t>km</t>
        </is>
      </c>
      <c r="K59" s="9" t="n">
        <v>4</v>
      </c>
      <c r="L59" s="51" t="n"/>
      <c r="M59" s="52">
        <f>'S31'!M59+L59</f>
        <v/>
      </c>
      <c r="N59" s="53">
        <f>IFERROR(M59/K59,0)</f>
        <v/>
      </c>
      <c r="O59" s="54">
        <f>'S31'!N59</f>
        <v/>
      </c>
      <c r="P59" s="53">
        <f>N59-O59</f>
        <v/>
      </c>
      <c r="Q59" s="32" t="n"/>
      <c r="R59" s="32" t="n"/>
      <c r="S59" s="32" t="n"/>
      <c r="T59" s="55" t="n"/>
      <c r="U59" s="54">
        <f>'S31'!T59</f>
        <v/>
      </c>
      <c r="V59" s="53">
        <f>T59-U59</f>
        <v/>
      </c>
      <c r="W59" s="53">
        <f>N59-T59</f>
        <v/>
      </c>
      <c r="X59" s="34" t="n"/>
    </row>
    <row r="60" ht="22" customHeight="1">
      <c r="B60" s="10" t="n">
        <v>56</v>
      </c>
      <c r="C60" s="14" t="inlineStr">
        <is>
          <t>Kénitra</t>
        </is>
      </c>
      <c r="D60" s="10" t="inlineStr">
        <is>
          <t>Bni malek</t>
        </is>
      </c>
      <c r="E60" s="10" t="inlineStr">
        <is>
          <t>50-21</t>
        </is>
      </c>
      <c r="F60" s="10" t="inlineStr">
        <is>
          <t>Entretien et réparation des stations de pompage</t>
        </is>
      </c>
      <c r="G60" s="10" t="inlineStr">
        <is>
          <t>Prestations de maintenance et de réparation mécanique des pompes et des groupes motopompes submersibles des stations de pompage.</t>
        </is>
      </c>
      <c r="H60" s="10" t="inlineStr">
        <is>
          <t>station de pompage MDA secteur MDA</t>
        </is>
      </c>
      <c r="I60" s="11" t="n">
        <v>300000</v>
      </c>
      <c r="J60" s="12" t="inlineStr">
        <is>
          <t>U</t>
        </is>
      </c>
      <c r="K60" s="13" t="n">
        <v>1</v>
      </c>
      <c r="L60" s="51" t="n"/>
      <c r="M60" s="56">
        <f>'S31'!M60+L60</f>
        <v/>
      </c>
      <c r="N60" s="57">
        <f>IFERROR(M60/K60,0)</f>
        <v/>
      </c>
      <c r="O60" s="58">
        <f>'S31'!N60</f>
        <v/>
      </c>
      <c r="P60" s="57">
        <f>N60-O60</f>
        <v/>
      </c>
      <c r="Q60" s="32" t="n"/>
      <c r="R60" s="32" t="n"/>
      <c r="S60" s="32" t="n"/>
      <c r="T60" s="55" t="n"/>
      <c r="U60" s="58">
        <f>'S31'!T60</f>
        <v/>
      </c>
      <c r="V60" s="57">
        <f>T60-U60</f>
        <v/>
      </c>
      <c r="W60" s="57">
        <f>N60-T60</f>
        <v/>
      </c>
      <c r="X60" s="34" t="n"/>
    </row>
    <row r="61" ht="22" customHeight="1">
      <c r="B61" s="5" t="n">
        <v>57</v>
      </c>
      <c r="C61" s="14" t="inlineStr">
        <is>
          <t>Kénitra</t>
        </is>
      </c>
      <c r="D61" s="5" t="inlineStr">
        <is>
          <t>Bni malek</t>
        </is>
      </c>
      <c r="E61" s="5" t="inlineStr">
        <is>
          <t>20-11</t>
        </is>
      </c>
      <c r="F61" s="5" t="inlineStr">
        <is>
          <t>Travaux de réhabilitation des équipements</t>
        </is>
      </c>
      <c r="G61" s="5" t="inlineStr">
        <is>
          <t>Travaux de réhabilitation des ouvrages de génie civil</t>
        </is>
      </c>
      <c r="H61" s="5" t="inlineStr">
        <is>
          <t>Rétablissement des bornes affaissées des secteurs N2 et N3</t>
        </is>
      </c>
      <c r="I61" s="7" t="n">
        <v>100000</v>
      </c>
      <c r="J61" s="8" t="inlineStr">
        <is>
          <t>U</t>
        </is>
      </c>
      <c r="K61" s="9" t="n">
        <v>200</v>
      </c>
      <c r="L61" s="51" t="n"/>
      <c r="M61" s="52">
        <f>'S31'!M61+L61</f>
        <v/>
      </c>
      <c r="N61" s="53">
        <f>IFERROR(M61/K61,0)</f>
        <v/>
      </c>
      <c r="O61" s="54">
        <f>'S31'!N61</f>
        <v/>
      </c>
      <c r="P61" s="53">
        <f>N61-O61</f>
        <v/>
      </c>
      <c r="Q61" s="32" t="n"/>
      <c r="R61" s="32" t="n"/>
      <c r="S61" s="32" t="n"/>
      <c r="T61" s="55" t="n"/>
      <c r="U61" s="54">
        <f>'S31'!T61</f>
        <v/>
      </c>
      <c r="V61" s="53">
        <f>T61-U61</f>
        <v/>
      </c>
      <c r="W61" s="53">
        <f>N61-T61</f>
        <v/>
      </c>
      <c r="X61" s="34" t="n"/>
    </row>
    <row r="62" ht="22" customHeight="1">
      <c r="B62" s="10" t="n">
        <v>58</v>
      </c>
      <c r="C62" s="14" t="inlineStr">
        <is>
          <t>Kénitra</t>
        </is>
      </c>
      <c r="D62" s="10" t="inlineStr">
        <is>
          <t>SOUK TLET</t>
        </is>
      </c>
      <c r="E62" s="10" t="inlineStr">
        <is>
          <t>50-23</t>
        </is>
      </c>
      <c r="F62" s="10" t="inlineStr">
        <is>
          <t>Entretien et réparation du réseau d'assainissement et de drainage</t>
        </is>
      </c>
      <c r="G62" s="10" t="inlineStr">
        <is>
          <t>Travaux de curage des canaux en terre</t>
        </is>
      </c>
      <c r="H62" s="10" t="inlineStr">
        <is>
          <t>curage des emissaires et colatures secondaire au niveau des secteurs N2,N3 ET N4,</t>
        </is>
      </c>
      <c r="I62" s="11" t="n">
        <v>3000000</v>
      </c>
      <c r="J62" s="12" t="inlineStr">
        <is>
          <t>ml</t>
        </is>
      </c>
      <c r="K62" s="13" t="n">
        <v>1500</v>
      </c>
      <c r="L62" s="51" t="n"/>
      <c r="M62" s="56">
        <f>'S31'!M62+L62</f>
        <v/>
      </c>
      <c r="N62" s="57">
        <f>IFERROR(M62/K62,0)</f>
        <v/>
      </c>
      <c r="O62" s="58">
        <f>'S31'!N62</f>
        <v/>
      </c>
      <c r="P62" s="57">
        <f>N62-O62</f>
        <v/>
      </c>
      <c r="Q62" s="32" t="n"/>
      <c r="R62" s="32" t="n"/>
      <c r="S62" s="32" t="n"/>
      <c r="T62" s="55" t="n"/>
      <c r="U62" s="58">
        <f>'S31'!T62</f>
        <v/>
      </c>
      <c r="V62" s="57">
        <f>T62-U62</f>
        <v/>
      </c>
      <c r="W62" s="57">
        <f>N62-T62</f>
        <v/>
      </c>
      <c r="X62" s="34" t="n"/>
    </row>
    <row r="63" ht="22" customHeight="1">
      <c r="B63" s="5" t="n">
        <v>59</v>
      </c>
      <c r="C63" s="14" t="inlineStr">
        <is>
          <t>Kénitra</t>
        </is>
      </c>
      <c r="D63" s="5" t="inlineStr">
        <is>
          <t>SOUK TLET</t>
        </is>
      </c>
      <c r="E63" s="5" t="inlineStr">
        <is>
          <t>40-21</t>
        </is>
      </c>
      <c r="F63" s="5" t="inlineStr">
        <is>
          <t>Travaux de pistes</t>
        </is>
      </c>
      <c r="G63" s="5" t="inlineStr">
        <is>
          <t>Travaux de réhabilitation des pistes agricoles</t>
        </is>
      </c>
      <c r="H63" s="5" t="inlineStr">
        <is>
          <t>Entretien des pistes des secteurs N2,N3,N4 et C4R,</t>
        </is>
      </c>
      <c r="I63" s="7" t="n">
        <v>5000000</v>
      </c>
      <c r="J63" s="8" t="inlineStr">
        <is>
          <t>U</t>
        </is>
      </c>
      <c r="K63" s="9" t="n">
        <v>1</v>
      </c>
      <c r="L63" s="51" t="n"/>
      <c r="M63" s="52">
        <f>'S31'!M63+L63</f>
        <v/>
      </c>
      <c r="N63" s="53">
        <f>IFERROR(M63/K63,0)</f>
        <v/>
      </c>
      <c r="O63" s="54">
        <f>'S31'!N63</f>
        <v/>
      </c>
      <c r="P63" s="53">
        <f>N63-O63</f>
        <v/>
      </c>
      <c r="Q63" s="32" t="n"/>
      <c r="R63" s="32" t="n"/>
      <c r="S63" s="32" t="n"/>
      <c r="T63" s="55" t="n"/>
      <c r="U63" s="54">
        <f>'S31'!T63</f>
        <v/>
      </c>
      <c r="V63" s="53">
        <f>T63-U63</f>
        <v/>
      </c>
      <c r="W63" s="53">
        <f>N63-T63</f>
        <v/>
      </c>
      <c r="X63" s="34" t="n"/>
    </row>
    <row r="64" ht="22" customHeight="1">
      <c r="B64" s="10" t="n">
        <v>60</v>
      </c>
      <c r="C64" s="14" t="inlineStr">
        <is>
          <t>Kénitra</t>
        </is>
      </c>
      <c r="D64" s="10" t="inlineStr">
        <is>
          <t>Sidi Med Lahmar</t>
        </is>
      </c>
      <c r="E64" s="10" t="inlineStr">
        <is>
          <t>50-23</t>
        </is>
      </c>
      <c r="F64" s="10" t="inlineStr">
        <is>
          <t>Entretien et réparation du réseau d'assainissement et de drainage</t>
        </is>
      </c>
      <c r="G64" s="10" t="inlineStr">
        <is>
          <t>Travaux de curage des canaux en terre</t>
        </is>
      </c>
      <c r="H64" s="10" t="inlineStr">
        <is>
          <t>Curage des emissaires et colatures secondaires secteurs N1</t>
        </is>
      </c>
      <c r="I64" s="11" t="n">
        <v>3000000</v>
      </c>
      <c r="J64" s="12" t="inlineStr">
        <is>
          <t>ml</t>
        </is>
      </c>
      <c r="K64" s="13" t="n">
        <v>1500</v>
      </c>
      <c r="L64" s="51" t="n"/>
      <c r="M64" s="56">
        <f>'S31'!M64+L64</f>
        <v/>
      </c>
      <c r="N64" s="57">
        <f>IFERROR(M64/K64,0)</f>
        <v/>
      </c>
      <c r="O64" s="58">
        <f>'S31'!N64</f>
        <v/>
      </c>
      <c r="P64" s="57">
        <f>N64-O64</f>
        <v/>
      </c>
      <c r="Q64" s="32" t="n"/>
      <c r="R64" s="32" t="n"/>
      <c r="S64" s="32" t="n"/>
      <c r="T64" s="55" t="n"/>
      <c r="U64" s="58">
        <f>'S31'!T64</f>
        <v/>
      </c>
      <c r="V64" s="57">
        <f>T64-U64</f>
        <v/>
      </c>
      <c r="W64" s="57">
        <f>N64-T64</f>
        <v/>
      </c>
      <c r="X64" s="34" t="n"/>
    </row>
    <row r="65" ht="22" customHeight="1">
      <c r="B65" s="5" t="n">
        <v>61</v>
      </c>
      <c r="C65" s="14" t="inlineStr">
        <is>
          <t>Kénitra</t>
        </is>
      </c>
      <c r="D65" s="5" t="inlineStr">
        <is>
          <t>Sidi Med Lahmar</t>
        </is>
      </c>
      <c r="E65" s="5" t="inlineStr">
        <is>
          <t>40-21</t>
        </is>
      </c>
      <c r="F65" s="5" t="inlineStr">
        <is>
          <t>Travaux de pistes</t>
        </is>
      </c>
      <c r="G65" s="5" t="inlineStr">
        <is>
          <t>Travaux de réhabilitation des pistes agricoles</t>
        </is>
      </c>
      <c r="H65" s="5" t="inlineStr">
        <is>
          <t>Entretien des pistes agricoles des secteurs N9 et N1</t>
        </is>
      </c>
      <c r="I65" s="7" t="n">
        <v>3000000</v>
      </c>
      <c r="J65" s="8" t="inlineStr">
        <is>
          <t>km</t>
        </is>
      </c>
      <c r="K65" s="9" t="n">
        <v>6</v>
      </c>
      <c r="L65" s="51" t="n"/>
      <c r="M65" s="52">
        <f>'S31'!M65+L65</f>
        <v/>
      </c>
      <c r="N65" s="53">
        <f>IFERROR(M65/K65,0)</f>
        <v/>
      </c>
      <c r="O65" s="54">
        <f>'S31'!N65</f>
        <v/>
      </c>
      <c r="P65" s="53">
        <f>N65-O65</f>
        <v/>
      </c>
      <c r="Q65" s="32" t="n"/>
      <c r="R65" s="32" t="n"/>
      <c r="S65" s="32" t="n"/>
      <c r="T65" s="55" t="n"/>
      <c r="U65" s="54">
        <f>'S31'!T65</f>
        <v/>
      </c>
      <c r="V65" s="53">
        <f>T65-U65</f>
        <v/>
      </c>
      <c r="W65" s="53">
        <f>N65-T65</f>
        <v/>
      </c>
      <c r="X65" s="34" t="n"/>
    </row>
    <row r="66" ht="22" customHeight="1">
      <c r="B66" s="10" t="n">
        <v>62</v>
      </c>
      <c r="C66" s="14" t="inlineStr">
        <is>
          <t>Kénitra</t>
        </is>
      </c>
      <c r="D66" s="10" t="inlineStr">
        <is>
          <t>Mograne</t>
        </is>
      </c>
      <c r="E66" s="10" t="inlineStr">
        <is>
          <t>50-23</t>
        </is>
      </c>
      <c r="F66" s="10" t="inlineStr">
        <is>
          <t>Entretien et réparation du réseau d'assainissement et de drainage</t>
        </is>
      </c>
      <c r="G66" s="10" t="inlineStr">
        <is>
          <t>Travaux de curage des canaux en terre</t>
        </is>
      </c>
      <c r="H66" s="10" t="inlineStr">
        <is>
          <t>Curage des canaux d'assainissement Hors secteur équipé ghoufera et laison beht sebou ,</t>
        </is>
      </c>
      <c r="I66" s="11" t="n">
        <v>6000000</v>
      </c>
      <c r="J66" s="12" t="inlineStr">
        <is>
          <t>ml</t>
        </is>
      </c>
      <c r="K66" s="13" t="n">
        <v>3000</v>
      </c>
      <c r="L66" s="51" t="n"/>
      <c r="M66" s="56">
        <f>'S31'!M66+L66</f>
        <v/>
      </c>
      <c r="N66" s="57">
        <f>IFERROR(M66/K66,0)</f>
        <v/>
      </c>
      <c r="O66" s="58">
        <f>'S31'!N66</f>
        <v/>
      </c>
      <c r="P66" s="57">
        <f>N66-O66</f>
        <v/>
      </c>
      <c r="Q66" s="32" t="n"/>
      <c r="R66" s="32" t="n"/>
      <c r="S66" s="32" t="n"/>
      <c r="T66" s="55" t="n"/>
      <c r="U66" s="58">
        <f>'S31'!T66</f>
        <v/>
      </c>
      <c r="V66" s="57">
        <f>T66-U66</f>
        <v/>
      </c>
      <c r="W66" s="57">
        <f>N66-T66</f>
        <v/>
      </c>
      <c r="X66" s="34" t="n"/>
    </row>
    <row r="67" ht="22" customHeight="1">
      <c r="B67" s="5" t="n">
        <v>63</v>
      </c>
      <c r="C67" s="14" t="inlineStr">
        <is>
          <t>Kénitra</t>
        </is>
      </c>
      <c r="D67" s="5" t="inlineStr">
        <is>
          <t>Mograne</t>
        </is>
      </c>
      <c r="E67" s="5" t="inlineStr">
        <is>
          <t>40-21</t>
        </is>
      </c>
      <c r="F67" s="5" t="inlineStr">
        <is>
          <t>Travaux de pistes</t>
        </is>
      </c>
      <c r="G67" s="5" t="inlineStr">
        <is>
          <t>Travaux de réhabilitation des pistes agricoles</t>
        </is>
      </c>
      <c r="H67" s="5" t="inlineStr">
        <is>
          <t>Entretien des pistes agricoles des secteurs SEBOU1,SEBOU2? BEHT3 et BEHT4</t>
        </is>
      </c>
      <c r="I67" s="7" t="n">
        <v>6000000</v>
      </c>
      <c r="J67" s="8" t="inlineStr">
        <is>
          <t>km</t>
        </is>
      </c>
      <c r="K67" s="9" t="n">
        <v>12</v>
      </c>
      <c r="L67" s="51" t="n"/>
      <c r="M67" s="52">
        <f>'S31'!M67+L67</f>
        <v/>
      </c>
      <c r="N67" s="53">
        <f>IFERROR(M67/K67,0)</f>
        <v/>
      </c>
      <c r="O67" s="54">
        <f>'S31'!N67</f>
        <v/>
      </c>
      <c r="P67" s="53">
        <f>N67-O67</f>
        <v/>
      </c>
      <c r="Q67" s="32" t="n"/>
      <c r="R67" s="32" t="n"/>
      <c r="S67" s="32" t="n"/>
      <c r="T67" s="55" t="n"/>
      <c r="U67" s="54">
        <f>'S31'!T67</f>
        <v/>
      </c>
      <c r="V67" s="53">
        <f>T67-U67</f>
        <v/>
      </c>
      <c r="W67" s="53">
        <f>N67-T67</f>
        <v/>
      </c>
      <c r="X67" s="34" t="n"/>
    </row>
    <row r="68" ht="22" customHeight="1">
      <c r="B68" s="10" t="n">
        <v>64</v>
      </c>
      <c r="C68" s="14" t="inlineStr">
        <is>
          <t>Kénitra</t>
        </is>
      </c>
      <c r="D68" s="10" t="inlineStr">
        <is>
          <t>Sidi allal tazi</t>
        </is>
      </c>
      <c r="E68" s="10" t="inlineStr">
        <is>
          <t>50-23</t>
        </is>
      </c>
      <c r="F68" s="10" t="inlineStr">
        <is>
          <t>Entretien et réparation du réseau d'assainissement et de drainage</t>
        </is>
      </c>
      <c r="G68" s="10" t="inlineStr">
        <is>
          <t>Travaux de curage des canaux en terre</t>
        </is>
      </c>
      <c r="H68" s="10" t="inlineStr">
        <is>
          <t>Curage du canaL d'assainissement CK,</t>
        </is>
      </c>
      <c r="I68" s="11" t="n">
        <v>3000000</v>
      </c>
      <c r="J68" s="12" t="inlineStr">
        <is>
          <t>ml</t>
        </is>
      </c>
      <c r="K68" s="13" t="n">
        <v>1500</v>
      </c>
      <c r="L68" s="51" t="n"/>
      <c r="M68" s="56">
        <f>'S31'!M68+L68</f>
        <v/>
      </c>
      <c r="N68" s="57">
        <f>IFERROR(M68/K68,0)</f>
        <v/>
      </c>
      <c r="O68" s="58">
        <f>'S31'!N68</f>
        <v/>
      </c>
      <c r="P68" s="57">
        <f>N68-O68</f>
        <v/>
      </c>
      <c r="Q68" s="32" t="n"/>
      <c r="R68" s="32" t="n"/>
      <c r="S68" s="32" t="n"/>
      <c r="T68" s="55" t="n"/>
      <c r="U68" s="58">
        <f>'S31'!T68</f>
        <v/>
      </c>
      <c r="V68" s="57">
        <f>T68-U68</f>
        <v/>
      </c>
      <c r="W68" s="57">
        <f>N68-T68</f>
        <v/>
      </c>
      <c r="X68" s="34" t="n"/>
    </row>
    <row r="69" ht="22" customHeight="1">
      <c r="B69" s="5" t="n">
        <v>65</v>
      </c>
      <c r="C69" s="14" t="inlineStr">
        <is>
          <t>Kénitra</t>
        </is>
      </c>
      <c r="D69" s="5" t="inlineStr">
        <is>
          <t>AMEUR SAFLIA</t>
        </is>
      </c>
      <c r="E69" s="5" t="inlineStr">
        <is>
          <t>50-23</t>
        </is>
      </c>
      <c r="F69" s="5" t="inlineStr">
        <is>
          <t>Entretien et réparation du réseau d'assainissement et de drainage</t>
        </is>
      </c>
      <c r="G69" s="5" t="inlineStr">
        <is>
          <t>Travaux de curage des canaux en terre</t>
        </is>
      </c>
      <c r="H69" s="5" t="inlineStr">
        <is>
          <t>Curage des canaux d'assainissement amontTtiflt Sebou,</t>
        </is>
      </c>
      <c r="I69" s="7" t="n">
        <v>1000000</v>
      </c>
      <c r="J69" s="8" t="inlineStr">
        <is>
          <t>ml</t>
        </is>
      </c>
      <c r="K69" s="9" t="n">
        <v>500</v>
      </c>
      <c r="L69" s="51" t="n"/>
      <c r="M69" s="52">
        <f>'S31'!M69+L69</f>
        <v/>
      </c>
      <c r="N69" s="53">
        <f>IFERROR(M69/K69,0)</f>
        <v/>
      </c>
      <c r="O69" s="54">
        <f>'S31'!N69</f>
        <v/>
      </c>
      <c r="P69" s="53">
        <f>N69-O69</f>
        <v/>
      </c>
      <c r="Q69" s="32" t="n"/>
      <c r="R69" s="32" t="n"/>
      <c r="S69" s="32" t="n"/>
      <c r="T69" s="55" t="n"/>
      <c r="U69" s="54">
        <f>'S31'!T69</f>
        <v/>
      </c>
      <c r="V69" s="53">
        <f>T69-U69</f>
        <v/>
      </c>
      <c r="W69" s="53">
        <f>N69-T69</f>
        <v/>
      </c>
      <c r="X69" s="34" t="n"/>
    </row>
    <row r="70" ht="22" customHeight="1">
      <c r="B70" s="10" t="n">
        <v>66</v>
      </c>
      <c r="C70" s="14" t="inlineStr">
        <is>
          <t>Kénitra</t>
        </is>
      </c>
      <c r="D70" s="10" t="inlineStr">
        <is>
          <t>Oulad SLAMA</t>
        </is>
      </c>
      <c r="E70" s="10" t="inlineStr">
        <is>
          <t>50-23</t>
        </is>
      </c>
      <c r="F70" s="10" t="inlineStr">
        <is>
          <t>Entretien et réparation du réseau d'assainissement et de drainage</t>
        </is>
      </c>
      <c r="G70" s="10" t="inlineStr">
        <is>
          <t>Travaux de curage des canaux en terre</t>
        </is>
      </c>
      <c r="H70" s="10" t="inlineStr">
        <is>
          <t>Curage des canaux d'assainissement debouche Tiflt aval,</t>
        </is>
      </c>
      <c r="I70" s="11" t="n">
        <v>1000000</v>
      </c>
      <c r="J70" s="12" t="inlineStr">
        <is>
          <t>ml</t>
        </is>
      </c>
      <c r="K70" s="13" t="n">
        <v>500</v>
      </c>
      <c r="L70" s="51" t="n"/>
      <c r="M70" s="56">
        <f>'S31'!M70+L70</f>
        <v/>
      </c>
      <c r="N70" s="57">
        <f>IFERROR(M70/K70,0)</f>
        <v/>
      </c>
      <c r="O70" s="58">
        <f>'S31'!N70</f>
        <v/>
      </c>
      <c r="P70" s="57">
        <f>N70-O70</f>
        <v/>
      </c>
      <c r="Q70" s="32" t="n"/>
      <c r="R70" s="32" t="n"/>
      <c r="S70" s="32" t="n"/>
      <c r="T70" s="55" t="n"/>
      <c r="U70" s="58">
        <f>'S31'!T70</f>
        <v/>
      </c>
      <c r="V70" s="57">
        <f>T70-U70</f>
        <v/>
      </c>
      <c r="W70" s="57">
        <f>N70-T70</f>
        <v/>
      </c>
      <c r="X70" s="34" t="n"/>
    </row>
    <row r="71" ht="22" customHeight="1">
      <c r="B71" s="5" t="n">
        <v>67</v>
      </c>
      <c r="C71" s="14" t="inlineStr">
        <is>
          <t>Kénitra</t>
        </is>
      </c>
      <c r="D71" s="5" t="inlineStr">
        <is>
          <t>BHARA Oulad AYAD</t>
        </is>
      </c>
      <c r="E71" s="5" t="inlineStr">
        <is>
          <t>50-23</t>
        </is>
      </c>
      <c r="F71" s="5" t="inlineStr">
        <is>
          <t>Entretien et réparation du réseau d'assainissement et de drainage</t>
        </is>
      </c>
      <c r="G71" s="5" t="inlineStr">
        <is>
          <t>Travaux de curage des canaux en terre</t>
        </is>
      </c>
      <c r="H71" s="5" t="inlineStr">
        <is>
          <t>Curage des canaux d'assainissement canal nador bas et haut segmet,</t>
        </is>
      </c>
      <c r="I71" s="7" t="n">
        <v>6600000</v>
      </c>
      <c r="J71" s="8" t="inlineStr">
        <is>
          <t>ml</t>
        </is>
      </c>
      <c r="K71" s="9" t="n">
        <v>3300</v>
      </c>
      <c r="L71" s="51" t="n"/>
      <c r="M71" s="52">
        <f>'S31'!M71+L71</f>
        <v/>
      </c>
      <c r="N71" s="53">
        <f>IFERROR(M71/K71,0)</f>
        <v/>
      </c>
      <c r="O71" s="54">
        <f>'S31'!N71</f>
        <v/>
      </c>
      <c r="P71" s="53">
        <f>N71-O71</f>
        <v/>
      </c>
      <c r="Q71" s="32" t="n"/>
      <c r="R71" s="32" t="n"/>
      <c r="S71" s="32" t="n"/>
      <c r="T71" s="55" t="n"/>
      <c r="U71" s="54">
        <f>'S31'!T71</f>
        <v/>
      </c>
      <c r="V71" s="53">
        <f>T71-U71</f>
        <v/>
      </c>
      <c r="W71" s="53">
        <f>N71-T71</f>
        <v/>
      </c>
      <c r="X71" s="34" t="n"/>
    </row>
    <row r="72" ht="22" customHeight="1">
      <c r="B72" s="10" t="n">
        <v>68</v>
      </c>
      <c r="C72" s="15" t="inlineStr">
        <is>
          <t>Sidi Slimane</t>
        </is>
      </c>
      <c r="D72" s="10" t="inlineStr">
        <is>
          <t>OULED HCEINE</t>
        </is>
      </c>
      <c r="E72" s="10" t="inlineStr">
        <is>
          <t>50-23</t>
        </is>
      </c>
      <c r="F72" s="10" t="inlineStr">
        <is>
          <t>Entretien et réparation du réseau d'assainissement et de drainage</t>
        </is>
      </c>
      <c r="G72" s="10" t="inlineStr">
        <is>
          <t>Travaux de curage des canaux en terre</t>
        </is>
      </c>
      <c r="H72" s="10" t="inlineStr">
        <is>
          <t>Curage des collecteurs d'assainissement du secteur EST4.</t>
        </is>
      </c>
      <c r="I72" s="11" t="n">
        <v>1805475</v>
      </c>
      <c r="J72" s="12" t="inlineStr">
        <is>
          <t>ml</t>
        </is>
      </c>
      <c r="K72" s="13" t="n">
        <v>903</v>
      </c>
      <c r="L72" s="51" t="n"/>
      <c r="M72" s="56">
        <f>'S31'!M72+L72</f>
        <v/>
      </c>
      <c r="N72" s="57">
        <f>IFERROR(M72/K72,0)</f>
        <v/>
      </c>
      <c r="O72" s="58">
        <f>'S31'!N72</f>
        <v/>
      </c>
      <c r="P72" s="57">
        <f>N72-O72</f>
        <v/>
      </c>
      <c r="Q72" s="32" t="n"/>
      <c r="R72" s="32" t="n"/>
      <c r="S72" s="32" t="n"/>
      <c r="T72" s="55" t="n"/>
      <c r="U72" s="58">
        <f>'S31'!T72</f>
        <v/>
      </c>
      <c r="V72" s="57">
        <f>T72-U72</f>
        <v/>
      </c>
      <c r="W72" s="57">
        <f>N72-T72</f>
        <v/>
      </c>
      <c r="X72" s="34" t="n"/>
    </row>
    <row r="73" ht="22" customHeight="1">
      <c r="B73" s="5" t="n">
        <v>69</v>
      </c>
      <c r="C73" s="15" t="inlineStr">
        <is>
          <t>Sidi Slimane</t>
        </is>
      </c>
      <c r="D73" s="5" t="inlineStr">
        <is>
          <t>OULED HCEINE</t>
        </is>
      </c>
      <c r="E73" s="5" t="inlineStr">
        <is>
          <t>50-23</t>
        </is>
      </c>
      <c r="F73" s="5" t="inlineStr">
        <is>
          <t>Entretien et réparation du réseau d'assainissement et de drainage</t>
        </is>
      </c>
      <c r="G73" s="5" t="inlineStr">
        <is>
          <t>Travaux de curage des canaux en terre</t>
        </is>
      </c>
      <c r="H73" s="5" t="inlineStr">
        <is>
          <t>Curage du canal d'assainissement Tihli central.</t>
        </is>
      </c>
      <c r="I73" s="7" t="n">
        <v>2587200</v>
      </c>
      <c r="J73" s="8" t="inlineStr">
        <is>
          <t>ml</t>
        </is>
      </c>
      <c r="K73" s="9" t="n">
        <v>1294</v>
      </c>
      <c r="L73" s="51" t="n"/>
      <c r="M73" s="52">
        <f>'S31'!M73+L73</f>
        <v/>
      </c>
      <c r="N73" s="53">
        <f>IFERROR(M73/K73,0)</f>
        <v/>
      </c>
      <c r="O73" s="54">
        <f>'S31'!N73</f>
        <v/>
      </c>
      <c r="P73" s="53">
        <f>N73-O73</f>
        <v/>
      </c>
      <c r="Q73" s="32" t="n"/>
      <c r="R73" s="32" t="n"/>
      <c r="S73" s="32" t="n"/>
      <c r="T73" s="55" t="n"/>
      <c r="U73" s="54">
        <f>'S31'!T73</f>
        <v/>
      </c>
      <c r="V73" s="53">
        <f>T73-U73</f>
        <v/>
      </c>
      <c r="W73" s="53">
        <f>N73-T73</f>
        <v/>
      </c>
      <c r="X73" s="34" t="n"/>
    </row>
    <row r="74" ht="22" customHeight="1">
      <c r="B74" s="10" t="n">
        <v>70</v>
      </c>
      <c r="C74" s="15" t="inlineStr">
        <is>
          <t>Sidi Slimane</t>
        </is>
      </c>
      <c r="D74" s="10" t="inlineStr">
        <is>
          <t>OULED HCEINE</t>
        </is>
      </c>
      <c r="E74" s="10" t="inlineStr">
        <is>
          <t>40-21</t>
        </is>
      </c>
      <c r="F74" s="10" t="inlineStr">
        <is>
          <t>Travaux de pistes</t>
        </is>
      </c>
      <c r="G74" s="10" t="inlineStr">
        <is>
          <t>Travaux de réhabilitation des pistes agricoles</t>
        </is>
      </c>
      <c r="H74" s="10" t="inlineStr">
        <is>
          <t>Entretien des pistes agricoles</t>
        </is>
      </c>
      <c r="I74" s="11" t="n">
        <v>3500000</v>
      </c>
      <c r="J74" s="12" t="inlineStr">
        <is>
          <t>km</t>
        </is>
      </c>
      <c r="K74" s="13" t="n">
        <v>7</v>
      </c>
      <c r="L74" s="51" t="n"/>
      <c r="M74" s="56">
        <f>'S31'!M74+L74</f>
        <v/>
      </c>
      <c r="N74" s="57">
        <f>IFERROR(M74/K74,0)</f>
        <v/>
      </c>
      <c r="O74" s="58">
        <f>'S31'!N74</f>
        <v/>
      </c>
      <c r="P74" s="57">
        <f>N74-O74</f>
        <v/>
      </c>
      <c r="Q74" s="32" t="n"/>
      <c r="R74" s="32" t="n"/>
      <c r="S74" s="32" t="n"/>
      <c r="T74" s="55" t="n"/>
      <c r="U74" s="58">
        <f>'S31'!T74</f>
        <v/>
      </c>
      <c r="V74" s="57">
        <f>T74-U74</f>
        <v/>
      </c>
      <c r="W74" s="57">
        <f>N74-T74</f>
        <v/>
      </c>
      <c r="X74" s="34" t="n"/>
    </row>
    <row r="75" ht="22" customHeight="1">
      <c r="B75" s="5" t="n">
        <v>71</v>
      </c>
      <c r="C75" s="15" t="inlineStr">
        <is>
          <t>Sidi Slimane</t>
        </is>
      </c>
      <c r="D75" s="5" t="inlineStr">
        <is>
          <t>OULED HCEINE</t>
        </is>
      </c>
      <c r="E75" s="5" t="inlineStr">
        <is>
          <t>50-21</t>
        </is>
      </c>
      <c r="F75" s="5" t="inlineStr">
        <is>
          <t>Entretien et réparation des stations de pompage</t>
        </is>
      </c>
      <c r="G75" s="5" t="inlineStr">
        <is>
          <t>Travaux de réparation des équipements hydromécaniques et éléctriques et entretien de la partie génie civil des stations de pompage.</t>
        </is>
      </c>
      <c r="H75" s="5" t="inlineStr">
        <is>
          <t>Démontage et expertise des roues des  pompes principaux et pompes a vide de la station EST4 et P11/2.
Changement des roulements, tresses et organes d’effectués de la station EST4 et P11/2
Changement deux débitmètre Ø 1200 mm de la station EST4 et un débimétre de la station P11/2.
Changement des capteurs de niveau inondés.
Révision et réparation des moteurs des vannes motorisées inondées.
changement de six contrôleurs de débits DW181 inondés.
Un capteur de débitmètre inondé nécessitent un diagnostic VEGASON  .
Entretien de l'éclairage du local de vide et bâche d’aspiration inondé de la station EST4 et la partie de l’éclairage du local des pompes inondées de la station P11/2.
Pose de gabions et recouvrement du talus par matelas Reno des stations de pompage P11/2</t>
        </is>
      </c>
      <c r="I75" s="7" t="n">
        <v>870000</v>
      </c>
      <c r="J75" s="8" t="inlineStr">
        <is>
          <t>U</t>
        </is>
      </c>
      <c r="K75" s="9" t="n">
        <v>4</v>
      </c>
      <c r="L75" s="51" t="n"/>
      <c r="M75" s="52">
        <f>'S31'!M75+L75</f>
        <v/>
      </c>
      <c r="N75" s="53">
        <f>IFERROR(M75/K75,0)</f>
        <v/>
      </c>
      <c r="O75" s="54">
        <f>'S31'!N75</f>
        <v/>
      </c>
      <c r="P75" s="53">
        <f>N75-O75</f>
        <v/>
      </c>
      <c r="Q75" s="32" t="n"/>
      <c r="R75" s="32" t="n"/>
      <c r="S75" s="32" t="n"/>
      <c r="T75" s="55" t="n"/>
      <c r="U75" s="54">
        <f>'S31'!T75</f>
        <v/>
      </c>
      <c r="V75" s="53">
        <f>T75-U75</f>
        <v/>
      </c>
      <c r="W75" s="53">
        <f>N75-T75</f>
        <v/>
      </c>
      <c r="X75" s="34" t="n"/>
    </row>
    <row r="76" ht="22" customHeight="1">
      <c r="B76" s="10" t="n">
        <v>72</v>
      </c>
      <c r="C76" s="15" t="inlineStr">
        <is>
          <t>Sidi Slimane</t>
        </is>
      </c>
      <c r="D76" s="10" t="inlineStr">
        <is>
          <t>OULED HCEINE</t>
        </is>
      </c>
      <c r="E76" s="10" t="inlineStr">
        <is>
          <t>50-23</t>
        </is>
      </c>
      <c r="F76" s="10" t="inlineStr">
        <is>
          <t>Entretien et réparation du réseau d'assainissement et de drainage</t>
        </is>
      </c>
      <c r="G76" s="10" t="inlineStr">
        <is>
          <t>Travaux de curage des prises des stations de pompage.</t>
        </is>
      </c>
      <c r="H76" s="10" t="inlineStr">
        <is>
          <t>Curage des siphones des station de pompage EST2 et P11/2.</t>
        </is>
      </c>
      <c r="I76" s="11" t="n">
        <v>500000</v>
      </c>
      <c r="J76" s="12" t="inlineStr">
        <is>
          <t>ml</t>
        </is>
      </c>
      <c r="K76" s="13" t="n">
        <v>167</v>
      </c>
      <c r="L76" s="51" t="n"/>
      <c r="M76" s="56">
        <f>'S31'!M76+L76</f>
        <v/>
      </c>
      <c r="N76" s="57">
        <f>IFERROR(M76/K76,0)</f>
        <v/>
      </c>
      <c r="O76" s="58">
        <f>'S31'!N76</f>
        <v/>
      </c>
      <c r="P76" s="57">
        <f>N76-O76</f>
        <v/>
      </c>
      <c r="Q76" s="32" t="n"/>
      <c r="R76" s="32" t="n"/>
      <c r="S76" s="32" t="n"/>
      <c r="T76" s="55" t="n"/>
      <c r="U76" s="58">
        <f>'S31'!T76</f>
        <v/>
      </c>
      <c r="V76" s="57">
        <f>T76-U76</f>
        <v/>
      </c>
      <c r="W76" s="57">
        <f>N76-T76</f>
        <v/>
      </c>
      <c r="X76" s="34" t="n"/>
    </row>
    <row r="77" ht="26" customHeight="1">
      <c r="B77" s="16" t="inlineStr">
        <is>
          <t>TOTAL</t>
        </is>
      </c>
      <c r="C77" s="16" t="n"/>
      <c r="D77" s="16" t="n"/>
      <c r="E77" s="16" t="n"/>
      <c r="F77" s="16" t="n"/>
      <c r="G77" s="16" t="n"/>
      <c r="H77" s="16" t="n"/>
      <c r="I77" s="17">
        <f>SUM(I5:I76)</f>
        <v/>
      </c>
      <c r="J77" s="16" t="n"/>
      <c r="K77" s="16" t="n"/>
      <c r="L77" s="59">
        <f>SUM(L5:L76)</f>
        <v/>
      </c>
      <c r="M77" s="59">
        <f>SUM(M5:M76)</f>
        <v/>
      </c>
      <c r="N77" s="60">
        <f>IFERROR(SUMPRODUCT(N5:N76,I5:I76)/I77,0)</f>
        <v/>
      </c>
      <c r="O77" s="60">
        <f>IFERROR(SUMPRODUCT(O5:O76,I5:I76)/I77,0)</f>
        <v/>
      </c>
      <c r="P77" s="60">
        <f>N77-O77</f>
        <v/>
      </c>
      <c r="Q77" s="17">
        <f>SUM(Q5:Q76)</f>
        <v/>
      </c>
      <c r="R77" s="17">
        <f>SUM(R5:R76)</f>
        <v/>
      </c>
      <c r="S77" s="17">
        <f>SUM(S5:S76)</f>
        <v/>
      </c>
      <c r="T77" s="60">
        <f>IFERROR(SUMPRODUCT(T5:T76,I5:I76)/I77,0)</f>
        <v/>
      </c>
      <c r="U77" s="60">
        <f>IFERROR(SUMPRODUCT(U5:U76,I5:I76)/I77,0)</f>
        <v/>
      </c>
      <c r="V77" s="60">
        <f>T77-U77</f>
        <v/>
      </c>
      <c r="W77" s="60">
        <f>N77-T77</f>
        <v/>
      </c>
      <c r="X77" s="16" t="n"/>
    </row>
  </sheetData>
  <sheetProtection selectLockedCells="0" selectUnlockedCells="0" sheet="1" objects="0" insertRows="1" insertHyperlinks="1" autoFilter="1" scenarios="0" formatColumns="1" deleteColumns="1" insertColumns="1" pivotTables="1" deleteRows="1" formatCells="1" formatRows="1" sort="1" password="CBBE"/>
  <mergeCells count="6">
    <mergeCell ref="E3:I3"/>
    <mergeCell ref="W3:X3"/>
    <mergeCell ref="J3:P3"/>
    <mergeCell ref="B2:X2"/>
    <mergeCell ref="C3:D3"/>
    <mergeCell ref="Q3:V3"/>
  </mergeCells>
  <conditionalFormatting sqref="P5:P76">
    <cfRule type="cellIs" priority="1" operator="greaterThan" dxfId="0">
      <formula>0</formula>
    </cfRule>
    <cfRule type="cellIs" priority="2" operator="lessThan" dxfId="1">
      <formula>0</formula>
    </cfRule>
  </conditionalFormatting>
  <conditionalFormatting sqref="V5:V76">
    <cfRule type="cellIs" priority="3" operator="greaterThan" dxfId="0">
      <formula>0</formula>
    </cfRule>
    <cfRule type="cellIs" priority="4" operator="lessThan" dxfId="1">
      <formula>0</formula>
    </cfRule>
  </conditionalFormatting>
  <conditionalFormatting sqref="W5:W76">
    <cfRule type="cellIs" priority="5" operator="greaterThan" dxfId="0">
      <formula>0.05</formula>
    </cfRule>
    <cfRule type="cellIs" priority="6" operator="lessThan" dxfId="1">
      <formula>-0.05</formula>
    </cfRule>
    <cfRule type="cellIs" priority="7" operator="between" dxfId="2">
      <formula>-0.05</formula>
      <formula>0.05</formula>
    </cfRule>
  </conditionalFormatting>
  <conditionalFormatting sqref="N5:N76">
    <cfRule type="dataBar" priority="8">
      <dataBar showValue="1">
        <cfvo type="num" val="0"/>
        <cfvo type="num" val="1"/>
        <color rgb="001B7D46"/>
      </dataBar>
    </cfRule>
  </conditionalFormatting>
  <conditionalFormatting sqref="T5:T76">
    <cfRule type="dataBar" priority="9">
      <dataBar showValue="1">
        <cfvo type="num" val="0"/>
        <cfvo type="num" val="1"/>
        <color rgb="00D4820A"/>
      </dataBar>
    </cfRule>
  </conditionalFormatting>
  <dataValidations count="2">
    <dataValidation sqref="T5:T76" showDropDown="0" showInputMessage="0" showErrorMessage="0" allowBlank="1" errorTitle="Invalide" error="Valeur entre 0% et 100%" promptTitle="Avancement %" prompt="Entrez 0.25 pour 25%" type="decimal" operator="between">
      <formula1>0</formula1>
      <formula2>1</formula2>
    </dataValidation>
    <dataValidation sqref="L5:L76" showDropDown="0" showInputMessage="0" showErrorMessage="0" allowBlank="1" errorTitle="Invalide" error="Quantité doit être &gt;= 0" promptTitle="Qté Réalisée" prompt="Entrez la quantité réalisée cette semaine" type="decimal" operator="greaterThanOrEqual">
      <formula1>0</formula1>
    </dataValidation>
  </dataValidations>
  <pageMargins left="0.75" right="0.75" top="1" bottom="1" header="0.5" footer="0.5"/>
</worksheet>
</file>

<file path=xl/worksheets/sheet13.xml><?xml version="1.0" encoding="utf-8"?>
<worksheet xmlns="http://schemas.openxmlformats.org/spreadsheetml/2006/main">
  <sheetPr>
    <tabColor rgb="00FF0000"/>
    <outlinePr summaryBelow="1" summaryRight="1"/>
    <pageSetUpPr/>
  </sheetPr>
  <dimension ref="B2:X77"/>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5" customWidth="1" min="2" max="2"/>
    <col width="14" customWidth="1" min="3" max="3"/>
    <col width="18" customWidth="1" min="4" max="4"/>
    <col width="9" customWidth="1" min="5" max="5"/>
    <col width="32" customWidth="1" min="6" max="6"/>
    <col width="28" customWidth="1" min="7" max="7"/>
    <col width="34" customWidth="1" min="8" max="8"/>
    <col width="14" customWidth="1" min="9" max="9"/>
    <col width="8" customWidth="1" min="10" max="10"/>
    <col width="12" customWidth="1" min="11" max="11"/>
    <col width="14" customWidth="1" min="12" max="12"/>
    <col width="14" customWidth="1" min="13" max="13"/>
    <col width="14" customWidth="1" min="14" max="14"/>
    <col width="14" customWidth="1" min="15" max="15"/>
    <col width="14" customWidth="1" min="16" max="16"/>
    <col width="16" customWidth="1" min="17" max="17"/>
    <col width="16" customWidth="1" min="18" max="18"/>
    <col width="16" customWidth="1" min="19" max="19"/>
    <col width="14" customWidth="1" min="20" max="20"/>
    <col width="14" customWidth="1" min="21" max="21"/>
    <col width="14" customWidth="1" min="22" max="22"/>
    <col width="14" customWidth="1" min="23" max="23"/>
    <col width="24" customWidth="1" min="24" max="24"/>
  </cols>
  <sheetData>
    <row r="1" ht="15" customHeight="1"/>
    <row r="2" ht="32" customHeight="1">
      <c r="B2" s="1" t="inlineStr">
        <is>
          <t>Suivi Hebdomadaire - Semaine 33 (10/08 - 16/08) — Août 2026 - Exécution Physique et Financière</t>
        </is>
      </c>
    </row>
    <row r="3" ht="22" customHeight="1">
      <c r="B3" s="20" t="inlineStr">
        <is>
          <t>Date :</t>
        </is>
      </c>
      <c r="C3" s="49" t="n">
        <v>46244</v>
      </c>
      <c r="D3" s="50" t="n"/>
      <c r="E3" s="22" t="inlineStr">
        <is>
          <t>IDENTIFICATION</t>
        </is>
      </c>
      <c r="J3" s="23" t="inlineStr">
        <is>
          <t>INDICATEURS PHYSIQUES</t>
        </is>
      </c>
      <c r="Q3" s="24" t="inlineStr">
        <is>
          <t>INDICATEURS FINANCIERS</t>
        </is>
      </c>
      <c r="W3" s="25" t="inlineStr">
        <is>
          <t>SYNTHÈSE</t>
        </is>
      </c>
    </row>
    <row r="4" ht="28" customHeight="1">
      <c r="B4" s="4" t="inlineStr">
        <is>
          <t>N°</t>
        </is>
      </c>
      <c r="C4" s="4" t="inlineStr">
        <is>
          <t>Province</t>
        </is>
      </c>
      <c r="D4" s="4" t="inlineStr">
        <is>
          <t>Commune</t>
        </is>
      </c>
      <c r="E4" s="4" t="inlineStr">
        <is>
          <t>Rubrique</t>
        </is>
      </c>
      <c r="F4" s="4" t="inlineStr">
        <is>
          <t>Intitulé Rubrique</t>
        </is>
      </c>
      <c r="G4" s="4" t="inlineStr">
        <is>
          <t>Projet</t>
        </is>
      </c>
      <c r="H4" s="4" t="inlineStr">
        <is>
          <t>Consistance</t>
        </is>
      </c>
      <c r="I4" s="4" t="inlineStr">
        <is>
          <t>Coût Total (DH)</t>
        </is>
      </c>
      <c r="J4" s="26" t="inlineStr">
        <is>
          <t>Unité</t>
        </is>
      </c>
      <c r="K4" s="26" t="inlineStr">
        <is>
          <t>Qté Prévue</t>
        </is>
      </c>
      <c r="L4" s="26" t="inlineStr">
        <is>
          <t>Qté Réalisée Sem.</t>
        </is>
      </c>
      <c r="M4" s="26" t="inlineStr">
        <is>
          <t>Qté Réalisée Cumul</t>
        </is>
      </c>
      <c r="N4" s="26" t="inlineStr">
        <is>
          <t>Avancement Physique %</t>
        </is>
      </c>
      <c r="O4" s="26" t="inlineStr">
        <is>
          <t>% Phys. Sem. Préc.</t>
        </is>
      </c>
      <c r="P4" s="26" t="inlineStr">
        <is>
          <t>Accroissement Phys. %</t>
        </is>
      </c>
      <c r="Q4" s="27" t="inlineStr">
        <is>
          <t>Montant Décaissé (DH)</t>
        </is>
      </c>
      <c r="R4" s="27" t="inlineStr">
        <is>
          <t>Montant Payé (DH)</t>
        </is>
      </c>
      <c r="S4" s="27" t="inlineStr">
        <is>
          <t>Montant Ordonné (DH)</t>
        </is>
      </c>
      <c r="T4" s="27" t="inlineStr">
        <is>
          <t>Avancement Financier %</t>
        </is>
      </c>
      <c r="U4" s="27" t="inlineStr">
        <is>
          <t>% Fin. Sem. Préc.</t>
        </is>
      </c>
      <c r="V4" s="27" t="inlineStr">
        <is>
          <t>Accroissement Fin. %</t>
        </is>
      </c>
      <c r="W4" s="28" t="inlineStr">
        <is>
          <t>Écart Phys.-Fin.</t>
        </is>
      </c>
      <c r="X4" s="28" t="inlineStr">
        <is>
          <t>Observations</t>
        </is>
      </c>
    </row>
    <row r="5" ht="22" customHeight="1">
      <c r="B5" s="5" t="n">
        <v>1</v>
      </c>
      <c r="C5" s="6" t="inlineStr">
        <is>
          <t>Sidi Kacem</t>
        </is>
      </c>
      <c r="D5" s="5" t="inlineStr">
        <is>
          <t>KHENICHET</t>
        </is>
      </c>
      <c r="E5" s="5" t="inlineStr">
        <is>
          <t>50-23</t>
        </is>
      </c>
      <c r="F5" s="5" t="inlineStr">
        <is>
          <t>Entretien et réparation du réseau d'assainissement et de drainage</t>
        </is>
      </c>
      <c r="G5" s="5" t="inlineStr">
        <is>
          <t>Travaux de curage des canaux en terre</t>
        </is>
      </c>
      <c r="H5" s="5" t="inlineStr">
        <is>
          <t>Curage des collecteurs d'assainissement du secteur EST2</t>
        </is>
      </c>
      <c r="I5" s="7" t="n">
        <v>2091568</v>
      </c>
      <c r="J5" s="8" t="inlineStr">
        <is>
          <t>ml</t>
        </is>
      </c>
      <c r="K5" s="9" t="n">
        <v>1046</v>
      </c>
      <c r="L5" s="51" t="n"/>
      <c r="M5" s="52">
        <f>'S32'!M5+L5</f>
        <v/>
      </c>
      <c r="N5" s="53">
        <f>IFERROR(M5/K5,0)</f>
        <v/>
      </c>
      <c r="O5" s="54">
        <f>'S32'!N5</f>
        <v/>
      </c>
      <c r="P5" s="53">
        <f>N5-O5</f>
        <v/>
      </c>
      <c r="Q5" s="32" t="n"/>
      <c r="R5" s="32" t="n"/>
      <c r="S5" s="32" t="n"/>
      <c r="T5" s="55" t="n"/>
      <c r="U5" s="54">
        <f>'S32'!T5</f>
        <v/>
      </c>
      <c r="V5" s="53">
        <f>T5-U5</f>
        <v/>
      </c>
      <c r="W5" s="53">
        <f>N5-T5</f>
        <v/>
      </c>
      <c r="X5" s="34" t="n"/>
    </row>
    <row r="6" ht="22" customHeight="1">
      <c r="B6" s="10" t="n">
        <v>2</v>
      </c>
      <c r="C6" s="6" t="inlineStr">
        <is>
          <t>Sidi Kacem</t>
        </is>
      </c>
      <c r="D6" s="10" t="inlineStr">
        <is>
          <t>KHENICHET</t>
        </is>
      </c>
      <c r="E6" s="10" t="inlineStr">
        <is>
          <t>40-21</t>
        </is>
      </c>
      <c r="F6" s="10" t="inlineStr">
        <is>
          <t>Travaux de pistes</t>
        </is>
      </c>
      <c r="G6" s="10" t="inlineStr">
        <is>
          <t>Travaux de réhabilitation des pistes agricoles</t>
        </is>
      </c>
      <c r="H6" s="10" t="inlineStr">
        <is>
          <t>Entretien des pistes agricoles Douar Nouagra et Douar ouled Salem</t>
        </is>
      </c>
      <c r="I6" s="11" t="n">
        <v>78000</v>
      </c>
      <c r="J6" s="12" t="inlineStr">
        <is>
          <t>km</t>
        </is>
      </c>
      <c r="K6" s="13" t="n">
        <v>1</v>
      </c>
      <c r="L6" s="51" t="n"/>
      <c r="M6" s="56">
        <f>'S32'!M6+L6</f>
        <v/>
      </c>
      <c r="N6" s="57">
        <f>IFERROR(M6/K6,0)</f>
        <v/>
      </c>
      <c r="O6" s="58">
        <f>'S32'!N6</f>
        <v/>
      </c>
      <c r="P6" s="57">
        <f>N6-O6</f>
        <v/>
      </c>
      <c r="Q6" s="32" t="n"/>
      <c r="R6" s="32" t="n"/>
      <c r="S6" s="32" t="n"/>
      <c r="T6" s="55" t="n"/>
      <c r="U6" s="58">
        <f>'S32'!T6</f>
        <v/>
      </c>
      <c r="V6" s="57">
        <f>T6-U6</f>
        <v/>
      </c>
      <c r="W6" s="57">
        <f>N6-T6</f>
        <v/>
      </c>
      <c r="X6" s="34" t="n"/>
    </row>
    <row r="7" ht="22" customHeight="1">
      <c r="B7" s="5" t="n">
        <v>3</v>
      </c>
      <c r="C7" s="6" t="inlineStr">
        <is>
          <t>Sidi Kacem</t>
        </is>
      </c>
      <c r="D7" s="5" t="inlineStr">
        <is>
          <t>KHENICHET</t>
        </is>
      </c>
      <c r="E7" s="5" t="inlineStr">
        <is>
          <t>50-23</t>
        </is>
      </c>
      <c r="F7" s="5" t="inlineStr">
        <is>
          <t>Entretien et réparation du réseau d'assainissement et de drainage</t>
        </is>
      </c>
      <c r="G7" s="5" t="inlineStr">
        <is>
          <t>Curage des prises sur l’oued, bâche d’aspiration et bassin de régulation.</t>
        </is>
      </c>
      <c r="H7" s="5" t="inlineStr">
        <is>
          <t>Curage de la chambre des joints de démontage des siphonnes  de la station de pompage EST2.</t>
        </is>
      </c>
      <c r="I7" s="7" t="n">
        <v>126000</v>
      </c>
      <c r="J7" s="8" t="inlineStr">
        <is>
          <t>ml</t>
        </is>
      </c>
      <c r="K7" s="9" t="n">
        <v>42</v>
      </c>
      <c r="L7" s="51" t="n"/>
      <c r="M7" s="52">
        <f>'S32'!M7+L7</f>
        <v/>
      </c>
      <c r="N7" s="53">
        <f>IFERROR(M7/K7,0)</f>
        <v/>
      </c>
      <c r="O7" s="54">
        <f>'S32'!N7</f>
        <v/>
      </c>
      <c r="P7" s="53">
        <f>N7-O7</f>
        <v/>
      </c>
      <c r="Q7" s="32" t="n"/>
      <c r="R7" s="32" t="n"/>
      <c r="S7" s="32" t="n"/>
      <c r="T7" s="55" t="n"/>
      <c r="U7" s="54">
        <f>'S32'!T7</f>
        <v/>
      </c>
      <c r="V7" s="53">
        <f>T7-U7</f>
        <v/>
      </c>
      <c r="W7" s="53">
        <f>N7-T7</f>
        <v/>
      </c>
      <c r="X7" s="34" t="n"/>
    </row>
    <row r="8" ht="22" customHeight="1">
      <c r="B8" s="10" t="n">
        <v>4</v>
      </c>
      <c r="C8" s="6" t="inlineStr">
        <is>
          <t>Sidi Kacem</t>
        </is>
      </c>
      <c r="D8" s="10" t="inlineStr">
        <is>
          <t>KHENICHET</t>
        </is>
      </c>
      <c r="E8" s="10" t="inlineStr">
        <is>
          <t>50-21</t>
        </is>
      </c>
      <c r="F8" s="10" t="inlineStr">
        <is>
          <t>Entretien et réparation des stations de pompage</t>
        </is>
      </c>
      <c r="G8" s="10" t="inlineStr">
        <is>
          <t>Prestation de maintenance des débitmètres et leurs équipements annexes installés au niveau des station de pompage</t>
        </is>
      </c>
      <c r="H8" s="10" t="inlineStr">
        <is>
          <t>Changement trois débitmètre Ø 600mm inondés de la station de pompage EST 2 et deux capteurs VEGASON 62</t>
        </is>
      </c>
      <c r="I8" s="11" t="n">
        <v>165500</v>
      </c>
      <c r="J8" s="12" t="inlineStr">
        <is>
          <t>U</t>
        </is>
      </c>
      <c r="K8" s="13" t="n">
        <v>3</v>
      </c>
      <c r="L8" s="51" t="n"/>
      <c r="M8" s="56">
        <f>'S32'!M8+L8</f>
        <v/>
      </c>
      <c r="N8" s="57">
        <f>IFERROR(M8/K8,0)</f>
        <v/>
      </c>
      <c r="O8" s="58">
        <f>'S32'!N8</f>
        <v/>
      </c>
      <c r="P8" s="57">
        <f>N8-O8</f>
        <v/>
      </c>
      <c r="Q8" s="32" t="n"/>
      <c r="R8" s="32" t="n"/>
      <c r="S8" s="32" t="n"/>
      <c r="T8" s="55" t="n"/>
      <c r="U8" s="58">
        <f>'S32'!T8</f>
        <v/>
      </c>
      <c r="V8" s="57">
        <f>T8-U8</f>
        <v/>
      </c>
      <c r="W8" s="57">
        <f>N8-T8</f>
        <v/>
      </c>
      <c r="X8" s="34" t="n"/>
    </row>
    <row r="9" ht="22" customHeight="1">
      <c r="B9" s="5" t="n">
        <v>5</v>
      </c>
      <c r="C9" s="6" t="inlineStr">
        <is>
          <t>Sidi Kacem</t>
        </is>
      </c>
      <c r="D9" s="5" t="inlineStr">
        <is>
          <t>BIR TALEB</t>
        </is>
      </c>
      <c r="E9" s="5" t="inlineStr">
        <is>
          <t>50-23</t>
        </is>
      </c>
      <c r="F9" s="5" t="inlineStr">
        <is>
          <t>Entretien et réparation du réseau d'assainissement et de drainage</t>
        </is>
      </c>
      <c r="G9" s="5" t="inlineStr">
        <is>
          <t>Travaux de curage des canaux en terre</t>
        </is>
      </c>
      <c r="H9" s="5" t="inlineStr">
        <is>
          <t>Curage du canal d'assainisement Tihli Aval</t>
        </is>
      </c>
      <c r="I9" s="7" t="n">
        <v>1000000</v>
      </c>
      <c r="J9" s="8" t="inlineStr">
        <is>
          <t>ml</t>
        </is>
      </c>
      <c r="K9" s="9" t="n">
        <v>500</v>
      </c>
      <c r="L9" s="51" t="n"/>
      <c r="M9" s="52">
        <f>'S32'!M9+L9</f>
        <v/>
      </c>
      <c r="N9" s="53">
        <f>IFERROR(M9/K9,0)</f>
        <v/>
      </c>
      <c r="O9" s="54">
        <f>'S32'!N9</f>
        <v/>
      </c>
      <c r="P9" s="53">
        <f>N9-O9</f>
        <v/>
      </c>
      <c r="Q9" s="32" t="n"/>
      <c r="R9" s="32" t="n"/>
      <c r="S9" s="32" t="n"/>
      <c r="T9" s="55" t="n"/>
      <c r="U9" s="54">
        <f>'S32'!T9</f>
        <v/>
      </c>
      <c r="V9" s="53">
        <f>T9-U9</f>
        <v/>
      </c>
      <c r="W9" s="53">
        <f>N9-T9</f>
        <v/>
      </c>
      <c r="X9" s="34" t="n"/>
    </row>
    <row r="10" ht="22" customHeight="1">
      <c r="B10" s="10" t="n">
        <v>6</v>
      </c>
      <c r="C10" s="6" t="inlineStr">
        <is>
          <t>Sidi Kacem</t>
        </is>
      </c>
      <c r="D10" s="10" t="inlineStr">
        <is>
          <t>BIR TALEB</t>
        </is>
      </c>
      <c r="E10" s="10" t="inlineStr">
        <is>
          <t>50-23</t>
        </is>
      </c>
      <c r="F10" s="10" t="inlineStr">
        <is>
          <t>Entretien et réparation du réseau d'assainissement et de drainage</t>
        </is>
      </c>
      <c r="G10" s="10" t="inlineStr"/>
      <c r="H10" s="10" t="inlineStr">
        <is>
          <t>Curage des collecteurs d'assainissement du secteur P11/1</t>
        </is>
      </c>
      <c r="I10" s="11" t="n">
        <v>846731</v>
      </c>
      <c r="J10" s="12" t="inlineStr">
        <is>
          <t>ml</t>
        </is>
      </c>
      <c r="K10" s="13" t="n">
        <v>423</v>
      </c>
      <c r="L10" s="51" t="n"/>
      <c r="M10" s="56">
        <f>'S32'!M10+L10</f>
        <v/>
      </c>
      <c r="N10" s="57">
        <f>IFERROR(M10/K10,0)</f>
        <v/>
      </c>
      <c r="O10" s="58">
        <f>'S32'!N10</f>
        <v/>
      </c>
      <c r="P10" s="57">
        <f>N10-O10</f>
        <v/>
      </c>
      <c r="Q10" s="32" t="n"/>
      <c r="R10" s="32" t="n"/>
      <c r="S10" s="32" t="n"/>
      <c r="T10" s="55" t="n"/>
      <c r="U10" s="58">
        <f>'S32'!T10</f>
        <v/>
      </c>
      <c r="V10" s="57">
        <f>T10-U10</f>
        <v/>
      </c>
      <c r="W10" s="57">
        <f>N10-T10</f>
        <v/>
      </c>
      <c r="X10" s="34" t="n"/>
    </row>
    <row r="11" ht="22" customHeight="1">
      <c r="B11" s="5" t="n">
        <v>7</v>
      </c>
      <c r="C11" s="6" t="inlineStr">
        <is>
          <t>Sidi Kacem</t>
        </is>
      </c>
      <c r="D11" s="5" t="inlineStr">
        <is>
          <t>BIR TALEB</t>
        </is>
      </c>
      <c r="E11" s="5" t="inlineStr">
        <is>
          <t>50-23</t>
        </is>
      </c>
      <c r="F11" s="5" t="inlineStr">
        <is>
          <t>Entretien et réparation du réseau d'assainissement et de drainage</t>
        </is>
      </c>
      <c r="G11" s="5" t="inlineStr">
        <is>
          <t>Curage des prises sur l’oued, bâche d’aspiration et bassin de régulation.</t>
        </is>
      </c>
      <c r="H11" s="5" t="inlineStr">
        <is>
          <t>Curage des prises sur l’oued de la station de pompage P11/1.</t>
        </is>
      </c>
      <c r="I11" s="7" t="n">
        <v>200000</v>
      </c>
      <c r="J11" s="8" t="inlineStr">
        <is>
          <t>ml</t>
        </is>
      </c>
      <c r="K11" s="9" t="n">
        <v>67</v>
      </c>
      <c r="L11" s="51" t="n"/>
      <c r="M11" s="52">
        <f>'S32'!M11+L11</f>
        <v/>
      </c>
      <c r="N11" s="53">
        <f>IFERROR(M11/K11,0)</f>
        <v/>
      </c>
      <c r="O11" s="54">
        <f>'S32'!N11</f>
        <v/>
      </c>
      <c r="P11" s="53">
        <f>N11-O11</f>
        <v/>
      </c>
      <c r="Q11" s="32" t="n"/>
      <c r="R11" s="32" t="n"/>
      <c r="S11" s="32" t="n"/>
      <c r="T11" s="55" t="n"/>
      <c r="U11" s="54">
        <f>'S32'!T11</f>
        <v/>
      </c>
      <c r="V11" s="53">
        <f>T11-U11</f>
        <v/>
      </c>
      <c r="W11" s="53">
        <f>N11-T11</f>
        <v/>
      </c>
      <c r="X11" s="34" t="n"/>
    </row>
    <row r="12" ht="22" customHeight="1">
      <c r="B12" s="10" t="n">
        <v>8</v>
      </c>
      <c r="C12" s="6" t="inlineStr">
        <is>
          <t>Sidi Kacem</t>
        </is>
      </c>
      <c r="D12" s="10" t="inlineStr">
        <is>
          <t>BIR TALEB</t>
        </is>
      </c>
      <c r="E12" s="10" t="inlineStr">
        <is>
          <t>50-21</t>
        </is>
      </c>
      <c r="F12" s="10" t="inlineStr">
        <is>
          <t>Entretien et réparation des stations de pompage</t>
        </is>
      </c>
      <c r="G12" s="10" t="inlineStr">
        <is>
          <t>Prestation de maintenance des débitmètres et leurs équipements annexes installés au niveau des station de pompage</t>
        </is>
      </c>
      <c r="H12" s="10" t="inlineStr">
        <is>
          <t>Changement trois débitmètre Ø 400mm inondés de la station de pompage P11/1</t>
        </is>
      </c>
      <c r="I12" s="11" t="n">
        <v>141900</v>
      </c>
      <c r="J12" s="12" t="inlineStr">
        <is>
          <t>U</t>
        </is>
      </c>
      <c r="K12" s="13" t="n">
        <v>3</v>
      </c>
      <c r="L12" s="51" t="n"/>
      <c r="M12" s="56">
        <f>'S32'!M12+L12</f>
        <v/>
      </c>
      <c r="N12" s="57">
        <f>IFERROR(M12/K12,0)</f>
        <v/>
      </c>
      <c r="O12" s="58">
        <f>'S32'!N12</f>
        <v/>
      </c>
      <c r="P12" s="57">
        <f>N12-O12</f>
        <v/>
      </c>
      <c r="Q12" s="32" t="n"/>
      <c r="R12" s="32" t="n"/>
      <c r="S12" s="32" t="n"/>
      <c r="T12" s="55" t="n"/>
      <c r="U12" s="58">
        <f>'S32'!T12</f>
        <v/>
      </c>
      <c r="V12" s="57">
        <f>T12-U12</f>
        <v/>
      </c>
      <c r="W12" s="57">
        <f>N12-T12</f>
        <v/>
      </c>
      <c r="X12" s="34" t="n"/>
    </row>
    <row r="13" ht="22" customHeight="1">
      <c r="B13" s="5" t="n">
        <v>9</v>
      </c>
      <c r="C13" s="6" t="inlineStr">
        <is>
          <t>Sidi Kacem</t>
        </is>
      </c>
      <c r="D13" s="5" t="inlineStr">
        <is>
          <t>BIR TALEB</t>
        </is>
      </c>
      <c r="E13" s="5" t="inlineStr">
        <is>
          <t>50-21</t>
        </is>
      </c>
      <c r="F13" s="5" t="inlineStr">
        <is>
          <t>Entretien et réparation des stations de pompage</t>
        </is>
      </c>
      <c r="G13" s="5" t="inlineStr">
        <is>
          <t>Prestations de maintenance et de réparation mécanique des pompes et des groupes motopompes submersibles des stations de pompage.</t>
        </is>
      </c>
      <c r="H13" s="5" t="inlineStr">
        <is>
          <t>Démontage et expertise des roues des  pompes principaux et pompes a vide de la station P11/1
Changement des roulements, tresses et organes d’effectués de la station P11/1</t>
        </is>
      </c>
      <c r="I13" s="7" t="n">
        <v>26700</v>
      </c>
      <c r="J13" s="8" t="inlineStr">
        <is>
          <t>U</t>
        </is>
      </c>
      <c r="K13" s="9" t="n">
        <v>1</v>
      </c>
      <c r="L13" s="51" t="n"/>
      <c r="M13" s="52">
        <f>'S32'!M13+L13</f>
        <v/>
      </c>
      <c r="N13" s="53">
        <f>IFERROR(M13/K13,0)</f>
        <v/>
      </c>
      <c r="O13" s="54">
        <f>'S32'!N13</f>
        <v/>
      </c>
      <c r="P13" s="53">
        <f>N13-O13</f>
        <v/>
      </c>
      <c r="Q13" s="32" t="n"/>
      <c r="R13" s="32" t="n"/>
      <c r="S13" s="32" t="n"/>
      <c r="T13" s="55" t="n"/>
      <c r="U13" s="54">
        <f>'S32'!T13</f>
        <v/>
      </c>
      <c r="V13" s="53">
        <f>T13-U13</f>
        <v/>
      </c>
      <c r="W13" s="53">
        <f>N13-T13</f>
        <v/>
      </c>
      <c r="X13" s="34" t="n"/>
    </row>
    <row r="14" ht="22" customHeight="1">
      <c r="B14" s="10" t="n">
        <v>10</v>
      </c>
      <c r="C14" s="6" t="inlineStr">
        <is>
          <t>Sidi Kacem</t>
        </is>
      </c>
      <c r="D14" s="10" t="inlineStr">
        <is>
          <t>BIR TALEB</t>
        </is>
      </c>
      <c r="E14" s="10" t="inlineStr">
        <is>
          <t>50-21</t>
        </is>
      </c>
      <c r="F14" s="10" t="inlineStr">
        <is>
          <t>Entretien et réparation des stations de pompage</t>
        </is>
      </c>
      <c r="G14" s="10" t="inlineStr">
        <is>
          <t>Stabilisation Berge oued</t>
        </is>
      </c>
      <c r="H14" s="10" t="inlineStr">
        <is>
          <t>Pose de  gabions et recouvrement du talus par matelas Reno des stations de pompage P11/1.</t>
        </is>
      </c>
      <c r="I14" s="11" t="n">
        <v>480000</v>
      </c>
      <c r="J14" s="12" t="inlineStr">
        <is>
          <t>m³</t>
        </is>
      </c>
      <c r="K14" s="13" t="n">
        <v>320</v>
      </c>
      <c r="L14" s="51" t="n"/>
      <c r="M14" s="56">
        <f>'S32'!M14+L14</f>
        <v/>
      </c>
      <c r="N14" s="57">
        <f>IFERROR(M14/K14,0)</f>
        <v/>
      </c>
      <c r="O14" s="58">
        <f>'S32'!N14</f>
        <v/>
      </c>
      <c r="P14" s="57">
        <f>N14-O14</f>
        <v/>
      </c>
      <c r="Q14" s="32" t="n"/>
      <c r="R14" s="32" t="n"/>
      <c r="S14" s="32" t="n"/>
      <c r="T14" s="55" t="n"/>
      <c r="U14" s="58">
        <f>'S32'!T14</f>
        <v/>
      </c>
      <c r="V14" s="57">
        <f>T14-U14</f>
        <v/>
      </c>
      <c r="W14" s="57">
        <f>N14-T14</f>
        <v/>
      </c>
      <c r="X14" s="34" t="n"/>
    </row>
    <row r="15" ht="22" customHeight="1">
      <c r="B15" s="5" t="n">
        <v>11</v>
      </c>
      <c r="C15" s="6" t="inlineStr">
        <is>
          <t>Sidi Kacem</t>
        </is>
      </c>
      <c r="D15" s="5" t="inlineStr">
        <is>
          <t>BIR TALEB</t>
        </is>
      </c>
      <c r="E15" s="5" t="inlineStr">
        <is>
          <t>50-21</t>
        </is>
      </c>
      <c r="F15" s="5" t="inlineStr">
        <is>
          <t>Entretien et réparation des stations de pompage</t>
        </is>
      </c>
      <c r="G15" s="5" t="inlineStr">
        <is>
          <t>Génie civile des locaux des stations de pompage.</t>
        </is>
      </c>
      <c r="H15" s="5" t="inlineStr">
        <is>
          <t>Expertise d’état et d’étanchéité des locaux pompes.
Renforcement d’étanchéité des locaux pompe sous niveau des oueds des stations de pompage P11/1.
Entretien des supports en béton des conduites d’aspiration.</t>
        </is>
      </c>
      <c r="I15" s="7" t="n">
        <v>300000</v>
      </c>
      <c r="J15" s="8" t="inlineStr">
        <is>
          <t>U</t>
        </is>
      </c>
      <c r="K15" s="9" t="n">
        <v>1</v>
      </c>
      <c r="L15" s="51" t="n"/>
      <c r="M15" s="52">
        <f>'S32'!M15+L15</f>
        <v/>
      </c>
      <c r="N15" s="53">
        <f>IFERROR(M15/K15,0)</f>
        <v/>
      </c>
      <c r="O15" s="54">
        <f>'S32'!N15</f>
        <v/>
      </c>
      <c r="P15" s="53">
        <f>N15-O15</f>
        <v/>
      </c>
      <c r="Q15" s="32" t="n"/>
      <c r="R15" s="32" t="n"/>
      <c r="S15" s="32" t="n"/>
      <c r="T15" s="55" t="n"/>
      <c r="U15" s="54">
        <f>'S32'!T15</f>
        <v/>
      </c>
      <c r="V15" s="53">
        <f>T15-U15</f>
        <v/>
      </c>
      <c r="W15" s="53">
        <f>N15-T15</f>
        <v/>
      </c>
      <c r="X15" s="34" t="n"/>
    </row>
    <row r="16" ht="22" customHeight="1">
      <c r="B16" s="10" t="n">
        <v>12</v>
      </c>
      <c r="C16" s="6" t="inlineStr">
        <is>
          <t>Sidi Kacem</t>
        </is>
      </c>
      <c r="D16" s="10" t="inlineStr">
        <is>
          <t>CHEBANAT</t>
        </is>
      </c>
      <c r="E16" s="10" t="inlineStr">
        <is>
          <t>50-23</t>
        </is>
      </c>
      <c r="F16" s="10" t="inlineStr">
        <is>
          <t>Entretien et réparation du réseau d'assainissement et de drainage</t>
        </is>
      </c>
      <c r="G16" s="10" t="inlineStr">
        <is>
          <t>Travaux de curage des canaux en terre</t>
        </is>
      </c>
      <c r="H16" s="10" t="inlineStr">
        <is>
          <t>Curage des collecteurs d'assainissement des secteur SH5 et SH6.</t>
        </is>
      </c>
      <c r="I16" s="11" t="n">
        <v>1000000</v>
      </c>
      <c r="J16" s="12" t="inlineStr">
        <is>
          <t>ml</t>
        </is>
      </c>
      <c r="K16" s="13" t="n">
        <v>500</v>
      </c>
      <c r="L16" s="51" t="n"/>
      <c r="M16" s="56">
        <f>'S32'!M16+L16</f>
        <v/>
      </c>
      <c r="N16" s="57">
        <f>IFERROR(M16/K16,0)</f>
        <v/>
      </c>
      <c r="O16" s="58">
        <f>'S32'!N16</f>
        <v/>
      </c>
      <c r="P16" s="57">
        <f>N16-O16</f>
        <v/>
      </c>
      <c r="Q16" s="32" t="n"/>
      <c r="R16" s="32" t="n"/>
      <c r="S16" s="32" t="n"/>
      <c r="T16" s="55" t="n"/>
      <c r="U16" s="58">
        <f>'S32'!T16</f>
        <v/>
      </c>
      <c r="V16" s="57">
        <f>T16-U16</f>
        <v/>
      </c>
      <c r="W16" s="57">
        <f>N16-T16</f>
        <v/>
      </c>
      <c r="X16" s="34" t="n"/>
    </row>
    <row r="17" ht="22" customHeight="1">
      <c r="B17" s="5" t="n">
        <v>13</v>
      </c>
      <c r="C17" s="6" t="inlineStr">
        <is>
          <t>Sidi Kacem</t>
        </is>
      </c>
      <c r="D17" s="5" t="inlineStr">
        <is>
          <t>CHEBANAT</t>
        </is>
      </c>
      <c r="E17" s="5" t="inlineStr">
        <is>
          <t>50-23</t>
        </is>
      </c>
      <c r="F17" s="5" t="inlineStr">
        <is>
          <t>Entretien et réparation du réseau d'assainissement et de drainage</t>
        </is>
      </c>
      <c r="G17" s="5" t="inlineStr">
        <is>
          <t>Travaux de curage des canaux révetus</t>
        </is>
      </c>
      <c r="H17" s="5" t="inlineStr">
        <is>
          <t>Curage du canal principal d'irrigation beht partie aval 1.</t>
        </is>
      </c>
      <c r="I17" s="7" t="n">
        <v>739200</v>
      </c>
      <c r="J17" s="8" t="inlineStr">
        <is>
          <t>ml</t>
        </is>
      </c>
      <c r="K17" s="9" t="n">
        <v>370</v>
      </c>
      <c r="L17" s="51" t="n"/>
      <c r="M17" s="52">
        <f>'S32'!M17+L17</f>
        <v/>
      </c>
      <c r="N17" s="53">
        <f>IFERROR(M17/K17,0)</f>
        <v/>
      </c>
      <c r="O17" s="54">
        <f>'S32'!N17</f>
        <v/>
      </c>
      <c r="P17" s="53">
        <f>N17-O17</f>
        <v/>
      </c>
      <c r="Q17" s="32" t="n"/>
      <c r="R17" s="32" t="n"/>
      <c r="S17" s="32" t="n"/>
      <c r="T17" s="55" t="n"/>
      <c r="U17" s="54">
        <f>'S32'!T17</f>
        <v/>
      </c>
      <c r="V17" s="53">
        <f>T17-U17</f>
        <v/>
      </c>
      <c r="W17" s="53">
        <f>N17-T17</f>
        <v/>
      </c>
      <c r="X17" s="34" t="n"/>
    </row>
    <row r="18" ht="22" customHeight="1">
      <c r="B18" s="10" t="n">
        <v>14</v>
      </c>
      <c r="C18" s="6" t="inlineStr">
        <is>
          <t>Sidi Kacem</t>
        </is>
      </c>
      <c r="D18" s="10" t="inlineStr">
        <is>
          <t>ZIRARA</t>
        </is>
      </c>
      <c r="E18" s="10" t="inlineStr">
        <is>
          <t>50-23</t>
        </is>
      </c>
      <c r="F18" s="10" t="inlineStr">
        <is>
          <t>Entretien et réparation du réseau d'assainissement et de drainage</t>
        </is>
      </c>
      <c r="G18" s="10" t="inlineStr">
        <is>
          <t>Travaux de curage des canaux révetus</t>
        </is>
      </c>
      <c r="H18" s="10" t="inlineStr">
        <is>
          <t>Curage du canal principal d'irrigation beht partie aval 2.</t>
        </is>
      </c>
      <c r="I18" s="11" t="n">
        <v>1276800</v>
      </c>
      <c r="J18" s="12" t="inlineStr">
        <is>
          <t>ml</t>
        </is>
      </c>
      <c r="K18" s="13" t="n">
        <v>638</v>
      </c>
      <c r="L18" s="51" t="n"/>
      <c r="M18" s="56">
        <f>'S32'!M18+L18</f>
        <v/>
      </c>
      <c r="N18" s="57">
        <f>IFERROR(M18/K18,0)</f>
        <v/>
      </c>
      <c r="O18" s="58">
        <f>'S32'!N18</f>
        <v/>
      </c>
      <c r="P18" s="57">
        <f>N18-O18</f>
        <v/>
      </c>
      <c r="Q18" s="32" t="n"/>
      <c r="R18" s="32" t="n"/>
      <c r="S18" s="32" t="n"/>
      <c r="T18" s="55" t="n"/>
      <c r="U18" s="58">
        <f>'S32'!T18</f>
        <v/>
      </c>
      <c r="V18" s="57">
        <f>T18-U18</f>
        <v/>
      </c>
      <c r="W18" s="57">
        <f>N18-T18</f>
        <v/>
      </c>
      <c r="X18" s="34" t="n"/>
    </row>
    <row r="19" ht="22" customHeight="1">
      <c r="B19" s="5" t="n">
        <v>15</v>
      </c>
      <c r="C19" s="6" t="inlineStr">
        <is>
          <t>Sidi Kacem</t>
        </is>
      </c>
      <c r="D19" s="5" t="inlineStr">
        <is>
          <t>DAR LAASLOUJI</t>
        </is>
      </c>
      <c r="E19" s="5" t="inlineStr">
        <is>
          <t>50-23</t>
        </is>
      </c>
      <c r="F19" s="5" t="inlineStr">
        <is>
          <t>Entretien et réparation du réseau d'assainissement et de drainage</t>
        </is>
      </c>
      <c r="G19" s="5" t="inlineStr">
        <is>
          <t>Travaux de curage des canaux en terre</t>
        </is>
      </c>
      <c r="H19" s="5" t="inlineStr">
        <is>
          <t>Curage des collecteurs d'assainissement des secteurs P8-1 et P8-2</t>
        </is>
      </c>
      <c r="I19" s="7" t="n">
        <v>5796360</v>
      </c>
      <c r="J19" s="8" t="inlineStr">
        <is>
          <t>ml</t>
        </is>
      </c>
      <c r="K19" s="9" t="n">
        <v>2898</v>
      </c>
      <c r="L19" s="51" t="n"/>
      <c r="M19" s="52">
        <f>'S32'!M19+L19</f>
        <v/>
      </c>
      <c r="N19" s="53">
        <f>IFERROR(M19/K19,0)</f>
        <v/>
      </c>
      <c r="O19" s="54">
        <f>'S32'!N19</f>
        <v/>
      </c>
      <c r="P19" s="53">
        <f>N19-O19</f>
        <v/>
      </c>
      <c r="Q19" s="32" t="n"/>
      <c r="R19" s="32" t="n"/>
      <c r="S19" s="32" t="n"/>
      <c r="T19" s="55" t="n"/>
      <c r="U19" s="54">
        <f>'S32'!T19</f>
        <v/>
      </c>
      <c r="V19" s="53">
        <f>T19-U19</f>
        <v/>
      </c>
      <c r="W19" s="53">
        <f>N19-T19</f>
        <v/>
      </c>
      <c r="X19" s="34" t="n"/>
    </row>
    <row r="20" ht="22" customHeight="1">
      <c r="B20" s="10" t="n">
        <v>16</v>
      </c>
      <c r="C20" s="6" t="inlineStr">
        <is>
          <t>Sidi Kacem</t>
        </is>
      </c>
      <c r="D20" s="10" t="inlineStr">
        <is>
          <t>DAR LAASLOUJI</t>
        </is>
      </c>
      <c r="E20" s="10" t="inlineStr">
        <is>
          <t>40-21</t>
        </is>
      </c>
      <c r="F20" s="10" t="inlineStr">
        <is>
          <t>Travaux de pistes</t>
        </is>
      </c>
      <c r="G20" s="10" t="inlineStr">
        <is>
          <t>Entretien des pistes agricoles</t>
        </is>
      </c>
      <c r="H20" s="10" t="inlineStr">
        <is>
          <t>Entretien des pistes agricoles</t>
        </is>
      </c>
      <c r="I20" s="11" t="n">
        <v>340000</v>
      </c>
      <c r="J20" s="12" t="inlineStr">
        <is>
          <t>km</t>
        </is>
      </c>
      <c r="K20" s="13" t="n">
        <v>1</v>
      </c>
      <c r="L20" s="51" t="n"/>
      <c r="M20" s="56">
        <f>'S32'!M20+L20</f>
        <v/>
      </c>
      <c r="N20" s="57">
        <f>IFERROR(M20/K20,0)</f>
        <v/>
      </c>
      <c r="O20" s="58">
        <f>'S32'!N20</f>
        <v/>
      </c>
      <c r="P20" s="57">
        <f>N20-O20</f>
        <v/>
      </c>
      <c r="Q20" s="32" t="n"/>
      <c r="R20" s="32" t="n"/>
      <c r="S20" s="32" t="n"/>
      <c r="T20" s="55" t="n"/>
      <c r="U20" s="58">
        <f>'S32'!T20</f>
        <v/>
      </c>
      <c r="V20" s="57">
        <f>T20-U20</f>
        <v/>
      </c>
      <c r="W20" s="57">
        <f>N20-T20</f>
        <v/>
      </c>
      <c r="X20" s="34" t="n"/>
    </row>
    <row r="21" ht="22" customHeight="1">
      <c r="B21" s="5" t="n">
        <v>17</v>
      </c>
      <c r="C21" s="6" t="inlineStr">
        <is>
          <t>Sidi Kacem</t>
        </is>
      </c>
      <c r="D21" s="5" t="inlineStr">
        <is>
          <t>HOUAFATE</t>
        </is>
      </c>
      <c r="E21" s="5" t="inlineStr">
        <is>
          <t>20-11</t>
        </is>
      </c>
      <c r="F21" s="5" t="inlineStr">
        <is>
          <t>Travaux de réhabilitation des équipements</t>
        </is>
      </c>
      <c r="G21" s="5" t="inlineStr">
        <is>
          <t>Travaux de réhabilitation des canaux portés d'irrigation</t>
        </is>
      </c>
      <c r="H21" s="5" t="inlineStr">
        <is>
          <t>Fourniture et de pose de canaux porté et accessoires du réseau S3 du secteur S13</t>
        </is>
      </c>
      <c r="I21" s="7" t="n">
        <v>397934</v>
      </c>
      <c r="J21" s="8" t="inlineStr">
        <is>
          <t>ml</t>
        </is>
      </c>
      <c r="K21" s="9" t="n">
        <v>133</v>
      </c>
      <c r="L21" s="51" t="n"/>
      <c r="M21" s="52">
        <f>'S32'!M21+L21</f>
        <v/>
      </c>
      <c r="N21" s="53">
        <f>IFERROR(M21/K21,0)</f>
        <v/>
      </c>
      <c r="O21" s="54">
        <f>'S32'!N21</f>
        <v/>
      </c>
      <c r="P21" s="53">
        <f>N21-O21</f>
        <v/>
      </c>
      <c r="Q21" s="32" t="n"/>
      <c r="R21" s="32" t="n"/>
      <c r="S21" s="32" t="n"/>
      <c r="T21" s="55" t="n"/>
      <c r="U21" s="54">
        <f>'S32'!T21</f>
        <v/>
      </c>
      <c r="V21" s="53">
        <f>T21-U21</f>
        <v/>
      </c>
      <c r="W21" s="53">
        <f>N21-T21</f>
        <v/>
      </c>
      <c r="X21" s="34" t="n"/>
    </row>
    <row r="22" ht="22" customHeight="1">
      <c r="B22" s="10" t="n">
        <v>18</v>
      </c>
      <c r="C22" s="6" t="inlineStr">
        <is>
          <t>Sidi Kacem</t>
        </is>
      </c>
      <c r="D22" s="10" t="inlineStr">
        <is>
          <t>HOUAFATE</t>
        </is>
      </c>
      <c r="E22" s="10" t="inlineStr">
        <is>
          <t>20-11</t>
        </is>
      </c>
      <c r="F22" s="10" t="inlineStr">
        <is>
          <t>Travaux de réhabilitation des équipements</t>
        </is>
      </c>
      <c r="G22" s="10" t="inlineStr"/>
      <c r="H22" s="10" t="inlineStr">
        <is>
          <t>Fourniture et de pose de canaux porté et accessoires du réseau T2S1 du secteur S13</t>
        </is>
      </c>
      <c r="I22" s="11" t="n">
        <v>207575</v>
      </c>
      <c r="J22" s="12" t="inlineStr">
        <is>
          <t>ml</t>
        </is>
      </c>
      <c r="K22" s="13" t="n">
        <v>69</v>
      </c>
      <c r="L22" s="51" t="n"/>
      <c r="M22" s="56">
        <f>'S32'!M22+L22</f>
        <v/>
      </c>
      <c r="N22" s="57">
        <f>IFERROR(M22/K22,0)</f>
        <v/>
      </c>
      <c r="O22" s="58">
        <f>'S32'!N22</f>
        <v/>
      </c>
      <c r="P22" s="57">
        <f>N22-O22</f>
        <v/>
      </c>
      <c r="Q22" s="32" t="n"/>
      <c r="R22" s="32" t="n"/>
      <c r="S22" s="32" t="n"/>
      <c r="T22" s="55" t="n"/>
      <c r="U22" s="58">
        <f>'S32'!T22</f>
        <v/>
      </c>
      <c r="V22" s="57">
        <f>T22-U22</f>
        <v/>
      </c>
      <c r="W22" s="57">
        <f>N22-T22</f>
        <v/>
      </c>
      <c r="X22" s="34" t="n"/>
    </row>
    <row r="23" ht="22" customHeight="1">
      <c r="B23" s="5" t="n">
        <v>19</v>
      </c>
      <c r="C23" s="6" t="inlineStr">
        <is>
          <t>Sidi Kacem</t>
        </is>
      </c>
      <c r="D23" s="5" t="inlineStr">
        <is>
          <t>HOUAFATE</t>
        </is>
      </c>
      <c r="E23" s="5" t="inlineStr">
        <is>
          <t>40-21</t>
        </is>
      </c>
      <c r="F23" s="5" t="inlineStr">
        <is>
          <t>Travaux de pistes</t>
        </is>
      </c>
      <c r="G23" s="5" t="inlineStr">
        <is>
          <t>Entretien des pistes agricoles</t>
        </is>
      </c>
      <c r="H23" s="5" t="inlineStr">
        <is>
          <t>Entretien des pistes agricoles</t>
        </is>
      </c>
      <c r="I23" s="7" t="n">
        <v>2200000</v>
      </c>
      <c r="J23" s="8" t="inlineStr">
        <is>
          <t>km</t>
        </is>
      </c>
      <c r="K23" s="9" t="n">
        <v>4</v>
      </c>
      <c r="L23" s="51" t="n"/>
      <c r="M23" s="52">
        <f>'S32'!M23+L23</f>
        <v/>
      </c>
      <c r="N23" s="53">
        <f>IFERROR(M23/K23,0)</f>
        <v/>
      </c>
      <c r="O23" s="54">
        <f>'S32'!N23</f>
        <v/>
      </c>
      <c r="P23" s="53">
        <f>N23-O23</f>
        <v/>
      </c>
      <c r="Q23" s="32" t="n"/>
      <c r="R23" s="32" t="n"/>
      <c r="S23" s="32" t="n"/>
      <c r="T23" s="55" t="n"/>
      <c r="U23" s="54">
        <f>'S32'!T23</f>
        <v/>
      </c>
      <c r="V23" s="53">
        <f>T23-U23</f>
        <v/>
      </c>
      <c r="W23" s="53">
        <f>N23-T23</f>
        <v/>
      </c>
      <c r="X23" s="34" t="n"/>
    </row>
    <row r="24" ht="22" customHeight="1">
      <c r="B24" s="10" t="n">
        <v>20</v>
      </c>
      <c r="C24" s="6" t="inlineStr">
        <is>
          <t>Sidi Kacem</t>
        </is>
      </c>
      <c r="D24" s="10" t="inlineStr">
        <is>
          <t>HOUAFATE</t>
        </is>
      </c>
      <c r="E24" s="10" t="inlineStr">
        <is>
          <t>50-23</t>
        </is>
      </c>
      <c r="F24" s="10" t="inlineStr">
        <is>
          <t>Entretien et réparation du réseau d'assainissement et de drainage</t>
        </is>
      </c>
      <c r="G24" s="10" t="inlineStr">
        <is>
          <t>Curage des prises sur l’oued, bâche d’aspiration et bassin de régulation.</t>
        </is>
      </c>
      <c r="H24" s="10" t="inlineStr">
        <is>
          <t>Curage des prises sur l’oued de la station de pompage S17 et S13.
Nettoyage des grilles de préfiltration des boues colmaté de la station de pompage S17 et S13.
Curage de la bâche d’aspiration de la station S17 et S13.</t>
        </is>
      </c>
      <c r="I24" s="11" t="n">
        <v>300000</v>
      </c>
      <c r="J24" s="12" t="inlineStr">
        <is>
          <t>ml</t>
        </is>
      </c>
      <c r="K24" s="13" t="n">
        <v>100</v>
      </c>
      <c r="L24" s="51" t="n"/>
      <c r="M24" s="56">
        <f>'S32'!M24+L24</f>
        <v/>
      </c>
      <c r="N24" s="57">
        <f>IFERROR(M24/K24,0)</f>
        <v/>
      </c>
      <c r="O24" s="58">
        <f>'S32'!N24</f>
        <v/>
      </c>
      <c r="P24" s="57">
        <f>N24-O24</f>
        <v/>
      </c>
      <c r="Q24" s="32" t="n"/>
      <c r="R24" s="32" t="n"/>
      <c r="S24" s="32" t="n"/>
      <c r="T24" s="55" t="n"/>
      <c r="U24" s="58">
        <f>'S32'!T24</f>
        <v/>
      </c>
      <c r="V24" s="57">
        <f>T24-U24</f>
        <v/>
      </c>
      <c r="W24" s="57">
        <f>N24-T24</f>
        <v/>
      </c>
      <c r="X24" s="34" t="n"/>
    </row>
    <row r="25" ht="22" customHeight="1">
      <c r="B25" s="5" t="n">
        <v>21</v>
      </c>
      <c r="C25" s="6" t="inlineStr">
        <is>
          <t>Sidi Kacem</t>
        </is>
      </c>
      <c r="D25" s="5" t="inlineStr">
        <is>
          <t>HOUAFATE</t>
        </is>
      </c>
      <c r="E25" s="5" t="inlineStr">
        <is>
          <t>50-21</t>
        </is>
      </c>
      <c r="F25" s="5" t="inlineStr">
        <is>
          <t>Entretien et réparation des stations de pompage</t>
        </is>
      </c>
      <c r="G25" s="5" t="inlineStr">
        <is>
          <t>Prestation de maintenance des débitmètres et leurs équipements annexes installés au niveau des station de pompage</t>
        </is>
      </c>
      <c r="H25" s="5" t="inlineStr">
        <is>
          <t>Changement trois débitmètre Ø 600mm inondés de la station de pompage S13.</t>
        </is>
      </c>
      <c r="I25" s="7" t="n">
        <v>250000</v>
      </c>
      <c r="J25" s="8" t="inlineStr">
        <is>
          <t>U</t>
        </is>
      </c>
      <c r="K25" s="9" t="n">
        <v>3</v>
      </c>
      <c r="L25" s="51" t="n"/>
      <c r="M25" s="52">
        <f>'S32'!M25+L25</f>
        <v/>
      </c>
      <c r="N25" s="53">
        <f>IFERROR(M25/K25,0)</f>
        <v/>
      </c>
      <c r="O25" s="54">
        <f>'S32'!N25</f>
        <v/>
      </c>
      <c r="P25" s="53">
        <f>N25-O25</f>
        <v/>
      </c>
      <c r="Q25" s="32" t="n"/>
      <c r="R25" s="32" t="n"/>
      <c r="S25" s="32" t="n"/>
      <c r="T25" s="55" t="n"/>
      <c r="U25" s="54">
        <f>'S32'!T25</f>
        <v/>
      </c>
      <c r="V25" s="53">
        <f>T25-U25</f>
        <v/>
      </c>
      <c r="W25" s="53">
        <f>N25-T25</f>
        <v/>
      </c>
      <c r="X25" s="34" t="n"/>
    </row>
    <row r="26" ht="22" customHeight="1">
      <c r="B26" s="10" t="n">
        <v>22</v>
      </c>
      <c r="C26" s="6" t="inlineStr">
        <is>
          <t>Sidi Kacem</t>
        </is>
      </c>
      <c r="D26" s="10" t="inlineStr">
        <is>
          <t>HOUAFATE</t>
        </is>
      </c>
      <c r="E26" s="10" t="inlineStr">
        <is>
          <t>50-21</t>
        </is>
      </c>
      <c r="F26" s="10" t="inlineStr">
        <is>
          <t>Entretien et réparation des stations de pompage</t>
        </is>
      </c>
      <c r="G26" s="10" t="inlineStr">
        <is>
          <t>Prestations de maintenance des moteurs électriques des stations de pompage.</t>
        </is>
      </c>
      <c r="H26" s="10" t="inlineStr">
        <is>
          <t>Révision des trois moteurs électriques 200 KW principaux de la station S13. 
Révision des deux moteurs électriques 5,5 KW groupes vide de la station S13.</t>
        </is>
      </c>
      <c r="I26" s="11" t="n">
        <v>25000</v>
      </c>
      <c r="J26" s="12" t="inlineStr">
        <is>
          <t>U</t>
        </is>
      </c>
      <c r="K26" s="13" t="n">
        <v>3</v>
      </c>
      <c r="L26" s="51" t="n"/>
      <c r="M26" s="56">
        <f>'S32'!M26+L26</f>
        <v/>
      </c>
      <c r="N26" s="57">
        <f>IFERROR(M26/K26,0)</f>
        <v/>
      </c>
      <c r="O26" s="58">
        <f>'S32'!N26</f>
        <v/>
      </c>
      <c r="P26" s="57">
        <f>N26-O26</f>
        <v/>
      </c>
      <c r="Q26" s="32" t="n"/>
      <c r="R26" s="32" t="n"/>
      <c r="S26" s="32" t="n"/>
      <c r="T26" s="55" t="n"/>
      <c r="U26" s="58">
        <f>'S32'!T26</f>
        <v/>
      </c>
      <c r="V26" s="57">
        <f>T26-U26</f>
        <v/>
      </c>
      <c r="W26" s="57">
        <f>N26-T26</f>
        <v/>
      </c>
      <c r="X26" s="34" t="n"/>
    </row>
    <row r="27" ht="22" customHeight="1">
      <c r="B27" s="5" t="n">
        <v>23</v>
      </c>
      <c r="C27" s="6" t="inlineStr">
        <is>
          <t>Sidi Kacem</t>
        </is>
      </c>
      <c r="D27" s="5" t="inlineStr">
        <is>
          <t>HOUAFATE</t>
        </is>
      </c>
      <c r="E27" s="5" t="inlineStr">
        <is>
          <t>50-21</t>
        </is>
      </c>
      <c r="F27" s="5" t="inlineStr">
        <is>
          <t>Entretien et réparation des stations de pompage</t>
        </is>
      </c>
      <c r="G27" s="5" t="inlineStr">
        <is>
          <t>Prestations de maintenance et de réparation mécanique des pompes et des groupes motopompes submersibles des stations de pompage.</t>
        </is>
      </c>
      <c r="H27" s="5" t="inlineStr">
        <is>
          <t>Démontage et expertise des roues des  pompes principaux et pompes a vide de la station S13.
Changement des roulements, tresses et organes d’effectués de la station S13.</t>
        </is>
      </c>
      <c r="I27" s="7" t="n">
        <v>38000</v>
      </c>
      <c r="J27" s="8" t="inlineStr">
        <is>
          <t>U</t>
        </is>
      </c>
      <c r="K27" s="9" t="n">
        <v>1</v>
      </c>
      <c r="L27" s="51" t="n"/>
      <c r="M27" s="52">
        <f>'S32'!M27+L27</f>
        <v/>
      </c>
      <c r="N27" s="53">
        <f>IFERROR(M27/K27,0)</f>
        <v/>
      </c>
      <c r="O27" s="54">
        <f>'S32'!N27</f>
        <v/>
      </c>
      <c r="P27" s="53">
        <f>N27-O27</f>
        <v/>
      </c>
      <c r="Q27" s="32" t="n"/>
      <c r="R27" s="32" t="n"/>
      <c r="S27" s="32" t="n"/>
      <c r="T27" s="55" t="n"/>
      <c r="U27" s="54">
        <f>'S32'!T27</f>
        <v/>
      </c>
      <c r="V27" s="53">
        <f>T27-U27</f>
        <v/>
      </c>
      <c r="W27" s="53">
        <f>N27-T27</f>
        <v/>
      </c>
      <c r="X27" s="34" t="n"/>
    </row>
    <row r="28" ht="22" customHeight="1">
      <c r="B28" s="10" t="n">
        <v>24</v>
      </c>
      <c r="C28" s="6" t="inlineStr">
        <is>
          <t>Sidi Kacem</t>
        </is>
      </c>
      <c r="D28" s="10" t="inlineStr">
        <is>
          <t>HOUAFATE</t>
        </is>
      </c>
      <c r="E28" s="10" t="inlineStr">
        <is>
          <t>50-21</t>
        </is>
      </c>
      <c r="F28" s="10" t="inlineStr">
        <is>
          <t>Entretien et réparation des stations de pompage</t>
        </is>
      </c>
      <c r="G28" s="10" t="inlineStr">
        <is>
          <t>Stabilisation Berge oued</t>
        </is>
      </c>
      <c r="H28" s="10" t="inlineStr">
        <is>
          <t>Pose de  gabions et recouvrement du talus par matelas Reno des stations de pompage S13.</t>
        </is>
      </c>
      <c r="I28" s="11" t="n">
        <v>10560000</v>
      </c>
      <c r="J28" s="12" t="inlineStr">
        <is>
          <t>m³</t>
        </is>
      </c>
      <c r="K28" s="13" t="n">
        <v>7040</v>
      </c>
      <c r="L28" s="51" t="n"/>
      <c r="M28" s="56">
        <f>'S32'!M28+L28</f>
        <v/>
      </c>
      <c r="N28" s="57">
        <f>IFERROR(M28/K28,0)</f>
        <v/>
      </c>
      <c r="O28" s="58">
        <f>'S32'!N28</f>
        <v/>
      </c>
      <c r="P28" s="57">
        <f>N28-O28</f>
        <v/>
      </c>
      <c r="Q28" s="32" t="n"/>
      <c r="R28" s="32" t="n"/>
      <c r="S28" s="32" t="n"/>
      <c r="T28" s="55" t="n"/>
      <c r="U28" s="58">
        <f>'S32'!T28</f>
        <v/>
      </c>
      <c r="V28" s="57">
        <f>T28-U28</f>
        <v/>
      </c>
      <c r="W28" s="57">
        <f>N28-T28</f>
        <v/>
      </c>
      <c r="X28" s="34" t="n"/>
    </row>
    <row r="29" ht="22" customHeight="1">
      <c r="B29" s="5" t="n">
        <v>25</v>
      </c>
      <c r="C29" s="6" t="inlineStr">
        <is>
          <t>Sidi Kacem</t>
        </is>
      </c>
      <c r="D29" s="5" t="inlineStr">
        <is>
          <t>HOUAFATE</t>
        </is>
      </c>
      <c r="E29" s="5" t="inlineStr">
        <is>
          <t>50-21</t>
        </is>
      </c>
      <c r="F29" s="5" t="inlineStr">
        <is>
          <t>Entretien et réparation des stations de pompage</t>
        </is>
      </c>
      <c r="G29" s="5" t="inlineStr">
        <is>
          <t>Mur clôture des stations de pompage.</t>
        </is>
      </c>
      <c r="H29" s="5" t="inlineStr">
        <is>
          <t>Stabilisation du sol et reconstruction des murs clôture (270m) cote oued de la station S17.</t>
        </is>
      </c>
      <c r="I29" s="7" t="n">
        <v>144000</v>
      </c>
      <c r="J29" s="8" t="inlineStr">
        <is>
          <t>ml</t>
        </is>
      </c>
      <c r="K29" s="9" t="n">
        <v>270</v>
      </c>
      <c r="L29" s="51" t="n"/>
      <c r="M29" s="52">
        <f>'S32'!M29+L29</f>
        <v/>
      </c>
      <c r="N29" s="53">
        <f>IFERROR(M29/K29,0)</f>
        <v/>
      </c>
      <c r="O29" s="54">
        <f>'S32'!N29</f>
        <v/>
      </c>
      <c r="P29" s="53">
        <f>N29-O29</f>
        <v/>
      </c>
      <c r="Q29" s="32" t="n"/>
      <c r="R29" s="32" t="n"/>
      <c r="S29" s="32" t="n"/>
      <c r="T29" s="55" t="n"/>
      <c r="U29" s="54">
        <f>'S32'!T29</f>
        <v/>
      </c>
      <c r="V29" s="53">
        <f>T29-U29</f>
        <v/>
      </c>
      <c r="W29" s="53">
        <f>N29-T29</f>
        <v/>
      </c>
      <c r="X29" s="34" t="n"/>
    </row>
    <row r="30" ht="22" customHeight="1">
      <c r="B30" s="10" t="n">
        <v>26</v>
      </c>
      <c r="C30" s="6" t="inlineStr">
        <is>
          <t>Sidi Kacem</t>
        </is>
      </c>
      <c r="D30" s="10" t="inlineStr">
        <is>
          <t>HOUAFATE</t>
        </is>
      </c>
      <c r="E30" s="10" t="inlineStr">
        <is>
          <t>50-21</t>
        </is>
      </c>
      <c r="F30" s="10" t="inlineStr">
        <is>
          <t>Entretien et réparation des stations de pompage</t>
        </is>
      </c>
      <c r="G30" s="10" t="inlineStr">
        <is>
          <t>Génie civile des locaux des stations de pompage.</t>
        </is>
      </c>
      <c r="H30" s="10" t="inlineStr">
        <is>
          <t>Expertise d’état et d’étanchéité des locaux pompes, commande, puissance des stations de pompage S17 et S13.
Renforcement d’étanchéité des locaux pompe sous niveau des oueds des stations de pompage S17 et S13.</t>
        </is>
      </c>
      <c r="I30" s="11" t="n">
        <v>800000</v>
      </c>
      <c r="J30" s="12" t="inlineStr">
        <is>
          <t>U</t>
        </is>
      </c>
      <c r="K30" s="13" t="n">
        <v>1</v>
      </c>
      <c r="L30" s="51" t="n"/>
      <c r="M30" s="56">
        <f>'S32'!M30+L30</f>
        <v/>
      </c>
      <c r="N30" s="57">
        <f>IFERROR(M30/K30,0)</f>
        <v/>
      </c>
      <c r="O30" s="58">
        <f>'S32'!N30</f>
        <v/>
      </c>
      <c r="P30" s="57">
        <f>N30-O30</f>
        <v/>
      </c>
      <c r="Q30" s="32" t="n"/>
      <c r="R30" s="32" t="n"/>
      <c r="S30" s="32" t="n"/>
      <c r="T30" s="55" t="n"/>
      <c r="U30" s="58">
        <f>'S32'!T30</f>
        <v/>
      </c>
      <c r="V30" s="57">
        <f>T30-U30</f>
        <v/>
      </c>
      <c r="W30" s="57">
        <f>N30-T30</f>
        <v/>
      </c>
      <c r="X30" s="34" t="n"/>
    </row>
    <row r="31" ht="22" customHeight="1">
      <c r="B31" s="5" t="n">
        <v>27</v>
      </c>
      <c r="C31" s="6" t="inlineStr">
        <is>
          <t>Sidi Kacem</t>
        </is>
      </c>
      <c r="D31" s="5" t="inlineStr">
        <is>
          <t>NOUIRAT</t>
        </is>
      </c>
      <c r="E31" s="5" t="inlineStr">
        <is>
          <t>50-23</t>
        </is>
      </c>
      <c r="F31" s="5" t="inlineStr">
        <is>
          <t>Entretien et réparation du réseau d'assainissement et de drainage</t>
        </is>
      </c>
      <c r="G31" s="5" t="inlineStr">
        <is>
          <t>Travaux de curage des canaux en terre</t>
        </is>
      </c>
      <c r="H31" s="5" t="inlineStr">
        <is>
          <t>Curage des collecteurs d'assainissement des secteurs EST1 et N5</t>
        </is>
      </c>
      <c r="I31" s="7" t="n">
        <v>1733306</v>
      </c>
      <c r="J31" s="8" t="inlineStr">
        <is>
          <t>ml</t>
        </is>
      </c>
      <c r="K31" s="9" t="n">
        <v>867</v>
      </c>
      <c r="L31" s="51" t="n"/>
      <c r="M31" s="52">
        <f>'S32'!M31+L31</f>
        <v/>
      </c>
      <c r="N31" s="53">
        <f>IFERROR(M31/K31,0)</f>
        <v/>
      </c>
      <c r="O31" s="54">
        <f>'S32'!N31</f>
        <v/>
      </c>
      <c r="P31" s="53">
        <f>N31-O31</f>
        <v/>
      </c>
      <c r="Q31" s="32" t="n"/>
      <c r="R31" s="32" t="n"/>
      <c r="S31" s="32" t="n"/>
      <c r="T31" s="55" t="n"/>
      <c r="U31" s="54">
        <f>'S32'!T31</f>
        <v/>
      </c>
      <c r="V31" s="53">
        <f>T31-U31</f>
        <v/>
      </c>
      <c r="W31" s="53">
        <f>N31-T31</f>
        <v/>
      </c>
      <c r="X31" s="34" t="n"/>
    </row>
    <row r="32" ht="22" customHeight="1">
      <c r="B32" s="10" t="n">
        <v>28</v>
      </c>
      <c r="C32" s="6" t="inlineStr">
        <is>
          <t>Sidi Kacem</t>
        </is>
      </c>
      <c r="D32" s="10" t="inlineStr">
        <is>
          <t>NOUIRAT</t>
        </is>
      </c>
      <c r="E32" s="10" t="inlineStr">
        <is>
          <t>40-21</t>
        </is>
      </c>
      <c r="F32" s="10" t="inlineStr">
        <is>
          <t>Travaux de pistes</t>
        </is>
      </c>
      <c r="G32" s="10" t="inlineStr">
        <is>
          <t>Entretien des pistes agricoles</t>
        </is>
      </c>
      <c r="H32" s="10" t="inlineStr">
        <is>
          <t>Entretien des pistes agricoles</t>
        </is>
      </c>
      <c r="I32" s="11" t="n">
        <v>670000</v>
      </c>
      <c r="J32" s="12" t="inlineStr">
        <is>
          <t>km</t>
        </is>
      </c>
      <c r="K32" s="13" t="n">
        <v>1</v>
      </c>
      <c r="L32" s="51" t="n"/>
      <c r="M32" s="56">
        <f>'S32'!M32+L32</f>
        <v/>
      </c>
      <c r="N32" s="57">
        <f>IFERROR(M32/K32,0)</f>
        <v/>
      </c>
      <c r="O32" s="58">
        <f>'S32'!N32</f>
        <v/>
      </c>
      <c r="P32" s="57">
        <f>N32-O32</f>
        <v/>
      </c>
      <c r="Q32" s="32" t="n"/>
      <c r="R32" s="32" t="n"/>
      <c r="S32" s="32" t="n"/>
      <c r="T32" s="55" t="n"/>
      <c r="U32" s="58">
        <f>'S32'!T32</f>
        <v/>
      </c>
      <c r="V32" s="57">
        <f>T32-U32</f>
        <v/>
      </c>
      <c r="W32" s="57">
        <f>N32-T32</f>
        <v/>
      </c>
      <c r="X32" s="34" t="n"/>
    </row>
    <row r="33" ht="22" customHeight="1">
      <c r="B33" s="5" t="n">
        <v>29</v>
      </c>
      <c r="C33" s="6" t="inlineStr">
        <is>
          <t>Sidi Kacem</t>
        </is>
      </c>
      <c r="D33" s="5" t="inlineStr">
        <is>
          <t>NOUIRAT</t>
        </is>
      </c>
      <c r="E33" s="5" t="inlineStr">
        <is>
          <t>20-11</t>
        </is>
      </c>
      <c r="F33" s="5" t="inlineStr">
        <is>
          <t>Travaux de réhabilitation des équipements</t>
        </is>
      </c>
      <c r="G33" s="5" t="inlineStr">
        <is>
          <t>Travaux de réhabilitation des ouvrages de génie civil</t>
        </is>
      </c>
      <c r="H33" s="5" t="inlineStr">
        <is>
          <t>Réhabilitation de l'ouvrage( genie civil ,gabiollannage,clapet anti retour et buse) de l'ouvrage de débouche SE1</t>
        </is>
      </c>
      <c r="I33" s="7" t="n">
        <v>2500000</v>
      </c>
      <c r="J33" s="8" t="inlineStr">
        <is>
          <t>U</t>
        </is>
      </c>
      <c r="K33" s="9" t="n">
        <v>5</v>
      </c>
      <c r="L33" s="51" t="n"/>
      <c r="M33" s="52">
        <f>'S32'!M33+L33</f>
        <v/>
      </c>
      <c r="N33" s="53">
        <f>IFERROR(M33/K33,0)</f>
        <v/>
      </c>
      <c r="O33" s="54">
        <f>'S32'!N33</f>
        <v/>
      </c>
      <c r="P33" s="53">
        <f>N33-O33</f>
        <v/>
      </c>
      <c r="Q33" s="32" t="n"/>
      <c r="R33" s="32" t="n"/>
      <c r="S33" s="32" t="n"/>
      <c r="T33" s="55" t="n"/>
      <c r="U33" s="54">
        <f>'S32'!T33</f>
        <v/>
      </c>
      <c r="V33" s="53">
        <f>T33-U33</f>
        <v/>
      </c>
      <c r="W33" s="53">
        <f>N33-T33</f>
        <v/>
      </c>
      <c r="X33" s="34" t="n"/>
    </row>
    <row r="34" ht="22" customHeight="1">
      <c r="B34" s="10" t="n">
        <v>30</v>
      </c>
      <c r="C34" s="6" t="inlineStr">
        <is>
          <t>Sidi Kacem</t>
        </is>
      </c>
      <c r="D34" s="10" t="inlineStr">
        <is>
          <t>NOUIRAT</t>
        </is>
      </c>
      <c r="E34" s="10" t="inlineStr">
        <is>
          <t>50-23</t>
        </is>
      </c>
      <c r="F34" s="10" t="inlineStr">
        <is>
          <t>Entretien et réparation du réseau d'assainissement et de drainage</t>
        </is>
      </c>
      <c r="G34" s="10" t="inlineStr">
        <is>
          <t>Curage des prises sur l’oued, bâche d’aspiration et bassin de régulation.</t>
        </is>
      </c>
      <c r="H34" s="10" t="inlineStr">
        <is>
          <t>Curage des prises sur l’oued de la station de pompage E1.
Nettoyage des grilles de préfiltration des boues colmaté de la station de pompage E1.
Curage de la bâche d’aspiration de la station E1.</t>
        </is>
      </c>
      <c r="I34" s="11" t="n">
        <v>800000</v>
      </c>
      <c r="J34" s="12" t="inlineStr">
        <is>
          <t>ml</t>
        </is>
      </c>
      <c r="K34" s="13" t="n">
        <v>267</v>
      </c>
      <c r="L34" s="51" t="n"/>
      <c r="M34" s="56">
        <f>'S32'!M34+L34</f>
        <v/>
      </c>
      <c r="N34" s="57">
        <f>IFERROR(M34/K34,0)</f>
        <v/>
      </c>
      <c r="O34" s="58">
        <f>'S32'!N34</f>
        <v/>
      </c>
      <c r="P34" s="57">
        <f>N34-O34</f>
        <v/>
      </c>
      <c r="Q34" s="32" t="n"/>
      <c r="R34" s="32" t="n"/>
      <c r="S34" s="32" t="n"/>
      <c r="T34" s="55" t="n"/>
      <c r="U34" s="58">
        <f>'S32'!T34</f>
        <v/>
      </c>
      <c r="V34" s="57">
        <f>T34-U34</f>
        <v/>
      </c>
      <c r="W34" s="57">
        <f>N34-T34</f>
        <v/>
      </c>
      <c r="X34" s="34" t="n"/>
    </row>
    <row r="35" ht="22" customHeight="1">
      <c r="B35" s="5" t="n">
        <v>31</v>
      </c>
      <c r="C35" s="6" t="inlineStr">
        <is>
          <t>Sidi Kacem</t>
        </is>
      </c>
      <c r="D35" s="5" t="inlineStr">
        <is>
          <t>NOUIRAT</t>
        </is>
      </c>
      <c r="E35" s="5" t="inlineStr">
        <is>
          <t>50-21</t>
        </is>
      </c>
      <c r="F35" s="5" t="inlineStr">
        <is>
          <t>Entretien et réparation des stations de pompage</t>
        </is>
      </c>
      <c r="G35" s="5" t="inlineStr">
        <is>
          <t>Prestation de maintenance des débitmètres et leurs équipements annexes installés au niveau des station de pompage</t>
        </is>
      </c>
      <c r="H35" s="5" t="inlineStr">
        <is>
          <t>Changement du débitmètre Ø 1200mm inondé de la station de pompage E1.</t>
        </is>
      </c>
      <c r="I35" s="7" t="n">
        <v>195000</v>
      </c>
      <c r="J35" s="8" t="inlineStr">
        <is>
          <t>U</t>
        </is>
      </c>
      <c r="K35" s="9" t="n">
        <v>2</v>
      </c>
      <c r="L35" s="51" t="n"/>
      <c r="M35" s="52">
        <f>'S32'!M35+L35</f>
        <v/>
      </c>
      <c r="N35" s="53">
        <f>IFERROR(M35/K35,0)</f>
        <v/>
      </c>
      <c r="O35" s="54">
        <f>'S32'!N35</f>
        <v/>
      </c>
      <c r="P35" s="53">
        <f>N35-O35</f>
        <v/>
      </c>
      <c r="Q35" s="32" t="n"/>
      <c r="R35" s="32" t="n"/>
      <c r="S35" s="32" t="n"/>
      <c r="T35" s="55" t="n"/>
      <c r="U35" s="54">
        <f>'S32'!T35</f>
        <v/>
      </c>
      <c r="V35" s="53">
        <f>T35-U35</f>
        <v/>
      </c>
      <c r="W35" s="53">
        <f>N35-T35</f>
        <v/>
      </c>
      <c r="X35" s="34" t="n"/>
    </row>
    <row r="36" ht="22" customHeight="1">
      <c r="B36" s="10" t="n">
        <v>32</v>
      </c>
      <c r="C36" s="6" t="inlineStr">
        <is>
          <t>Sidi Kacem</t>
        </is>
      </c>
      <c r="D36" s="10" t="inlineStr">
        <is>
          <t>NOUIRAT</t>
        </is>
      </c>
      <c r="E36" s="10" t="inlineStr">
        <is>
          <t>50-21</t>
        </is>
      </c>
      <c r="F36" s="10" t="inlineStr">
        <is>
          <t>Entretien et réparation des stations de pompage</t>
        </is>
      </c>
      <c r="G36" s="10" t="inlineStr">
        <is>
          <t>Prestations de maintenance des moteurs électriques des stations de pompage.</t>
        </is>
      </c>
      <c r="H36" s="10" t="inlineStr">
        <is>
          <t>Révision des deux moteurs électriques principaux de la station E1.</t>
        </is>
      </c>
      <c r="I36" s="11" t="n">
        <v>50000</v>
      </c>
      <c r="J36" s="12" t="inlineStr">
        <is>
          <t>U</t>
        </is>
      </c>
      <c r="K36" s="13" t="n">
        <v>2</v>
      </c>
      <c r="L36" s="51" t="n"/>
      <c r="M36" s="56">
        <f>'S32'!M36+L36</f>
        <v/>
      </c>
      <c r="N36" s="57">
        <f>IFERROR(M36/K36,0)</f>
        <v/>
      </c>
      <c r="O36" s="58">
        <f>'S32'!N36</f>
        <v/>
      </c>
      <c r="P36" s="57">
        <f>N36-O36</f>
        <v/>
      </c>
      <c r="Q36" s="32" t="n"/>
      <c r="R36" s="32" t="n"/>
      <c r="S36" s="32" t="n"/>
      <c r="T36" s="55" t="n"/>
      <c r="U36" s="58">
        <f>'S32'!T36</f>
        <v/>
      </c>
      <c r="V36" s="57">
        <f>T36-U36</f>
        <v/>
      </c>
      <c r="W36" s="57">
        <f>N36-T36</f>
        <v/>
      </c>
      <c r="X36" s="34" t="n"/>
    </row>
    <row r="37" ht="22" customHeight="1">
      <c r="B37" s="5" t="n">
        <v>33</v>
      </c>
      <c r="C37" s="6" t="inlineStr">
        <is>
          <t>Sidi Kacem</t>
        </is>
      </c>
      <c r="D37" s="5" t="inlineStr">
        <is>
          <t>NOUIRAT</t>
        </is>
      </c>
      <c r="E37" s="5" t="inlineStr">
        <is>
          <t>50-21</t>
        </is>
      </c>
      <c r="F37" s="5" t="inlineStr">
        <is>
          <t>Entretien et réparation des stations de pompage</t>
        </is>
      </c>
      <c r="G37" s="5" t="inlineStr">
        <is>
          <t>Prestations de maintenance et de réparation mécanique des pompes et des groupes motopompes submersibles des stations de pompage.</t>
        </is>
      </c>
      <c r="H37" s="5" t="inlineStr">
        <is>
          <t>Démontage et expertise des cinq pompes principaux et pompes a vide de la station E1.
Changement des roulements, tresses et organes d’effectués de la station E1.</t>
        </is>
      </c>
      <c r="I37" s="7" t="n">
        <v>245000</v>
      </c>
      <c r="J37" s="8" t="inlineStr">
        <is>
          <t>U</t>
        </is>
      </c>
      <c r="K37" s="9" t="n">
        <v>5</v>
      </c>
      <c r="L37" s="51" t="n"/>
      <c r="M37" s="52">
        <f>'S32'!M37+L37</f>
        <v/>
      </c>
      <c r="N37" s="53">
        <f>IFERROR(M37/K37,0)</f>
        <v/>
      </c>
      <c r="O37" s="54">
        <f>'S32'!N37</f>
        <v/>
      </c>
      <c r="P37" s="53">
        <f>N37-O37</f>
        <v/>
      </c>
      <c r="Q37" s="32" t="n"/>
      <c r="R37" s="32" t="n"/>
      <c r="S37" s="32" t="n"/>
      <c r="T37" s="55" t="n"/>
      <c r="U37" s="54">
        <f>'S32'!T37</f>
        <v/>
      </c>
      <c r="V37" s="53">
        <f>T37-U37</f>
        <v/>
      </c>
      <c r="W37" s="53">
        <f>N37-T37</f>
        <v/>
      </c>
      <c r="X37" s="34" t="n"/>
    </row>
    <row r="38" ht="22" customHeight="1">
      <c r="B38" s="10" t="n">
        <v>34</v>
      </c>
      <c r="C38" s="6" t="inlineStr">
        <is>
          <t>Sidi Kacem</t>
        </is>
      </c>
      <c r="D38" s="10" t="inlineStr">
        <is>
          <t>NOUIRAT</t>
        </is>
      </c>
      <c r="E38" s="10" t="inlineStr">
        <is>
          <t>50-21</t>
        </is>
      </c>
      <c r="F38" s="10" t="inlineStr">
        <is>
          <t>Entretien et réparation des stations de pompage</t>
        </is>
      </c>
      <c r="G38" s="10" t="inlineStr">
        <is>
          <t>Génie civile des locaux des stations de pompage.</t>
        </is>
      </c>
      <c r="H38" s="10" t="inlineStr">
        <is>
          <t>Expertise d’état et d’étanchéité des locaux pompes, commande, puissance de la station de pompage E1.
Renforcement d’étanchéité des locaux pompe sous niveau des oueds de la station de pompage E1.</t>
        </is>
      </c>
      <c r="I38" s="11" t="n">
        <v>1000000</v>
      </c>
      <c r="J38" s="12" t="inlineStr">
        <is>
          <t>U</t>
        </is>
      </c>
      <c r="K38" s="13" t="n">
        <v>1</v>
      </c>
      <c r="L38" s="51" t="n"/>
      <c r="M38" s="56">
        <f>'S32'!M38+L38</f>
        <v/>
      </c>
      <c r="N38" s="57">
        <f>IFERROR(M38/K38,0)</f>
        <v/>
      </c>
      <c r="O38" s="58">
        <f>'S32'!N38</f>
        <v/>
      </c>
      <c r="P38" s="57">
        <f>N38-O38</f>
        <v/>
      </c>
      <c r="Q38" s="32" t="n"/>
      <c r="R38" s="32" t="n"/>
      <c r="S38" s="32" t="n"/>
      <c r="T38" s="55" t="n"/>
      <c r="U38" s="58">
        <f>'S32'!T38</f>
        <v/>
      </c>
      <c r="V38" s="57">
        <f>T38-U38</f>
        <v/>
      </c>
      <c r="W38" s="57">
        <f>N38-T38</f>
        <v/>
      </c>
      <c r="X38" s="34" t="n"/>
    </row>
    <row r="39" ht="22" customHeight="1">
      <c r="B39" s="5" t="n">
        <v>35</v>
      </c>
      <c r="C39" s="6" t="inlineStr">
        <is>
          <t>Sidi Kacem</t>
        </is>
      </c>
      <c r="D39" s="5" t="inlineStr">
        <is>
          <t>RMILAT</t>
        </is>
      </c>
      <c r="E39" s="5" t="inlineStr">
        <is>
          <t>50-23</t>
        </is>
      </c>
      <c r="F39" s="5" t="inlineStr">
        <is>
          <t>Entretien et réparation du réseau d'assainissement et de drainage</t>
        </is>
      </c>
      <c r="G39" s="5" t="inlineStr">
        <is>
          <t>Travaux de curage des canaux en terre</t>
        </is>
      </c>
      <c r="H39" s="5" t="inlineStr">
        <is>
          <t>Curage des collecteurs d'assainissement des secteurs P7</t>
        </is>
      </c>
      <c r="I39" s="7" t="n">
        <v>5024032</v>
      </c>
      <c r="J39" s="8" t="inlineStr">
        <is>
          <t>ml</t>
        </is>
      </c>
      <c r="K39" s="9" t="n">
        <v>2512</v>
      </c>
      <c r="L39" s="51" t="n"/>
      <c r="M39" s="52">
        <f>'S32'!M39+L39</f>
        <v/>
      </c>
      <c r="N39" s="53">
        <f>IFERROR(M39/K39,0)</f>
        <v/>
      </c>
      <c r="O39" s="54">
        <f>'S32'!N39</f>
        <v/>
      </c>
      <c r="P39" s="53">
        <f>N39-O39</f>
        <v/>
      </c>
      <c r="Q39" s="32" t="n"/>
      <c r="R39" s="32" t="n"/>
      <c r="S39" s="32" t="n"/>
      <c r="T39" s="55" t="n"/>
      <c r="U39" s="54">
        <f>'S32'!T39</f>
        <v/>
      </c>
      <c r="V39" s="53">
        <f>T39-U39</f>
        <v/>
      </c>
      <c r="W39" s="53">
        <f>N39-T39</f>
        <v/>
      </c>
      <c r="X39" s="34" t="n"/>
    </row>
    <row r="40" ht="22" customHeight="1">
      <c r="B40" s="10" t="n">
        <v>36</v>
      </c>
      <c r="C40" s="6" t="inlineStr">
        <is>
          <t>Sidi Kacem</t>
        </is>
      </c>
      <c r="D40" s="10" t="inlineStr">
        <is>
          <t>RMILAT</t>
        </is>
      </c>
      <c r="E40" s="10" t="inlineStr">
        <is>
          <t>40-21</t>
        </is>
      </c>
      <c r="F40" s="10" t="inlineStr">
        <is>
          <t>Travaux de pistes</t>
        </is>
      </c>
      <c r="G40" s="10" t="inlineStr">
        <is>
          <t>Entretien des pistes agricoles</t>
        </is>
      </c>
      <c r="H40" s="10" t="inlineStr">
        <is>
          <t>Entretien des pistes agricoles</t>
        </is>
      </c>
      <c r="I40" s="11" t="n">
        <v>400000</v>
      </c>
      <c r="J40" s="12" t="inlineStr">
        <is>
          <t>km</t>
        </is>
      </c>
      <c r="K40" s="13" t="n">
        <v>1</v>
      </c>
      <c r="L40" s="51" t="n"/>
      <c r="M40" s="56">
        <f>'S32'!M40+L40</f>
        <v/>
      </c>
      <c r="N40" s="57">
        <f>IFERROR(M40/K40,0)</f>
        <v/>
      </c>
      <c r="O40" s="58">
        <f>'S32'!N40</f>
        <v/>
      </c>
      <c r="P40" s="57">
        <f>N40-O40</f>
        <v/>
      </c>
      <c r="Q40" s="32" t="n"/>
      <c r="R40" s="32" t="n"/>
      <c r="S40" s="32" t="n"/>
      <c r="T40" s="55" t="n"/>
      <c r="U40" s="58">
        <f>'S32'!T40</f>
        <v/>
      </c>
      <c r="V40" s="57">
        <f>T40-U40</f>
        <v/>
      </c>
      <c r="W40" s="57">
        <f>N40-T40</f>
        <v/>
      </c>
      <c r="X40" s="34" t="n"/>
    </row>
    <row r="41" ht="22" customHeight="1">
      <c r="B41" s="5" t="n">
        <v>37</v>
      </c>
      <c r="C41" s="6" t="inlineStr">
        <is>
          <t>Sidi Kacem</t>
        </is>
      </c>
      <c r="D41" s="5" t="inlineStr">
        <is>
          <t>SAFSAF</t>
        </is>
      </c>
      <c r="E41" s="5" t="inlineStr">
        <is>
          <t>50-23</t>
        </is>
      </c>
      <c r="F41" s="5" t="inlineStr">
        <is>
          <t>Entretien et réparation du réseau d'assainissement et de drainage</t>
        </is>
      </c>
      <c r="G41" s="5" t="inlineStr">
        <is>
          <t>Travaux de curage des canaux en terre</t>
        </is>
      </c>
      <c r="H41" s="5" t="inlineStr">
        <is>
          <t>Curage des collecteurs d'assainissement des secteurs S7, S9 et S11</t>
        </is>
      </c>
      <c r="I41" s="7" t="n">
        <v>6000000</v>
      </c>
      <c r="J41" s="8" t="inlineStr">
        <is>
          <t>ml</t>
        </is>
      </c>
      <c r="K41" s="9" t="n">
        <v>3000</v>
      </c>
      <c r="L41" s="51" t="n"/>
      <c r="M41" s="52">
        <f>'S32'!M41+L41</f>
        <v/>
      </c>
      <c r="N41" s="53">
        <f>IFERROR(M41/K41,0)</f>
        <v/>
      </c>
      <c r="O41" s="54">
        <f>'S32'!N41</f>
        <v/>
      </c>
      <c r="P41" s="53">
        <f>N41-O41</f>
        <v/>
      </c>
      <c r="Q41" s="32" t="n"/>
      <c r="R41" s="32" t="n"/>
      <c r="S41" s="32" t="n"/>
      <c r="T41" s="55" t="n"/>
      <c r="U41" s="54">
        <f>'S32'!T41</f>
        <v/>
      </c>
      <c r="V41" s="53">
        <f>T41-U41</f>
        <v/>
      </c>
      <c r="W41" s="53">
        <f>N41-T41</f>
        <v/>
      </c>
      <c r="X41" s="34" t="n"/>
    </row>
    <row r="42" ht="22" customHeight="1">
      <c r="B42" s="10" t="n">
        <v>38</v>
      </c>
      <c r="C42" s="6" t="inlineStr">
        <is>
          <t>Sidi Kacem</t>
        </is>
      </c>
      <c r="D42" s="10" t="inlineStr">
        <is>
          <t>SAFSAF</t>
        </is>
      </c>
      <c r="E42" s="10" t="inlineStr">
        <is>
          <t>20-11</t>
        </is>
      </c>
      <c r="F42" s="10" t="inlineStr">
        <is>
          <t>Travaux de réhabilitation des équipements</t>
        </is>
      </c>
      <c r="G42" s="10" t="inlineStr">
        <is>
          <t>Travaux de réhabilitation des canaux portés d'irrigation</t>
        </is>
      </c>
      <c r="H42" s="10" t="inlineStr">
        <is>
          <t>Fourniture et  pose de canaux porté et accessoires du réseau S4 du secteur S11</t>
        </is>
      </c>
      <c r="I42" s="11" t="n">
        <v>232266</v>
      </c>
      <c r="J42" s="12" t="inlineStr">
        <is>
          <t>ml</t>
        </is>
      </c>
      <c r="K42" s="13" t="n">
        <v>77</v>
      </c>
      <c r="L42" s="51" t="n"/>
      <c r="M42" s="56">
        <f>'S32'!M42+L42</f>
        <v/>
      </c>
      <c r="N42" s="57">
        <f>IFERROR(M42/K42,0)</f>
        <v/>
      </c>
      <c r="O42" s="58">
        <f>'S32'!N42</f>
        <v/>
      </c>
      <c r="P42" s="57">
        <f>N42-O42</f>
        <v/>
      </c>
      <c r="Q42" s="32" t="n"/>
      <c r="R42" s="32" t="n"/>
      <c r="S42" s="32" t="n"/>
      <c r="T42" s="55" t="n"/>
      <c r="U42" s="58">
        <f>'S32'!T42</f>
        <v/>
      </c>
      <c r="V42" s="57">
        <f>T42-U42</f>
        <v/>
      </c>
      <c r="W42" s="57">
        <f>N42-T42</f>
        <v/>
      </c>
      <c r="X42" s="34" t="n"/>
    </row>
    <row r="43" ht="22" customHeight="1">
      <c r="B43" s="5" t="n">
        <v>39</v>
      </c>
      <c r="C43" s="6" t="inlineStr">
        <is>
          <t>Sidi Kacem</t>
        </is>
      </c>
      <c r="D43" s="5" t="inlineStr">
        <is>
          <t>SAFSAF</t>
        </is>
      </c>
      <c r="E43" s="5" t="inlineStr">
        <is>
          <t>20-11</t>
        </is>
      </c>
      <c r="F43" s="5" t="inlineStr">
        <is>
          <t>Travaux de réhabilitation des équipements</t>
        </is>
      </c>
      <c r="G43" s="5" t="inlineStr"/>
      <c r="H43" s="5" t="inlineStr">
        <is>
          <t>Recalage des canaux portés du réseau T5S5 du secteur S9</t>
        </is>
      </c>
      <c r="I43" s="7" t="n">
        <v>1055025</v>
      </c>
      <c r="J43" s="8" t="inlineStr">
        <is>
          <t>ml</t>
        </is>
      </c>
      <c r="K43" s="9" t="n">
        <v>352</v>
      </c>
      <c r="L43" s="51" t="n"/>
      <c r="M43" s="52">
        <f>'S32'!M43+L43</f>
        <v/>
      </c>
      <c r="N43" s="53">
        <f>IFERROR(M43/K43,0)</f>
        <v/>
      </c>
      <c r="O43" s="54">
        <f>'S32'!N43</f>
        <v/>
      </c>
      <c r="P43" s="53">
        <f>N43-O43</f>
        <v/>
      </c>
      <c r="Q43" s="32" t="n"/>
      <c r="R43" s="32" t="n"/>
      <c r="S43" s="32" t="n"/>
      <c r="T43" s="55" t="n"/>
      <c r="U43" s="54">
        <f>'S32'!T43</f>
        <v/>
      </c>
      <c r="V43" s="53">
        <f>T43-U43</f>
        <v/>
      </c>
      <c r="W43" s="53">
        <f>N43-T43</f>
        <v/>
      </c>
      <c r="X43" s="34" t="n"/>
    </row>
    <row r="44" ht="22" customHeight="1">
      <c r="B44" s="10" t="n">
        <v>40</v>
      </c>
      <c r="C44" s="6" t="inlineStr">
        <is>
          <t>Sidi Kacem</t>
        </is>
      </c>
      <c r="D44" s="10" t="inlineStr">
        <is>
          <t>SAFSAF</t>
        </is>
      </c>
      <c r="E44" s="10" t="inlineStr">
        <is>
          <t>20-11</t>
        </is>
      </c>
      <c r="F44" s="10" t="inlineStr">
        <is>
          <t>Travaux de réhabilitation des équipements</t>
        </is>
      </c>
      <c r="G44" s="10" t="inlineStr"/>
      <c r="H44" s="10" t="inlineStr">
        <is>
          <t>Recalage des canaux portés du réseau T7S5 du secteur S9</t>
        </is>
      </c>
      <c r="I44" s="11" t="n">
        <v>1004535</v>
      </c>
      <c r="J44" s="12" t="inlineStr">
        <is>
          <t>ml</t>
        </is>
      </c>
      <c r="K44" s="13" t="n">
        <v>335</v>
      </c>
      <c r="L44" s="51" t="n"/>
      <c r="M44" s="56">
        <f>'S32'!M44+L44</f>
        <v/>
      </c>
      <c r="N44" s="57">
        <f>IFERROR(M44/K44,0)</f>
        <v/>
      </c>
      <c r="O44" s="58">
        <f>'S32'!N44</f>
        <v/>
      </c>
      <c r="P44" s="57">
        <f>N44-O44</f>
        <v/>
      </c>
      <c r="Q44" s="32" t="n"/>
      <c r="R44" s="32" t="n"/>
      <c r="S44" s="32" t="n"/>
      <c r="T44" s="55" t="n"/>
      <c r="U44" s="58">
        <f>'S32'!T44</f>
        <v/>
      </c>
      <c r="V44" s="57">
        <f>T44-U44</f>
        <v/>
      </c>
      <c r="W44" s="57">
        <f>N44-T44</f>
        <v/>
      </c>
      <c r="X44" s="34" t="n"/>
    </row>
    <row r="45" ht="22" customHeight="1">
      <c r="B45" s="5" t="n">
        <v>41</v>
      </c>
      <c r="C45" s="6" t="inlineStr">
        <is>
          <t>Sidi Kacem</t>
        </is>
      </c>
      <c r="D45" s="5" t="inlineStr">
        <is>
          <t>SAFSAF</t>
        </is>
      </c>
      <c r="E45" s="5" t="inlineStr">
        <is>
          <t>20-11</t>
        </is>
      </c>
      <c r="F45" s="5" t="inlineStr">
        <is>
          <t>Travaux de réhabilitation des équipements</t>
        </is>
      </c>
      <c r="G45" s="5" t="inlineStr"/>
      <c r="H45" s="5" t="inlineStr">
        <is>
          <t>Recalage des canaux portés du réseau T2S5 du secteur S9</t>
        </is>
      </c>
      <c r="I45" s="7" t="n">
        <v>793830</v>
      </c>
      <c r="J45" s="8" t="inlineStr">
        <is>
          <t>ml</t>
        </is>
      </c>
      <c r="K45" s="9" t="n">
        <v>265</v>
      </c>
      <c r="L45" s="51" t="n"/>
      <c r="M45" s="52">
        <f>'S32'!M45+L45</f>
        <v/>
      </c>
      <c r="N45" s="53">
        <f>IFERROR(M45/K45,0)</f>
        <v/>
      </c>
      <c r="O45" s="54">
        <f>'S32'!N45</f>
        <v/>
      </c>
      <c r="P45" s="53">
        <f>N45-O45</f>
        <v/>
      </c>
      <c r="Q45" s="32" t="n"/>
      <c r="R45" s="32" t="n"/>
      <c r="S45" s="32" t="n"/>
      <c r="T45" s="55" t="n"/>
      <c r="U45" s="54">
        <f>'S32'!T45</f>
        <v/>
      </c>
      <c r="V45" s="53">
        <f>T45-U45</f>
        <v/>
      </c>
      <c r="W45" s="53">
        <f>N45-T45</f>
        <v/>
      </c>
      <c r="X45" s="34" t="n"/>
    </row>
    <row r="46" ht="22" customHeight="1">
      <c r="B46" s="10" t="n">
        <v>42</v>
      </c>
      <c r="C46" s="6" t="inlineStr">
        <is>
          <t>Sidi Kacem</t>
        </is>
      </c>
      <c r="D46" s="10" t="inlineStr">
        <is>
          <t>SAFSAF</t>
        </is>
      </c>
      <c r="E46" s="10" t="inlineStr">
        <is>
          <t>40-21</t>
        </is>
      </c>
      <c r="F46" s="10" t="inlineStr">
        <is>
          <t>Travaux de pistes</t>
        </is>
      </c>
      <c r="G46" s="10" t="inlineStr">
        <is>
          <t>Entretien des pistes agricoles</t>
        </is>
      </c>
      <c r="H46" s="10" t="inlineStr">
        <is>
          <t>Entretien des pistes agricoles</t>
        </is>
      </c>
      <c r="I46" s="11" t="n">
        <v>2000000</v>
      </c>
      <c r="J46" s="12" t="inlineStr">
        <is>
          <t>km</t>
        </is>
      </c>
      <c r="K46" s="13" t="n">
        <v>4</v>
      </c>
      <c r="L46" s="51" t="n"/>
      <c r="M46" s="56">
        <f>'S32'!M46+L46</f>
        <v/>
      </c>
      <c r="N46" s="57">
        <f>IFERROR(M46/K46,0)</f>
        <v/>
      </c>
      <c r="O46" s="58">
        <f>'S32'!N46</f>
        <v/>
      </c>
      <c r="P46" s="57">
        <f>N46-O46</f>
        <v/>
      </c>
      <c r="Q46" s="32" t="n"/>
      <c r="R46" s="32" t="n"/>
      <c r="S46" s="32" t="n"/>
      <c r="T46" s="55" t="n"/>
      <c r="U46" s="58">
        <f>'S32'!T46</f>
        <v/>
      </c>
      <c r="V46" s="57">
        <f>T46-U46</f>
        <v/>
      </c>
      <c r="W46" s="57">
        <f>N46-T46</f>
        <v/>
      </c>
      <c r="X46" s="34" t="n"/>
    </row>
    <row r="47" ht="22" customHeight="1">
      <c r="B47" s="5" t="n">
        <v>43</v>
      </c>
      <c r="C47" s="6" t="inlineStr">
        <is>
          <t>Sidi Kacem</t>
        </is>
      </c>
      <c r="D47" s="5" t="inlineStr">
        <is>
          <t>SAFSAF</t>
        </is>
      </c>
      <c r="E47" s="5" t="inlineStr">
        <is>
          <t>50-23</t>
        </is>
      </c>
      <c r="F47" s="5" t="inlineStr">
        <is>
          <t>Entretien et réparation du réseau d'assainissement et de drainage</t>
        </is>
      </c>
      <c r="G47" s="5" t="inlineStr">
        <is>
          <t>Curage des prises sur l’oued, bâche d’aspiration et bassin de régulation.</t>
        </is>
      </c>
      <c r="H47" s="5" t="inlineStr">
        <is>
          <t>Curage des prises sur l’oued des stations de pompage S11, S9, 7D et 7B.
Nettoyage des grilles de préfiltration des boues colmaté des stations de pompage S11, S9, 7D et 7B.
Nettoyage des crépines des boues colmaté de station pompage 7D.
Curage des dalots et bâche d’aspiration des stations de pompage S11, S9, 7B.</t>
        </is>
      </c>
      <c r="I47" s="7" t="n">
        <v>200000</v>
      </c>
      <c r="J47" s="8" t="inlineStr">
        <is>
          <t>ml</t>
        </is>
      </c>
      <c r="K47" s="9" t="n">
        <v>67</v>
      </c>
      <c r="L47" s="51" t="n"/>
      <c r="M47" s="52">
        <f>'S32'!M47+L47</f>
        <v/>
      </c>
      <c r="N47" s="53">
        <f>IFERROR(M47/K47,0)</f>
        <v/>
      </c>
      <c r="O47" s="54">
        <f>'S32'!N47</f>
        <v/>
      </c>
      <c r="P47" s="53">
        <f>N47-O47</f>
        <v/>
      </c>
      <c r="Q47" s="32" t="n"/>
      <c r="R47" s="32" t="n"/>
      <c r="S47" s="32" t="n"/>
      <c r="T47" s="55" t="n"/>
      <c r="U47" s="54">
        <f>'S32'!T47</f>
        <v/>
      </c>
      <c r="V47" s="53">
        <f>T47-U47</f>
        <v/>
      </c>
      <c r="W47" s="53">
        <f>N47-T47</f>
        <v/>
      </c>
      <c r="X47" s="34" t="n"/>
    </row>
    <row r="48" ht="22" customHeight="1">
      <c r="B48" s="10" t="n">
        <v>44</v>
      </c>
      <c r="C48" s="6" t="inlineStr">
        <is>
          <t>Sidi Kacem</t>
        </is>
      </c>
      <c r="D48" s="10" t="inlineStr">
        <is>
          <t>SAFSAF</t>
        </is>
      </c>
      <c r="E48" s="10" t="inlineStr">
        <is>
          <t>50-21</t>
        </is>
      </c>
      <c r="F48" s="10" t="inlineStr">
        <is>
          <t>Entretien et réparation des stations de pompage</t>
        </is>
      </c>
      <c r="G48" s="10" t="inlineStr">
        <is>
          <t>Prestation de maintenance des débitmètres et leurs équipements annexes installés au niveau des station de pompage</t>
        </is>
      </c>
      <c r="H48" s="10" t="inlineStr">
        <is>
          <t>Changements Sept des débitmètres Ø 600mm inondé des deux stations de pompage S11 et S9.</t>
        </is>
      </c>
      <c r="I48" s="11" t="n">
        <v>580000</v>
      </c>
      <c r="J48" s="12" t="inlineStr">
        <is>
          <t>U</t>
        </is>
      </c>
      <c r="K48" s="13" t="n">
        <v>7</v>
      </c>
      <c r="L48" s="51" t="n"/>
      <c r="M48" s="56">
        <f>'S32'!M48+L48</f>
        <v/>
      </c>
      <c r="N48" s="57">
        <f>IFERROR(M48/K48,0)</f>
        <v/>
      </c>
      <c r="O48" s="58">
        <f>'S32'!N48</f>
        <v/>
      </c>
      <c r="P48" s="57">
        <f>N48-O48</f>
        <v/>
      </c>
      <c r="Q48" s="32" t="n"/>
      <c r="R48" s="32" t="n"/>
      <c r="S48" s="32" t="n"/>
      <c r="T48" s="55" t="n"/>
      <c r="U48" s="58">
        <f>'S32'!T48</f>
        <v/>
      </c>
      <c r="V48" s="57">
        <f>T48-U48</f>
        <v/>
      </c>
      <c r="W48" s="57">
        <f>N48-T48</f>
        <v/>
      </c>
      <c r="X48" s="34" t="n"/>
    </row>
    <row r="49" ht="22" customHeight="1">
      <c r="B49" s="5" t="n">
        <v>45</v>
      </c>
      <c r="C49" s="6" t="inlineStr">
        <is>
          <t>Sidi Kacem</t>
        </is>
      </c>
      <c r="D49" s="5" t="inlineStr">
        <is>
          <t>SAFSAF</t>
        </is>
      </c>
      <c r="E49" s="5" t="inlineStr">
        <is>
          <t>50-21</t>
        </is>
      </c>
      <c r="F49" s="5" t="inlineStr">
        <is>
          <t>Entretien et réparation des stations de pompage</t>
        </is>
      </c>
      <c r="G49" s="5" t="inlineStr">
        <is>
          <t>Stabilisation Berge oued</t>
        </is>
      </c>
      <c r="H49" s="5" t="inlineStr">
        <is>
          <t>Pose de murs en gabions et recouvrement du talus par matelas Reno des stations de pompage S11, S9, 7D et 7B .</t>
        </is>
      </c>
      <c r="I49" s="7" t="n">
        <v>4000000</v>
      </c>
      <c r="J49" s="8" t="inlineStr">
        <is>
          <t>m³</t>
        </is>
      </c>
      <c r="K49" s="9" t="n">
        <v>2667</v>
      </c>
      <c r="L49" s="51" t="n"/>
      <c r="M49" s="52">
        <f>'S32'!M49+L49</f>
        <v/>
      </c>
      <c r="N49" s="53">
        <f>IFERROR(M49/K49,0)</f>
        <v/>
      </c>
      <c r="O49" s="54">
        <f>'S32'!N49</f>
        <v/>
      </c>
      <c r="P49" s="53">
        <f>N49-O49</f>
        <v/>
      </c>
      <c r="Q49" s="32" t="n"/>
      <c r="R49" s="32" t="n"/>
      <c r="S49" s="32" t="n"/>
      <c r="T49" s="55" t="n"/>
      <c r="U49" s="54">
        <f>'S32'!T49</f>
        <v/>
      </c>
      <c r="V49" s="53">
        <f>T49-U49</f>
        <v/>
      </c>
      <c r="W49" s="53">
        <f>N49-T49</f>
        <v/>
      </c>
      <c r="X49" s="34" t="n"/>
    </row>
    <row r="50" ht="22" customHeight="1">
      <c r="B50" s="10" t="n">
        <v>46</v>
      </c>
      <c r="C50" s="6" t="inlineStr">
        <is>
          <t>Sidi Kacem</t>
        </is>
      </c>
      <c r="D50" s="10" t="inlineStr">
        <is>
          <t>SIDI AZZOUZ</t>
        </is>
      </c>
      <c r="E50" s="10" t="inlineStr">
        <is>
          <t>40-21</t>
        </is>
      </c>
      <c r="F50" s="10" t="inlineStr">
        <is>
          <t>Travaux de pistes</t>
        </is>
      </c>
      <c r="G50" s="10" t="inlineStr">
        <is>
          <t>Entretien des pistes agricoles</t>
        </is>
      </c>
      <c r="H50" s="10" t="inlineStr">
        <is>
          <t>Entretien des pistes agricoles</t>
        </is>
      </c>
      <c r="I50" s="11" t="n">
        <v>655000</v>
      </c>
      <c r="J50" s="12" t="inlineStr">
        <is>
          <t>km</t>
        </is>
      </c>
      <c r="K50" s="13" t="n">
        <v>1</v>
      </c>
      <c r="L50" s="51" t="n"/>
      <c r="M50" s="56">
        <f>'S32'!M50+L50</f>
        <v/>
      </c>
      <c r="N50" s="57">
        <f>IFERROR(M50/K50,0)</f>
        <v/>
      </c>
      <c r="O50" s="58">
        <f>'S32'!N50</f>
        <v/>
      </c>
      <c r="P50" s="57">
        <f>N50-O50</f>
        <v/>
      </c>
      <c r="Q50" s="32" t="n"/>
      <c r="R50" s="32" t="n"/>
      <c r="S50" s="32" t="n"/>
      <c r="T50" s="55" t="n"/>
      <c r="U50" s="58">
        <f>'S32'!T50</f>
        <v/>
      </c>
      <c r="V50" s="57">
        <f>T50-U50</f>
        <v/>
      </c>
      <c r="W50" s="57">
        <f>N50-T50</f>
        <v/>
      </c>
      <c r="X50" s="34" t="n"/>
    </row>
    <row r="51" ht="22" customHeight="1">
      <c r="B51" s="5" t="n">
        <v>47</v>
      </c>
      <c r="C51" s="6" t="inlineStr">
        <is>
          <t>Sidi Kacem</t>
        </is>
      </c>
      <c r="D51" s="5" t="inlineStr">
        <is>
          <t>SIDI EL KAMEL</t>
        </is>
      </c>
      <c r="E51" s="5" t="inlineStr">
        <is>
          <t>20-11</t>
        </is>
      </c>
      <c r="F51" s="5" t="inlineStr">
        <is>
          <t>Travaux de réhabilitation des équipements</t>
        </is>
      </c>
      <c r="G51" s="5" t="inlineStr">
        <is>
          <t>Travaux de réhabilitation des canaux portés d'irrigation</t>
        </is>
      </c>
      <c r="H51" s="5" t="inlineStr">
        <is>
          <t>Fourniture et de pose de canaux porté et accessoires du réseau SR4 du secteur S3R</t>
        </is>
      </c>
      <c r="I51" s="7" t="n">
        <v>5182920</v>
      </c>
      <c r="J51" s="8" t="inlineStr">
        <is>
          <t>ml</t>
        </is>
      </c>
      <c r="K51" s="9" t="n">
        <v>1728</v>
      </c>
      <c r="L51" s="51" t="n"/>
      <c r="M51" s="52">
        <f>'S32'!M51+L51</f>
        <v/>
      </c>
      <c r="N51" s="53">
        <f>IFERROR(M51/K51,0)</f>
        <v/>
      </c>
      <c r="O51" s="54">
        <f>'S32'!N51</f>
        <v/>
      </c>
      <c r="P51" s="53">
        <f>N51-O51</f>
        <v/>
      </c>
      <c r="Q51" s="32" t="n"/>
      <c r="R51" s="32" t="n"/>
      <c r="S51" s="32" t="n"/>
      <c r="T51" s="55" t="n"/>
      <c r="U51" s="54">
        <f>'S32'!T51</f>
        <v/>
      </c>
      <c r="V51" s="53">
        <f>T51-U51</f>
        <v/>
      </c>
      <c r="W51" s="53">
        <f>N51-T51</f>
        <v/>
      </c>
      <c r="X51" s="34" t="n"/>
    </row>
    <row r="52" ht="22" customHeight="1">
      <c r="B52" s="10" t="n">
        <v>48</v>
      </c>
      <c r="C52" s="6" t="inlineStr">
        <is>
          <t>Sidi Kacem</t>
        </is>
      </c>
      <c r="D52" s="10" t="inlineStr">
        <is>
          <t>SIDI EL KAMEL</t>
        </is>
      </c>
      <c r="E52" s="10" t="inlineStr">
        <is>
          <t>20-11</t>
        </is>
      </c>
      <c r="F52" s="10" t="inlineStr">
        <is>
          <t>Travaux de réhabilitation des équipements</t>
        </is>
      </c>
      <c r="G52" s="10" t="inlineStr"/>
      <c r="H52" s="10" t="inlineStr">
        <is>
          <t>Fourniture et de pose de canaux porté et accessoires du réseau SR6 du secteur S1RIZ</t>
        </is>
      </c>
      <c r="I52" s="11" t="n">
        <v>152818</v>
      </c>
      <c r="J52" s="12" t="inlineStr">
        <is>
          <t>ml</t>
        </is>
      </c>
      <c r="K52" s="13" t="n">
        <v>51</v>
      </c>
      <c r="L52" s="51" t="n"/>
      <c r="M52" s="56">
        <f>'S32'!M52+L52</f>
        <v/>
      </c>
      <c r="N52" s="57">
        <f>IFERROR(M52/K52,0)</f>
        <v/>
      </c>
      <c r="O52" s="58">
        <f>'S32'!N52</f>
        <v/>
      </c>
      <c r="P52" s="57">
        <f>N52-O52</f>
        <v/>
      </c>
      <c r="Q52" s="32" t="n"/>
      <c r="R52" s="32" t="n"/>
      <c r="S52" s="32" t="n"/>
      <c r="T52" s="55" t="n"/>
      <c r="U52" s="58">
        <f>'S32'!T52</f>
        <v/>
      </c>
      <c r="V52" s="57">
        <f>T52-U52</f>
        <v/>
      </c>
      <c r="W52" s="57">
        <f>N52-T52</f>
        <v/>
      </c>
      <c r="X52" s="34" t="n"/>
    </row>
    <row r="53" ht="22" customHeight="1">
      <c r="B53" s="5" t="n">
        <v>49</v>
      </c>
      <c r="C53" s="6" t="inlineStr">
        <is>
          <t>Sidi Kacem</t>
        </is>
      </c>
      <c r="D53" s="5" t="inlineStr">
        <is>
          <t>SIDI EL KAMEL</t>
        </is>
      </c>
      <c r="E53" s="5" t="inlineStr">
        <is>
          <t>20-11</t>
        </is>
      </c>
      <c r="F53" s="5" t="inlineStr">
        <is>
          <t>Travaux de réhabilitation des équipements</t>
        </is>
      </c>
      <c r="G53" s="5" t="inlineStr"/>
      <c r="H53" s="5" t="inlineStr">
        <is>
          <t>Recalage des canaux portés du réseau SR4 du secteur S3R</t>
        </is>
      </c>
      <c r="I53" s="7" t="n">
        <v>1418000</v>
      </c>
      <c r="J53" s="8" t="inlineStr">
        <is>
          <t>ml</t>
        </is>
      </c>
      <c r="K53" s="9" t="n">
        <v>473</v>
      </c>
      <c r="L53" s="51" t="n"/>
      <c r="M53" s="52">
        <f>'S32'!M53+L53</f>
        <v/>
      </c>
      <c r="N53" s="53">
        <f>IFERROR(M53/K53,0)</f>
        <v/>
      </c>
      <c r="O53" s="54">
        <f>'S32'!N53</f>
        <v/>
      </c>
      <c r="P53" s="53">
        <f>N53-O53</f>
        <v/>
      </c>
      <c r="Q53" s="32" t="n"/>
      <c r="R53" s="32" t="n"/>
      <c r="S53" s="32" t="n"/>
      <c r="T53" s="55" t="n"/>
      <c r="U53" s="54">
        <f>'S32'!T53</f>
        <v/>
      </c>
      <c r="V53" s="53">
        <f>T53-U53</f>
        <v/>
      </c>
      <c r="W53" s="53">
        <f>N53-T53</f>
        <v/>
      </c>
      <c r="X53" s="34" t="n"/>
    </row>
    <row r="54" ht="22" customHeight="1">
      <c r="B54" s="10" t="n">
        <v>50</v>
      </c>
      <c r="C54" s="6" t="inlineStr">
        <is>
          <t>Sidi Kacem</t>
        </is>
      </c>
      <c r="D54" s="10" t="inlineStr">
        <is>
          <t>SIDI EL KAMEL</t>
        </is>
      </c>
      <c r="E54" s="10" t="inlineStr">
        <is>
          <t>20-11</t>
        </is>
      </c>
      <c r="F54" s="10" t="inlineStr">
        <is>
          <t>Travaux de réhabilitation des équipements</t>
        </is>
      </c>
      <c r="G54" s="10" t="inlineStr">
        <is>
          <t>Travaux de réhabilitation des ouvrages de génie civil</t>
        </is>
      </c>
      <c r="H54" s="10" t="inlineStr">
        <is>
          <t>Réhabilitation des murs de soutènements des ouvrages de franchissements du canal d'assainissement CS3 secteur S3 et de l’ouvrage de franchissement du canal primaire d’irrigation du secteur S1R au niveau de la route provinciale P4234</t>
        </is>
      </c>
      <c r="I54" s="11" t="n">
        <v>800000</v>
      </c>
      <c r="J54" s="12" t="inlineStr">
        <is>
          <t>ml</t>
        </is>
      </c>
      <c r="K54" s="13" t="n">
        <v>400</v>
      </c>
      <c r="L54" s="51" t="n"/>
      <c r="M54" s="56">
        <f>'S32'!M54+L54</f>
        <v/>
      </c>
      <c r="N54" s="57">
        <f>IFERROR(M54/K54,0)</f>
        <v/>
      </c>
      <c r="O54" s="58">
        <f>'S32'!N54</f>
        <v/>
      </c>
      <c r="P54" s="57">
        <f>N54-O54</f>
        <v/>
      </c>
      <c r="Q54" s="32" t="n"/>
      <c r="R54" s="32" t="n"/>
      <c r="S54" s="32" t="n"/>
      <c r="T54" s="55" t="n"/>
      <c r="U54" s="58">
        <f>'S32'!T54</f>
        <v/>
      </c>
      <c r="V54" s="57">
        <f>T54-U54</f>
        <v/>
      </c>
      <c r="W54" s="57">
        <f>N54-T54</f>
        <v/>
      </c>
      <c r="X54" s="34" t="n"/>
    </row>
    <row r="55" ht="22" customHeight="1">
      <c r="B55" s="5" t="n">
        <v>51</v>
      </c>
      <c r="C55" s="6" t="inlineStr">
        <is>
          <t>Sidi Kacem</t>
        </is>
      </c>
      <c r="D55" s="5" t="inlineStr">
        <is>
          <t>SIDI EL KAMEL</t>
        </is>
      </c>
      <c r="E55" s="5" t="inlineStr">
        <is>
          <t>40-21</t>
        </is>
      </c>
      <c r="F55" s="5" t="inlineStr">
        <is>
          <t>Travaux de pistes</t>
        </is>
      </c>
      <c r="G55" s="5" t="inlineStr">
        <is>
          <t>Entretien des pistes agricoles</t>
        </is>
      </c>
      <c r="H55" s="5" t="inlineStr">
        <is>
          <t>Entretien des pistes agricoles</t>
        </is>
      </c>
      <c r="I55" s="7" t="n">
        <v>3700000</v>
      </c>
      <c r="J55" s="8" t="inlineStr">
        <is>
          <t>km</t>
        </is>
      </c>
      <c r="K55" s="9" t="n">
        <v>7</v>
      </c>
      <c r="L55" s="51" t="n"/>
      <c r="M55" s="52">
        <f>'S32'!M55+L55</f>
        <v/>
      </c>
      <c r="N55" s="53">
        <f>IFERROR(M55/K55,0)</f>
        <v/>
      </c>
      <c r="O55" s="54">
        <f>'S32'!N55</f>
        <v/>
      </c>
      <c r="P55" s="53">
        <f>N55-O55</f>
        <v/>
      </c>
      <c r="Q55" s="32" t="n"/>
      <c r="R55" s="32" t="n"/>
      <c r="S55" s="32" t="n"/>
      <c r="T55" s="55" t="n"/>
      <c r="U55" s="54">
        <f>'S32'!T55</f>
        <v/>
      </c>
      <c r="V55" s="53">
        <f>T55-U55</f>
        <v/>
      </c>
      <c r="W55" s="53">
        <f>N55-T55</f>
        <v/>
      </c>
      <c r="X55" s="34" t="n"/>
    </row>
    <row r="56" ht="22" customHeight="1">
      <c r="B56" s="10" t="n">
        <v>52</v>
      </c>
      <c r="C56" s="6" t="inlineStr">
        <is>
          <t>Sidi Kacem</t>
        </is>
      </c>
      <c r="D56" s="10" t="inlineStr">
        <is>
          <t>SIDI EL KAMEL</t>
        </is>
      </c>
      <c r="E56" s="10" t="inlineStr">
        <is>
          <t>50-21</t>
        </is>
      </c>
      <c r="F56" s="10" t="inlineStr">
        <is>
          <t>Entretien et réparation des stations de pompage</t>
        </is>
      </c>
      <c r="G56" s="10" t="inlineStr">
        <is>
          <t>Prestation de maintenance des débitmètres et leurs équipements annexes installés au niveau des station de pompage</t>
        </is>
      </c>
      <c r="H56" s="10" t="inlineStr">
        <is>
          <t>Changement de quatre débitmètres Ø 500mm et trois Ø 800mm inondé des stations de pompage 1R, 3R et 5R.</t>
        </is>
      </c>
      <c r="I56" s="11" t="n">
        <v>705000</v>
      </c>
      <c r="J56" s="12" t="inlineStr">
        <is>
          <t>U</t>
        </is>
      </c>
      <c r="K56" s="13" t="n">
        <v>3</v>
      </c>
      <c r="L56" s="51" t="n"/>
      <c r="M56" s="56">
        <f>'S32'!M56+L56</f>
        <v/>
      </c>
      <c r="N56" s="57">
        <f>IFERROR(M56/K56,0)</f>
        <v/>
      </c>
      <c r="O56" s="58">
        <f>'S32'!N56</f>
        <v/>
      </c>
      <c r="P56" s="57">
        <f>N56-O56</f>
        <v/>
      </c>
      <c r="Q56" s="32" t="n"/>
      <c r="R56" s="32" t="n"/>
      <c r="S56" s="32" t="n"/>
      <c r="T56" s="55" t="n"/>
      <c r="U56" s="58">
        <f>'S32'!T56</f>
        <v/>
      </c>
      <c r="V56" s="57">
        <f>T56-U56</f>
        <v/>
      </c>
      <c r="W56" s="57">
        <f>N56-T56</f>
        <v/>
      </c>
      <c r="X56" s="34" t="n"/>
    </row>
    <row r="57" ht="22" customHeight="1">
      <c r="B57" s="5" t="n">
        <v>53</v>
      </c>
      <c r="C57" s="6" t="inlineStr">
        <is>
          <t>Sidi Kacem</t>
        </is>
      </c>
      <c r="D57" s="5" t="inlineStr">
        <is>
          <t>SIDI EL KAMEL</t>
        </is>
      </c>
      <c r="E57" s="5" t="inlineStr">
        <is>
          <t>50-21</t>
        </is>
      </c>
      <c r="F57" s="5" t="inlineStr">
        <is>
          <t>Entretien et réparation des stations de pompage</t>
        </is>
      </c>
      <c r="G57" s="5" t="inlineStr">
        <is>
          <t>Mur clôture des stations de pompage.</t>
        </is>
      </c>
      <c r="H57" s="5" t="inlineStr">
        <is>
          <t>Stabilisation et reconstruction des murs clôture cote oued des stations de pompage 7A, 3R et 1R.</t>
        </is>
      </c>
      <c r="I57" s="7" t="n">
        <v>372000</v>
      </c>
      <c r="J57" s="8" t="inlineStr">
        <is>
          <t>ml</t>
        </is>
      </c>
      <c r="K57" s="9" t="n">
        <v>124</v>
      </c>
      <c r="L57" s="51" t="n"/>
      <c r="M57" s="52">
        <f>'S32'!M57+L57</f>
        <v/>
      </c>
      <c r="N57" s="53">
        <f>IFERROR(M57/K57,0)</f>
        <v/>
      </c>
      <c r="O57" s="54">
        <f>'S32'!N57</f>
        <v/>
      </c>
      <c r="P57" s="53">
        <f>N57-O57</f>
        <v/>
      </c>
      <c r="Q57" s="32" t="n"/>
      <c r="R57" s="32" t="n"/>
      <c r="S57" s="32" t="n"/>
      <c r="T57" s="55" t="n"/>
      <c r="U57" s="54">
        <f>'S32'!T57</f>
        <v/>
      </c>
      <c r="V57" s="53">
        <f>T57-U57</f>
        <v/>
      </c>
      <c r="W57" s="53">
        <f>N57-T57</f>
        <v/>
      </c>
      <c r="X57" s="34" t="n"/>
    </row>
    <row r="58" ht="22" customHeight="1">
      <c r="B58" s="10" t="n">
        <v>54</v>
      </c>
      <c r="C58" s="14" t="inlineStr">
        <is>
          <t>Kénitra</t>
        </is>
      </c>
      <c r="D58" s="10" t="inlineStr">
        <is>
          <t>Bni malek</t>
        </is>
      </c>
      <c r="E58" s="10" t="inlineStr">
        <is>
          <t>50-23</t>
        </is>
      </c>
      <c r="F58" s="10" t="inlineStr">
        <is>
          <t>Entretien et réparation du réseau d'assainissement et de drainage</t>
        </is>
      </c>
      <c r="G58" s="10" t="inlineStr">
        <is>
          <t>Travaux de curage des canaux en terre</t>
        </is>
      </c>
      <c r="H58" s="10" t="inlineStr">
        <is>
          <t>Curage des emissaires et colatures secondaire au niveau des secteurs MDA ET N9</t>
        </is>
      </c>
      <c r="I58" s="11" t="n">
        <v>10000000</v>
      </c>
      <c r="J58" s="12" t="inlineStr">
        <is>
          <t>ml</t>
        </is>
      </c>
      <c r="K58" s="13" t="n">
        <v>5000</v>
      </c>
      <c r="L58" s="51" t="n"/>
      <c r="M58" s="56">
        <f>'S32'!M58+L58</f>
        <v/>
      </c>
      <c r="N58" s="57">
        <f>IFERROR(M58/K58,0)</f>
        <v/>
      </c>
      <c r="O58" s="58">
        <f>'S32'!N58</f>
        <v/>
      </c>
      <c r="P58" s="57">
        <f>N58-O58</f>
        <v/>
      </c>
      <c r="Q58" s="32" t="n"/>
      <c r="R58" s="32" t="n"/>
      <c r="S58" s="32" t="n"/>
      <c r="T58" s="55" t="n"/>
      <c r="U58" s="58">
        <f>'S32'!T58</f>
        <v/>
      </c>
      <c r="V58" s="57">
        <f>T58-U58</f>
        <v/>
      </c>
      <c r="W58" s="57">
        <f>N58-T58</f>
        <v/>
      </c>
      <c r="X58" s="34" t="n"/>
    </row>
    <row r="59" ht="22" customHeight="1">
      <c r="B59" s="5" t="n">
        <v>55</v>
      </c>
      <c r="C59" s="14" t="inlineStr">
        <is>
          <t>Kénitra</t>
        </is>
      </c>
      <c r="D59" s="5" t="inlineStr">
        <is>
          <t>Bni malek</t>
        </is>
      </c>
      <c r="E59" s="5" t="inlineStr">
        <is>
          <t>40-21</t>
        </is>
      </c>
      <c r="F59" s="5" t="inlineStr">
        <is>
          <t>Travaux de pistes</t>
        </is>
      </c>
      <c r="G59" s="5" t="inlineStr">
        <is>
          <t>Travaux de réhabilitation des pistes agricoles</t>
        </is>
      </c>
      <c r="H59" s="5" t="inlineStr">
        <is>
          <t>Entretien des pistes agricoles des secteurs MDA et N3</t>
        </is>
      </c>
      <c r="I59" s="7" t="n">
        <v>2000000</v>
      </c>
      <c r="J59" s="8" t="inlineStr">
        <is>
          <t>km</t>
        </is>
      </c>
      <c r="K59" s="9" t="n">
        <v>4</v>
      </c>
      <c r="L59" s="51" t="n"/>
      <c r="M59" s="52">
        <f>'S32'!M59+L59</f>
        <v/>
      </c>
      <c r="N59" s="53">
        <f>IFERROR(M59/K59,0)</f>
        <v/>
      </c>
      <c r="O59" s="54">
        <f>'S32'!N59</f>
        <v/>
      </c>
      <c r="P59" s="53">
        <f>N59-O59</f>
        <v/>
      </c>
      <c r="Q59" s="32" t="n"/>
      <c r="R59" s="32" t="n"/>
      <c r="S59" s="32" t="n"/>
      <c r="T59" s="55" t="n"/>
      <c r="U59" s="54">
        <f>'S32'!T59</f>
        <v/>
      </c>
      <c r="V59" s="53">
        <f>T59-U59</f>
        <v/>
      </c>
      <c r="W59" s="53">
        <f>N59-T59</f>
        <v/>
      </c>
      <c r="X59" s="34" t="n"/>
    </row>
    <row r="60" ht="22" customHeight="1">
      <c r="B60" s="10" t="n">
        <v>56</v>
      </c>
      <c r="C60" s="14" t="inlineStr">
        <is>
          <t>Kénitra</t>
        </is>
      </c>
      <c r="D60" s="10" t="inlineStr">
        <is>
          <t>Bni malek</t>
        </is>
      </c>
      <c r="E60" s="10" t="inlineStr">
        <is>
          <t>50-21</t>
        </is>
      </c>
      <c r="F60" s="10" t="inlineStr">
        <is>
          <t>Entretien et réparation des stations de pompage</t>
        </is>
      </c>
      <c r="G60" s="10" t="inlineStr">
        <is>
          <t>Prestations de maintenance et de réparation mécanique des pompes et des groupes motopompes submersibles des stations de pompage.</t>
        </is>
      </c>
      <c r="H60" s="10" t="inlineStr">
        <is>
          <t>station de pompage MDA secteur MDA</t>
        </is>
      </c>
      <c r="I60" s="11" t="n">
        <v>300000</v>
      </c>
      <c r="J60" s="12" t="inlineStr">
        <is>
          <t>U</t>
        </is>
      </c>
      <c r="K60" s="13" t="n">
        <v>1</v>
      </c>
      <c r="L60" s="51" t="n"/>
      <c r="M60" s="56">
        <f>'S32'!M60+L60</f>
        <v/>
      </c>
      <c r="N60" s="57">
        <f>IFERROR(M60/K60,0)</f>
        <v/>
      </c>
      <c r="O60" s="58">
        <f>'S32'!N60</f>
        <v/>
      </c>
      <c r="P60" s="57">
        <f>N60-O60</f>
        <v/>
      </c>
      <c r="Q60" s="32" t="n"/>
      <c r="R60" s="32" t="n"/>
      <c r="S60" s="32" t="n"/>
      <c r="T60" s="55" t="n"/>
      <c r="U60" s="58">
        <f>'S32'!T60</f>
        <v/>
      </c>
      <c r="V60" s="57">
        <f>T60-U60</f>
        <v/>
      </c>
      <c r="W60" s="57">
        <f>N60-T60</f>
        <v/>
      </c>
      <c r="X60" s="34" t="n"/>
    </row>
    <row r="61" ht="22" customHeight="1">
      <c r="B61" s="5" t="n">
        <v>57</v>
      </c>
      <c r="C61" s="14" t="inlineStr">
        <is>
          <t>Kénitra</t>
        </is>
      </c>
      <c r="D61" s="5" t="inlineStr">
        <is>
          <t>Bni malek</t>
        </is>
      </c>
      <c r="E61" s="5" t="inlineStr">
        <is>
          <t>20-11</t>
        </is>
      </c>
      <c r="F61" s="5" t="inlineStr">
        <is>
          <t>Travaux de réhabilitation des équipements</t>
        </is>
      </c>
      <c r="G61" s="5" t="inlineStr">
        <is>
          <t>Travaux de réhabilitation des ouvrages de génie civil</t>
        </is>
      </c>
      <c r="H61" s="5" t="inlineStr">
        <is>
          <t>Rétablissement des bornes affaissées des secteurs N2 et N3</t>
        </is>
      </c>
      <c r="I61" s="7" t="n">
        <v>100000</v>
      </c>
      <c r="J61" s="8" t="inlineStr">
        <is>
          <t>U</t>
        </is>
      </c>
      <c r="K61" s="9" t="n">
        <v>200</v>
      </c>
      <c r="L61" s="51" t="n"/>
      <c r="M61" s="52">
        <f>'S32'!M61+L61</f>
        <v/>
      </c>
      <c r="N61" s="53">
        <f>IFERROR(M61/K61,0)</f>
        <v/>
      </c>
      <c r="O61" s="54">
        <f>'S32'!N61</f>
        <v/>
      </c>
      <c r="P61" s="53">
        <f>N61-O61</f>
        <v/>
      </c>
      <c r="Q61" s="32" t="n"/>
      <c r="R61" s="32" t="n"/>
      <c r="S61" s="32" t="n"/>
      <c r="T61" s="55" t="n"/>
      <c r="U61" s="54">
        <f>'S32'!T61</f>
        <v/>
      </c>
      <c r="V61" s="53">
        <f>T61-U61</f>
        <v/>
      </c>
      <c r="W61" s="53">
        <f>N61-T61</f>
        <v/>
      </c>
      <c r="X61" s="34" t="n"/>
    </row>
    <row r="62" ht="22" customHeight="1">
      <c r="B62" s="10" t="n">
        <v>58</v>
      </c>
      <c r="C62" s="14" t="inlineStr">
        <is>
          <t>Kénitra</t>
        </is>
      </c>
      <c r="D62" s="10" t="inlineStr">
        <is>
          <t>SOUK TLET</t>
        </is>
      </c>
      <c r="E62" s="10" t="inlineStr">
        <is>
          <t>50-23</t>
        </is>
      </c>
      <c r="F62" s="10" t="inlineStr">
        <is>
          <t>Entretien et réparation du réseau d'assainissement et de drainage</t>
        </is>
      </c>
      <c r="G62" s="10" t="inlineStr">
        <is>
          <t>Travaux de curage des canaux en terre</t>
        </is>
      </c>
      <c r="H62" s="10" t="inlineStr">
        <is>
          <t>curage des emissaires et colatures secondaire au niveau des secteurs N2,N3 ET N4,</t>
        </is>
      </c>
      <c r="I62" s="11" t="n">
        <v>3000000</v>
      </c>
      <c r="J62" s="12" t="inlineStr">
        <is>
          <t>ml</t>
        </is>
      </c>
      <c r="K62" s="13" t="n">
        <v>1500</v>
      </c>
      <c r="L62" s="51" t="n"/>
      <c r="M62" s="56">
        <f>'S32'!M62+L62</f>
        <v/>
      </c>
      <c r="N62" s="57">
        <f>IFERROR(M62/K62,0)</f>
        <v/>
      </c>
      <c r="O62" s="58">
        <f>'S32'!N62</f>
        <v/>
      </c>
      <c r="P62" s="57">
        <f>N62-O62</f>
        <v/>
      </c>
      <c r="Q62" s="32" t="n"/>
      <c r="R62" s="32" t="n"/>
      <c r="S62" s="32" t="n"/>
      <c r="T62" s="55" t="n"/>
      <c r="U62" s="58">
        <f>'S32'!T62</f>
        <v/>
      </c>
      <c r="V62" s="57">
        <f>T62-U62</f>
        <v/>
      </c>
      <c r="W62" s="57">
        <f>N62-T62</f>
        <v/>
      </c>
      <c r="X62" s="34" t="n"/>
    </row>
    <row r="63" ht="22" customHeight="1">
      <c r="B63" s="5" t="n">
        <v>59</v>
      </c>
      <c r="C63" s="14" t="inlineStr">
        <is>
          <t>Kénitra</t>
        </is>
      </c>
      <c r="D63" s="5" t="inlineStr">
        <is>
          <t>SOUK TLET</t>
        </is>
      </c>
      <c r="E63" s="5" t="inlineStr">
        <is>
          <t>40-21</t>
        </is>
      </c>
      <c r="F63" s="5" t="inlineStr">
        <is>
          <t>Travaux de pistes</t>
        </is>
      </c>
      <c r="G63" s="5" t="inlineStr">
        <is>
          <t>Travaux de réhabilitation des pistes agricoles</t>
        </is>
      </c>
      <c r="H63" s="5" t="inlineStr">
        <is>
          <t>Entretien des pistes des secteurs N2,N3,N4 et C4R,</t>
        </is>
      </c>
      <c r="I63" s="7" t="n">
        <v>5000000</v>
      </c>
      <c r="J63" s="8" t="inlineStr">
        <is>
          <t>U</t>
        </is>
      </c>
      <c r="K63" s="9" t="n">
        <v>1</v>
      </c>
      <c r="L63" s="51" t="n"/>
      <c r="M63" s="52">
        <f>'S32'!M63+L63</f>
        <v/>
      </c>
      <c r="N63" s="53">
        <f>IFERROR(M63/K63,0)</f>
        <v/>
      </c>
      <c r="O63" s="54">
        <f>'S32'!N63</f>
        <v/>
      </c>
      <c r="P63" s="53">
        <f>N63-O63</f>
        <v/>
      </c>
      <c r="Q63" s="32" t="n"/>
      <c r="R63" s="32" t="n"/>
      <c r="S63" s="32" t="n"/>
      <c r="T63" s="55" t="n"/>
      <c r="U63" s="54">
        <f>'S32'!T63</f>
        <v/>
      </c>
      <c r="V63" s="53">
        <f>T63-U63</f>
        <v/>
      </c>
      <c r="W63" s="53">
        <f>N63-T63</f>
        <v/>
      </c>
      <c r="X63" s="34" t="n"/>
    </row>
    <row r="64" ht="22" customHeight="1">
      <c r="B64" s="10" t="n">
        <v>60</v>
      </c>
      <c r="C64" s="14" t="inlineStr">
        <is>
          <t>Kénitra</t>
        </is>
      </c>
      <c r="D64" s="10" t="inlineStr">
        <is>
          <t>Sidi Med Lahmar</t>
        </is>
      </c>
      <c r="E64" s="10" t="inlineStr">
        <is>
          <t>50-23</t>
        </is>
      </c>
      <c r="F64" s="10" t="inlineStr">
        <is>
          <t>Entretien et réparation du réseau d'assainissement et de drainage</t>
        </is>
      </c>
      <c r="G64" s="10" t="inlineStr">
        <is>
          <t>Travaux de curage des canaux en terre</t>
        </is>
      </c>
      <c r="H64" s="10" t="inlineStr">
        <is>
          <t>Curage des emissaires et colatures secondaires secteurs N1</t>
        </is>
      </c>
      <c r="I64" s="11" t="n">
        <v>3000000</v>
      </c>
      <c r="J64" s="12" t="inlineStr">
        <is>
          <t>ml</t>
        </is>
      </c>
      <c r="K64" s="13" t="n">
        <v>1500</v>
      </c>
      <c r="L64" s="51" t="n"/>
      <c r="M64" s="56">
        <f>'S32'!M64+L64</f>
        <v/>
      </c>
      <c r="N64" s="57">
        <f>IFERROR(M64/K64,0)</f>
        <v/>
      </c>
      <c r="O64" s="58">
        <f>'S32'!N64</f>
        <v/>
      </c>
      <c r="P64" s="57">
        <f>N64-O64</f>
        <v/>
      </c>
      <c r="Q64" s="32" t="n"/>
      <c r="R64" s="32" t="n"/>
      <c r="S64" s="32" t="n"/>
      <c r="T64" s="55" t="n"/>
      <c r="U64" s="58">
        <f>'S32'!T64</f>
        <v/>
      </c>
      <c r="V64" s="57">
        <f>T64-U64</f>
        <v/>
      </c>
      <c r="W64" s="57">
        <f>N64-T64</f>
        <v/>
      </c>
      <c r="X64" s="34" t="n"/>
    </row>
    <row r="65" ht="22" customHeight="1">
      <c r="B65" s="5" t="n">
        <v>61</v>
      </c>
      <c r="C65" s="14" t="inlineStr">
        <is>
          <t>Kénitra</t>
        </is>
      </c>
      <c r="D65" s="5" t="inlineStr">
        <is>
          <t>Sidi Med Lahmar</t>
        </is>
      </c>
      <c r="E65" s="5" t="inlineStr">
        <is>
          <t>40-21</t>
        </is>
      </c>
      <c r="F65" s="5" t="inlineStr">
        <is>
          <t>Travaux de pistes</t>
        </is>
      </c>
      <c r="G65" s="5" t="inlineStr">
        <is>
          <t>Travaux de réhabilitation des pistes agricoles</t>
        </is>
      </c>
      <c r="H65" s="5" t="inlineStr">
        <is>
          <t>Entretien des pistes agricoles des secteurs N9 et N1</t>
        </is>
      </c>
      <c r="I65" s="7" t="n">
        <v>3000000</v>
      </c>
      <c r="J65" s="8" t="inlineStr">
        <is>
          <t>km</t>
        </is>
      </c>
      <c r="K65" s="9" t="n">
        <v>6</v>
      </c>
      <c r="L65" s="51" t="n"/>
      <c r="M65" s="52">
        <f>'S32'!M65+L65</f>
        <v/>
      </c>
      <c r="N65" s="53">
        <f>IFERROR(M65/K65,0)</f>
        <v/>
      </c>
      <c r="O65" s="54">
        <f>'S32'!N65</f>
        <v/>
      </c>
      <c r="P65" s="53">
        <f>N65-O65</f>
        <v/>
      </c>
      <c r="Q65" s="32" t="n"/>
      <c r="R65" s="32" t="n"/>
      <c r="S65" s="32" t="n"/>
      <c r="T65" s="55" t="n"/>
      <c r="U65" s="54">
        <f>'S32'!T65</f>
        <v/>
      </c>
      <c r="V65" s="53">
        <f>T65-U65</f>
        <v/>
      </c>
      <c r="W65" s="53">
        <f>N65-T65</f>
        <v/>
      </c>
      <c r="X65" s="34" t="n"/>
    </row>
    <row r="66" ht="22" customHeight="1">
      <c r="B66" s="10" t="n">
        <v>62</v>
      </c>
      <c r="C66" s="14" t="inlineStr">
        <is>
          <t>Kénitra</t>
        </is>
      </c>
      <c r="D66" s="10" t="inlineStr">
        <is>
          <t>Mograne</t>
        </is>
      </c>
      <c r="E66" s="10" t="inlineStr">
        <is>
          <t>50-23</t>
        </is>
      </c>
      <c r="F66" s="10" t="inlineStr">
        <is>
          <t>Entretien et réparation du réseau d'assainissement et de drainage</t>
        </is>
      </c>
      <c r="G66" s="10" t="inlineStr">
        <is>
          <t>Travaux de curage des canaux en terre</t>
        </is>
      </c>
      <c r="H66" s="10" t="inlineStr">
        <is>
          <t>Curage des canaux d'assainissement Hors secteur équipé ghoufera et laison beht sebou ,</t>
        </is>
      </c>
      <c r="I66" s="11" t="n">
        <v>6000000</v>
      </c>
      <c r="J66" s="12" t="inlineStr">
        <is>
          <t>ml</t>
        </is>
      </c>
      <c r="K66" s="13" t="n">
        <v>3000</v>
      </c>
      <c r="L66" s="51" t="n"/>
      <c r="M66" s="56">
        <f>'S32'!M66+L66</f>
        <v/>
      </c>
      <c r="N66" s="57">
        <f>IFERROR(M66/K66,0)</f>
        <v/>
      </c>
      <c r="O66" s="58">
        <f>'S32'!N66</f>
        <v/>
      </c>
      <c r="P66" s="57">
        <f>N66-O66</f>
        <v/>
      </c>
      <c r="Q66" s="32" t="n"/>
      <c r="R66" s="32" t="n"/>
      <c r="S66" s="32" t="n"/>
      <c r="T66" s="55" t="n"/>
      <c r="U66" s="58">
        <f>'S32'!T66</f>
        <v/>
      </c>
      <c r="V66" s="57">
        <f>T66-U66</f>
        <v/>
      </c>
      <c r="W66" s="57">
        <f>N66-T66</f>
        <v/>
      </c>
      <c r="X66" s="34" t="n"/>
    </row>
    <row r="67" ht="22" customHeight="1">
      <c r="B67" s="5" t="n">
        <v>63</v>
      </c>
      <c r="C67" s="14" t="inlineStr">
        <is>
          <t>Kénitra</t>
        </is>
      </c>
      <c r="D67" s="5" t="inlineStr">
        <is>
          <t>Mograne</t>
        </is>
      </c>
      <c r="E67" s="5" t="inlineStr">
        <is>
          <t>40-21</t>
        </is>
      </c>
      <c r="F67" s="5" t="inlineStr">
        <is>
          <t>Travaux de pistes</t>
        </is>
      </c>
      <c r="G67" s="5" t="inlineStr">
        <is>
          <t>Travaux de réhabilitation des pistes agricoles</t>
        </is>
      </c>
      <c r="H67" s="5" t="inlineStr">
        <is>
          <t>Entretien des pistes agricoles des secteurs SEBOU1,SEBOU2? BEHT3 et BEHT4</t>
        </is>
      </c>
      <c r="I67" s="7" t="n">
        <v>6000000</v>
      </c>
      <c r="J67" s="8" t="inlineStr">
        <is>
          <t>km</t>
        </is>
      </c>
      <c r="K67" s="9" t="n">
        <v>12</v>
      </c>
      <c r="L67" s="51" t="n"/>
      <c r="M67" s="52">
        <f>'S32'!M67+L67</f>
        <v/>
      </c>
      <c r="N67" s="53">
        <f>IFERROR(M67/K67,0)</f>
        <v/>
      </c>
      <c r="O67" s="54">
        <f>'S32'!N67</f>
        <v/>
      </c>
      <c r="P67" s="53">
        <f>N67-O67</f>
        <v/>
      </c>
      <c r="Q67" s="32" t="n"/>
      <c r="R67" s="32" t="n"/>
      <c r="S67" s="32" t="n"/>
      <c r="T67" s="55" t="n"/>
      <c r="U67" s="54">
        <f>'S32'!T67</f>
        <v/>
      </c>
      <c r="V67" s="53">
        <f>T67-U67</f>
        <v/>
      </c>
      <c r="W67" s="53">
        <f>N67-T67</f>
        <v/>
      </c>
      <c r="X67" s="34" t="n"/>
    </row>
    <row r="68" ht="22" customHeight="1">
      <c r="B68" s="10" t="n">
        <v>64</v>
      </c>
      <c r="C68" s="14" t="inlineStr">
        <is>
          <t>Kénitra</t>
        </is>
      </c>
      <c r="D68" s="10" t="inlineStr">
        <is>
          <t>Sidi allal tazi</t>
        </is>
      </c>
      <c r="E68" s="10" t="inlineStr">
        <is>
          <t>50-23</t>
        </is>
      </c>
      <c r="F68" s="10" t="inlineStr">
        <is>
          <t>Entretien et réparation du réseau d'assainissement et de drainage</t>
        </is>
      </c>
      <c r="G68" s="10" t="inlineStr">
        <is>
          <t>Travaux de curage des canaux en terre</t>
        </is>
      </c>
      <c r="H68" s="10" t="inlineStr">
        <is>
          <t>Curage du canaL d'assainissement CK,</t>
        </is>
      </c>
      <c r="I68" s="11" t="n">
        <v>3000000</v>
      </c>
      <c r="J68" s="12" t="inlineStr">
        <is>
          <t>ml</t>
        </is>
      </c>
      <c r="K68" s="13" t="n">
        <v>1500</v>
      </c>
      <c r="L68" s="51" t="n"/>
      <c r="M68" s="56">
        <f>'S32'!M68+L68</f>
        <v/>
      </c>
      <c r="N68" s="57">
        <f>IFERROR(M68/K68,0)</f>
        <v/>
      </c>
      <c r="O68" s="58">
        <f>'S32'!N68</f>
        <v/>
      </c>
      <c r="P68" s="57">
        <f>N68-O68</f>
        <v/>
      </c>
      <c r="Q68" s="32" t="n"/>
      <c r="R68" s="32" t="n"/>
      <c r="S68" s="32" t="n"/>
      <c r="T68" s="55" t="n"/>
      <c r="U68" s="58">
        <f>'S32'!T68</f>
        <v/>
      </c>
      <c r="V68" s="57">
        <f>T68-U68</f>
        <v/>
      </c>
      <c r="W68" s="57">
        <f>N68-T68</f>
        <v/>
      </c>
      <c r="X68" s="34" t="n"/>
    </row>
    <row r="69" ht="22" customHeight="1">
      <c r="B69" s="5" t="n">
        <v>65</v>
      </c>
      <c r="C69" s="14" t="inlineStr">
        <is>
          <t>Kénitra</t>
        </is>
      </c>
      <c r="D69" s="5" t="inlineStr">
        <is>
          <t>AMEUR SAFLIA</t>
        </is>
      </c>
      <c r="E69" s="5" t="inlineStr">
        <is>
          <t>50-23</t>
        </is>
      </c>
      <c r="F69" s="5" t="inlineStr">
        <is>
          <t>Entretien et réparation du réseau d'assainissement et de drainage</t>
        </is>
      </c>
      <c r="G69" s="5" t="inlineStr">
        <is>
          <t>Travaux de curage des canaux en terre</t>
        </is>
      </c>
      <c r="H69" s="5" t="inlineStr">
        <is>
          <t>Curage des canaux d'assainissement amontTtiflt Sebou,</t>
        </is>
      </c>
      <c r="I69" s="7" t="n">
        <v>1000000</v>
      </c>
      <c r="J69" s="8" t="inlineStr">
        <is>
          <t>ml</t>
        </is>
      </c>
      <c r="K69" s="9" t="n">
        <v>500</v>
      </c>
      <c r="L69" s="51" t="n"/>
      <c r="M69" s="52">
        <f>'S32'!M69+L69</f>
        <v/>
      </c>
      <c r="N69" s="53">
        <f>IFERROR(M69/K69,0)</f>
        <v/>
      </c>
      <c r="O69" s="54">
        <f>'S32'!N69</f>
        <v/>
      </c>
      <c r="P69" s="53">
        <f>N69-O69</f>
        <v/>
      </c>
      <c r="Q69" s="32" t="n"/>
      <c r="R69" s="32" t="n"/>
      <c r="S69" s="32" t="n"/>
      <c r="T69" s="55" t="n"/>
      <c r="U69" s="54">
        <f>'S32'!T69</f>
        <v/>
      </c>
      <c r="V69" s="53">
        <f>T69-U69</f>
        <v/>
      </c>
      <c r="W69" s="53">
        <f>N69-T69</f>
        <v/>
      </c>
      <c r="X69" s="34" t="n"/>
    </row>
    <row r="70" ht="22" customHeight="1">
      <c r="B70" s="10" t="n">
        <v>66</v>
      </c>
      <c r="C70" s="14" t="inlineStr">
        <is>
          <t>Kénitra</t>
        </is>
      </c>
      <c r="D70" s="10" t="inlineStr">
        <is>
          <t>Oulad SLAMA</t>
        </is>
      </c>
      <c r="E70" s="10" t="inlineStr">
        <is>
          <t>50-23</t>
        </is>
      </c>
      <c r="F70" s="10" t="inlineStr">
        <is>
          <t>Entretien et réparation du réseau d'assainissement et de drainage</t>
        </is>
      </c>
      <c r="G70" s="10" t="inlineStr">
        <is>
          <t>Travaux de curage des canaux en terre</t>
        </is>
      </c>
      <c r="H70" s="10" t="inlineStr">
        <is>
          <t>Curage des canaux d'assainissement debouche Tiflt aval,</t>
        </is>
      </c>
      <c r="I70" s="11" t="n">
        <v>1000000</v>
      </c>
      <c r="J70" s="12" t="inlineStr">
        <is>
          <t>ml</t>
        </is>
      </c>
      <c r="K70" s="13" t="n">
        <v>500</v>
      </c>
      <c r="L70" s="51" t="n"/>
      <c r="M70" s="56">
        <f>'S32'!M70+L70</f>
        <v/>
      </c>
      <c r="N70" s="57">
        <f>IFERROR(M70/K70,0)</f>
        <v/>
      </c>
      <c r="O70" s="58">
        <f>'S32'!N70</f>
        <v/>
      </c>
      <c r="P70" s="57">
        <f>N70-O70</f>
        <v/>
      </c>
      <c r="Q70" s="32" t="n"/>
      <c r="R70" s="32" t="n"/>
      <c r="S70" s="32" t="n"/>
      <c r="T70" s="55" t="n"/>
      <c r="U70" s="58">
        <f>'S32'!T70</f>
        <v/>
      </c>
      <c r="V70" s="57">
        <f>T70-U70</f>
        <v/>
      </c>
      <c r="W70" s="57">
        <f>N70-T70</f>
        <v/>
      </c>
      <c r="X70" s="34" t="n"/>
    </row>
    <row r="71" ht="22" customHeight="1">
      <c r="B71" s="5" t="n">
        <v>67</v>
      </c>
      <c r="C71" s="14" t="inlineStr">
        <is>
          <t>Kénitra</t>
        </is>
      </c>
      <c r="D71" s="5" t="inlineStr">
        <is>
          <t>BHARA Oulad AYAD</t>
        </is>
      </c>
      <c r="E71" s="5" t="inlineStr">
        <is>
          <t>50-23</t>
        </is>
      </c>
      <c r="F71" s="5" t="inlineStr">
        <is>
          <t>Entretien et réparation du réseau d'assainissement et de drainage</t>
        </is>
      </c>
      <c r="G71" s="5" t="inlineStr">
        <is>
          <t>Travaux de curage des canaux en terre</t>
        </is>
      </c>
      <c r="H71" s="5" t="inlineStr">
        <is>
          <t>Curage des canaux d'assainissement canal nador bas et haut segmet,</t>
        </is>
      </c>
      <c r="I71" s="7" t="n">
        <v>6600000</v>
      </c>
      <c r="J71" s="8" t="inlineStr">
        <is>
          <t>ml</t>
        </is>
      </c>
      <c r="K71" s="9" t="n">
        <v>3300</v>
      </c>
      <c r="L71" s="51" t="n"/>
      <c r="M71" s="52">
        <f>'S32'!M71+L71</f>
        <v/>
      </c>
      <c r="N71" s="53">
        <f>IFERROR(M71/K71,0)</f>
        <v/>
      </c>
      <c r="O71" s="54">
        <f>'S32'!N71</f>
        <v/>
      </c>
      <c r="P71" s="53">
        <f>N71-O71</f>
        <v/>
      </c>
      <c r="Q71" s="32" t="n"/>
      <c r="R71" s="32" t="n"/>
      <c r="S71" s="32" t="n"/>
      <c r="T71" s="55" t="n"/>
      <c r="U71" s="54">
        <f>'S32'!T71</f>
        <v/>
      </c>
      <c r="V71" s="53">
        <f>T71-U71</f>
        <v/>
      </c>
      <c r="W71" s="53">
        <f>N71-T71</f>
        <v/>
      </c>
      <c r="X71" s="34" t="n"/>
    </row>
    <row r="72" ht="22" customHeight="1">
      <c r="B72" s="10" t="n">
        <v>68</v>
      </c>
      <c r="C72" s="15" t="inlineStr">
        <is>
          <t>Sidi Slimane</t>
        </is>
      </c>
      <c r="D72" s="10" t="inlineStr">
        <is>
          <t>OULED HCEINE</t>
        </is>
      </c>
      <c r="E72" s="10" t="inlineStr">
        <is>
          <t>50-23</t>
        </is>
      </c>
      <c r="F72" s="10" t="inlineStr">
        <is>
          <t>Entretien et réparation du réseau d'assainissement et de drainage</t>
        </is>
      </c>
      <c r="G72" s="10" t="inlineStr">
        <is>
          <t>Travaux de curage des canaux en terre</t>
        </is>
      </c>
      <c r="H72" s="10" t="inlineStr">
        <is>
          <t>Curage des collecteurs d'assainissement du secteur EST4.</t>
        </is>
      </c>
      <c r="I72" s="11" t="n">
        <v>1805475</v>
      </c>
      <c r="J72" s="12" t="inlineStr">
        <is>
          <t>ml</t>
        </is>
      </c>
      <c r="K72" s="13" t="n">
        <v>903</v>
      </c>
      <c r="L72" s="51" t="n"/>
      <c r="M72" s="56">
        <f>'S32'!M72+L72</f>
        <v/>
      </c>
      <c r="N72" s="57">
        <f>IFERROR(M72/K72,0)</f>
        <v/>
      </c>
      <c r="O72" s="58">
        <f>'S32'!N72</f>
        <v/>
      </c>
      <c r="P72" s="57">
        <f>N72-O72</f>
        <v/>
      </c>
      <c r="Q72" s="32" t="n"/>
      <c r="R72" s="32" t="n"/>
      <c r="S72" s="32" t="n"/>
      <c r="T72" s="55" t="n"/>
      <c r="U72" s="58">
        <f>'S32'!T72</f>
        <v/>
      </c>
      <c r="V72" s="57">
        <f>T72-U72</f>
        <v/>
      </c>
      <c r="W72" s="57">
        <f>N72-T72</f>
        <v/>
      </c>
      <c r="X72" s="34" t="n"/>
    </row>
    <row r="73" ht="22" customHeight="1">
      <c r="B73" s="5" t="n">
        <v>69</v>
      </c>
      <c r="C73" s="15" t="inlineStr">
        <is>
          <t>Sidi Slimane</t>
        </is>
      </c>
      <c r="D73" s="5" t="inlineStr">
        <is>
          <t>OULED HCEINE</t>
        </is>
      </c>
      <c r="E73" s="5" t="inlineStr">
        <is>
          <t>50-23</t>
        </is>
      </c>
      <c r="F73" s="5" t="inlineStr">
        <is>
          <t>Entretien et réparation du réseau d'assainissement et de drainage</t>
        </is>
      </c>
      <c r="G73" s="5" t="inlineStr">
        <is>
          <t>Travaux de curage des canaux en terre</t>
        </is>
      </c>
      <c r="H73" s="5" t="inlineStr">
        <is>
          <t>Curage du canal d'assainissement Tihli central.</t>
        </is>
      </c>
      <c r="I73" s="7" t="n">
        <v>2587200</v>
      </c>
      <c r="J73" s="8" t="inlineStr">
        <is>
          <t>ml</t>
        </is>
      </c>
      <c r="K73" s="9" t="n">
        <v>1294</v>
      </c>
      <c r="L73" s="51" t="n"/>
      <c r="M73" s="52">
        <f>'S32'!M73+L73</f>
        <v/>
      </c>
      <c r="N73" s="53">
        <f>IFERROR(M73/K73,0)</f>
        <v/>
      </c>
      <c r="O73" s="54">
        <f>'S32'!N73</f>
        <v/>
      </c>
      <c r="P73" s="53">
        <f>N73-O73</f>
        <v/>
      </c>
      <c r="Q73" s="32" t="n"/>
      <c r="R73" s="32" t="n"/>
      <c r="S73" s="32" t="n"/>
      <c r="T73" s="55" t="n"/>
      <c r="U73" s="54">
        <f>'S32'!T73</f>
        <v/>
      </c>
      <c r="V73" s="53">
        <f>T73-U73</f>
        <v/>
      </c>
      <c r="W73" s="53">
        <f>N73-T73</f>
        <v/>
      </c>
      <c r="X73" s="34" t="n"/>
    </row>
    <row r="74" ht="22" customHeight="1">
      <c r="B74" s="10" t="n">
        <v>70</v>
      </c>
      <c r="C74" s="15" t="inlineStr">
        <is>
          <t>Sidi Slimane</t>
        </is>
      </c>
      <c r="D74" s="10" t="inlineStr">
        <is>
          <t>OULED HCEINE</t>
        </is>
      </c>
      <c r="E74" s="10" t="inlineStr">
        <is>
          <t>40-21</t>
        </is>
      </c>
      <c r="F74" s="10" t="inlineStr">
        <is>
          <t>Travaux de pistes</t>
        </is>
      </c>
      <c r="G74" s="10" t="inlineStr">
        <is>
          <t>Travaux de réhabilitation des pistes agricoles</t>
        </is>
      </c>
      <c r="H74" s="10" t="inlineStr">
        <is>
          <t>Entretien des pistes agricoles</t>
        </is>
      </c>
      <c r="I74" s="11" t="n">
        <v>3500000</v>
      </c>
      <c r="J74" s="12" t="inlineStr">
        <is>
          <t>km</t>
        </is>
      </c>
      <c r="K74" s="13" t="n">
        <v>7</v>
      </c>
      <c r="L74" s="51" t="n"/>
      <c r="M74" s="56">
        <f>'S32'!M74+L74</f>
        <v/>
      </c>
      <c r="N74" s="57">
        <f>IFERROR(M74/K74,0)</f>
        <v/>
      </c>
      <c r="O74" s="58">
        <f>'S32'!N74</f>
        <v/>
      </c>
      <c r="P74" s="57">
        <f>N74-O74</f>
        <v/>
      </c>
      <c r="Q74" s="32" t="n"/>
      <c r="R74" s="32" t="n"/>
      <c r="S74" s="32" t="n"/>
      <c r="T74" s="55" t="n"/>
      <c r="U74" s="58">
        <f>'S32'!T74</f>
        <v/>
      </c>
      <c r="V74" s="57">
        <f>T74-U74</f>
        <v/>
      </c>
      <c r="W74" s="57">
        <f>N74-T74</f>
        <v/>
      </c>
      <c r="X74" s="34" t="n"/>
    </row>
    <row r="75" ht="22" customHeight="1">
      <c r="B75" s="5" t="n">
        <v>71</v>
      </c>
      <c r="C75" s="15" t="inlineStr">
        <is>
          <t>Sidi Slimane</t>
        </is>
      </c>
      <c r="D75" s="5" t="inlineStr">
        <is>
          <t>OULED HCEINE</t>
        </is>
      </c>
      <c r="E75" s="5" t="inlineStr">
        <is>
          <t>50-21</t>
        </is>
      </c>
      <c r="F75" s="5" t="inlineStr">
        <is>
          <t>Entretien et réparation des stations de pompage</t>
        </is>
      </c>
      <c r="G75" s="5" t="inlineStr">
        <is>
          <t>Travaux de réparation des équipements hydromécaniques et éléctriques et entretien de la partie génie civil des stations de pompage.</t>
        </is>
      </c>
      <c r="H75" s="5" t="inlineStr">
        <is>
          <t>Démontage et expertise des roues des  pompes principaux et pompes a vide de la station EST4 et P11/2.
Changement des roulements, tresses et organes d’effectués de la station EST4 et P11/2
Changement deux débitmètre Ø 1200 mm de la station EST4 et un débimétre de la station P11/2.
Changement des capteurs de niveau inondés.
Révision et réparation des moteurs des vannes motorisées inondées.
changement de six contrôleurs de débits DW181 inondés.
Un capteur de débitmètre inondé nécessitent un diagnostic VEGASON  .
Entretien de l'éclairage du local de vide et bâche d’aspiration inondé de la station EST4 et la partie de l’éclairage du local des pompes inondées de la station P11/2.
Pose de gabions et recouvrement du talus par matelas Reno des stations de pompage P11/2</t>
        </is>
      </c>
      <c r="I75" s="7" t="n">
        <v>870000</v>
      </c>
      <c r="J75" s="8" t="inlineStr">
        <is>
          <t>U</t>
        </is>
      </c>
      <c r="K75" s="9" t="n">
        <v>4</v>
      </c>
      <c r="L75" s="51" t="n"/>
      <c r="M75" s="52">
        <f>'S32'!M75+L75</f>
        <v/>
      </c>
      <c r="N75" s="53">
        <f>IFERROR(M75/K75,0)</f>
        <v/>
      </c>
      <c r="O75" s="54">
        <f>'S32'!N75</f>
        <v/>
      </c>
      <c r="P75" s="53">
        <f>N75-O75</f>
        <v/>
      </c>
      <c r="Q75" s="32" t="n"/>
      <c r="R75" s="32" t="n"/>
      <c r="S75" s="32" t="n"/>
      <c r="T75" s="55" t="n"/>
      <c r="U75" s="54">
        <f>'S32'!T75</f>
        <v/>
      </c>
      <c r="V75" s="53">
        <f>T75-U75</f>
        <v/>
      </c>
      <c r="W75" s="53">
        <f>N75-T75</f>
        <v/>
      </c>
      <c r="X75" s="34" t="n"/>
    </row>
    <row r="76" ht="22" customHeight="1">
      <c r="B76" s="10" t="n">
        <v>72</v>
      </c>
      <c r="C76" s="15" t="inlineStr">
        <is>
          <t>Sidi Slimane</t>
        </is>
      </c>
      <c r="D76" s="10" t="inlineStr">
        <is>
          <t>OULED HCEINE</t>
        </is>
      </c>
      <c r="E76" s="10" t="inlineStr">
        <is>
          <t>50-23</t>
        </is>
      </c>
      <c r="F76" s="10" t="inlineStr">
        <is>
          <t>Entretien et réparation du réseau d'assainissement et de drainage</t>
        </is>
      </c>
      <c r="G76" s="10" t="inlineStr">
        <is>
          <t>Travaux de curage des prises des stations de pompage.</t>
        </is>
      </c>
      <c r="H76" s="10" t="inlineStr">
        <is>
          <t>Curage des siphones des station de pompage EST2 et P11/2.</t>
        </is>
      </c>
      <c r="I76" s="11" t="n">
        <v>500000</v>
      </c>
      <c r="J76" s="12" t="inlineStr">
        <is>
          <t>ml</t>
        </is>
      </c>
      <c r="K76" s="13" t="n">
        <v>167</v>
      </c>
      <c r="L76" s="51" t="n"/>
      <c r="M76" s="56">
        <f>'S32'!M76+L76</f>
        <v/>
      </c>
      <c r="N76" s="57">
        <f>IFERROR(M76/K76,0)</f>
        <v/>
      </c>
      <c r="O76" s="58">
        <f>'S32'!N76</f>
        <v/>
      </c>
      <c r="P76" s="57">
        <f>N76-O76</f>
        <v/>
      </c>
      <c r="Q76" s="32" t="n"/>
      <c r="R76" s="32" t="n"/>
      <c r="S76" s="32" t="n"/>
      <c r="T76" s="55" t="n"/>
      <c r="U76" s="58">
        <f>'S32'!T76</f>
        <v/>
      </c>
      <c r="V76" s="57">
        <f>T76-U76</f>
        <v/>
      </c>
      <c r="W76" s="57">
        <f>N76-T76</f>
        <v/>
      </c>
      <c r="X76" s="34" t="n"/>
    </row>
    <row r="77" ht="26" customHeight="1">
      <c r="B77" s="16" t="inlineStr">
        <is>
          <t>TOTAL</t>
        </is>
      </c>
      <c r="C77" s="16" t="n"/>
      <c r="D77" s="16" t="n"/>
      <c r="E77" s="16" t="n"/>
      <c r="F77" s="16" t="n"/>
      <c r="G77" s="16" t="n"/>
      <c r="H77" s="16" t="n"/>
      <c r="I77" s="17">
        <f>SUM(I5:I76)</f>
        <v/>
      </c>
      <c r="J77" s="16" t="n"/>
      <c r="K77" s="16" t="n"/>
      <c r="L77" s="59">
        <f>SUM(L5:L76)</f>
        <v/>
      </c>
      <c r="M77" s="59">
        <f>SUM(M5:M76)</f>
        <v/>
      </c>
      <c r="N77" s="60">
        <f>IFERROR(SUMPRODUCT(N5:N76,I5:I76)/I77,0)</f>
        <v/>
      </c>
      <c r="O77" s="60">
        <f>IFERROR(SUMPRODUCT(O5:O76,I5:I76)/I77,0)</f>
        <v/>
      </c>
      <c r="P77" s="60">
        <f>N77-O77</f>
        <v/>
      </c>
      <c r="Q77" s="17">
        <f>SUM(Q5:Q76)</f>
        <v/>
      </c>
      <c r="R77" s="17">
        <f>SUM(R5:R76)</f>
        <v/>
      </c>
      <c r="S77" s="17">
        <f>SUM(S5:S76)</f>
        <v/>
      </c>
      <c r="T77" s="60">
        <f>IFERROR(SUMPRODUCT(T5:T76,I5:I76)/I77,0)</f>
        <v/>
      </c>
      <c r="U77" s="60">
        <f>IFERROR(SUMPRODUCT(U5:U76,I5:I76)/I77,0)</f>
        <v/>
      </c>
      <c r="V77" s="60">
        <f>T77-U77</f>
        <v/>
      </c>
      <c r="W77" s="60">
        <f>N77-T77</f>
        <v/>
      </c>
      <c r="X77" s="16" t="n"/>
    </row>
  </sheetData>
  <sheetProtection selectLockedCells="0" selectUnlockedCells="0" sheet="1" objects="0" insertRows="1" insertHyperlinks="1" autoFilter="1" scenarios="0" formatColumns="1" deleteColumns="1" insertColumns="1" pivotTables="1" deleteRows="1" formatCells="1" formatRows="1" sort="1" password="CBBE"/>
  <mergeCells count="6">
    <mergeCell ref="E3:I3"/>
    <mergeCell ref="W3:X3"/>
    <mergeCell ref="J3:P3"/>
    <mergeCell ref="B2:X2"/>
    <mergeCell ref="C3:D3"/>
    <mergeCell ref="Q3:V3"/>
  </mergeCells>
  <conditionalFormatting sqref="P5:P76">
    <cfRule type="cellIs" priority="1" operator="greaterThan" dxfId="0">
      <formula>0</formula>
    </cfRule>
    <cfRule type="cellIs" priority="2" operator="lessThan" dxfId="1">
      <formula>0</formula>
    </cfRule>
  </conditionalFormatting>
  <conditionalFormatting sqref="V5:V76">
    <cfRule type="cellIs" priority="3" operator="greaterThan" dxfId="0">
      <formula>0</formula>
    </cfRule>
    <cfRule type="cellIs" priority="4" operator="lessThan" dxfId="1">
      <formula>0</formula>
    </cfRule>
  </conditionalFormatting>
  <conditionalFormatting sqref="W5:W76">
    <cfRule type="cellIs" priority="5" operator="greaterThan" dxfId="0">
      <formula>0.05</formula>
    </cfRule>
    <cfRule type="cellIs" priority="6" operator="lessThan" dxfId="1">
      <formula>-0.05</formula>
    </cfRule>
    <cfRule type="cellIs" priority="7" operator="between" dxfId="2">
      <formula>-0.05</formula>
      <formula>0.05</formula>
    </cfRule>
  </conditionalFormatting>
  <conditionalFormatting sqref="N5:N76">
    <cfRule type="dataBar" priority="8">
      <dataBar showValue="1">
        <cfvo type="num" val="0"/>
        <cfvo type="num" val="1"/>
        <color rgb="001B7D46"/>
      </dataBar>
    </cfRule>
  </conditionalFormatting>
  <conditionalFormatting sqref="T5:T76">
    <cfRule type="dataBar" priority="9">
      <dataBar showValue="1">
        <cfvo type="num" val="0"/>
        <cfvo type="num" val="1"/>
        <color rgb="00D4820A"/>
      </dataBar>
    </cfRule>
  </conditionalFormatting>
  <dataValidations count="2">
    <dataValidation sqref="T5:T76" showDropDown="0" showInputMessage="0" showErrorMessage="0" allowBlank="1" errorTitle="Invalide" error="Valeur entre 0% et 100%" promptTitle="Avancement %" prompt="Entrez 0.25 pour 25%" type="decimal" operator="between">
      <formula1>0</formula1>
      <formula2>1</formula2>
    </dataValidation>
    <dataValidation sqref="L5:L76" showDropDown="0" showInputMessage="0" showErrorMessage="0" allowBlank="1" errorTitle="Invalide" error="Quantité doit être &gt;= 0" promptTitle="Qté Réalisée" prompt="Entrez la quantité réalisée cette semaine" type="decimal" operator="greaterThanOrEqual">
      <formula1>0</formula1>
    </dataValidation>
  </dataValidations>
  <pageMargins left="0.75" right="0.75" top="1" bottom="1" header="0.5" footer="0.5"/>
</worksheet>
</file>

<file path=xl/worksheets/sheet14.xml><?xml version="1.0" encoding="utf-8"?>
<worksheet xmlns="http://schemas.openxmlformats.org/spreadsheetml/2006/main">
  <sheetPr>
    <tabColor rgb="00FF0000"/>
    <outlinePr summaryBelow="1" summaryRight="1"/>
    <pageSetUpPr/>
  </sheetPr>
  <dimension ref="B2:X77"/>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5" customWidth="1" min="2" max="2"/>
    <col width="14" customWidth="1" min="3" max="3"/>
    <col width="18" customWidth="1" min="4" max="4"/>
    <col width="9" customWidth="1" min="5" max="5"/>
    <col width="32" customWidth="1" min="6" max="6"/>
    <col width="28" customWidth="1" min="7" max="7"/>
    <col width="34" customWidth="1" min="8" max="8"/>
    <col width="14" customWidth="1" min="9" max="9"/>
    <col width="8" customWidth="1" min="10" max="10"/>
    <col width="12" customWidth="1" min="11" max="11"/>
    <col width="14" customWidth="1" min="12" max="12"/>
    <col width="14" customWidth="1" min="13" max="13"/>
    <col width="14" customWidth="1" min="14" max="14"/>
    <col width="14" customWidth="1" min="15" max="15"/>
    <col width="14" customWidth="1" min="16" max="16"/>
    <col width="16" customWidth="1" min="17" max="17"/>
    <col width="16" customWidth="1" min="18" max="18"/>
    <col width="16" customWidth="1" min="19" max="19"/>
    <col width="14" customWidth="1" min="20" max="20"/>
    <col width="14" customWidth="1" min="21" max="21"/>
    <col width="14" customWidth="1" min="22" max="22"/>
    <col width="14" customWidth="1" min="23" max="23"/>
    <col width="24" customWidth="1" min="24" max="24"/>
  </cols>
  <sheetData>
    <row r="1" ht="15" customHeight="1"/>
    <row r="2" ht="32" customHeight="1">
      <c r="B2" s="1" t="inlineStr">
        <is>
          <t>Suivi Hebdomadaire - Semaine 34 (17/08 - 23/08) — Août 2026 - Exécution Physique et Financière</t>
        </is>
      </c>
    </row>
    <row r="3" ht="22" customHeight="1">
      <c r="B3" s="20" t="inlineStr">
        <is>
          <t>Date :</t>
        </is>
      </c>
      <c r="C3" s="49" t="n">
        <v>46251</v>
      </c>
      <c r="D3" s="50" t="n"/>
      <c r="E3" s="22" t="inlineStr">
        <is>
          <t>IDENTIFICATION</t>
        </is>
      </c>
      <c r="J3" s="23" t="inlineStr">
        <is>
          <t>INDICATEURS PHYSIQUES</t>
        </is>
      </c>
      <c r="Q3" s="24" t="inlineStr">
        <is>
          <t>INDICATEURS FINANCIERS</t>
        </is>
      </c>
      <c r="W3" s="25" t="inlineStr">
        <is>
          <t>SYNTHÈSE</t>
        </is>
      </c>
    </row>
    <row r="4" ht="28" customHeight="1">
      <c r="B4" s="4" t="inlineStr">
        <is>
          <t>N°</t>
        </is>
      </c>
      <c r="C4" s="4" t="inlineStr">
        <is>
          <t>Province</t>
        </is>
      </c>
      <c r="D4" s="4" t="inlineStr">
        <is>
          <t>Commune</t>
        </is>
      </c>
      <c r="E4" s="4" t="inlineStr">
        <is>
          <t>Rubrique</t>
        </is>
      </c>
      <c r="F4" s="4" t="inlineStr">
        <is>
          <t>Intitulé Rubrique</t>
        </is>
      </c>
      <c r="G4" s="4" t="inlineStr">
        <is>
          <t>Projet</t>
        </is>
      </c>
      <c r="H4" s="4" t="inlineStr">
        <is>
          <t>Consistance</t>
        </is>
      </c>
      <c r="I4" s="4" t="inlineStr">
        <is>
          <t>Coût Total (DH)</t>
        </is>
      </c>
      <c r="J4" s="26" t="inlineStr">
        <is>
          <t>Unité</t>
        </is>
      </c>
      <c r="K4" s="26" t="inlineStr">
        <is>
          <t>Qté Prévue</t>
        </is>
      </c>
      <c r="L4" s="26" t="inlineStr">
        <is>
          <t>Qté Réalisée Sem.</t>
        </is>
      </c>
      <c r="M4" s="26" t="inlineStr">
        <is>
          <t>Qté Réalisée Cumul</t>
        </is>
      </c>
      <c r="N4" s="26" t="inlineStr">
        <is>
          <t>Avancement Physique %</t>
        </is>
      </c>
      <c r="O4" s="26" t="inlineStr">
        <is>
          <t>% Phys. Sem. Préc.</t>
        </is>
      </c>
      <c r="P4" s="26" t="inlineStr">
        <is>
          <t>Accroissement Phys. %</t>
        </is>
      </c>
      <c r="Q4" s="27" t="inlineStr">
        <is>
          <t>Montant Décaissé (DH)</t>
        </is>
      </c>
      <c r="R4" s="27" t="inlineStr">
        <is>
          <t>Montant Payé (DH)</t>
        </is>
      </c>
      <c r="S4" s="27" t="inlineStr">
        <is>
          <t>Montant Ordonné (DH)</t>
        </is>
      </c>
      <c r="T4" s="27" t="inlineStr">
        <is>
          <t>Avancement Financier %</t>
        </is>
      </c>
      <c r="U4" s="27" t="inlineStr">
        <is>
          <t>% Fin. Sem. Préc.</t>
        </is>
      </c>
      <c r="V4" s="27" t="inlineStr">
        <is>
          <t>Accroissement Fin. %</t>
        </is>
      </c>
      <c r="W4" s="28" t="inlineStr">
        <is>
          <t>Écart Phys.-Fin.</t>
        </is>
      </c>
      <c r="X4" s="28" t="inlineStr">
        <is>
          <t>Observations</t>
        </is>
      </c>
    </row>
    <row r="5" ht="22" customHeight="1">
      <c r="B5" s="5" t="n">
        <v>1</v>
      </c>
      <c r="C5" s="6" t="inlineStr">
        <is>
          <t>Sidi Kacem</t>
        </is>
      </c>
      <c r="D5" s="5" t="inlineStr">
        <is>
          <t>KHENICHET</t>
        </is>
      </c>
      <c r="E5" s="5" t="inlineStr">
        <is>
          <t>50-23</t>
        </is>
      </c>
      <c r="F5" s="5" t="inlineStr">
        <is>
          <t>Entretien et réparation du réseau d'assainissement et de drainage</t>
        </is>
      </c>
      <c r="G5" s="5" t="inlineStr">
        <is>
          <t>Travaux de curage des canaux en terre</t>
        </is>
      </c>
      <c r="H5" s="5" t="inlineStr">
        <is>
          <t>Curage des collecteurs d'assainissement du secteur EST2</t>
        </is>
      </c>
      <c r="I5" s="7" t="n">
        <v>2091568</v>
      </c>
      <c r="J5" s="8" t="inlineStr">
        <is>
          <t>ml</t>
        </is>
      </c>
      <c r="K5" s="9" t="n">
        <v>1046</v>
      </c>
      <c r="L5" s="51" t="n"/>
      <c r="M5" s="52">
        <f>'S33'!M5+L5</f>
        <v/>
      </c>
      <c r="N5" s="53">
        <f>IFERROR(M5/K5,0)</f>
        <v/>
      </c>
      <c r="O5" s="54">
        <f>'S33'!N5</f>
        <v/>
      </c>
      <c r="P5" s="53">
        <f>N5-O5</f>
        <v/>
      </c>
      <c r="Q5" s="32" t="n"/>
      <c r="R5" s="32" t="n"/>
      <c r="S5" s="32" t="n"/>
      <c r="T5" s="55" t="n"/>
      <c r="U5" s="54">
        <f>'S33'!T5</f>
        <v/>
      </c>
      <c r="V5" s="53">
        <f>T5-U5</f>
        <v/>
      </c>
      <c r="W5" s="53">
        <f>N5-T5</f>
        <v/>
      </c>
      <c r="X5" s="34" t="n"/>
    </row>
    <row r="6" ht="22" customHeight="1">
      <c r="B6" s="10" t="n">
        <v>2</v>
      </c>
      <c r="C6" s="6" t="inlineStr">
        <is>
          <t>Sidi Kacem</t>
        </is>
      </c>
      <c r="D6" s="10" t="inlineStr">
        <is>
          <t>KHENICHET</t>
        </is>
      </c>
      <c r="E6" s="10" t="inlineStr">
        <is>
          <t>40-21</t>
        </is>
      </c>
      <c r="F6" s="10" t="inlineStr">
        <is>
          <t>Travaux de pistes</t>
        </is>
      </c>
      <c r="G6" s="10" t="inlineStr">
        <is>
          <t>Travaux de réhabilitation des pistes agricoles</t>
        </is>
      </c>
      <c r="H6" s="10" t="inlineStr">
        <is>
          <t>Entretien des pistes agricoles Douar Nouagra et Douar ouled Salem</t>
        </is>
      </c>
      <c r="I6" s="11" t="n">
        <v>78000</v>
      </c>
      <c r="J6" s="12" t="inlineStr">
        <is>
          <t>km</t>
        </is>
      </c>
      <c r="K6" s="13" t="n">
        <v>1</v>
      </c>
      <c r="L6" s="51" t="n"/>
      <c r="M6" s="56">
        <f>'S33'!M6+L6</f>
        <v/>
      </c>
      <c r="N6" s="57">
        <f>IFERROR(M6/K6,0)</f>
        <v/>
      </c>
      <c r="O6" s="58">
        <f>'S33'!N6</f>
        <v/>
      </c>
      <c r="P6" s="57">
        <f>N6-O6</f>
        <v/>
      </c>
      <c r="Q6" s="32" t="n"/>
      <c r="R6" s="32" t="n"/>
      <c r="S6" s="32" t="n"/>
      <c r="T6" s="55" t="n"/>
      <c r="U6" s="58">
        <f>'S33'!T6</f>
        <v/>
      </c>
      <c r="V6" s="57">
        <f>T6-U6</f>
        <v/>
      </c>
      <c r="W6" s="57">
        <f>N6-T6</f>
        <v/>
      </c>
      <c r="X6" s="34" t="n"/>
    </row>
    <row r="7" ht="22" customHeight="1">
      <c r="B7" s="5" t="n">
        <v>3</v>
      </c>
      <c r="C7" s="6" t="inlineStr">
        <is>
          <t>Sidi Kacem</t>
        </is>
      </c>
      <c r="D7" s="5" t="inlineStr">
        <is>
          <t>KHENICHET</t>
        </is>
      </c>
      <c r="E7" s="5" t="inlineStr">
        <is>
          <t>50-23</t>
        </is>
      </c>
      <c r="F7" s="5" t="inlineStr">
        <is>
          <t>Entretien et réparation du réseau d'assainissement et de drainage</t>
        </is>
      </c>
      <c r="G7" s="5" t="inlineStr">
        <is>
          <t>Curage des prises sur l’oued, bâche d’aspiration et bassin de régulation.</t>
        </is>
      </c>
      <c r="H7" s="5" t="inlineStr">
        <is>
          <t>Curage de la chambre des joints de démontage des siphonnes  de la station de pompage EST2.</t>
        </is>
      </c>
      <c r="I7" s="7" t="n">
        <v>126000</v>
      </c>
      <c r="J7" s="8" t="inlineStr">
        <is>
          <t>ml</t>
        </is>
      </c>
      <c r="K7" s="9" t="n">
        <v>42</v>
      </c>
      <c r="L7" s="51" t="n"/>
      <c r="M7" s="52">
        <f>'S33'!M7+L7</f>
        <v/>
      </c>
      <c r="N7" s="53">
        <f>IFERROR(M7/K7,0)</f>
        <v/>
      </c>
      <c r="O7" s="54">
        <f>'S33'!N7</f>
        <v/>
      </c>
      <c r="P7" s="53">
        <f>N7-O7</f>
        <v/>
      </c>
      <c r="Q7" s="32" t="n"/>
      <c r="R7" s="32" t="n"/>
      <c r="S7" s="32" t="n"/>
      <c r="T7" s="55" t="n"/>
      <c r="U7" s="54">
        <f>'S33'!T7</f>
        <v/>
      </c>
      <c r="V7" s="53">
        <f>T7-U7</f>
        <v/>
      </c>
      <c r="W7" s="53">
        <f>N7-T7</f>
        <v/>
      </c>
      <c r="X7" s="34" t="n"/>
    </row>
    <row r="8" ht="22" customHeight="1">
      <c r="B8" s="10" t="n">
        <v>4</v>
      </c>
      <c r="C8" s="6" t="inlineStr">
        <is>
          <t>Sidi Kacem</t>
        </is>
      </c>
      <c r="D8" s="10" t="inlineStr">
        <is>
          <t>KHENICHET</t>
        </is>
      </c>
      <c r="E8" s="10" t="inlineStr">
        <is>
          <t>50-21</t>
        </is>
      </c>
      <c r="F8" s="10" t="inlineStr">
        <is>
          <t>Entretien et réparation des stations de pompage</t>
        </is>
      </c>
      <c r="G8" s="10" t="inlineStr">
        <is>
          <t>Prestation de maintenance des débitmètres et leurs équipements annexes installés au niveau des station de pompage</t>
        </is>
      </c>
      <c r="H8" s="10" t="inlineStr">
        <is>
          <t>Changement trois débitmètre Ø 600mm inondés de la station de pompage EST 2 et deux capteurs VEGASON 62</t>
        </is>
      </c>
      <c r="I8" s="11" t="n">
        <v>165500</v>
      </c>
      <c r="J8" s="12" t="inlineStr">
        <is>
          <t>U</t>
        </is>
      </c>
      <c r="K8" s="13" t="n">
        <v>3</v>
      </c>
      <c r="L8" s="51" t="n"/>
      <c r="M8" s="56">
        <f>'S33'!M8+L8</f>
        <v/>
      </c>
      <c r="N8" s="57">
        <f>IFERROR(M8/K8,0)</f>
        <v/>
      </c>
      <c r="O8" s="58">
        <f>'S33'!N8</f>
        <v/>
      </c>
      <c r="P8" s="57">
        <f>N8-O8</f>
        <v/>
      </c>
      <c r="Q8" s="32" t="n"/>
      <c r="R8" s="32" t="n"/>
      <c r="S8" s="32" t="n"/>
      <c r="T8" s="55" t="n"/>
      <c r="U8" s="58">
        <f>'S33'!T8</f>
        <v/>
      </c>
      <c r="V8" s="57">
        <f>T8-U8</f>
        <v/>
      </c>
      <c r="W8" s="57">
        <f>N8-T8</f>
        <v/>
      </c>
      <c r="X8" s="34" t="n"/>
    </row>
    <row r="9" ht="22" customHeight="1">
      <c r="B9" s="5" t="n">
        <v>5</v>
      </c>
      <c r="C9" s="6" t="inlineStr">
        <is>
          <t>Sidi Kacem</t>
        </is>
      </c>
      <c r="D9" s="5" t="inlineStr">
        <is>
          <t>BIR TALEB</t>
        </is>
      </c>
      <c r="E9" s="5" t="inlineStr">
        <is>
          <t>50-23</t>
        </is>
      </c>
      <c r="F9" s="5" t="inlineStr">
        <is>
          <t>Entretien et réparation du réseau d'assainissement et de drainage</t>
        </is>
      </c>
      <c r="G9" s="5" t="inlineStr">
        <is>
          <t>Travaux de curage des canaux en terre</t>
        </is>
      </c>
      <c r="H9" s="5" t="inlineStr">
        <is>
          <t>Curage du canal d'assainisement Tihli Aval</t>
        </is>
      </c>
      <c r="I9" s="7" t="n">
        <v>1000000</v>
      </c>
      <c r="J9" s="8" t="inlineStr">
        <is>
          <t>ml</t>
        </is>
      </c>
      <c r="K9" s="9" t="n">
        <v>500</v>
      </c>
      <c r="L9" s="51" t="n"/>
      <c r="M9" s="52">
        <f>'S33'!M9+L9</f>
        <v/>
      </c>
      <c r="N9" s="53">
        <f>IFERROR(M9/K9,0)</f>
        <v/>
      </c>
      <c r="O9" s="54">
        <f>'S33'!N9</f>
        <v/>
      </c>
      <c r="P9" s="53">
        <f>N9-O9</f>
        <v/>
      </c>
      <c r="Q9" s="32" t="n"/>
      <c r="R9" s="32" t="n"/>
      <c r="S9" s="32" t="n"/>
      <c r="T9" s="55" t="n"/>
      <c r="U9" s="54">
        <f>'S33'!T9</f>
        <v/>
      </c>
      <c r="V9" s="53">
        <f>T9-U9</f>
        <v/>
      </c>
      <c r="W9" s="53">
        <f>N9-T9</f>
        <v/>
      </c>
      <c r="X9" s="34" t="n"/>
    </row>
    <row r="10" ht="22" customHeight="1">
      <c r="B10" s="10" t="n">
        <v>6</v>
      </c>
      <c r="C10" s="6" t="inlineStr">
        <is>
          <t>Sidi Kacem</t>
        </is>
      </c>
      <c r="D10" s="10" t="inlineStr">
        <is>
          <t>BIR TALEB</t>
        </is>
      </c>
      <c r="E10" s="10" t="inlineStr">
        <is>
          <t>50-23</t>
        </is>
      </c>
      <c r="F10" s="10" t="inlineStr">
        <is>
          <t>Entretien et réparation du réseau d'assainissement et de drainage</t>
        </is>
      </c>
      <c r="G10" s="10" t="inlineStr"/>
      <c r="H10" s="10" t="inlineStr">
        <is>
          <t>Curage des collecteurs d'assainissement du secteur P11/1</t>
        </is>
      </c>
      <c r="I10" s="11" t="n">
        <v>846731</v>
      </c>
      <c r="J10" s="12" t="inlineStr">
        <is>
          <t>ml</t>
        </is>
      </c>
      <c r="K10" s="13" t="n">
        <v>423</v>
      </c>
      <c r="L10" s="51" t="n"/>
      <c r="M10" s="56">
        <f>'S33'!M10+L10</f>
        <v/>
      </c>
      <c r="N10" s="57">
        <f>IFERROR(M10/K10,0)</f>
        <v/>
      </c>
      <c r="O10" s="58">
        <f>'S33'!N10</f>
        <v/>
      </c>
      <c r="P10" s="57">
        <f>N10-O10</f>
        <v/>
      </c>
      <c r="Q10" s="32" t="n"/>
      <c r="R10" s="32" t="n"/>
      <c r="S10" s="32" t="n"/>
      <c r="T10" s="55" t="n"/>
      <c r="U10" s="58">
        <f>'S33'!T10</f>
        <v/>
      </c>
      <c r="V10" s="57">
        <f>T10-U10</f>
        <v/>
      </c>
      <c r="W10" s="57">
        <f>N10-T10</f>
        <v/>
      </c>
      <c r="X10" s="34" t="n"/>
    </row>
    <row r="11" ht="22" customHeight="1">
      <c r="B11" s="5" t="n">
        <v>7</v>
      </c>
      <c r="C11" s="6" t="inlineStr">
        <is>
          <t>Sidi Kacem</t>
        </is>
      </c>
      <c r="D11" s="5" t="inlineStr">
        <is>
          <t>BIR TALEB</t>
        </is>
      </c>
      <c r="E11" s="5" t="inlineStr">
        <is>
          <t>50-23</t>
        </is>
      </c>
      <c r="F11" s="5" t="inlineStr">
        <is>
          <t>Entretien et réparation du réseau d'assainissement et de drainage</t>
        </is>
      </c>
      <c r="G11" s="5" t="inlineStr">
        <is>
          <t>Curage des prises sur l’oued, bâche d’aspiration et bassin de régulation.</t>
        </is>
      </c>
      <c r="H11" s="5" t="inlineStr">
        <is>
          <t>Curage des prises sur l’oued de la station de pompage P11/1.</t>
        </is>
      </c>
      <c r="I11" s="7" t="n">
        <v>200000</v>
      </c>
      <c r="J11" s="8" t="inlineStr">
        <is>
          <t>ml</t>
        </is>
      </c>
      <c r="K11" s="9" t="n">
        <v>67</v>
      </c>
      <c r="L11" s="51" t="n"/>
      <c r="M11" s="52">
        <f>'S33'!M11+L11</f>
        <v/>
      </c>
      <c r="N11" s="53">
        <f>IFERROR(M11/K11,0)</f>
        <v/>
      </c>
      <c r="O11" s="54">
        <f>'S33'!N11</f>
        <v/>
      </c>
      <c r="P11" s="53">
        <f>N11-O11</f>
        <v/>
      </c>
      <c r="Q11" s="32" t="n"/>
      <c r="R11" s="32" t="n"/>
      <c r="S11" s="32" t="n"/>
      <c r="T11" s="55" t="n"/>
      <c r="U11" s="54">
        <f>'S33'!T11</f>
        <v/>
      </c>
      <c r="V11" s="53">
        <f>T11-U11</f>
        <v/>
      </c>
      <c r="W11" s="53">
        <f>N11-T11</f>
        <v/>
      </c>
      <c r="X11" s="34" t="n"/>
    </row>
    <row r="12" ht="22" customHeight="1">
      <c r="B12" s="10" t="n">
        <v>8</v>
      </c>
      <c r="C12" s="6" t="inlineStr">
        <is>
          <t>Sidi Kacem</t>
        </is>
      </c>
      <c r="D12" s="10" t="inlineStr">
        <is>
          <t>BIR TALEB</t>
        </is>
      </c>
      <c r="E12" s="10" t="inlineStr">
        <is>
          <t>50-21</t>
        </is>
      </c>
      <c r="F12" s="10" t="inlineStr">
        <is>
          <t>Entretien et réparation des stations de pompage</t>
        </is>
      </c>
      <c r="G12" s="10" t="inlineStr">
        <is>
          <t>Prestation de maintenance des débitmètres et leurs équipements annexes installés au niveau des station de pompage</t>
        </is>
      </c>
      <c r="H12" s="10" t="inlineStr">
        <is>
          <t>Changement trois débitmètre Ø 400mm inondés de la station de pompage P11/1</t>
        </is>
      </c>
      <c r="I12" s="11" t="n">
        <v>141900</v>
      </c>
      <c r="J12" s="12" t="inlineStr">
        <is>
          <t>U</t>
        </is>
      </c>
      <c r="K12" s="13" t="n">
        <v>3</v>
      </c>
      <c r="L12" s="51" t="n"/>
      <c r="M12" s="56">
        <f>'S33'!M12+L12</f>
        <v/>
      </c>
      <c r="N12" s="57">
        <f>IFERROR(M12/K12,0)</f>
        <v/>
      </c>
      <c r="O12" s="58">
        <f>'S33'!N12</f>
        <v/>
      </c>
      <c r="P12" s="57">
        <f>N12-O12</f>
        <v/>
      </c>
      <c r="Q12" s="32" t="n"/>
      <c r="R12" s="32" t="n"/>
      <c r="S12" s="32" t="n"/>
      <c r="T12" s="55" t="n"/>
      <c r="U12" s="58">
        <f>'S33'!T12</f>
        <v/>
      </c>
      <c r="V12" s="57">
        <f>T12-U12</f>
        <v/>
      </c>
      <c r="W12" s="57">
        <f>N12-T12</f>
        <v/>
      </c>
      <c r="X12" s="34" t="n"/>
    </row>
    <row r="13" ht="22" customHeight="1">
      <c r="B13" s="5" t="n">
        <v>9</v>
      </c>
      <c r="C13" s="6" t="inlineStr">
        <is>
          <t>Sidi Kacem</t>
        </is>
      </c>
      <c r="D13" s="5" t="inlineStr">
        <is>
          <t>BIR TALEB</t>
        </is>
      </c>
      <c r="E13" s="5" t="inlineStr">
        <is>
          <t>50-21</t>
        </is>
      </c>
      <c r="F13" s="5" t="inlineStr">
        <is>
          <t>Entretien et réparation des stations de pompage</t>
        </is>
      </c>
      <c r="G13" s="5" t="inlineStr">
        <is>
          <t>Prestations de maintenance et de réparation mécanique des pompes et des groupes motopompes submersibles des stations de pompage.</t>
        </is>
      </c>
      <c r="H13" s="5" t="inlineStr">
        <is>
          <t>Démontage et expertise des roues des  pompes principaux et pompes a vide de la station P11/1
Changement des roulements, tresses et organes d’effectués de la station P11/1</t>
        </is>
      </c>
      <c r="I13" s="7" t="n">
        <v>26700</v>
      </c>
      <c r="J13" s="8" t="inlineStr">
        <is>
          <t>U</t>
        </is>
      </c>
      <c r="K13" s="9" t="n">
        <v>1</v>
      </c>
      <c r="L13" s="51" t="n"/>
      <c r="M13" s="52">
        <f>'S33'!M13+L13</f>
        <v/>
      </c>
      <c r="N13" s="53">
        <f>IFERROR(M13/K13,0)</f>
        <v/>
      </c>
      <c r="O13" s="54">
        <f>'S33'!N13</f>
        <v/>
      </c>
      <c r="P13" s="53">
        <f>N13-O13</f>
        <v/>
      </c>
      <c r="Q13" s="32" t="n"/>
      <c r="R13" s="32" t="n"/>
      <c r="S13" s="32" t="n"/>
      <c r="T13" s="55" t="n"/>
      <c r="U13" s="54">
        <f>'S33'!T13</f>
        <v/>
      </c>
      <c r="V13" s="53">
        <f>T13-U13</f>
        <v/>
      </c>
      <c r="W13" s="53">
        <f>N13-T13</f>
        <v/>
      </c>
      <c r="X13" s="34" t="n"/>
    </row>
    <row r="14" ht="22" customHeight="1">
      <c r="B14" s="10" t="n">
        <v>10</v>
      </c>
      <c r="C14" s="6" t="inlineStr">
        <is>
          <t>Sidi Kacem</t>
        </is>
      </c>
      <c r="D14" s="10" t="inlineStr">
        <is>
          <t>BIR TALEB</t>
        </is>
      </c>
      <c r="E14" s="10" t="inlineStr">
        <is>
          <t>50-21</t>
        </is>
      </c>
      <c r="F14" s="10" t="inlineStr">
        <is>
          <t>Entretien et réparation des stations de pompage</t>
        </is>
      </c>
      <c r="G14" s="10" t="inlineStr">
        <is>
          <t>Stabilisation Berge oued</t>
        </is>
      </c>
      <c r="H14" s="10" t="inlineStr">
        <is>
          <t>Pose de  gabions et recouvrement du talus par matelas Reno des stations de pompage P11/1.</t>
        </is>
      </c>
      <c r="I14" s="11" t="n">
        <v>480000</v>
      </c>
      <c r="J14" s="12" t="inlineStr">
        <is>
          <t>m³</t>
        </is>
      </c>
      <c r="K14" s="13" t="n">
        <v>320</v>
      </c>
      <c r="L14" s="51" t="n"/>
      <c r="M14" s="56">
        <f>'S33'!M14+L14</f>
        <v/>
      </c>
      <c r="N14" s="57">
        <f>IFERROR(M14/K14,0)</f>
        <v/>
      </c>
      <c r="O14" s="58">
        <f>'S33'!N14</f>
        <v/>
      </c>
      <c r="P14" s="57">
        <f>N14-O14</f>
        <v/>
      </c>
      <c r="Q14" s="32" t="n"/>
      <c r="R14" s="32" t="n"/>
      <c r="S14" s="32" t="n"/>
      <c r="T14" s="55" t="n"/>
      <c r="U14" s="58">
        <f>'S33'!T14</f>
        <v/>
      </c>
      <c r="V14" s="57">
        <f>T14-U14</f>
        <v/>
      </c>
      <c r="W14" s="57">
        <f>N14-T14</f>
        <v/>
      </c>
      <c r="X14" s="34" t="n"/>
    </row>
    <row r="15" ht="22" customHeight="1">
      <c r="B15" s="5" t="n">
        <v>11</v>
      </c>
      <c r="C15" s="6" t="inlineStr">
        <is>
          <t>Sidi Kacem</t>
        </is>
      </c>
      <c r="D15" s="5" t="inlineStr">
        <is>
          <t>BIR TALEB</t>
        </is>
      </c>
      <c r="E15" s="5" t="inlineStr">
        <is>
          <t>50-21</t>
        </is>
      </c>
      <c r="F15" s="5" t="inlineStr">
        <is>
          <t>Entretien et réparation des stations de pompage</t>
        </is>
      </c>
      <c r="G15" s="5" t="inlineStr">
        <is>
          <t>Génie civile des locaux des stations de pompage.</t>
        </is>
      </c>
      <c r="H15" s="5" t="inlineStr">
        <is>
          <t>Expertise d’état et d’étanchéité des locaux pompes.
Renforcement d’étanchéité des locaux pompe sous niveau des oueds des stations de pompage P11/1.
Entretien des supports en béton des conduites d’aspiration.</t>
        </is>
      </c>
      <c r="I15" s="7" t="n">
        <v>300000</v>
      </c>
      <c r="J15" s="8" t="inlineStr">
        <is>
          <t>U</t>
        </is>
      </c>
      <c r="K15" s="9" t="n">
        <v>1</v>
      </c>
      <c r="L15" s="51" t="n"/>
      <c r="M15" s="52">
        <f>'S33'!M15+L15</f>
        <v/>
      </c>
      <c r="N15" s="53">
        <f>IFERROR(M15/K15,0)</f>
        <v/>
      </c>
      <c r="O15" s="54">
        <f>'S33'!N15</f>
        <v/>
      </c>
      <c r="P15" s="53">
        <f>N15-O15</f>
        <v/>
      </c>
      <c r="Q15" s="32" t="n"/>
      <c r="R15" s="32" t="n"/>
      <c r="S15" s="32" t="n"/>
      <c r="T15" s="55" t="n"/>
      <c r="U15" s="54">
        <f>'S33'!T15</f>
        <v/>
      </c>
      <c r="V15" s="53">
        <f>T15-U15</f>
        <v/>
      </c>
      <c r="W15" s="53">
        <f>N15-T15</f>
        <v/>
      </c>
      <c r="X15" s="34" t="n"/>
    </row>
    <row r="16" ht="22" customHeight="1">
      <c r="B16" s="10" t="n">
        <v>12</v>
      </c>
      <c r="C16" s="6" t="inlineStr">
        <is>
          <t>Sidi Kacem</t>
        </is>
      </c>
      <c r="D16" s="10" t="inlineStr">
        <is>
          <t>CHEBANAT</t>
        </is>
      </c>
      <c r="E16" s="10" t="inlineStr">
        <is>
          <t>50-23</t>
        </is>
      </c>
      <c r="F16" s="10" t="inlineStr">
        <is>
          <t>Entretien et réparation du réseau d'assainissement et de drainage</t>
        </is>
      </c>
      <c r="G16" s="10" t="inlineStr">
        <is>
          <t>Travaux de curage des canaux en terre</t>
        </is>
      </c>
      <c r="H16" s="10" t="inlineStr">
        <is>
          <t>Curage des collecteurs d'assainissement des secteur SH5 et SH6.</t>
        </is>
      </c>
      <c r="I16" s="11" t="n">
        <v>1000000</v>
      </c>
      <c r="J16" s="12" t="inlineStr">
        <is>
          <t>ml</t>
        </is>
      </c>
      <c r="K16" s="13" t="n">
        <v>500</v>
      </c>
      <c r="L16" s="51" t="n"/>
      <c r="M16" s="56">
        <f>'S33'!M16+L16</f>
        <v/>
      </c>
      <c r="N16" s="57">
        <f>IFERROR(M16/K16,0)</f>
        <v/>
      </c>
      <c r="O16" s="58">
        <f>'S33'!N16</f>
        <v/>
      </c>
      <c r="P16" s="57">
        <f>N16-O16</f>
        <v/>
      </c>
      <c r="Q16" s="32" t="n"/>
      <c r="R16" s="32" t="n"/>
      <c r="S16" s="32" t="n"/>
      <c r="T16" s="55" t="n"/>
      <c r="U16" s="58">
        <f>'S33'!T16</f>
        <v/>
      </c>
      <c r="V16" s="57">
        <f>T16-U16</f>
        <v/>
      </c>
      <c r="W16" s="57">
        <f>N16-T16</f>
        <v/>
      </c>
      <c r="X16" s="34" t="n"/>
    </row>
    <row r="17" ht="22" customHeight="1">
      <c r="B17" s="5" t="n">
        <v>13</v>
      </c>
      <c r="C17" s="6" t="inlineStr">
        <is>
          <t>Sidi Kacem</t>
        </is>
      </c>
      <c r="D17" s="5" t="inlineStr">
        <is>
          <t>CHEBANAT</t>
        </is>
      </c>
      <c r="E17" s="5" t="inlineStr">
        <is>
          <t>50-23</t>
        </is>
      </c>
      <c r="F17" s="5" t="inlineStr">
        <is>
          <t>Entretien et réparation du réseau d'assainissement et de drainage</t>
        </is>
      </c>
      <c r="G17" s="5" t="inlineStr">
        <is>
          <t>Travaux de curage des canaux révetus</t>
        </is>
      </c>
      <c r="H17" s="5" t="inlineStr">
        <is>
          <t>Curage du canal principal d'irrigation beht partie aval 1.</t>
        </is>
      </c>
      <c r="I17" s="7" t="n">
        <v>739200</v>
      </c>
      <c r="J17" s="8" t="inlineStr">
        <is>
          <t>ml</t>
        </is>
      </c>
      <c r="K17" s="9" t="n">
        <v>370</v>
      </c>
      <c r="L17" s="51" t="n"/>
      <c r="M17" s="52">
        <f>'S33'!M17+L17</f>
        <v/>
      </c>
      <c r="N17" s="53">
        <f>IFERROR(M17/K17,0)</f>
        <v/>
      </c>
      <c r="O17" s="54">
        <f>'S33'!N17</f>
        <v/>
      </c>
      <c r="P17" s="53">
        <f>N17-O17</f>
        <v/>
      </c>
      <c r="Q17" s="32" t="n"/>
      <c r="R17" s="32" t="n"/>
      <c r="S17" s="32" t="n"/>
      <c r="T17" s="55" t="n"/>
      <c r="U17" s="54">
        <f>'S33'!T17</f>
        <v/>
      </c>
      <c r="V17" s="53">
        <f>T17-U17</f>
        <v/>
      </c>
      <c r="W17" s="53">
        <f>N17-T17</f>
        <v/>
      </c>
      <c r="X17" s="34" t="n"/>
    </row>
    <row r="18" ht="22" customHeight="1">
      <c r="B18" s="10" t="n">
        <v>14</v>
      </c>
      <c r="C18" s="6" t="inlineStr">
        <is>
          <t>Sidi Kacem</t>
        </is>
      </c>
      <c r="D18" s="10" t="inlineStr">
        <is>
          <t>ZIRARA</t>
        </is>
      </c>
      <c r="E18" s="10" t="inlineStr">
        <is>
          <t>50-23</t>
        </is>
      </c>
      <c r="F18" s="10" t="inlineStr">
        <is>
          <t>Entretien et réparation du réseau d'assainissement et de drainage</t>
        </is>
      </c>
      <c r="G18" s="10" t="inlineStr">
        <is>
          <t>Travaux de curage des canaux révetus</t>
        </is>
      </c>
      <c r="H18" s="10" t="inlineStr">
        <is>
          <t>Curage du canal principal d'irrigation beht partie aval 2.</t>
        </is>
      </c>
      <c r="I18" s="11" t="n">
        <v>1276800</v>
      </c>
      <c r="J18" s="12" t="inlineStr">
        <is>
          <t>ml</t>
        </is>
      </c>
      <c r="K18" s="13" t="n">
        <v>638</v>
      </c>
      <c r="L18" s="51" t="n"/>
      <c r="M18" s="56">
        <f>'S33'!M18+L18</f>
        <v/>
      </c>
      <c r="N18" s="57">
        <f>IFERROR(M18/K18,0)</f>
        <v/>
      </c>
      <c r="O18" s="58">
        <f>'S33'!N18</f>
        <v/>
      </c>
      <c r="P18" s="57">
        <f>N18-O18</f>
        <v/>
      </c>
      <c r="Q18" s="32" t="n"/>
      <c r="R18" s="32" t="n"/>
      <c r="S18" s="32" t="n"/>
      <c r="T18" s="55" t="n"/>
      <c r="U18" s="58">
        <f>'S33'!T18</f>
        <v/>
      </c>
      <c r="V18" s="57">
        <f>T18-U18</f>
        <v/>
      </c>
      <c r="W18" s="57">
        <f>N18-T18</f>
        <v/>
      </c>
      <c r="X18" s="34" t="n"/>
    </row>
    <row r="19" ht="22" customHeight="1">
      <c r="B19" s="5" t="n">
        <v>15</v>
      </c>
      <c r="C19" s="6" t="inlineStr">
        <is>
          <t>Sidi Kacem</t>
        </is>
      </c>
      <c r="D19" s="5" t="inlineStr">
        <is>
          <t>DAR LAASLOUJI</t>
        </is>
      </c>
      <c r="E19" s="5" t="inlineStr">
        <is>
          <t>50-23</t>
        </is>
      </c>
      <c r="F19" s="5" t="inlineStr">
        <is>
          <t>Entretien et réparation du réseau d'assainissement et de drainage</t>
        </is>
      </c>
      <c r="G19" s="5" t="inlineStr">
        <is>
          <t>Travaux de curage des canaux en terre</t>
        </is>
      </c>
      <c r="H19" s="5" t="inlineStr">
        <is>
          <t>Curage des collecteurs d'assainissement des secteurs P8-1 et P8-2</t>
        </is>
      </c>
      <c r="I19" s="7" t="n">
        <v>5796360</v>
      </c>
      <c r="J19" s="8" t="inlineStr">
        <is>
          <t>ml</t>
        </is>
      </c>
      <c r="K19" s="9" t="n">
        <v>2898</v>
      </c>
      <c r="L19" s="51" t="n"/>
      <c r="M19" s="52">
        <f>'S33'!M19+L19</f>
        <v/>
      </c>
      <c r="N19" s="53">
        <f>IFERROR(M19/K19,0)</f>
        <v/>
      </c>
      <c r="O19" s="54">
        <f>'S33'!N19</f>
        <v/>
      </c>
      <c r="P19" s="53">
        <f>N19-O19</f>
        <v/>
      </c>
      <c r="Q19" s="32" t="n"/>
      <c r="R19" s="32" t="n"/>
      <c r="S19" s="32" t="n"/>
      <c r="T19" s="55" t="n"/>
      <c r="U19" s="54">
        <f>'S33'!T19</f>
        <v/>
      </c>
      <c r="V19" s="53">
        <f>T19-U19</f>
        <v/>
      </c>
      <c r="W19" s="53">
        <f>N19-T19</f>
        <v/>
      </c>
      <c r="X19" s="34" t="n"/>
    </row>
    <row r="20" ht="22" customHeight="1">
      <c r="B20" s="10" t="n">
        <v>16</v>
      </c>
      <c r="C20" s="6" t="inlineStr">
        <is>
          <t>Sidi Kacem</t>
        </is>
      </c>
      <c r="D20" s="10" t="inlineStr">
        <is>
          <t>DAR LAASLOUJI</t>
        </is>
      </c>
      <c r="E20" s="10" t="inlineStr">
        <is>
          <t>40-21</t>
        </is>
      </c>
      <c r="F20" s="10" t="inlineStr">
        <is>
          <t>Travaux de pistes</t>
        </is>
      </c>
      <c r="G20" s="10" t="inlineStr">
        <is>
          <t>Entretien des pistes agricoles</t>
        </is>
      </c>
      <c r="H20" s="10" t="inlineStr">
        <is>
          <t>Entretien des pistes agricoles</t>
        </is>
      </c>
      <c r="I20" s="11" t="n">
        <v>340000</v>
      </c>
      <c r="J20" s="12" t="inlineStr">
        <is>
          <t>km</t>
        </is>
      </c>
      <c r="K20" s="13" t="n">
        <v>1</v>
      </c>
      <c r="L20" s="51" t="n"/>
      <c r="M20" s="56">
        <f>'S33'!M20+L20</f>
        <v/>
      </c>
      <c r="N20" s="57">
        <f>IFERROR(M20/K20,0)</f>
        <v/>
      </c>
      <c r="O20" s="58">
        <f>'S33'!N20</f>
        <v/>
      </c>
      <c r="P20" s="57">
        <f>N20-O20</f>
        <v/>
      </c>
      <c r="Q20" s="32" t="n"/>
      <c r="R20" s="32" t="n"/>
      <c r="S20" s="32" t="n"/>
      <c r="T20" s="55" t="n"/>
      <c r="U20" s="58">
        <f>'S33'!T20</f>
        <v/>
      </c>
      <c r="V20" s="57">
        <f>T20-U20</f>
        <v/>
      </c>
      <c r="W20" s="57">
        <f>N20-T20</f>
        <v/>
      </c>
      <c r="X20" s="34" t="n"/>
    </row>
    <row r="21" ht="22" customHeight="1">
      <c r="B21" s="5" t="n">
        <v>17</v>
      </c>
      <c r="C21" s="6" t="inlineStr">
        <is>
          <t>Sidi Kacem</t>
        </is>
      </c>
      <c r="D21" s="5" t="inlineStr">
        <is>
          <t>HOUAFATE</t>
        </is>
      </c>
      <c r="E21" s="5" t="inlineStr">
        <is>
          <t>20-11</t>
        </is>
      </c>
      <c r="F21" s="5" t="inlineStr">
        <is>
          <t>Travaux de réhabilitation des équipements</t>
        </is>
      </c>
      <c r="G21" s="5" t="inlineStr">
        <is>
          <t>Travaux de réhabilitation des canaux portés d'irrigation</t>
        </is>
      </c>
      <c r="H21" s="5" t="inlineStr">
        <is>
          <t>Fourniture et de pose de canaux porté et accessoires du réseau S3 du secteur S13</t>
        </is>
      </c>
      <c r="I21" s="7" t="n">
        <v>397934</v>
      </c>
      <c r="J21" s="8" t="inlineStr">
        <is>
          <t>ml</t>
        </is>
      </c>
      <c r="K21" s="9" t="n">
        <v>133</v>
      </c>
      <c r="L21" s="51" t="n"/>
      <c r="M21" s="52">
        <f>'S33'!M21+L21</f>
        <v/>
      </c>
      <c r="N21" s="53">
        <f>IFERROR(M21/K21,0)</f>
        <v/>
      </c>
      <c r="O21" s="54">
        <f>'S33'!N21</f>
        <v/>
      </c>
      <c r="P21" s="53">
        <f>N21-O21</f>
        <v/>
      </c>
      <c r="Q21" s="32" t="n"/>
      <c r="R21" s="32" t="n"/>
      <c r="S21" s="32" t="n"/>
      <c r="T21" s="55" t="n"/>
      <c r="U21" s="54">
        <f>'S33'!T21</f>
        <v/>
      </c>
      <c r="V21" s="53">
        <f>T21-U21</f>
        <v/>
      </c>
      <c r="W21" s="53">
        <f>N21-T21</f>
        <v/>
      </c>
      <c r="X21" s="34" t="n"/>
    </row>
    <row r="22" ht="22" customHeight="1">
      <c r="B22" s="10" t="n">
        <v>18</v>
      </c>
      <c r="C22" s="6" t="inlineStr">
        <is>
          <t>Sidi Kacem</t>
        </is>
      </c>
      <c r="D22" s="10" t="inlineStr">
        <is>
          <t>HOUAFATE</t>
        </is>
      </c>
      <c r="E22" s="10" t="inlineStr">
        <is>
          <t>20-11</t>
        </is>
      </c>
      <c r="F22" s="10" t="inlineStr">
        <is>
          <t>Travaux de réhabilitation des équipements</t>
        </is>
      </c>
      <c r="G22" s="10" t="inlineStr"/>
      <c r="H22" s="10" t="inlineStr">
        <is>
          <t>Fourniture et de pose de canaux porté et accessoires du réseau T2S1 du secteur S13</t>
        </is>
      </c>
      <c r="I22" s="11" t="n">
        <v>207575</v>
      </c>
      <c r="J22" s="12" t="inlineStr">
        <is>
          <t>ml</t>
        </is>
      </c>
      <c r="K22" s="13" t="n">
        <v>69</v>
      </c>
      <c r="L22" s="51" t="n"/>
      <c r="M22" s="56">
        <f>'S33'!M22+L22</f>
        <v/>
      </c>
      <c r="N22" s="57">
        <f>IFERROR(M22/K22,0)</f>
        <v/>
      </c>
      <c r="O22" s="58">
        <f>'S33'!N22</f>
        <v/>
      </c>
      <c r="P22" s="57">
        <f>N22-O22</f>
        <v/>
      </c>
      <c r="Q22" s="32" t="n"/>
      <c r="R22" s="32" t="n"/>
      <c r="S22" s="32" t="n"/>
      <c r="T22" s="55" t="n"/>
      <c r="U22" s="58">
        <f>'S33'!T22</f>
        <v/>
      </c>
      <c r="V22" s="57">
        <f>T22-U22</f>
        <v/>
      </c>
      <c r="W22" s="57">
        <f>N22-T22</f>
        <v/>
      </c>
      <c r="X22" s="34" t="n"/>
    </row>
    <row r="23" ht="22" customHeight="1">
      <c r="B23" s="5" t="n">
        <v>19</v>
      </c>
      <c r="C23" s="6" t="inlineStr">
        <is>
          <t>Sidi Kacem</t>
        </is>
      </c>
      <c r="D23" s="5" t="inlineStr">
        <is>
          <t>HOUAFATE</t>
        </is>
      </c>
      <c r="E23" s="5" t="inlineStr">
        <is>
          <t>40-21</t>
        </is>
      </c>
      <c r="F23" s="5" t="inlineStr">
        <is>
          <t>Travaux de pistes</t>
        </is>
      </c>
      <c r="G23" s="5" t="inlineStr">
        <is>
          <t>Entretien des pistes agricoles</t>
        </is>
      </c>
      <c r="H23" s="5" t="inlineStr">
        <is>
          <t>Entretien des pistes agricoles</t>
        </is>
      </c>
      <c r="I23" s="7" t="n">
        <v>2200000</v>
      </c>
      <c r="J23" s="8" t="inlineStr">
        <is>
          <t>km</t>
        </is>
      </c>
      <c r="K23" s="9" t="n">
        <v>4</v>
      </c>
      <c r="L23" s="51" t="n"/>
      <c r="M23" s="52">
        <f>'S33'!M23+L23</f>
        <v/>
      </c>
      <c r="N23" s="53">
        <f>IFERROR(M23/K23,0)</f>
        <v/>
      </c>
      <c r="O23" s="54">
        <f>'S33'!N23</f>
        <v/>
      </c>
      <c r="P23" s="53">
        <f>N23-O23</f>
        <v/>
      </c>
      <c r="Q23" s="32" t="n"/>
      <c r="R23" s="32" t="n"/>
      <c r="S23" s="32" t="n"/>
      <c r="T23" s="55" t="n"/>
      <c r="U23" s="54">
        <f>'S33'!T23</f>
        <v/>
      </c>
      <c r="V23" s="53">
        <f>T23-U23</f>
        <v/>
      </c>
      <c r="W23" s="53">
        <f>N23-T23</f>
        <v/>
      </c>
      <c r="X23" s="34" t="n"/>
    </row>
    <row r="24" ht="22" customHeight="1">
      <c r="B24" s="10" t="n">
        <v>20</v>
      </c>
      <c r="C24" s="6" t="inlineStr">
        <is>
          <t>Sidi Kacem</t>
        </is>
      </c>
      <c r="D24" s="10" t="inlineStr">
        <is>
          <t>HOUAFATE</t>
        </is>
      </c>
      <c r="E24" s="10" t="inlineStr">
        <is>
          <t>50-23</t>
        </is>
      </c>
      <c r="F24" s="10" t="inlineStr">
        <is>
          <t>Entretien et réparation du réseau d'assainissement et de drainage</t>
        </is>
      </c>
      <c r="G24" s="10" t="inlineStr">
        <is>
          <t>Curage des prises sur l’oued, bâche d’aspiration et bassin de régulation.</t>
        </is>
      </c>
      <c r="H24" s="10" t="inlineStr">
        <is>
          <t>Curage des prises sur l’oued de la station de pompage S17 et S13.
Nettoyage des grilles de préfiltration des boues colmaté de la station de pompage S17 et S13.
Curage de la bâche d’aspiration de la station S17 et S13.</t>
        </is>
      </c>
      <c r="I24" s="11" t="n">
        <v>300000</v>
      </c>
      <c r="J24" s="12" t="inlineStr">
        <is>
          <t>ml</t>
        </is>
      </c>
      <c r="K24" s="13" t="n">
        <v>100</v>
      </c>
      <c r="L24" s="51" t="n"/>
      <c r="M24" s="56">
        <f>'S33'!M24+L24</f>
        <v/>
      </c>
      <c r="N24" s="57">
        <f>IFERROR(M24/K24,0)</f>
        <v/>
      </c>
      <c r="O24" s="58">
        <f>'S33'!N24</f>
        <v/>
      </c>
      <c r="P24" s="57">
        <f>N24-O24</f>
        <v/>
      </c>
      <c r="Q24" s="32" t="n"/>
      <c r="R24" s="32" t="n"/>
      <c r="S24" s="32" t="n"/>
      <c r="T24" s="55" t="n"/>
      <c r="U24" s="58">
        <f>'S33'!T24</f>
        <v/>
      </c>
      <c r="V24" s="57">
        <f>T24-U24</f>
        <v/>
      </c>
      <c r="W24" s="57">
        <f>N24-T24</f>
        <v/>
      </c>
      <c r="X24" s="34" t="n"/>
    </row>
    <row r="25" ht="22" customHeight="1">
      <c r="B25" s="5" t="n">
        <v>21</v>
      </c>
      <c r="C25" s="6" t="inlineStr">
        <is>
          <t>Sidi Kacem</t>
        </is>
      </c>
      <c r="D25" s="5" t="inlineStr">
        <is>
          <t>HOUAFATE</t>
        </is>
      </c>
      <c r="E25" s="5" t="inlineStr">
        <is>
          <t>50-21</t>
        </is>
      </c>
      <c r="F25" s="5" t="inlineStr">
        <is>
          <t>Entretien et réparation des stations de pompage</t>
        </is>
      </c>
      <c r="G25" s="5" t="inlineStr">
        <is>
          <t>Prestation de maintenance des débitmètres et leurs équipements annexes installés au niveau des station de pompage</t>
        </is>
      </c>
      <c r="H25" s="5" t="inlineStr">
        <is>
          <t>Changement trois débitmètre Ø 600mm inondés de la station de pompage S13.</t>
        </is>
      </c>
      <c r="I25" s="7" t="n">
        <v>250000</v>
      </c>
      <c r="J25" s="8" t="inlineStr">
        <is>
          <t>U</t>
        </is>
      </c>
      <c r="K25" s="9" t="n">
        <v>3</v>
      </c>
      <c r="L25" s="51" t="n"/>
      <c r="M25" s="52">
        <f>'S33'!M25+L25</f>
        <v/>
      </c>
      <c r="N25" s="53">
        <f>IFERROR(M25/K25,0)</f>
        <v/>
      </c>
      <c r="O25" s="54">
        <f>'S33'!N25</f>
        <v/>
      </c>
      <c r="P25" s="53">
        <f>N25-O25</f>
        <v/>
      </c>
      <c r="Q25" s="32" t="n"/>
      <c r="R25" s="32" t="n"/>
      <c r="S25" s="32" t="n"/>
      <c r="T25" s="55" t="n"/>
      <c r="U25" s="54">
        <f>'S33'!T25</f>
        <v/>
      </c>
      <c r="V25" s="53">
        <f>T25-U25</f>
        <v/>
      </c>
      <c r="W25" s="53">
        <f>N25-T25</f>
        <v/>
      </c>
      <c r="X25" s="34" t="n"/>
    </row>
    <row r="26" ht="22" customHeight="1">
      <c r="B26" s="10" t="n">
        <v>22</v>
      </c>
      <c r="C26" s="6" t="inlineStr">
        <is>
          <t>Sidi Kacem</t>
        </is>
      </c>
      <c r="D26" s="10" t="inlineStr">
        <is>
          <t>HOUAFATE</t>
        </is>
      </c>
      <c r="E26" s="10" t="inlineStr">
        <is>
          <t>50-21</t>
        </is>
      </c>
      <c r="F26" s="10" t="inlineStr">
        <is>
          <t>Entretien et réparation des stations de pompage</t>
        </is>
      </c>
      <c r="G26" s="10" t="inlineStr">
        <is>
          <t>Prestations de maintenance des moteurs électriques des stations de pompage.</t>
        </is>
      </c>
      <c r="H26" s="10" t="inlineStr">
        <is>
          <t>Révision des trois moteurs électriques 200 KW principaux de la station S13. 
Révision des deux moteurs électriques 5,5 KW groupes vide de la station S13.</t>
        </is>
      </c>
      <c r="I26" s="11" t="n">
        <v>25000</v>
      </c>
      <c r="J26" s="12" t="inlineStr">
        <is>
          <t>U</t>
        </is>
      </c>
      <c r="K26" s="13" t="n">
        <v>3</v>
      </c>
      <c r="L26" s="51" t="n"/>
      <c r="M26" s="56">
        <f>'S33'!M26+L26</f>
        <v/>
      </c>
      <c r="N26" s="57">
        <f>IFERROR(M26/K26,0)</f>
        <v/>
      </c>
      <c r="O26" s="58">
        <f>'S33'!N26</f>
        <v/>
      </c>
      <c r="P26" s="57">
        <f>N26-O26</f>
        <v/>
      </c>
      <c r="Q26" s="32" t="n"/>
      <c r="R26" s="32" t="n"/>
      <c r="S26" s="32" t="n"/>
      <c r="T26" s="55" t="n"/>
      <c r="U26" s="58">
        <f>'S33'!T26</f>
        <v/>
      </c>
      <c r="V26" s="57">
        <f>T26-U26</f>
        <v/>
      </c>
      <c r="W26" s="57">
        <f>N26-T26</f>
        <v/>
      </c>
      <c r="X26" s="34" t="n"/>
    </row>
    <row r="27" ht="22" customHeight="1">
      <c r="B27" s="5" t="n">
        <v>23</v>
      </c>
      <c r="C27" s="6" t="inlineStr">
        <is>
          <t>Sidi Kacem</t>
        </is>
      </c>
      <c r="D27" s="5" t="inlineStr">
        <is>
          <t>HOUAFATE</t>
        </is>
      </c>
      <c r="E27" s="5" t="inlineStr">
        <is>
          <t>50-21</t>
        </is>
      </c>
      <c r="F27" s="5" t="inlineStr">
        <is>
          <t>Entretien et réparation des stations de pompage</t>
        </is>
      </c>
      <c r="G27" s="5" t="inlineStr">
        <is>
          <t>Prestations de maintenance et de réparation mécanique des pompes et des groupes motopompes submersibles des stations de pompage.</t>
        </is>
      </c>
      <c r="H27" s="5" t="inlineStr">
        <is>
          <t>Démontage et expertise des roues des  pompes principaux et pompes a vide de la station S13.
Changement des roulements, tresses et organes d’effectués de la station S13.</t>
        </is>
      </c>
      <c r="I27" s="7" t="n">
        <v>38000</v>
      </c>
      <c r="J27" s="8" t="inlineStr">
        <is>
          <t>U</t>
        </is>
      </c>
      <c r="K27" s="9" t="n">
        <v>1</v>
      </c>
      <c r="L27" s="51" t="n"/>
      <c r="M27" s="52">
        <f>'S33'!M27+L27</f>
        <v/>
      </c>
      <c r="N27" s="53">
        <f>IFERROR(M27/K27,0)</f>
        <v/>
      </c>
      <c r="O27" s="54">
        <f>'S33'!N27</f>
        <v/>
      </c>
      <c r="P27" s="53">
        <f>N27-O27</f>
        <v/>
      </c>
      <c r="Q27" s="32" t="n"/>
      <c r="R27" s="32" t="n"/>
      <c r="S27" s="32" t="n"/>
      <c r="T27" s="55" t="n"/>
      <c r="U27" s="54">
        <f>'S33'!T27</f>
        <v/>
      </c>
      <c r="V27" s="53">
        <f>T27-U27</f>
        <v/>
      </c>
      <c r="W27" s="53">
        <f>N27-T27</f>
        <v/>
      </c>
      <c r="X27" s="34" t="n"/>
    </row>
    <row r="28" ht="22" customHeight="1">
      <c r="B28" s="10" t="n">
        <v>24</v>
      </c>
      <c r="C28" s="6" t="inlineStr">
        <is>
          <t>Sidi Kacem</t>
        </is>
      </c>
      <c r="D28" s="10" t="inlineStr">
        <is>
          <t>HOUAFATE</t>
        </is>
      </c>
      <c r="E28" s="10" t="inlineStr">
        <is>
          <t>50-21</t>
        </is>
      </c>
      <c r="F28" s="10" t="inlineStr">
        <is>
          <t>Entretien et réparation des stations de pompage</t>
        </is>
      </c>
      <c r="G28" s="10" t="inlineStr">
        <is>
          <t>Stabilisation Berge oued</t>
        </is>
      </c>
      <c r="H28" s="10" t="inlineStr">
        <is>
          <t>Pose de  gabions et recouvrement du talus par matelas Reno des stations de pompage S13.</t>
        </is>
      </c>
      <c r="I28" s="11" t="n">
        <v>10560000</v>
      </c>
      <c r="J28" s="12" t="inlineStr">
        <is>
          <t>m³</t>
        </is>
      </c>
      <c r="K28" s="13" t="n">
        <v>7040</v>
      </c>
      <c r="L28" s="51" t="n"/>
      <c r="M28" s="56">
        <f>'S33'!M28+L28</f>
        <v/>
      </c>
      <c r="N28" s="57">
        <f>IFERROR(M28/K28,0)</f>
        <v/>
      </c>
      <c r="O28" s="58">
        <f>'S33'!N28</f>
        <v/>
      </c>
      <c r="P28" s="57">
        <f>N28-O28</f>
        <v/>
      </c>
      <c r="Q28" s="32" t="n"/>
      <c r="R28" s="32" t="n"/>
      <c r="S28" s="32" t="n"/>
      <c r="T28" s="55" t="n"/>
      <c r="U28" s="58">
        <f>'S33'!T28</f>
        <v/>
      </c>
      <c r="V28" s="57">
        <f>T28-U28</f>
        <v/>
      </c>
      <c r="W28" s="57">
        <f>N28-T28</f>
        <v/>
      </c>
      <c r="X28" s="34" t="n"/>
    </row>
    <row r="29" ht="22" customHeight="1">
      <c r="B29" s="5" t="n">
        <v>25</v>
      </c>
      <c r="C29" s="6" t="inlineStr">
        <is>
          <t>Sidi Kacem</t>
        </is>
      </c>
      <c r="D29" s="5" t="inlineStr">
        <is>
          <t>HOUAFATE</t>
        </is>
      </c>
      <c r="E29" s="5" t="inlineStr">
        <is>
          <t>50-21</t>
        </is>
      </c>
      <c r="F29" s="5" t="inlineStr">
        <is>
          <t>Entretien et réparation des stations de pompage</t>
        </is>
      </c>
      <c r="G29" s="5" t="inlineStr">
        <is>
          <t>Mur clôture des stations de pompage.</t>
        </is>
      </c>
      <c r="H29" s="5" t="inlineStr">
        <is>
          <t>Stabilisation du sol et reconstruction des murs clôture (270m) cote oued de la station S17.</t>
        </is>
      </c>
      <c r="I29" s="7" t="n">
        <v>144000</v>
      </c>
      <c r="J29" s="8" t="inlineStr">
        <is>
          <t>ml</t>
        </is>
      </c>
      <c r="K29" s="9" t="n">
        <v>270</v>
      </c>
      <c r="L29" s="51" t="n"/>
      <c r="M29" s="52">
        <f>'S33'!M29+L29</f>
        <v/>
      </c>
      <c r="N29" s="53">
        <f>IFERROR(M29/K29,0)</f>
        <v/>
      </c>
      <c r="O29" s="54">
        <f>'S33'!N29</f>
        <v/>
      </c>
      <c r="P29" s="53">
        <f>N29-O29</f>
        <v/>
      </c>
      <c r="Q29" s="32" t="n"/>
      <c r="R29" s="32" t="n"/>
      <c r="S29" s="32" t="n"/>
      <c r="T29" s="55" t="n"/>
      <c r="U29" s="54">
        <f>'S33'!T29</f>
        <v/>
      </c>
      <c r="V29" s="53">
        <f>T29-U29</f>
        <v/>
      </c>
      <c r="W29" s="53">
        <f>N29-T29</f>
        <v/>
      </c>
      <c r="X29" s="34" t="n"/>
    </row>
    <row r="30" ht="22" customHeight="1">
      <c r="B30" s="10" t="n">
        <v>26</v>
      </c>
      <c r="C30" s="6" t="inlineStr">
        <is>
          <t>Sidi Kacem</t>
        </is>
      </c>
      <c r="D30" s="10" t="inlineStr">
        <is>
          <t>HOUAFATE</t>
        </is>
      </c>
      <c r="E30" s="10" t="inlineStr">
        <is>
          <t>50-21</t>
        </is>
      </c>
      <c r="F30" s="10" t="inlineStr">
        <is>
          <t>Entretien et réparation des stations de pompage</t>
        </is>
      </c>
      <c r="G30" s="10" t="inlineStr">
        <is>
          <t>Génie civile des locaux des stations de pompage.</t>
        </is>
      </c>
      <c r="H30" s="10" t="inlineStr">
        <is>
          <t>Expertise d’état et d’étanchéité des locaux pompes, commande, puissance des stations de pompage S17 et S13.
Renforcement d’étanchéité des locaux pompe sous niveau des oueds des stations de pompage S17 et S13.</t>
        </is>
      </c>
      <c r="I30" s="11" t="n">
        <v>800000</v>
      </c>
      <c r="J30" s="12" t="inlineStr">
        <is>
          <t>U</t>
        </is>
      </c>
      <c r="K30" s="13" t="n">
        <v>1</v>
      </c>
      <c r="L30" s="51" t="n"/>
      <c r="M30" s="56">
        <f>'S33'!M30+L30</f>
        <v/>
      </c>
      <c r="N30" s="57">
        <f>IFERROR(M30/K30,0)</f>
        <v/>
      </c>
      <c r="O30" s="58">
        <f>'S33'!N30</f>
        <v/>
      </c>
      <c r="P30" s="57">
        <f>N30-O30</f>
        <v/>
      </c>
      <c r="Q30" s="32" t="n"/>
      <c r="R30" s="32" t="n"/>
      <c r="S30" s="32" t="n"/>
      <c r="T30" s="55" t="n"/>
      <c r="U30" s="58">
        <f>'S33'!T30</f>
        <v/>
      </c>
      <c r="V30" s="57">
        <f>T30-U30</f>
        <v/>
      </c>
      <c r="W30" s="57">
        <f>N30-T30</f>
        <v/>
      </c>
      <c r="X30" s="34" t="n"/>
    </row>
    <row r="31" ht="22" customHeight="1">
      <c r="B31" s="5" t="n">
        <v>27</v>
      </c>
      <c r="C31" s="6" t="inlineStr">
        <is>
          <t>Sidi Kacem</t>
        </is>
      </c>
      <c r="D31" s="5" t="inlineStr">
        <is>
          <t>NOUIRAT</t>
        </is>
      </c>
      <c r="E31" s="5" t="inlineStr">
        <is>
          <t>50-23</t>
        </is>
      </c>
      <c r="F31" s="5" t="inlineStr">
        <is>
          <t>Entretien et réparation du réseau d'assainissement et de drainage</t>
        </is>
      </c>
      <c r="G31" s="5" t="inlineStr">
        <is>
          <t>Travaux de curage des canaux en terre</t>
        </is>
      </c>
      <c r="H31" s="5" t="inlineStr">
        <is>
          <t>Curage des collecteurs d'assainissement des secteurs EST1 et N5</t>
        </is>
      </c>
      <c r="I31" s="7" t="n">
        <v>1733306</v>
      </c>
      <c r="J31" s="8" t="inlineStr">
        <is>
          <t>ml</t>
        </is>
      </c>
      <c r="K31" s="9" t="n">
        <v>867</v>
      </c>
      <c r="L31" s="51" t="n"/>
      <c r="M31" s="52">
        <f>'S33'!M31+L31</f>
        <v/>
      </c>
      <c r="N31" s="53">
        <f>IFERROR(M31/K31,0)</f>
        <v/>
      </c>
      <c r="O31" s="54">
        <f>'S33'!N31</f>
        <v/>
      </c>
      <c r="P31" s="53">
        <f>N31-O31</f>
        <v/>
      </c>
      <c r="Q31" s="32" t="n"/>
      <c r="R31" s="32" t="n"/>
      <c r="S31" s="32" t="n"/>
      <c r="T31" s="55" t="n"/>
      <c r="U31" s="54">
        <f>'S33'!T31</f>
        <v/>
      </c>
      <c r="V31" s="53">
        <f>T31-U31</f>
        <v/>
      </c>
      <c r="W31" s="53">
        <f>N31-T31</f>
        <v/>
      </c>
      <c r="X31" s="34" t="n"/>
    </row>
    <row r="32" ht="22" customHeight="1">
      <c r="B32" s="10" t="n">
        <v>28</v>
      </c>
      <c r="C32" s="6" t="inlineStr">
        <is>
          <t>Sidi Kacem</t>
        </is>
      </c>
      <c r="D32" s="10" t="inlineStr">
        <is>
          <t>NOUIRAT</t>
        </is>
      </c>
      <c r="E32" s="10" t="inlineStr">
        <is>
          <t>40-21</t>
        </is>
      </c>
      <c r="F32" s="10" t="inlineStr">
        <is>
          <t>Travaux de pistes</t>
        </is>
      </c>
      <c r="G32" s="10" t="inlineStr">
        <is>
          <t>Entretien des pistes agricoles</t>
        </is>
      </c>
      <c r="H32" s="10" t="inlineStr">
        <is>
          <t>Entretien des pistes agricoles</t>
        </is>
      </c>
      <c r="I32" s="11" t="n">
        <v>670000</v>
      </c>
      <c r="J32" s="12" t="inlineStr">
        <is>
          <t>km</t>
        </is>
      </c>
      <c r="K32" s="13" t="n">
        <v>1</v>
      </c>
      <c r="L32" s="51" t="n"/>
      <c r="M32" s="56">
        <f>'S33'!M32+L32</f>
        <v/>
      </c>
      <c r="N32" s="57">
        <f>IFERROR(M32/K32,0)</f>
        <v/>
      </c>
      <c r="O32" s="58">
        <f>'S33'!N32</f>
        <v/>
      </c>
      <c r="P32" s="57">
        <f>N32-O32</f>
        <v/>
      </c>
      <c r="Q32" s="32" t="n"/>
      <c r="R32" s="32" t="n"/>
      <c r="S32" s="32" t="n"/>
      <c r="T32" s="55" t="n"/>
      <c r="U32" s="58">
        <f>'S33'!T32</f>
        <v/>
      </c>
      <c r="V32" s="57">
        <f>T32-U32</f>
        <v/>
      </c>
      <c r="W32" s="57">
        <f>N32-T32</f>
        <v/>
      </c>
      <c r="X32" s="34" t="n"/>
    </row>
    <row r="33" ht="22" customHeight="1">
      <c r="B33" s="5" t="n">
        <v>29</v>
      </c>
      <c r="C33" s="6" t="inlineStr">
        <is>
          <t>Sidi Kacem</t>
        </is>
      </c>
      <c r="D33" s="5" t="inlineStr">
        <is>
          <t>NOUIRAT</t>
        </is>
      </c>
      <c r="E33" s="5" t="inlineStr">
        <is>
          <t>20-11</t>
        </is>
      </c>
      <c r="F33" s="5" t="inlineStr">
        <is>
          <t>Travaux de réhabilitation des équipements</t>
        </is>
      </c>
      <c r="G33" s="5" t="inlineStr">
        <is>
          <t>Travaux de réhabilitation des ouvrages de génie civil</t>
        </is>
      </c>
      <c r="H33" s="5" t="inlineStr">
        <is>
          <t>Réhabilitation de l'ouvrage( genie civil ,gabiollannage,clapet anti retour et buse) de l'ouvrage de débouche SE1</t>
        </is>
      </c>
      <c r="I33" s="7" t="n">
        <v>2500000</v>
      </c>
      <c r="J33" s="8" t="inlineStr">
        <is>
          <t>U</t>
        </is>
      </c>
      <c r="K33" s="9" t="n">
        <v>5</v>
      </c>
      <c r="L33" s="51" t="n"/>
      <c r="M33" s="52">
        <f>'S33'!M33+L33</f>
        <v/>
      </c>
      <c r="N33" s="53">
        <f>IFERROR(M33/K33,0)</f>
        <v/>
      </c>
      <c r="O33" s="54">
        <f>'S33'!N33</f>
        <v/>
      </c>
      <c r="P33" s="53">
        <f>N33-O33</f>
        <v/>
      </c>
      <c r="Q33" s="32" t="n"/>
      <c r="R33" s="32" t="n"/>
      <c r="S33" s="32" t="n"/>
      <c r="T33" s="55" t="n"/>
      <c r="U33" s="54">
        <f>'S33'!T33</f>
        <v/>
      </c>
      <c r="V33" s="53">
        <f>T33-U33</f>
        <v/>
      </c>
      <c r="W33" s="53">
        <f>N33-T33</f>
        <v/>
      </c>
      <c r="X33" s="34" t="n"/>
    </row>
    <row r="34" ht="22" customHeight="1">
      <c r="B34" s="10" t="n">
        <v>30</v>
      </c>
      <c r="C34" s="6" t="inlineStr">
        <is>
          <t>Sidi Kacem</t>
        </is>
      </c>
      <c r="D34" s="10" t="inlineStr">
        <is>
          <t>NOUIRAT</t>
        </is>
      </c>
      <c r="E34" s="10" t="inlineStr">
        <is>
          <t>50-23</t>
        </is>
      </c>
      <c r="F34" s="10" t="inlineStr">
        <is>
          <t>Entretien et réparation du réseau d'assainissement et de drainage</t>
        </is>
      </c>
      <c r="G34" s="10" t="inlineStr">
        <is>
          <t>Curage des prises sur l’oued, bâche d’aspiration et bassin de régulation.</t>
        </is>
      </c>
      <c r="H34" s="10" t="inlineStr">
        <is>
          <t>Curage des prises sur l’oued de la station de pompage E1.
Nettoyage des grilles de préfiltration des boues colmaté de la station de pompage E1.
Curage de la bâche d’aspiration de la station E1.</t>
        </is>
      </c>
      <c r="I34" s="11" t="n">
        <v>800000</v>
      </c>
      <c r="J34" s="12" t="inlineStr">
        <is>
          <t>ml</t>
        </is>
      </c>
      <c r="K34" s="13" t="n">
        <v>267</v>
      </c>
      <c r="L34" s="51" t="n"/>
      <c r="M34" s="56">
        <f>'S33'!M34+L34</f>
        <v/>
      </c>
      <c r="N34" s="57">
        <f>IFERROR(M34/K34,0)</f>
        <v/>
      </c>
      <c r="O34" s="58">
        <f>'S33'!N34</f>
        <v/>
      </c>
      <c r="P34" s="57">
        <f>N34-O34</f>
        <v/>
      </c>
      <c r="Q34" s="32" t="n"/>
      <c r="R34" s="32" t="n"/>
      <c r="S34" s="32" t="n"/>
      <c r="T34" s="55" t="n"/>
      <c r="U34" s="58">
        <f>'S33'!T34</f>
        <v/>
      </c>
      <c r="V34" s="57">
        <f>T34-U34</f>
        <v/>
      </c>
      <c r="W34" s="57">
        <f>N34-T34</f>
        <v/>
      </c>
      <c r="X34" s="34" t="n"/>
    </row>
    <row r="35" ht="22" customHeight="1">
      <c r="B35" s="5" t="n">
        <v>31</v>
      </c>
      <c r="C35" s="6" t="inlineStr">
        <is>
          <t>Sidi Kacem</t>
        </is>
      </c>
      <c r="D35" s="5" t="inlineStr">
        <is>
          <t>NOUIRAT</t>
        </is>
      </c>
      <c r="E35" s="5" t="inlineStr">
        <is>
          <t>50-21</t>
        </is>
      </c>
      <c r="F35" s="5" t="inlineStr">
        <is>
          <t>Entretien et réparation des stations de pompage</t>
        </is>
      </c>
      <c r="G35" s="5" t="inlineStr">
        <is>
          <t>Prestation de maintenance des débitmètres et leurs équipements annexes installés au niveau des station de pompage</t>
        </is>
      </c>
      <c r="H35" s="5" t="inlineStr">
        <is>
          <t>Changement du débitmètre Ø 1200mm inondé de la station de pompage E1.</t>
        </is>
      </c>
      <c r="I35" s="7" t="n">
        <v>195000</v>
      </c>
      <c r="J35" s="8" t="inlineStr">
        <is>
          <t>U</t>
        </is>
      </c>
      <c r="K35" s="9" t="n">
        <v>2</v>
      </c>
      <c r="L35" s="51" t="n"/>
      <c r="M35" s="52">
        <f>'S33'!M35+L35</f>
        <v/>
      </c>
      <c r="N35" s="53">
        <f>IFERROR(M35/K35,0)</f>
        <v/>
      </c>
      <c r="O35" s="54">
        <f>'S33'!N35</f>
        <v/>
      </c>
      <c r="P35" s="53">
        <f>N35-O35</f>
        <v/>
      </c>
      <c r="Q35" s="32" t="n"/>
      <c r="R35" s="32" t="n"/>
      <c r="S35" s="32" t="n"/>
      <c r="T35" s="55" t="n"/>
      <c r="U35" s="54">
        <f>'S33'!T35</f>
        <v/>
      </c>
      <c r="V35" s="53">
        <f>T35-U35</f>
        <v/>
      </c>
      <c r="W35" s="53">
        <f>N35-T35</f>
        <v/>
      </c>
      <c r="X35" s="34" t="n"/>
    </row>
    <row r="36" ht="22" customHeight="1">
      <c r="B36" s="10" t="n">
        <v>32</v>
      </c>
      <c r="C36" s="6" t="inlineStr">
        <is>
          <t>Sidi Kacem</t>
        </is>
      </c>
      <c r="D36" s="10" t="inlineStr">
        <is>
          <t>NOUIRAT</t>
        </is>
      </c>
      <c r="E36" s="10" t="inlineStr">
        <is>
          <t>50-21</t>
        </is>
      </c>
      <c r="F36" s="10" t="inlineStr">
        <is>
          <t>Entretien et réparation des stations de pompage</t>
        </is>
      </c>
      <c r="G36" s="10" t="inlineStr">
        <is>
          <t>Prestations de maintenance des moteurs électriques des stations de pompage.</t>
        </is>
      </c>
      <c r="H36" s="10" t="inlineStr">
        <is>
          <t>Révision des deux moteurs électriques principaux de la station E1.</t>
        </is>
      </c>
      <c r="I36" s="11" t="n">
        <v>50000</v>
      </c>
      <c r="J36" s="12" t="inlineStr">
        <is>
          <t>U</t>
        </is>
      </c>
      <c r="K36" s="13" t="n">
        <v>2</v>
      </c>
      <c r="L36" s="51" t="n"/>
      <c r="M36" s="56">
        <f>'S33'!M36+L36</f>
        <v/>
      </c>
      <c r="N36" s="57">
        <f>IFERROR(M36/K36,0)</f>
        <v/>
      </c>
      <c r="O36" s="58">
        <f>'S33'!N36</f>
        <v/>
      </c>
      <c r="P36" s="57">
        <f>N36-O36</f>
        <v/>
      </c>
      <c r="Q36" s="32" t="n"/>
      <c r="R36" s="32" t="n"/>
      <c r="S36" s="32" t="n"/>
      <c r="T36" s="55" t="n"/>
      <c r="U36" s="58">
        <f>'S33'!T36</f>
        <v/>
      </c>
      <c r="V36" s="57">
        <f>T36-U36</f>
        <v/>
      </c>
      <c r="W36" s="57">
        <f>N36-T36</f>
        <v/>
      </c>
      <c r="X36" s="34" t="n"/>
    </row>
    <row r="37" ht="22" customHeight="1">
      <c r="B37" s="5" t="n">
        <v>33</v>
      </c>
      <c r="C37" s="6" t="inlineStr">
        <is>
          <t>Sidi Kacem</t>
        </is>
      </c>
      <c r="D37" s="5" t="inlineStr">
        <is>
          <t>NOUIRAT</t>
        </is>
      </c>
      <c r="E37" s="5" t="inlineStr">
        <is>
          <t>50-21</t>
        </is>
      </c>
      <c r="F37" s="5" t="inlineStr">
        <is>
          <t>Entretien et réparation des stations de pompage</t>
        </is>
      </c>
      <c r="G37" s="5" t="inlineStr">
        <is>
          <t>Prestations de maintenance et de réparation mécanique des pompes et des groupes motopompes submersibles des stations de pompage.</t>
        </is>
      </c>
      <c r="H37" s="5" t="inlineStr">
        <is>
          <t>Démontage et expertise des cinq pompes principaux et pompes a vide de la station E1.
Changement des roulements, tresses et organes d’effectués de la station E1.</t>
        </is>
      </c>
      <c r="I37" s="7" t="n">
        <v>245000</v>
      </c>
      <c r="J37" s="8" t="inlineStr">
        <is>
          <t>U</t>
        </is>
      </c>
      <c r="K37" s="9" t="n">
        <v>5</v>
      </c>
      <c r="L37" s="51" t="n"/>
      <c r="M37" s="52">
        <f>'S33'!M37+L37</f>
        <v/>
      </c>
      <c r="N37" s="53">
        <f>IFERROR(M37/K37,0)</f>
        <v/>
      </c>
      <c r="O37" s="54">
        <f>'S33'!N37</f>
        <v/>
      </c>
      <c r="P37" s="53">
        <f>N37-O37</f>
        <v/>
      </c>
      <c r="Q37" s="32" t="n"/>
      <c r="R37" s="32" t="n"/>
      <c r="S37" s="32" t="n"/>
      <c r="T37" s="55" t="n"/>
      <c r="U37" s="54">
        <f>'S33'!T37</f>
        <v/>
      </c>
      <c r="V37" s="53">
        <f>T37-U37</f>
        <v/>
      </c>
      <c r="W37" s="53">
        <f>N37-T37</f>
        <v/>
      </c>
      <c r="X37" s="34" t="n"/>
    </row>
    <row r="38" ht="22" customHeight="1">
      <c r="B38" s="10" t="n">
        <v>34</v>
      </c>
      <c r="C38" s="6" t="inlineStr">
        <is>
          <t>Sidi Kacem</t>
        </is>
      </c>
      <c r="D38" s="10" t="inlineStr">
        <is>
          <t>NOUIRAT</t>
        </is>
      </c>
      <c r="E38" s="10" t="inlineStr">
        <is>
          <t>50-21</t>
        </is>
      </c>
      <c r="F38" s="10" t="inlineStr">
        <is>
          <t>Entretien et réparation des stations de pompage</t>
        </is>
      </c>
      <c r="G38" s="10" t="inlineStr">
        <is>
          <t>Génie civile des locaux des stations de pompage.</t>
        </is>
      </c>
      <c r="H38" s="10" t="inlineStr">
        <is>
          <t>Expertise d’état et d’étanchéité des locaux pompes, commande, puissance de la station de pompage E1.
Renforcement d’étanchéité des locaux pompe sous niveau des oueds de la station de pompage E1.</t>
        </is>
      </c>
      <c r="I38" s="11" t="n">
        <v>1000000</v>
      </c>
      <c r="J38" s="12" t="inlineStr">
        <is>
          <t>U</t>
        </is>
      </c>
      <c r="K38" s="13" t="n">
        <v>1</v>
      </c>
      <c r="L38" s="51" t="n"/>
      <c r="M38" s="56">
        <f>'S33'!M38+L38</f>
        <v/>
      </c>
      <c r="N38" s="57">
        <f>IFERROR(M38/K38,0)</f>
        <v/>
      </c>
      <c r="O38" s="58">
        <f>'S33'!N38</f>
        <v/>
      </c>
      <c r="P38" s="57">
        <f>N38-O38</f>
        <v/>
      </c>
      <c r="Q38" s="32" t="n"/>
      <c r="R38" s="32" t="n"/>
      <c r="S38" s="32" t="n"/>
      <c r="T38" s="55" t="n"/>
      <c r="U38" s="58">
        <f>'S33'!T38</f>
        <v/>
      </c>
      <c r="V38" s="57">
        <f>T38-U38</f>
        <v/>
      </c>
      <c r="W38" s="57">
        <f>N38-T38</f>
        <v/>
      </c>
      <c r="X38" s="34" t="n"/>
    </row>
    <row r="39" ht="22" customHeight="1">
      <c r="B39" s="5" t="n">
        <v>35</v>
      </c>
      <c r="C39" s="6" t="inlineStr">
        <is>
          <t>Sidi Kacem</t>
        </is>
      </c>
      <c r="D39" s="5" t="inlineStr">
        <is>
          <t>RMILAT</t>
        </is>
      </c>
      <c r="E39" s="5" t="inlineStr">
        <is>
          <t>50-23</t>
        </is>
      </c>
      <c r="F39" s="5" t="inlineStr">
        <is>
          <t>Entretien et réparation du réseau d'assainissement et de drainage</t>
        </is>
      </c>
      <c r="G39" s="5" t="inlineStr">
        <is>
          <t>Travaux de curage des canaux en terre</t>
        </is>
      </c>
      <c r="H39" s="5" t="inlineStr">
        <is>
          <t>Curage des collecteurs d'assainissement des secteurs P7</t>
        </is>
      </c>
      <c r="I39" s="7" t="n">
        <v>5024032</v>
      </c>
      <c r="J39" s="8" t="inlineStr">
        <is>
          <t>ml</t>
        </is>
      </c>
      <c r="K39" s="9" t="n">
        <v>2512</v>
      </c>
      <c r="L39" s="51" t="n"/>
      <c r="M39" s="52">
        <f>'S33'!M39+L39</f>
        <v/>
      </c>
      <c r="N39" s="53">
        <f>IFERROR(M39/K39,0)</f>
        <v/>
      </c>
      <c r="O39" s="54">
        <f>'S33'!N39</f>
        <v/>
      </c>
      <c r="P39" s="53">
        <f>N39-O39</f>
        <v/>
      </c>
      <c r="Q39" s="32" t="n"/>
      <c r="R39" s="32" t="n"/>
      <c r="S39" s="32" t="n"/>
      <c r="T39" s="55" t="n"/>
      <c r="U39" s="54">
        <f>'S33'!T39</f>
        <v/>
      </c>
      <c r="V39" s="53">
        <f>T39-U39</f>
        <v/>
      </c>
      <c r="W39" s="53">
        <f>N39-T39</f>
        <v/>
      </c>
      <c r="X39" s="34" t="n"/>
    </row>
    <row r="40" ht="22" customHeight="1">
      <c r="B40" s="10" t="n">
        <v>36</v>
      </c>
      <c r="C40" s="6" t="inlineStr">
        <is>
          <t>Sidi Kacem</t>
        </is>
      </c>
      <c r="D40" s="10" t="inlineStr">
        <is>
          <t>RMILAT</t>
        </is>
      </c>
      <c r="E40" s="10" t="inlineStr">
        <is>
          <t>40-21</t>
        </is>
      </c>
      <c r="F40" s="10" t="inlineStr">
        <is>
          <t>Travaux de pistes</t>
        </is>
      </c>
      <c r="G40" s="10" t="inlineStr">
        <is>
          <t>Entretien des pistes agricoles</t>
        </is>
      </c>
      <c r="H40" s="10" t="inlineStr">
        <is>
          <t>Entretien des pistes agricoles</t>
        </is>
      </c>
      <c r="I40" s="11" t="n">
        <v>400000</v>
      </c>
      <c r="J40" s="12" t="inlineStr">
        <is>
          <t>km</t>
        </is>
      </c>
      <c r="K40" s="13" t="n">
        <v>1</v>
      </c>
      <c r="L40" s="51" t="n"/>
      <c r="M40" s="56">
        <f>'S33'!M40+L40</f>
        <v/>
      </c>
      <c r="N40" s="57">
        <f>IFERROR(M40/K40,0)</f>
        <v/>
      </c>
      <c r="O40" s="58">
        <f>'S33'!N40</f>
        <v/>
      </c>
      <c r="P40" s="57">
        <f>N40-O40</f>
        <v/>
      </c>
      <c r="Q40" s="32" t="n"/>
      <c r="R40" s="32" t="n"/>
      <c r="S40" s="32" t="n"/>
      <c r="T40" s="55" t="n"/>
      <c r="U40" s="58">
        <f>'S33'!T40</f>
        <v/>
      </c>
      <c r="V40" s="57">
        <f>T40-U40</f>
        <v/>
      </c>
      <c r="W40" s="57">
        <f>N40-T40</f>
        <v/>
      </c>
      <c r="X40" s="34" t="n"/>
    </row>
    <row r="41" ht="22" customHeight="1">
      <c r="B41" s="5" t="n">
        <v>37</v>
      </c>
      <c r="C41" s="6" t="inlineStr">
        <is>
          <t>Sidi Kacem</t>
        </is>
      </c>
      <c r="D41" s="5" t="inlineStr">
        <is>
          <t>SAFSAF</t>
        </is>
      </c>
      <c r="E41" s="5" t="inlineStr">
        <is>
          <t>50-23</t>
        </is>
      </c>
      <c r="F41" s="5" t="inlineStr">
        <is>
          <t>Entretien et réparation du réseau d'assainissement et de drainage</t>
        </is>
      </c>
      <c r="G41" s="5" t="inlineStr">
        <is>
          <t>Travaux de curage des canaux en terre</t>
        </is>
      </c>
      <c r="H41" s="5" t="inlineStr">
        <is>
          <t>Curage des collecteurs d'assainissement des secteurs S7, S9 et S11</t>
        </is>
      </c>
      <c r="I41" s="7" t="n">
        <v>6000000</v>
      </c>
      <c r="J41" s="8" t="inlineStr">
        <is>
          <t>ml</t>
        </is>
      </c>
      <c r="K41" s="9" t="n">
        <v>3000</v>
      </c>
      <c r="L41" s="51" t="n"/>
      <c r="M41" s="52">
        <f>'S33'!M41+L41</f>
        <v/>
      </c>
      <c r="N41" s="53">
        <f>IFERROR(M41/K41,0)</f>
        <v/>
      </c>
      <c r="O41" s="54">
        <f>'S33'!N41</f>
        <v/>
      </c>
      <c r="P41" s="53">
        <f>N41-O41</f>
        <v/>
      </c>
      <c r="Q41" s="32" t="n"/>
      <c r="R41" s="32" t="n"/>
      <c r="S41" s="32" t="n"/>
      <c r="T41" s="55" t="n"/>
      <c r="U41" s="54">
        <f>'S33'!T41</f>
        <v/>
      </c>
      <c r="V41" s="53">
        <f>T41-U41</f>
        <v/>
      </c>
      <c r="W41" s="53">
        <f>N41-T41</f>
        <v/>
      </c>
      <c r="X41" s="34" t="n"/>
    </row>
    <row r="42" ht="22" customHeight="1">
      <c r="B42" s="10" t="n">
        <v>38</v>
      </c>
      <c r="C42" s="6" t="inlineStr">
        <is>
          <t>Sidi Kacem</t>
        </is>
      </c>
      <c r="D42" s="10" t="inlineStr">
        <is>
          <t>SAFSAF</t>
        </is>
      </c>
      <c r="E42" s="10" t="inlineStr">
        <is>
          <t>20-11</t>
        </is>
      </c>
      <c r="F42" s="10" t="inlineStr">
        <is>
          <t>Travaux de réhabilitation des équipements</t>
        </is>
      </c>
      <c r="G42" s="10" t="inlineStr">
        <is>
          <t>Travaux de réhabilitation des canaux portés d'irrigation</t>
        </is>
      </c>
      <c r="H42" s="10" t="inlineStr">
        <is>
          <t>Fourniture et  pose de canaux porté et accessoires du réseau S4 du secteur S11</t>
        </is>
      </c>
      <c r="I42" s="11" t="n">
        <v>232266</v>
      </c>
      <c r="J42" s="12" t="inlineStr">
        <is>
          <t>ml</t>
        </is>
      </c>
      <c r="K42" s="13" t="n">
        <v>77</v>
      </c>
      <c r="L42" s="51" t="n"/>
      <c r="M42" s="56">
        <f>'S33'!M42+L42</f>
        <v/>
      </c>
      <c r="N42" s="57">
        <f>IFERROR(M42/K42,0)</f>
        <v/>
      </c>
      <c r="O42" s="58">
        <f>'S33'!N42</f>
        <v/>
      </c>
      <c r="P42" s="57">
        <f>N42-O42</f>
        <v/>
      </c>
      <c r="Q42" s="32" t="n"/>
      <c r="R42" s="32" t="n"/>
      <c r="S42" s="32" t="n"/>
      <c r="T42" s="55" t="n"/>
      <c r="U42" s="58">
        <f>'S33'!T42</f>
        <v/>
      </c>
      <c r="V42" s="57">
        <f>T42-U42</f>
        <v/>
      </c>
      <c r="W42" s="57">
        <f>N42-T42</f>
        <v/>
      </c>
      <c r="X42" s="34" t="n"/>
    </row>
    <row r="43" ht="22" customHeight="1">
      <c r="B43" s="5" t="n">
        <v>39</v>
      </c>
      <c r="C43" s="6" t="inlineStr">
        <is>
          <t>Sidi Kacem</t>
        </is>
      </c>
      <c r="D43" s="5" t="inlineStr">
        <is>
          <t>SAFSAF</t>
        </is>
      </c>
      <c r="E43" s="5" t="inlineStr">
        <is>
          <t>20-11</t>
        </is>
      </c>
      <c r="F43" s="5" t="inlineStr">
        <is>
          <t>Travaux de réhabilitation des équipements</t>
        </is>
      </c>
      <c r="G43" s="5" t="inlineStr"/>
      <c r="H43" s="5" t="inlineStr">
        <is>
          <t>Recalage des canaux portés du réseau T5S5 du secteur S9</t>
        </is>
      </c>
      <c r="I43" s="7" t="n">
        <v>1055025</v>
      </c>
      <c r="J43" s="8" t="inlineStr">
        <is>
          <t>ml</t>
        </is>
      </c>
      <c r="K43" s="9" t="n">
        <v>352</v>
      </c>
      <c r="L43" s="51" t="n"/>
      <c r="M43" s="52">
        <f>'S33'!M43+L43</f>
        <v/>
      </c>
      <c r="N43" s="53">
        <f>IFERROR(M43/K43,0)</f>
        <v/>
      </c>
      <c r="O43" s="54">
        <f>'S33'!N43</f>
        <v/>
      </c>
      <c r="P43" s="53">
        <f>N43-O43</f>
        <v/>
      </c>
      <c r="Q43" s="32" t="n"/>
      <c r="R43" s="32" t="n"/>
      <c r="S43" s="32" t="n"/>
      <c r="T43" s="55" t="n"/>
      <c r="U43" s="54">
        <f>'S33'!T43</f>
        <v/>
      </c>
      <c r="V43" s="53">
        <f>T43-U43</f>
        <v/>
      </c>
      <c r="W43" s="53">
        <f>N43-T43</f>
        <v/>
      </c>
      <c r="X43" s="34" t="n"/>
    </row>
    <row r="44" ht="22" customHeight="1">
      <c r="B44" s="10" t="n">
        <v>40</v>
      </c>
      <c r="C44" s="6" t="inlineStr">
        <is>
          <t>Sidi Kacem</t>
        </is>
      </c>
      <c r="D44" s="10" t="inlineStr">
        <is>
          <t>SAFSAF</t>
        </is>
      </c>
      <c r="E44" s="10" t="inlineStr">
        <is>
          <t>20-11</t>
        </is>
      </c>
      <c r="F44" s="10" t="inlineStr">
        <is>
          <t>Travaux de réhabilitation des équipements</t>
        </is>
      </c>
      <c r="G44" s="10" t="inlineStr"/>
      <c r="H44" s="10" t="inlineStr">
        <is>
          <t>Recalage des canaux portés du réseau T7S5 du secteur S9</t>
        </is>
      </c>
      <c r="I44" s="11" t="n">
        <v>1004535</v>
      </c>
      <c r="J44" s="12" t="inlineStr">
        <is>
          <t>ml</t>
        </is>
      </c>
      <c r="K44" s="13" t="n">
        <v>335</v>
      </c>
      <c r="L44" s="51" t="n"/>
      <c r="M44" s="56">
        <f>'S33'!M44+L44</f>
        <v/>
      </c>
      <c r="N44" s="57">
        <f>IFERROR(M44/K44,0)</f>
        <v/>
      </c>
      <c r="O44" s="58">
        <f>'S33'!N44</f>
        <v/>
      </c>
      <c r="P44" s="57">
        <f>N44-O44</f>
        <v/>
      </c>
      <c r="Q44" s="32" t="n"/>
      <c r="R44" s="32" t="n"/>
      <c r="S44" s="32" t="n"/>
      <c r="T44" s="55" t="n"/>
      <c r="U44" s="58">
        <f>'S33'!T44</f>
        <v/>
      </c>
      <c r="V44" s="57">
        <f>T44-U44</f>
        <v/>
      </c>
      <c r="W44" s="57">
        <f>N44-T44</f>
        <v/>
      </c>
      <c r="X44" s="34" t="n"/>
    </row>
    <row r="45" ht="22" customHeight="1">
      <c r="B45" s="5" t="n">
        <v>41</v>
      </c>
      <c r="C45" s="6" t="inlineStr">
        <is>
          <t>Sidi Kacem</t>
        </is>
      </c>
      <c r="D45" s="5" t="inlineStr">
        <is>
          <t>SAFSAF</t>
        </is>
      </c>
      <c r="E45" s="5" t="inlineStr">
        <is>
          <t>20-11</t>
        </is>
      </c>
      <c r="F45" s="5" t="inlineStr">
        <is>
          <t>Travaux de réhabilitation des équipements</t>
        </is>
      </c>
      <c r="G45" s="5" t="inlineStr"/>
      <c r="H45" s="5" t="inlineStr">
        <is>
          <t>Recalage des canaux portés du réseau T2S5 du secteur S9</t>
        </is>
      </c>
      <c r="I45" s="7" t="n">
        <v>793830</v>
      </c>
      <c r="J45" s="8" t="inlineStr">
        <is>
          <t>ml</t>
        </is>
      </c>
      <c r="K45" s="9" t="n">
        <v>265</v>
      </c>
      <c r="L45" s="51" t="n"/>
      <c r="M45" s="52">
        <f>'S33'!M45+L45</f>
        <v/>
      </c>
      <c r="N45" s="53">
        <f>IFERROR(M45/K45,0)</f>
        <v/>
      </c>
      <c r="O45" s="54">
        <f>'S33'!N45</f>
        <v/>
      </c>
      <c r="P45" s="53">
        <f>N45-O45</f>
        <v/>
      </c>
      <c r="Q45" s="32" t="n"/>
      <c r="R45" s="32" t="n"/>
      <c r="S45" s="32" t="n"/>
      <c r="T45" s="55" t="n"/>
      <c r="U45" s="54">
        <f>'S33'!T45</f>
        <v/>
      </c>
      <c r="V45" s="53">
        <f>T45-U45</f>
        <v/>
      </c>
      <c r="W45" s="53">
        <f>N45-T45</f>
        <v/>
      </c>
      <c r="X45" s="34" t="n"/>
    </row>
    <row r="46" ht="22" customHeight="1">
      <c r="B46" s="10" t="n">
        <v>42</v>
      </c>
      <c r="C46" s="6" t="inlineStr">
        <is>
          <t>Sidi Kacem</t>
        </is>
      </c>
      <c r="D46" s="10" t="inlineStr">
        <is>
          <t>SAFSAF</t>
        </is>
      </c>
      <c r="E46" s="10" t="inlineStr">
        <is>
          <t>40-21</t>
        </is>
      </c>
      <c r="F46" s="10" t="inlineStr">
        <is>
          <t>Travaux de pistes</t>
        </is>
      </c>
      <c r="G46" s="10" t="inlineStr">
        <is>
          <t>Entretien des pistes agricoles</t>
        </is>
      </c>
      <c r="H46" s="10" t="inlineStr">
        <is>
          <t>Entretien des pistes agricoles</t>
        </is>
      </c>
      <c r="I46" s="11" t="n">
        <v>2000000</v>
      </c>
      <c r="J46" s="12" t="inlineStr">
        <is>
          <t>km</t>
        </is>
      </c>
      <c r="K46" s="13" t="n">
        <v>4</v>
      </c>
      <c r="L46" s="51" t="n"/>
      <c r="M46" s="56">
        <f>'S33'!M46+L46</f>
        <v/>
      </c>
      <c r="N46" s="57">
        <f>IFERROR(M46/K46,0)</f>
        <v/>
      </c>
      <c r="O46" s="58">
        <f>'S33'!N46</f>
        <v/>
      </c>
      <c r="P46" s="57">
        <f>N46-O46</f>
        <v/>
      </c>
      <c r="Q46" s="32" t="n"/>
      <c r="R46" s="32" t="n"/>
      <c r="S46" s="32" t="n"/>
      <c r="T46" s="55" t="n"/>
      <c r="U46" s="58">
        <f>'S33'!T46</f>
        <v/>
      </c>
      <c r="V46" s="57">
        <f>T46-U46</f>
        <v/>
      </c>
      <c r="W46" s="57">
        <f>N46-T46</f>
        <v/>
      </c>
      <c r="X46" s="34" t="n"/>
    </row>
    <row r="47" ht="22" customHeight="1">
      <c r="B47" s="5" t="n">
        <v>43</v>
      </c>
      <c r="C47" s="6" t="inlineStr">
        <is>
          <t>Sidi Kacem</t>
        </is>
      </c>
      <c r="D47" s="5" t="inlineStr">
        <is>
          <t>SAFSAF</t>
        </is>
      </c>
      <c r="E47" s="5" t="inlineStr">
        <is>
          <t>50-23</t>
        </is>
      </c>
      <c r="F47" s="5" t="inlineStr">
        <is>
          <t>Entretien et réparation du réseau d'assainissement et de drainage</t>
        </is>
      </c>
      <c r="G47" s="5" t="inlineStr">
        <is>
          <t>Curage des prises sur l’oued, bâche d’aspiration et bassin de régulation.</t>
        </is>
      </c>
      <c r="H47" s="5" t="inlineStr">
        <is>
          <t>Curage des prises sur l’oued des stations de pompage S11, S9, 7D et 7B.
Nettoyage des grilles de préfiltration des boues colmaté des stations de pompage S11, S9, 7D et 7B.
Nettoyage des crépines des boues colmaté de station pompage 7D.
Curage des dalots et bâche d’aspiration des stations de pompage S11, S9, 7B.</t>
        </is>
      </c>
      <c r="I47" s="7" t="n">
        <v>200000</v>
      </c>
      <c r="J47" s="8" t="inlineStr">
        <is>
          <t>ml</t>
        </is>
      </c>
      <c r="K47" s="9" t="n">
        <v>67</v>
      </c>
      <c r="L47" s="51" t="n"/>
      <c r="M47" s="52">
        <f>'S33'!M47+L47</f>
        <v/>
      </c>
      <c r="N47" s="53">
        <f>IFERROR(M47/K47,0)</f>
        <v/>
      </c>
      <c r="O47" s="54">
        <f>'S33'!N47</f>
        <v/>
      </c>
      <c r="P47" s="53">
        <f>N47-O47</f>
        <v/>
      </c>
      <c r="Q47" s="32" t="n"/>
      <c r="R47" s="32" t="n"/>
      <c r="S47" s="32" t="n"/>
      <c r="T47" s="55" t="n"/>
      <c r="U47" s="54">
        <f>'S33'!T47</f>
        <v/>
      </c>
      <c r="V47" s="53">
        <f>T47-U47</f>
        <v/>
      </c>
      <c r="W47" s="53">
        <f>N47-T47</f>
        <v/>
      </c>
      <c r="X47" s="34" t="n"/>
    </row>
    <row r="48" ht="22" customHeight="1">
      <c r="B48" s="10" t="n">
        <v>44</v>
      </c>
      <c r="C48" s="6" t="inlineStr">
        <is>
          <t>Sidi Kacem</t>
        </is>
      </c>
      <c r="D48" s="10" t="inlineStr">
        <is>
          <t>SAFSAF</t>
        </is>
      </c>
      <c r="E48" s="10" t="inlineStr">
        <is>
          <t>50-21</t>
        </is>
      </c>
      <c r="F48" s="10" t="inlineStr">
        <is>
          <t>Entretien et réparation des stations de pompage</t>
        </is>
      </c>
      <c r="G48" s="10" t="inlineStr">
        <is>
          <t>Prestation de maintenance des débitmètres et leurs équipements annexes installés au niveau des station de pompage</t>
        </is>
      </c>
      <c r="H48" s="10" t="inlineStr">
        <is>
          <t>Changements Sept des débitmètres Ø 600mm inondé des deux stations de pompage S11 et S9.</t>
        </is>
      </c>
      <c r="I48" s="11" t="n">
        <v>580000</v>
      </c>
      <c r="J48" s="12" t="inlineStr">
        <is>
          <t>U</t>
        </is>
      </c>
      <c r="K48" s="13" t="n">
        <v>7</v>
      </c>
      <c r="L48" s="51" t="n"/>
      <c r="M48" s="56">
        <f>'S33'!M48+L48</f>
        <v/>
      </c>
      <c r="N48" s="57">
        <f>IFERROR(M48/K48,0)</f>
        <v/>
      </c>
      <c r="O48" s="58">
        <f>'S33'!N48</f>
        <v/>
      </c>
      <c r="P48" s="57">
        <f>N48-O48</f>
        <v/>
      </c>
      <c r="Q48" s="32" t="n"/>
      <c r="R48" s="32" t="n"/>
      <c r="S48" s="32" t="n"/>
      <c r="T48" s="55" t="n"/>
      <c r="U48" s="58">
        <f>'S33'!T48</f>
        <v/>
      </c>
      <c r="V48" s="57">
        <f>T48-U48</f>
        <v/>
      </c>
      <c r="W48" s="57">
        <f>N48-T48</f>
        <v/>
      </c>
      <c r="X48" s="34" t="n"/>
    </row>
    <row r="49" ht="22" customHeight="1">
      <c r="B49" s="5" t="n">
        <v>45</v>
      </c>
      <c r="C49" s="6" t="inlineStr">
        <is>
          <t>Sidi Kacem</t>
        </is>
      </c>
      <c r="D49" s="5" t="inlineStr">
        <is>
          <t>SAFSAF</t>
        </is>
      </c>
      <c r="E49" s="5" t="inlineStr">
        <is>
          <t>50-21</t>
        </is>
      </c>
      <c r="F49" s="5" t="inlineStr">
        <is>
          <t>Entretien et réparation des stations de pompage</t>
        </is>
      </c>
      <c r="G49" s="5" t="inlineStr">
        <is>
          <t>Stabilisation Berge oued</t>
        </is>
      </c>
      <c r="H49" s="5" t="inlineStr">
        <is>
          <t>Pose de murs en gabions et recouvrement du talus par matelas Reno des stations de pompage S11, S9, 7D et 7B .</t>
        </is>
      </c>
      <c r="I49" s="7" t="n">
        <v>4000000</v>
      </c>
      <c r="J49" s="8" t="inlineStr">
        <is>
          <t>m³</t>
        </is>
      </c>
      <c r="K49" s="9" t="n">
        <v>2667</v>
      </c>
      <c r="L49" s="51" t="n"/>
      <c r="M49" s="52">
        <f>'S33'!M49+L49</f>
        <v/>
      </c>
      <c r="N49" s="53">
        <f>IFERROR(M49/K49,0)</f>
        <v/>
      </c>
      <c r="O49" s="54">
        <f>'S33'!N49</f>
        <v/>
      </c>
      <c r="P49" s="53">
        <f>N49-O49</f>
        <v/>
      </c>
      <c r="Q49" s="32" t="n"/>
      <c r="R49" s="32" t="n"/>
      <c r="S49" s="32" t="n"/>
      <c r="T49" s="55" t="n"/>
      <c r="U49" s="54">
        <f>'S33'!T49</f>
        <v/>
      </c>
      <c r="V49" s="53">
        <f>T49-U49</f>
        <v/>
      </c>
      <c r="W49" s="53">
        <f>N49-T49</f>
        <v/>
      </c>
      <c r="X49" s="34" t="n"/>
    </row>
    <row r="50" ht="22" customHeight="1">
      <c r="B50" s="10" t="n">
        <v>46</v>
      </c>
      <c r="C50" s="6" t="inlineStr">
        <is>
          <t>Sidi Kacem</t>
        </is>
      </c>
      <c r="D50" s="10" t="inlineStr">
        <is>
          <t>SIDI AZZOUZ</t>
        </is>
      </c>
      <c r="E50" s="10" t="inlineStr">
        <is>
          <t>40-21</t>
        </is>
      </c>
      <c r="F50" s="10" t="inlineStr">
        <is>
          <t>Travaux de pistes</t>
        </is>
      </c>
      <c r="G50" s="10" t="inlineStr">
        <is>
          <t>Entretien des pistes agricoles</t>
        </is>
      </c>
      <c r="H50" s="10" t="inlineStr">
        <is>
          <t>Entretien des pistes agricoles</t>
        </is>
      </c>
      <c r="I50" s="11" t="n">
        <v>655000</v>
      </c>
      <c r="J50" s="12" t="inlineStr">
        <is>
          <t>km</t>
        </is>
      </c>
      <c r="K50" s="13" t="n">
        <v>1</v>
      </c>
      <c r="L50" s="51" t="n"/>
      <c r="M50" s="56">
        <f>'S33'!M50+L50</f>
        <v/>
      </c>
      <c r="N50" s="57">
        <f>IFERROR(M50/K50,0)</f>
        <v/>
      </c>
      <c r="O50" s="58">
        <f>'S33'!N50</f>
        <v/>
      </c>
      <c r="P50" s="57">
        <f>N50-O50</f>
        <v/>
      </c>
      <c r="Q50" s="32" t="n"/>
      <c r="R50" s="32" t="n"/>
      <c r="S50" s="32" t="n"/>
      <c r="T50" s="55" t="n"/>
      <c r="U50" s="58">
        <f>'S33'!T50</f>
        <v/>
      </c>
      <c r="V50" s="57">
        <f>T50-U50</f>
        <v/>
      </c>
      <c r="W50" s="57">
        <f>N50-T50</f>
        <v/>
      </c>
      <c r="X50" s="34" t="n"/>
    </row>
    <row r="51" ht="22" customHeight="1">
      <c r="B51" s="5" t="n">
        <v>47</v>
      </c>
      <c r="C51" s="6" t="inlineStr">
        <is>
          <t>Sidi Kacem</t>
        </is>
      </c>
      <c r="D51" s="5" t="inlineStr">
        <is>
          <t>SIDI EL KAMEL</t>
        </is>
      </c>
      <c r="E51" s="5" t="inlineStr">
        <is>
          <t>20-11</t>
        </is>
      </c>
      <c r="F51" s="5" t="inlineStr">
        <is>
          <t>Travaux de réhabilitation des équipements</t>
        </is>
      </c>
      <c r="G51" s="5" t="inlineStr">
        <is>
          <t>Travaux de réhabilitation des canaux portés d'irrigation</t>
        </is>
      </c>
      <c r="H51" s="5" t="inlineStr">
        <is>
          <t>Fourniture et de pose de canaux porté et accessoires du réseau SR4 du secteur S3R</t>
        </is>
      </c>
      <c r="I51" s="7" t="n">
        <v>5182920</v>
      </c>
      <c r="J51" s="8" t="inlineStr">
        <is>
          <t>ml</t>
        </is>
      </c>
      <c r="K51" s="9" t="n">
        <v>1728</v>
      </c>
      <c r="L51" s="51" t="n"/>
      <c r="M51" s="52">
        <f>'S33'!M51+L51</f>
        <v/>
      </c>
      <c r="N51" s="53">
        <f>IFERROR(M51/K51,0)</f>
        <v/>
      </c>
      <c r="O51" s="54">
        <f>'S33'!N51</f>
        <v/>
      </c>
      <c r="P51" s="53">
        <f>N51-O51</f>
        <v/>
      </c>
      <c r="Q51" s="32" t="n"/>
      <c r="R51" s="32" t="n"/>
      <c r="S51" s="32" t="n"/>
      <c r="T51" s="55" t="n"/>
      <c r="U51" s="54">
        <f>'S33'!T51</f>
        <v/>
      </c>
      <c r="V51" s="53">
        <f>T51-U51</f>
        <v/>
      </c>
      <c r="W51" s="53">
        <f>N51-T51</f>
        <v/>
      </c>
      <c r="X51" s="34" t="n"/>
    </row>
    <row r="52" ht="22" customHeight="1">
      <c r="B52" s="10" t="n">
        <v>48</v>
      </c>
      <c r="C52" s="6" t="inlineStr">
        <is>
          <t>Sidi Kacem</t>
        </is>
      </c>
      <c r="D52" s="10" t="inlineStr">
        <is>
          <t>SIDI EL KAMEL</t>
        </is>
      </c>
      <c r="E52" s="10" t="inlineStr">
        <is>
          <t>20-11</t>
        </is>
      </c>
      <c r="F52" s="10" t="inlineStr">
        <is>
          <t>Travaux de réhabilitation des équipements</t>
        </is>
      </c>
      <c r="G52" s="10" t="inlineStr"/>
      <c r="H52" s="10" t="inlineStr">
        <is>
          <t>Fourniture et de pose de canaux porté et accessoires du réseau SR6 du secteur S1RIZ</t>
        </is>
      </c>
      <c r="I52" s="11" t="n">
        <v>152818</v>
      </c>
      <c r="J52" s="12" t="inlineStr">
        <is>
          <t>ml</t>
        </is>
      </c>
      <c r="K52" s="13" t="n">
        <v>51</v>
      </c>
      <c r="L52" s="51" t="n"/>
      <c r="M52" s="56">
        <f>'S33'!M52+L52</f>
        <v/>
      </c>
      <c r="N52" s="57">
        <f>IFERROR(M52/K52,0)</f>
        <v/>
      </c>
      <c r="O52" s="58">
        <f>'S33'!N52</f>
        <v/>
      </c>
      <c r="P52" s="57">
        <f>N52-O52</f>
        <v/>
      </c>
      <c r="Q52" s="32" t="n"/>
      <c r="R52" s="32" t="n"/>
      <c r="S52" s="32" t="n"/>
      <c r="T52" s="55" t="n"/>
      <c r="U52" s="58">
        <f>'S33'!T52</f>
        <v/>
      </c>
      <c r="V52" s="57">
        <f>T52-U52</f>
        <v/>
      </c>
      <c r="W52" s="57">
        <f>N52-T52</f>
        <v/>
      </c>
      <c r="X52" s="34" t="n"/>
    </row>
    <row r="53" ht="22" customHeight="1">
      <c r="B53" s="5" t="n">
        <v>49</v>
      </c>
      <c r="C53" s="6" t="inlineStr">
        <is>
          <t>Sidi Kacem</t>
        </is>
      </c>
      <c r="D53" s="5" t="inlineStr">
        <is>
          <t>SIDI EL KAMEL</t>
        </is>
      </c>
      <c r="E53" s="5" t="inlineStr">
        <is>
          <t>20-11</t>
        </is>
      </c>
      <c r="F53" s="5" t="inlineStr">
        <is>
          <t>Travaux de réhabilitation des équipements</t>
        </is>
      </c>
      <c r="G53" s="5" t="inlineStr"/>
      <c r="H53" s="5" t="inlineStr">
        <is>
          <t>Recalage des canaux portés du réseau SR4 du secteur S3R</t>
        </is>
      </c>
      <c r="I53" s="7" t="n">
        <v>1418000</v>
      </c>
      <c r="J53" s="8" t="inlineStr">
        <is>
          <t>ml</t>
        </is>
      </c>
      <c r="K53" s="9" t="n">
        <v>473</v>
      </c>
      <c r="L53" s="51" t="n"/>
      <c r="M53" s="52">
        <f>'S33'!M53+L53</f>
        <v/>
      </c>
      <c r="N53" s="53">
        <f>IFERROR(M53/K53,0)</f>
        <v/>
      </c>
      <c r="O53" s="54">
        <f>'S33'!N53</f>
        <v/>
      </c>
      <c r="P53" s="53">
        <f>N53-O53</f>
        <v/>
      </c>
      <c r="Q53" s="32" t="n"/>
      <c r="R53" s="32" t="n"/>
      <c r="S53" s="32" t="n"/>
      <c r="T53" s="55" t="n"/>
      <c r="U53" s="54">
        <f>'S33'!T53</f>
        <v/>
      </c>
      <c r="V53" s="53">
        <f>T53-U53</f>
        <v/>
      </c>
      <c r="W53" s="53">
        <f>N53-T53</f>
        <v/>
      </c>
      <c r="X53" s="34" t="n"/>
    </row>
    <row r="54" ht="22" customHeight="1">
      <c r="B54" s="10" t="n">
        <v>50</v>
      </c>
      <c r="C54" s="6" t="inlineStr">
        <is>
          <t>Sidi Kacem</t>
        </is>
      </c>
      <c r="D54" s="10" t="inlineStr">
        <is>
          <t>SIDI EL KAMEL</t>
        </is>
      </c>
      <c r="E54" s="10" t="inlineStr">
        <is>
          <t>20-11</t>
        </is>
      </c>
      <c r="F54" s="10" t="inlineStr">
        <is>
          <t>Travaux de réhabilitation des équipements</t>
        </is>
      </c>
      <c r="G54" s="10" t="inlineStr">
        <is>
          <t>Travaux de réhabilitation des ouvrages de génie civil</t>
        </is>
      </c>
      <c r="H54" s="10" t="inlineStr">
        <is>
          <t>Réhabilitation des murs de soutènements des ouvrages de franchissements du canal d'assainissement CS3 secteur S3 et de l’ouvrage de franchissement du canal primaire d’irrigation du secteur S1R au niveau de la route provinciale P4234</t>
        </is>
      </c>
      <c r="I54" s="11" t="n">
        <v>800000</v>
      </c>
      <c r="J54" s="12" t="inlineStr">
        <is>
          <t>ml</t>
        </is>
      </c>
      <c r="K54" s="13" t="n">
        <v>400</v>
      </c>
      <c r="L54" s="51" t="n"/>
      <c r="M54" s="56">
        <f>'S33'!M54+L54</f>
        <v/>
      </c>
      <c r="N54" s="57">
        <f>IFERROR(M54/K54,0)</f>
        <v/>
      </c>
      <c r="O54" s="58">
        <f>'S33'!N54</f>
        <v/>
      </c>
      <c r="P54" s="57">
        <f>N54-O54</f>
        <v/>
      </c>
      <c r="Q54" s="32" t="n"/>
      <c r="R54" s="32" t="n"/>
      <c r="S54" s="32" t="n"/>
      <c r="T54" s="55" t="n"/>
      <c r="U54" s="58">
        <f>'S33'!T54</f>
        <v/>
      </c>
      <c r="V54" s="57">
        <f>T54-U54</f>
        <v/>
      </c>
      <c r="W54" s="57">
        <f>N54-T54</f>
        <v/>
      </c>
      <c r="X54" s="34" t="n"/>
    </row>
    <row r="55" ht="22" customHeight="1">
      <c r="B55" s="5" t="n">
        <v>51</v>
      </c>
      <c r="C55" s="6" t="inlineStr">
        <is>
          <t>Sidi Kacem</t>
        </is>
      </c>
      <c r="D55" s="5" t="inlineStr">
        <is>
          <t>SIDI EL KAMEL</t>
        </is>
      </c>
      <c r="E55" s="5" t="inlineStr">
        <is>
          <t>40-21</t>
        </is>
      </c>
      <c r="F55" s="5" t="inlineStr">
        <is>
          <t>Travaux de pistes</t>
        </is>
      </c>
      <c r="G55" s="5" t="inlineStr">
        <is>
          <t>Entretien des pistes agricoles</t>
        </is>
      </c>
      <c r="H55" s="5" t="inlineStr">
        <is>
          <t>Entretien des pistes agricoles</t>
        </is>
      </c>
      <c r="I55" s="7" t="n">
        <v>3700000</v>
      </c>
      <c r="J55" s="8" t="inlineStr">
        <is>
          <t>km</t>
        </is>
      </c>
      <c r="K55" s="9" t="n">
        <v>7</v>
      </c>
      <c r="L55" s="51" t="n"/>
      <c r="M55" s="52">
        <f>'S33'!M55+L55</f>
        <v/>
      </c>
      <c r="N55" s="53">
        <f>IFERROR(M55/K55,0)</f>
        <v/>
      </c>
      <c r="O55" s="54">
        <f>'S33'!N55</f>
        <v/>
      </c>
      <c r="P55" s="53">
        <f>N55-O55</f>
        <v/>
      </c>
      <c r="Q55" s="32" t="n"/>
      <c r="R55" s="32" t="n"/>
      <c r="S55" s="32" t="n"/>
      <c r="T55" s="55" t="n"/>
      <c r="U55" s="54">
        <f>'S33'!T55</f>
        <v/>
      </c>
      <c r="V55" s="53">
        <f>T55-U55</f>
        <v/>
      </c>
      <c r="W55" s="53">
        <f>N55-T55</f>
        <v/>
      </c>
      <c r="X55" s="34" t="n"/>
    </row>
    <row r="56" ht="22" customHeight="1">
      <c r="B56" s="10" t="n">
        <v>52</v>
      </c>
      <c r="C56" s="6" t="inlineStr">
        <is>
          <t>Sidi Kacem</t>
        </is>
      </c>
      <c r="D56" s="10" t="inlineStr">
        <is>
          <t>SIDI EL KAMEL</t>
        </is>
      </c>
      <c r="E56" s="10" t="inlineStr">
        <is>
          <t>50-21</t>
        </is>
      </c>
      <c r="F56" s="10" t="inlineStr">
        <is>
          <t>Entretien et réparation des stations de pompage</t>
        </is>
      </c>
      <c r="G56" s="10" t="inlineStr">
        <is>
          <t>Prestation de maintenance des débitmètres et leurs équipements annexes installés au niveau des station de pompage</t>
        </is>
      </c>
      <c r="H56" s="10" t="inlineStr">
        <is>
          <t>Changement de quatre débitmètres Ø 500mm et trois Ø 800mm inondé des stations de pompage 1R, 3R et 5R.</t>
        </is>
      </c>
      <c r="I56" s="11" t="n">
        <v>705000</v>
      </c>
      <c r="J56" s="12" t="inlineStr">
        <is>
          <t>U</t>
        </is>
      </c>
      <c r="K56" s="13" t="n">
        <v>3</v>
      </c>
      <c r="L56" s="51" t="n"/>
      <c r="M56" s="56">
        <f>'S33'!M56+L56</f>
        <v/>
      </c>
      <c r="N56" s="57">
        <f>IFERROR(M56/K56,0)</f>
        <v/>
      </c>
      <c r="O56" s="58">
        <f>'S33'!N56</f>
        <v/>
      </c>
      <c r="P56" s="57">
        <f>N56-O56</f>
        <v/>
      </c>
      <c r="Q56" s="32" t="n"/>
      <c r="R56" s="32" t="n"/>
      <c r="S56" s="32" t="n"/>
      <c r="T56" s="55" t="n"/>
      <c r="U56" s="58">
        <f>'S33'!T56</f>
        <v/>
      </c>
      <c r="V56" s="57">
        <f>T56-U56</f>
        <v/>
      </c>
      <c r="W56" s="57">
        <f>N56-T56</f>
        <v/>
      </c>
      <c r="X56" s="34" t="n"/>
    </row>
    <row r="57" ht="22" customHeight="1">
      <c r="B57" s="5" t="n">
        <v>53</v>
      </c>
      <c r="C57" s="6" t="inlineStr">
        <is>
          <t>Sidi Kacem</t>
        </is>
      </c>
      <c r="D57" s="5" t="inlineStr">
        <is>
          <t>SIDI EL KAMEL</t>
        </is>
      </c>
      <c r="E57" s="5" t="inlineStr">
        <is>
          <t>50-21</t>
        </is>
      </c>
      <c r="F57" s="5" t="inlineStr">
        <is>
          <t>Entretien et réparation des stations de pompage</t>
        </is>
      </c>
      <c r="G57" s="5" t="inlineStr">
        <is>
          <t>Mur clôture des stations de pompage.</t>
        </is>
      </c>
      <c r="H57" s="5" t="inlineStr">
        <is>
          <t>Stabilisation et reconstruction des murs clôture cote oued des stations de pompage 7A, 3R et 1R.</t>
        </is>
      </c>
      <c r="I57" s="7" t="n">
        <v>372000</v>
      </c>
      <c r="J57" s="8" t="inlineStr">
        <is>
          <t>ml</t>
        </is>
      </c>
      <c r="K57" s="9" t="n">
        <v>124</v>
      </c>
      <c r="L57" s="51" t="n"/>
      <c r="M57" s="52">
        <f>'S33'!M57+L57</f>
        <v/>
      </c>
      <c r="N57" s="53">
        <f>IFERROR(M57/K57,0)</f>
        <v/>
      </c>
      <c r="O57" s="54">
        <f>'S33'!N57</f>
        <v/>
      </c>
      <c r="P57" s="53">
        <f>N57-O57</f>
        <v/>
      </c>
      <c r="Q57" s="32" t="n"/>
      <c r="R57" s="32" t="n"/>
      <c r="S57" s="32" t="n"/>
      <c r="T57" s="55" t="n"/>
      <c r="U57" s="54">
        <f>'S33'!T57</f>
        <v/>
      </c>
      <c r="V57" s="53">
        <f>T57-U57</f>
        <v/>
      </c>
      <c r="W57" s="53">
        <f>N57-T57</f>
        <v/>
      </c>
      <c r="X57" s="34" t="n"/>
    </row>
    <row r="58" ht="22" customHeight="1">
      <c r="B58" s="10" t="n">
        <v>54</v>
      </c>
      <c r="C58" s="14" t="inlineStr">
        <is>
          <t>Kénitra</t>
        </is>
      </c>
      <c r="D58" s="10" t="inlineStr">
        <is>
          <t>Bni malek</t>
        </is>
      </c>
      <c r="E58" s="10" t="inlineStr">
        <is>
          <t>50-23</t>
        </is>
      </c>
      <c r="F58" s="10" t="inlineStr">
        <is>
          <t>Entretien et réparation du réseau d'assainissement et de drainage</t>
        </is>
      </c>
      <c r="G58" s="10" t="inlineStr">
        <is>
          <t>Travaux de curage des canaux en terre</t>
        </is>
      </c>
      <c r="H58" s="10" t="inlineStr">
        <is>
          <t>Curage des emissaires et colatures secondaire au niveau des secteurs MDA ET N9</t>
        </is>
      </c>
      <c r="I58" s="11" t="n">
        <v>10000000</v>
      </c>
      <c r="J58" s="12" t="inlineStr">
        <is>
          <t>ml</t>
        </is>
      </c>
      <c r="K58" s="13" t="n">
        <v>5000</v>
      </c>
      <c r="L58" s="51" t="n"/>
      <c r="M58" s="56">
        <f>'S33'!M58+L58</f>
        <v/>
      </c>
      <c r="N58" s="57">
        <f>IFERROR(M58/K58,0)</f>
        <v/>
      </c>
      <c r="O58" s="58">
        <f>'S33'!N58</f>
        <v/>
      </c>
      <c r="P58" s="57">
        <f>N58-O58</f>
        <v/>
      </c>
      <c r="Q58" s="32" t="n"/>
      <c r="R58" s="32" t="n"/>
      <c r="S58" s="32" t="n"/>
      <c r="T58" s="55" t="n"/>
      <c r="U58" s="58">
        <f>'S33'!T58</f>
        <v/>
      </c>
      <c r="V58" s="57">
        <f>T58-U58</f>
        <v/>
      </c>
      <c r="W58" s="57">
        <f>N58-T58</f>
        <v/>
      </c>
      <c r="X58" s="34" t="n"/>
    </row>
    <row r="59" ht="22" customHeight="1">
      <c r="B59" s="5" t="n">
        <v>55</v>
      </c>
      <c r="C59" s="14" t="inlineStr">
        <is>
          <t>Kénitra</t>
        </is>
      </c>
      <c r="D59" s="5" t="inlineStr">
        <is>
          <t>Bni malek</t>
        </is>
      </c>
      <c r="E59" s="5" t="inlineStr">
        <is>
          <t>40-21</t>
        </is>
      </c>
      <c r="F59" s="5" t="inlineStr">
        <is>
          <t>Travaux de pistes</t>
        </is>
      </c>
      <c r="G59" s="5" t="inlineStr">
        <is>
          <t>Travaux de réhabilitation des pistes agricoles</t>
        </is>
      </c>
      <c r="H59" s="5" t="inlineStr">
        <is>
          <t>Entretien des pistes agricoles des secteurs MDA et N3</t>
        </is>
      </c>
      <c r="I59" s="7" t="n">
        <v>2000000</v>
      </c>
      <c r="J59" s="8" t="inlineStr">
        <is>
          <t>km</t>
        </is>
      </c>
      <c r="K59" s="9" t="n">
        <v>4</v>
      </c>
      <c r="L59" s="51" t="n"/>
      <c r="M59" s="52">
        <f>'S33'!M59+L59</f>
        <v/>
      </c>
      <c r="N59" s="53">
        <f>IFERROR(M59/K59,0)</f>
        <v/>
      </c>
      <c r="O59" s="54">
        <f>'S33'!N59</f>
        <v/>
      </c>
      <c r="P59" s="53">
        <f>N59-O59</f>
        <v/>
      </c>
      <c r="Q59" s="32" t="n"/>
      <c r="R59" s="32" t="n"/>
      <c r="S59" s="32" t="n"/>
      <c r="T59" s="55" t="n"/>
      <c r="U59" s="54">
        <f>'S33'!T59</f>
        <v/>
      </c>
      <c r="V59" s="53">
        <f>T59-U59</f>
        <v/>
      </c>
      <c r="W59" s="53">
        <f>N59-T59</f>
        <v/>
      </c>
      <c r="X59" s="34" t="n"/>
    </row>
    <row r="60" ht="22" customHeight="1">
      <c r="B60" s="10" t="n">
        <v>56</v>
      </c>
      <c r="C60" s="14" t="inlineStr">
        <is>
          <t>Kénitra</t>
        </is>
      </c>
      <c r="D60" s="10" t="inlineStr">
        <is>
          <t>Bni malek</t>
        </is>
      </c>
      <c r="E60" s="10" t="inlineStr">
        <is>
          <t>50-21</t>
        </is>
      </c>
      <c r="F60" s="10" t="inlineStr">
        <is>
          <t>Entretien et réparation des stations de pompage</t>
        </is>
      </c>
      <c r="G60" s="10" t="inlineStr">
        <is>
          <t>Prestations de maintenance et de réparation mécanique des pompes et des groupes motopompes submersibles des stations de pompage.</t>
        </is>
      </c>
      <c r="H60" s="10" t="inlineStr">
        <is>
          <t>station de pompage MDA secteur MDA</t>
        </is>
      </c>
      <c r="I60" s="11" t="n">
        <v>300000</v>
      </c>
      <c r="J60" s="12" t="inlineStr">
        <is>
          <t>U</t>
        </is>
      </c>
      <c r="K60" s="13" t="n">
        <v>1</v>
      </c>
      <c r="L60" s="51" t="n"/>
      <c r="M60" s="56">
        <f>'S33'!M60+L60</f>
        <v/>
      </c>
      <c r="N60" s="57">
        <f>IFERROR(M60/K60,0)</f>
        <v/>
      </c>
      <c r="O60" s="58">
        <f>'S33'!N60</f>
        <v/>
      </c>
      <c r="P60" s="57">
        <f>N60-O60</f>
        <v/>
      </c>
      <c r="Q60" s="32" t="n"/>
      <c r="R60" s="32" t="n"/>
      <c r="S60" s="32" t="n"/>
      <c r="T60" s="55" t="n"/>
      <c r="U60" s="58">
        <f>'S33'!T60</f>
        <v/>
      </c>
      <c r="V60" s="57">
        <f>T60-U60</f>
        <v/>
      </c>
      <c r="W60" s="57">
        <f>N60-T60</f>
        <v/>
      </c>
      <c r="X60" s="34" t="n"/>
    </row>
    <row r="61" ht="22" customHeight="1">
      <c r="B61" s="5" t="n">
        <v>57</v>
      </c>
      <c r="C61" s="14" t="inlineStr">
        <is>
          <t>Kénitra</t>
        </is>
      </c>
      <c r="D61" s="5" t="inlineStr">
        <is>
          <t>Bni malek</t>
        </is>
      </c>
      <c r="E61" s="5" t="inlineStr">
        <is>
          <t>20-11</t>
        </is>
      </c>
      <c r="F61" s="5" t="inlineStr">
        <is>
          <t>Travaux de réhabilitation des équipements</t>
        </is>
      </c>
      <c r="G61" s="5" t="inlineStr">
        <is>
          <t>Travaux de réhabilitation des ouvrages de génie civil</t>
        </is>
      </c>
      <c r="H61" s="5" t="inlineStr">
        <is>
          <t>Rétablissement des bornes affaissées des secteurs N2 et N3</t>
        </is>
      </c>
      <c r="I61" s="7" t="n">
        <v>100000</v>
      </c>
      <c r="J61" s="8" t="inlineStr">
        <is>
          <t>U</t>
        </is>
      </c>
      <c r="K61" s="9" t="n">
        <v>200</v>
      </c>
      <c r="L61" s="51" t="n"/>
      <c r="M61" s="52">
        <f>'S33'!M61+L61</f>
        <v/>
      </c>
      <c r="N61" s="53">
        <f>IFERROR(M61/K61,0)</f>
        <v/>
      </c>
      <c r="O61" s="54">
        <f>'S33'!N61</f>
        <v/>
      </c>
      <c r="P61" s="53">
        <f>N61-O61</f>
        <v/>
      </c>
      <c r="Q61" s="32" t="n"/>
      <c r="R61" s="32" t="n"/>
      <c r="S61" s="32" t="n"/>
      <c r="T61" s="55" t="n"/>
      <c r="U61" s="54">
        <f>'S33'!T61</f>
        <v/>
      </c>
      <c r="V61" s="53">
        <f>T61-U61</f>
        <v/>
      </c>
      <c r="W61" s="53">
        <f>N61-T61</f>
        <v/>
      </c>
      <c r="X61" s="34" t="n"/>
    </row>
    <row r="62" ht="22" customHeight="1">
      <c r="B62" s="10" t="n">
        <v>58</v>
      </c>
      <c r="C62" s="14" t="inlineStr">
        <is>
          <t>Kénitra</t>
        </is>
      </c>
      <c r="D62" s="10" t="inlineStr">
        <is>
          <t>SOUK TLET</t>
        </is>
      </c>
      <c r="E62" s="10" t="inlineStr">
        <is>
          <t>50-23</t>
        </is>
      </c>
      <c r="F62" s="10" t="inlineStr">
        <is>
          <t>Entretien et réparation du réseau d'assainissement et de drainage</t>
        </is>
      </c>
      <c r="G62" s="10" t="inlineStr">
        <is>
          <t>Travaux de curage des canaux en terre</t>
        </is>
      </c>
      <c r="H62" s="10" t="inlineStr">
        <is>
          <t>curage des emissaires et colatures secondaire au niveau des secteurs N2,N3 ET N4,</t>
        </is>
      </c>
      <c r="I62" s="11" t="n">
        <v>3000000</v>
      </c>
      <c r="J62" s="12" t="inlineStr">
        <is>
          <t>ml</t>
        </is>
      </c>
      <c r="K62" s="13" t="n">
        <v>1500</v>
      </c>
      <c r="L62" s="51" t="n"/>
      <c r="M62" s="56">
        <f>'S33'!M62+L62</f>
        <v/>
      </c>
      <c r="N62" s="57">
        <f>IFERROR(M62/K62,0)</f>
        <v/>
      </c>
      <c r="O62" s="58">
        <f>'S33'!N62</f>
        <v/>
      </c>
      <c r="P62" s="57">
        <f>N62-O62</f>
        <v/>
      </c>
      <c r="Q62" s="32" t="n"/>
      <c r="R62" s="32" t="n"/>
      <c r="S62" s="32" t="n"/>
      <c r="T62" s="55" t="n"/>
      <c r="U62" s="58">
        <f>'S33'!T62</f>
        <v/>
      </c>
      <c r="V62" s="57">
        <f>T62-U62</f>
        <v/>
      </c>
      <c r="W62" s="57">
        <f>N62-T62</f>
        <v/>
      </c>
      <c r="X62" s="34" t="n"/>
    </row>
    <row r="63" ht="22" customHeight="1">
      <c r="B63" s="5" t="n">
        <v>59</v>
      </c>
      <c r="C63" s="14" t="inlineStr">
        <is>
          <t>Kénitra</t>
        </is>
      </c>
      <c r="D63" s="5" t="inlineStr">
        <is>
          <t>SOUK TLET</t>
        </is>
      </c>
      <c r="E63" s="5" t="inlineStr">
        <is>
          <t>40-21</t>
        </is>
      </c>
      <c r="F63" s="5" t="inlineStr">
        <is>
          <t>Travaux de pistes</t>
        </is>
      </c>
      <c r="G63" s="5" t="inlineStr">
        <is>
          <t>Travaux de réhabilitation des pistes agricoles</t>
        </is>
      </c>
      <c r="H63" s="5" t="inlineStr">
        <is>
          <t>Entretien des pistes des secteurs N2,N3,N4 et C4R,</t>
        </is>
      </c>
      <c r="I63" s="7" t="n">
        <v>5000000</v>
      </c>
      <c r="J63" s="8" t="inlineStr">
        <is>
          <t>U</t>
        </is>
      </c>
      <c r="K63" s="9" t="n">
        <v>1</v>
      </c>
      <c r="L63" s="51" t="n"/>
      <c r="M63" s="52">
        <f>'S33'!M63+L63</f>
        <v/>
      </c>
      <c r="N63" s="53">
        <f>IFERROR(M63/K63,0)</f>
        <v/>
      </c>
      <c r="O63" s="54">
        <f>'S33'!N63</f>
        <v/>
      </c>
      <c r="P63" s="53">
        <f>N63-O63</f>
        <v/>
      </c>
      <c r="Q63" s="32" t="n"/>
      <c r="R63" s="32" t="n"/>
      <c r="S63" s="32" t="n"/>
      <c r="T63" s="55" t="n"/>
      <c r="U63" s="54">
        <f>'S33'!T63</f>
        <v/>
      </c>
      <c r="V63" s="53">
        <f>T63-U63</f>
        <v/>
      </c>
      <c r="W63" s="53">
        <f>N63-T63</f>
        <v/>
      </c>
      <c r="X63" s="34" t="n"/>
    </row>
    <row r="64" ht="22" customHeight="1">
      <c r="B64" s="10" t="n">
        <v>60</v>
      </c>
      <c r="C64" s="14" t="inlineStr">
        <is>
          <t>Kénitra</t>
        </is>
      </c>
      <c r="D64" s="10" t="inlineStr">
        <is>
          <t>Sidi Med Lahmar</t>
        </is>
      </c>
      <c r="E64" s="10" t="inlineStr">
        <is>
          <t>50-23</t>
        </is>
      </c>
      <c r="F64" s="10" t="inlineStr">
        <is>
          <t>Entretien et réparation du réseau d'assainissement et de drainage</t>
        </is>
      </c>
      <c r="G64" s="10" t="inlineStr">
        <is>
          <t>Travaux de curage des canaux en terre</t>
        </is>
      </c>
      <c r="H64" s="10" t="inlineStr">
        <is>
          <t>Curage des emissaires et colatures secondaires secteurs N1</t>
        </is>
      </c>
      <c r="I64" s="11" t="n">
        <v>3000000</v>
      </c>
      <c r="J64" s="12" t="inlineStr">
        <is>
          <t>ml</t>
        </is>
      </c>
      <c r="K64" s="13" t="n">
        <v>1500</v>
      </c>
      <c r="L64" s="51" t="n"/>
      <c r="M64" s="56">
        <f>'S33'!M64+L64</f>
        <v/>
      </c>
      <c r="N64" s="57">
        <f>IFERROR(M64/K64,0)</f>
        <v/>
      </c>
      <c r="O64" s="58">
        <f>'S33'!N64</f>
        <v/>
      </c>
      <c r="P64" s="57">
        <f>N64-O64</f>
        <v/>
      </c>
      <c r="Q64" s="32" t="n"/>
      <c r="R64" s="32" t="n"/>
      <c r="S64" s="32" t="n"/>
      <c r="T64" s="55" t="n"/>
      <c r="U64" s="58">
        <f>'S33'!T64</f>
        <v/>
      </c>
      <c r="V64" s="57">
        <f>T64-U64</f>
        <v/>
      </c>
      <c r="W64" s="57">
        <f>N64-T64</f>
        <v/>
      </c>
      <c r="X64" s="34" t="n"/>
    </row>
    <row r="65" ht="22" customHeight="1">
      <c r="B65" s="5" t="n">
        <v>61</v>
      </c>
      <c r="C65" s="14" t="inlineStr">
        <is>
          <t>Kénitra</t>
        </is>
      </c>
      <c r="D65" s="5" t="inlineStr">
        <is>
          <t>Sidi Med Lahmar</t>
        </is>
      </c>
      <c r="E65" s="5" t="inlineStr">
        <is>
          <t>40-21</t>
        </is>
      </c>
      <c r="F65" s="5" t="inlineStr">
        <is>
          <t>Travaux de pistes</t>
        </is>
      </c>
      <c r="G65" s="5" t="inlineStr">
        <is>
          <t>Travaux de réhabilitation des pistes agricoles</t>
        </is>
      </c>
      <c r="H65" s="5" t="inlineStr">
        <is>
          <t>Entretien des pistes agricoles des secteurs N9 et N1</t>
        </is>
      </c>
      <c r="I65" s="7" t="n">
        <v>3000000</v>
      </c>
      <c r="J65" s="8" t="inlineStr">
        <is>
          <t>km</t>
        </is>
      </c>
      <c r="K65" s="9" t="n">
        <v>6</v>
      </c>
      <c r="L65" s="51" t="n"/>
      <c r="M65" s="52">
        <f>'S33'!M65+L65</f>
        <v/>
      </c>
      <c r="N65" s="53">
        <f>IFERROR(M65/K65,0)</f>
        <v/>
      </c>
      <c r="O65" s="54">
        <f>'S33'!N65</f>
        <v/>
      </c>
      <c r="P65" s="53">
        <f>N65-O65</f>
        <v/>
      </c>
      <c r="Q65" s="32" t="n"/>
      <c r="R65" s="32" t="n"/>
      <c r="S65" s="32" t="n"/>
      <c r="T65" s="55" t="n"/>
      <c r="U65" s="54">
        <f>'S33'!T65</f>
        <v/>
      </c>
      <c r="V65" s="53">
        <f>T65-U65</f>
        <v/>
      </c>
      <c r="W65" s="53">
        <f>N65-T65</f>
        <v/>
      </c>
      <c r="X65" s="34" t="n"/>
    </row>
    <row r="66" ht="22" customHeight="1">
      <c r="B66" s="10" t="n">
        <v>62</v>
      </c>
      <c r="C66" s="14" t="inlineStr">
        <is>
          <t>Kénitra</t>
        </is>
      </c>
      <c r="D66" s="10" t="inlineStr">
        <is>
          <t>Mograne</t>
        </is>
      </c>
      <c r="E66" s="10" t="inlineStr">
        <is>
          <t>50-23</t>
        </is>
      </c>
      <c r="F66" s="10" t="inlineStr">
        <is>
          <t>Entretien et réparation du réseau d'assainissement et de drainage</t>
        </is>
      </c>
      <c r="G66" s="10" t="inlineStr">
        <is>
          <t>Travaux de curage des canaux en terre</t>
        </is>
      </c>
      <c r="H66" s="10" t="inlineStr">
        <is>
          <t>Curage des canaux d'assainissement Hors secteur équipé ghoufera et laison beht sebou ,</t>
        </is>
      </c>
      <c r="I66" s="11" t="n">
        <v>6000000</v>
      </c>
      <c r="J66" s="12" t="inlineStr">
        <is>
          <t>ml</t>
        </is>
      </c>
      <c r="K66" s="13" t="n">
        <v>3000</v>
      </c>
      <c r="L66" s="51" t="n"/>
      <c r="M66" s="56">
        <f>'S33'!M66+L66</f>
        <v/>
      </c>
      <c r="N66" s="57">
        <f>IFERROR(M66/K66,0)</f>
        <v/>
      </c>
      <c r="O66" s="58">
        <f>'S33'!N66</f>
        <v/>
      </c>
      <c r="P66" s="57">
        <f>N66-O66</f>
        <v/>
      </c>
      <c r="Q66" s="32" t="n"/>
      <c r="R66" s="32" t="n"/>
      <c r="S66" s="32" t="n"/>
      <c r="T66" s="55" t="n"/>
      <c r="U66" s="58">
        <f>'S33'!T66</f>
        <v/>
      </c>
      <c r="V66" s="57">
        <f>T66-U66</f>
        <v/>
      </c>
      <c r="W66" s="57">
        <f>N66-T66</f>
        <v/>
      </c>
      <c r="X66" s="34" t="n"/>
    </row>
    <row r="67" ht="22" customHeight="1">
      <c r="B67" s="5" t="n">
        <v>63</v>
      </c>
      <c r="C67" s="14" t="inlineStr">
        <is>
          <t>Kénitra</t>
        </is>
      </c>
      <c r="D67" s="5" t="inlineStr">
        <is>
          <t>Mograne</t>
        </is>
      </c>
      <c r="E67" s="5" t="inlineStr">
        <is>
          <t>40-21</t>
        </is>
      </c>
      <c r="F67" s="5" t="inlineStr">
        <is>
          <t>Travaux de pistes</t>
        </is>
      </c>
      <c r="G67" s="5" t="inlineStr">
        <is>
          <t>Travaux de réhabilitation des pistes agricoles</t>
        </is>
      </c>
      <c r="H67" s="5" t="inlineStr">
        <is>
          <t>Entretien des pistes agricoles des secteurs SEBOU1,SEBOU2? BEHT3 et BEHT4</t>
        </is>
      </c>
      <c r="I67" s="7" t="n">
        <v>6000000</v>
      </c>
      <c r="J67" s="8" t="inlineStr">
        <is>
          <t>km</t>
        </is>
      </c>
      <c r="K67" s="9" t="n">
        <v>12</v>
      </c>
      <c r="L67" s="51" t="n"/>
      <c r="M67" s="52">
        <f>'S33'!M67+L67</f>
        <v/>
      </c>
      <c r="N67" s="53">
        <f>IFERROR(M67/K67,0)</f>
        <v/>
      </c>
      <c r="O67" s="54">
        <f>'S33'!N67</f>
        <v/>
      </c>
      <c r="P67" s="53">
        <f>N67-O67</f>
        <v/>
      </c>
      <c r="Q67" s="32" t="n"/>
      <c r="R67" s="32" t="n"/>
      <c r="S67" s="32" t="n"/>
      <c r="T67" s="55" t="n"/>
      <c r="U67" s="54">
        <f>'S33'!T67</f>
        <v/>
      </c>
      <c r="V67" s="53">
        <f>T67-U67</f>
        <v/>
      </c>
      <c r="W67" s="53">
        <f>N67-T67</f>
        <v/>
      </c>
      <c r="X67" s="34" t="n"/>
    </row>
    <row r="68" ht="22" customHeight="1">
      <c r="B68" s="10" t="n">
        <v>64</v>
      </c>
      <c r="C68" s="14" t="inlineStr">
        <is>
          <t>Kénitra</t>
        </is>
      </c>
      <c r="D68" s="10" t="inlineStr">
        <is>
          <t>Sidi allal tazi</t>
        </is>
      </c>
      <c r="E68" s="10" t="inlineStr">
        <is>
          <t>50-23</t>
        </is>
      </c>
      <c r="F68" s="10" t="inlineStr">
        <is>
          <t>Entretien et réparation du réseau d'assainissement et de drainage</t>
        </is>
      </c>
      <c r="G68" s="10" t="inlineStr">
        <is>
          <t>Travaux de curage des canaux en terre</t>
        </is>
      </c>
      <c r="H68" s="10" t="inlineStr">
        <is>
          <t>Curage du canaL d'assainissement CK,</t>
        </is>
      </c>
      <c r="I68" s="11" t="n">
        <v>3000000</v>
      </c>
      <c r="J68" s="12" t="inlineStr">
        <is>
          <t>ml</t>
        </is>
      </c>
      <c r="K68" s="13" t="n">
        <v>1500</v>
      </c>
      <c r="L68" s="51" t="n"/>
      <c r="M68" s="56">
        <f>'S33'!M68+L68</f>
        <v/>
      </c>
      <c r="N68" s="57">
        <f>IFERROR(M68/K68,0)</f>
        <v/>
      </c>
      <c r="O68" s="58">
        <f>'S33'!N68</f>
        <v/>
      </c>
      <c r="P68" s="57">
        <f>N68-O68</f>
        <v/>
      </c>
      <c r="Q68" s="32" t="n"/>
      <c r="R68" s="32" t="n"/>
      <c r="S68" s="32" t="n"/>
      <c r="T68" s="55" t="n"/>
      <c r="U68" s="58">
        <f>'S33'!T68</f>
        <v/>
      </c>
      <c r="V68" s="57">
        <f>T68-U68</f>
        <v/>
      </c>
      <c r="W68" s="57">
        <f>N68-T68</f>
        <v/>
      </c>
      <c r="X68" s="34" t="n"/>
    </row>
    <row r="69" ht="22" customHeight="1">
      <c r="B69" s="5" t="n">
        <v>65</v>
      </c>
      <c r="C69" s="14" t="inlineStr">
        <is>
          <t>Kénitra</t>
        </is>
      </c>
      <c r="D69" s="5" t="inlineStr">
        <is>
          <t>AMEUR SAFLIA</t>
        </is>
      </c>
      <c r="E69" s="5" t="inlineStr">
        <is>
          <t>50-23</t>
        </is>
      </c>
      <c r="F69" s="5" t="inlineStr">
        <is>
          <t>Entretien et réparation du réseau d'assainissement et de drainage</t>
        </is>
      </c>
      <c r="G69" s="5" t="inlineStr">
        <is>
          <t>Travaux de curage des canaux en terre</t>
        </is>
      </c>
      <c r="H69" s="5" t="inlineStr">
        <is>
          <t>Curage des canaux d'assainissement amontTtiflt Sebou,</t>
        </is>
      </c>
      <c r="I69" s="7" t="n">
        <v>1000000</v>
      </c>
      <c r="J69" s="8" t="inlineStr">
        <is>
          <t>ml</t>
        </is>
      </c>
      <c r="K69" s="9" t="n">
        <v>500</v>
      </c>
      <c r="L69" s="51" t="n"/>
      <c r="M69" s="52">
        <f>'S33'!M69+L69</f>
        <v/>
      </c>
      <c r="N69" s="53">
        <f>IFERROR(M69/K69,0)</f>
        <v/>
      </c>
      <c r="O69" s="54">
        <f>'S33'!N69</f>
        <v/>
      </c>
      <c r="P69" s="53">
        <f>N69-O69</f>
        <v/>
      </c>
      <c r="Q69" s="32" t="n"/>
      <c r="R69" s="32" t="n"/>
      <c r="S69" s="32" t="n"/>
      <c r="T69" s="55" t="n"/>
      <c r="U69" s="54">
        <f>'S33'!T69</f>
        <v/>
      </c>
      <c r="V69" s="53">
        <f>T69-U69</f>
        <v/>
      </c>
      <c r="W69" s="53">
        <f>N69-T69</f>
        <v/>
      </c>
      <c r="X69" s="34" t="n"/>
    </row>
    <row r="70" ht="22" customHeight="1">
      <c r="B70" s="10" t="n">
        <v>66</v>
      </c>
      <c r="C70" s="14" t="inlineStr">
        <is>
          <t>Kénitra</t>
        </is>
      </c>
      <c r="D70" s="10" t="inlineStr">
        <is>
          <t>Oulad SLAMA</t>
        </is>
      </c>
      <c r="E70" s="10" t="inlineStr">
        <is>
          <t>50-23</t>
        </is>
      </c>
      <c r="F70" s="10" t="inlineStr">
        <is>
          <t>Entretien et réparation du réseau d'assainissement et de drainage</t>
        </is>
      </c>
      <c r="G70" s="10" t="inlineStr">
        <is>
          <t>Travaux de curage des canaux en terre</t>
        </is>
      </c>
      <c r="H70" s="10" t="inlineStr">
        <is>
          <t>Curage des canaux d'assainissement debouche Tiflt aval,</t>
        </is>
      </c>
      <c r="I70" s="11" t="n">
        <v>1000000</v>
      </c>
      <c r="J70" s="12" t="inlineStr">
        <is>
          <t>ml</t>
        </is>
      </c>
      <c r="K70" s="13" t="n">
        <v>500</v>
      </c>
      <c r="L70" s="51" t="n"/>
      <c r="M70" s="56">
        <f>'S33'!M70+L70</f>
        <v/>
      </c>
      <c r="N70" s="57">
        <f>IFERROR(M70/K70,0)</f>
        <v/>
      </c>
      <c r="O70" s="58">
        <f>'S33'!N70</f>
        <v/>
      </c>
      <c r="P70" s="57">
        <f>N70-O70</f>
        <v/>
      </c>
      <c r="Q70" s="32" t="n"/>
      <c r="R70" s="32" t="n"/>
      <c r="S70" s="32" t="n"/>
      <c r="T70" s="55" t="n"/>
      <c r="U70" s="58">
        <f>'S33'!T70</f>
        <v/>
      </c>
      <c r="V70" s="57">
        <f>T70-U70</f>
        <v/>
      </c>
      <c r="W70" s="57">
        <f>N70-T70</f>
        <v/>
      </c>
      <c r="X70" s="34" t="n"/>
    </row>
    <row r="71" ht="22" customHeight="1">
      <c r="B71" s="5" t="n">
        <v>67</v>
      </c>
      <c r="C71" s="14" t="inlineStr">
        <is>
          <t>Kénitra</t>
        </is>
      </c>
      <c r="D71" s="5" t="inlineStr">
        <is>
          <t>BHARA Oulad AYAD</t>
        </is>
      </c>
      <c r="E71" s="5" t="inlineStr">
        <is>
          <t>50-23</t>
        </is>
      </c>
      <c r="F71" s="5" t="inlineStr">
        <is>
          <t>Entretien et réparation du réseau d'assainissement et de drainage</t>
        </is>
      </c>
      <c r="G71" s="5" t="inlineStr">
        <is>
          <t>Travaux de curage des canaux en terre</t>
        </is>
      </c>
      <c r="H71" s="5" t="inlineStr">
        <is>
          <t>Curage des canaux d'assainissement canal nador bas et haut segmet,</t>
        </is>
      </c>
      <c r="I71" s="7" t="n">
        <v>6600000</v>
      </c>
      <c r="J71" s="8" t="inlineStr">
        <is>
          <t>ml</t>
        </is>
      </c>
      <c r="K71" s="9" t="n">
        <v>3300</v>
      </c>
      <c r="L71" s="51" t="n"/>
      <c r="M71" s="52">
        <f>'S33'!M71+L71</f>
        <v/>
      </c>
      <c r="N71" s="53">
        <f>IFERROR(M71/K71,0)</f>
        <v/>
      </c>
      <c r="O71" s="54">
        <f>'S33'!N71</f>
        <v/>
      </c>
      <c r="P71" s="53">
        <f>N71-O71</f>
        <v/>
      </c>
      <c r="Q71" s="32" t="n"/>
      <c r="R71" s="32" t="n"/>
      <c r="S71" s="32" t="n"/>
      <c r="T71" s="55" t="n"/>
      <c r="U71" s="54">
        <f>'S33'!T71</f>
        <v/>
      </c>
      <c r="V71" s="53">
        <f>T71-U71</f>
        <v/>
      </c>
      <c r="W71" s="53">
        <f>N71-T71</f>
        <v/>
      </c>
      <c r="X71" s="34" t="n"/>
    </row>
    <row r="72" ht="22" customHeight="1">
      <c r="B72" s="10" t="n">
        <v>68</v>
      </c>
      <c r="C72" s="15" t="inlineStr">
        <is>
          <t>Sidi Slimane</t>
        </is>
      </c>
      <c r="D72" s="10" t="inlineStr">
        <is>
          <t>OULED HCEINE</t>
        </is>
      </c>
      <c r="E72" s="10" t="inlineStr">
        <is>
          <t>50-23</t>
        </is>
      </c>
      <c r="F72" s="10" t="inlineStr">
        <is>
          <t>Entretien et réparation du réseau d'assainissement et de drainage</t>
        </is>
      </c>
      <c r="G72" s="10" t="inlineStr">
        <is>
          <t>Travaux de curage des canaux en terre</t>
        </is>
      </c>
      <c r="H72" s="10" t="inlineStr">
        <is>
          <t>Curage des collecteurs d'assainissement du secteur EST4.</t>
        </is>
      </c>
      <c r="I72" s="11" t="n">
        <v>1805475</v>
      </c>
      <c r="J72" s="12" t="inlineStr">
        <is>
          <t>ml</t>
        </is>
      </c>
      <c r="K72" s="13" t="n">
        <v>903</v>
      </c>
      <c r="L72" s="51" t="n"/>
      <c r="M72" s="56">
        <f>'S33'!M72+L72</f>
        <v/>
      </c>
      <c r="N72" s="57">
        <f>IFERROR(M72/K72,0)</f>
        <v/>
      </c>
      <c r="O72" s="58">
        <f>'S33'!N72</f>
        <v/>
      </c>
      <c r="P72" s="57">
        <f>N72-O72</f>
        <v/>
      </c>
      <c r="Q72" s="32" t="n"/>
      <c r="R72" s="32" t="n"/>
      <c r="S72" s="32" t="n"/>
      <c r="T72" s="55" t="n"/>
      <c r="U72" s="58">
        <f>'S33'!T72</f>
        <v/>
      </c>
      <c r="V72" s="57">
        <f>T72-U72</f>
        <v/>
      </c>
      <c r="W72" s="57">
        <f>N72-T72</f>
        <v/>
      </c>
      <c r="X72" s="34" t="n"/>
    </row>
    <row r="73" ht="22" customHeight="1">
      <c r="B73" s="5" t="n">
        <v>69</v>
      </c>
      <c r="C73" s="15" t="inlineStr">
        <is>
          <t>Sidi Slimane</t>
        </is>
      </c>
      <c r="D73" s="5" t="inlineStr">
        <is>
          <t>OULED HCEINE</t>
        </is>
      </c>
      <c r="E73" s="5" t="inlineStr">
        <is>
          <t>50-23</t>
        </is>
      </c>
      <c r="F73" s="5" t="inlineStr">
        <is>
          <t>Entretien et réparation du réseau d'assainissement et de drainage</t>
        </is>
      </c>
      <c r="G73" s="5" t="inlineStr">
        <is>
          <t>Travaux de curage des canaux en terre</t>
        </is>
      </c>
      <c r="H73" s="5" t="inlineStr">
        <is>
          <t>Curage du canal d'assainissement Tihli central.</t>
        </is>
      </c>
      <c r="I73" s="7" t="n">
        <v>2587200</v>
      </c>
      <c r="J73" s="8" t="inlineStr">
        <is>
          <t>ml</t>
        </is>
      </c>
      <c r="K73" s="9" t="n">
        <v>1294</v>
      </c>
      <c r="L73" s="51" t="n"/>
      <c r="M73" s="52">
        <f>'S33'!M73+L73</f>
        <v/>
      </c>
      <c r="N73" s="53">
        <f>IFERROR(M73/K73,0)</f>
        <v/>
      </c>
      <c r="O73" s="54">
        <f>'S33'!N73</f>
        <v/>
      </c>
      <c r="P73" s="53">
        <f>N73-O73</f>
        <v/>
      </c>
      <c r="Q73" s="32" t="n"/>
      <c r="R73" s="32" t="n"/>
      <c r="S73" s="32" t="n"/>
      <c r="T73" s="55" t="n"/>
      <c r="U73" s="54">
        <f>'S33'!T73</f>
        <v/>
      </c>
      <c r="V73" s="53">
        <f>T73-U73</f>
        <v/>
      </c>
      <c r="W73" s="53">
        <f>N73-T73</f>
        <v/>
      </c>
      <c r="X73" s="34" t="n"/>
    </row>
    <row r="74" ht="22" customHeight="1">
      <c r="B74" s="10" t="n">
        <v>70</v>
      </c>
      <c r="C74" s="15" t="inlineStr">
        <is>
          <t>Sidi Slimane</t>
        </is>
      </c>
      <c r="D74" s="10" t="inlineStr">
        <is>
          <t>OULED HCEINE</t>
        </is>
      </c>
      <c r="E74" s="10" t="inlineStr">
        <is>
          <t>40-21</t>
        </is>
      </c>
      <c r="F74" s="10" t="inlineStr">
        <is>
          <t>Travaux de pistes</t>
        </is>
      </c>
      <c r="G74" s="10" t="inlineStr">
        <is>
          <t>Travaux de réhabilitation des pistes agricoles</t>
        </is>
      </c>
      <c r="H74" s="10" t="inlineStr">
        <is>
          <t>Entretien des pistes agricoles</t>
        </is>
      </c>
      <c r="I74" s="11" t="n">
        <v>3500000</v>
      </c>
      <c r="J74" s="12" t="inlineStr">
        <is>
          <t>km</t>
        </is>
      </c>
      <c r="K74" s="13" t="n">
        <v>7</v>
      </c>
      <c r="L74" s="51" t="n"/>
      <c r="M74" s="56">
        <f>'S33'!M74+L74</f>
        <v/>
      </c>
      <c r="N74" s="57">
        <f>IFERROR(M74/K74,0)</f>
        <v/>
      </c>
      <c r="O74" s="58">
        <f>'S33'!N74</f>
        <v/>
      </c>
      <c r="P74" s="57">
        <f>N74-O74</f>
        <v/>
      </c>
      <c r="Q74" s="32" t="n"/>
      <c r="R74" s="32" t="n"/>
      <c r="S74" s="32" t="n"/>
      <c r="T74" s="55" t="n"/>
      <c r="U74" s="58">
        <f>'S33'!T74</f>
        <v/>
      </c>
      <c r="V74" s="57">
        <f>T74-U74</f>
        <v/>
      </c>
      <c r="W74" s="57">
        <f>N74-T74</f>
        <v/>
      </c>
      <c r="X74" s="34" t="n"/>
    </row>
    <row r="75" ht="22" customHeight="1">
      <c r="B75" s="5" t="n">
        <v>71</v>
      </c>
      <c r="C75" s="15" t="inlineStr">
        <is>
          <t>Sidi Slimane</t>
        </is>
      </c>
      <c r="D75" s="5" t="inlineStr">
        <is>
          <t>OULED HCEINE</t>
        </is>
      </c>
      <c r="E75" s="5" t="inlineStr">
        <is>
          <t>50-21</t>
        </is>
      </c>
      <c r="F75" s="5" t="inlineStr">
        <is>
          <t>Entretien et réparation des stations de pompage</t>
        </is>
      </c>
      <c r="G75" s="5" t="inlineStr">
        <is>
          <t>Travaux de réparation des équipements hydromécaniques et éléctriques et entretien de la partie génie civil des stations de pompage.</t>
        </is>
      </c>
      <c r="H75" s="5" t="inlineStr">
        <is>
          <t>Démontage et expertise des roues des  pompes principaux et pompes a vide de la station EST4 et P11/2.
Changement des roulements, tresses et organes d’effectués de la station EST4 et P11/2
Changement deux débitmètre Ø 1200 mm de la station EST4 et un débimétre de la station P11/2.
Changement des capteurs de niveau inondés.
Révision et réparation des moteurs des vannes motorisées inondées.
changement de six contrôleurs de débits DW181 inondés.
Un capteur de débitmètre inondé nécessitent un diagnostic VEGASON  .
Entretien de l'éclairage du local de vide et bâche d’aspiration inondé de la station EST4 et la partie de l’éclairage du local des pompes inondées de la station P11/2.
Pose de gabions et recouvrement du talus par matelas Reno des stations de pompage P11/2</t>
        </is>
      </c>
      <c r="I75" s="7" t="n">
        <v>870000</v>
      </c>
      <c r="J75" s="8" t="inlineStr">
        <is>
          <t>U</t>
        </is>
      </c>
      <c r="K75" s="9" t="n">
        <v>4</v>
      </c>
      <c r="L75" s="51" t="n"/>
      <c r="M75" s="52">
        <f>'S33'!M75+L75</f>
        <v/>
      </c>
      <c r="N75" s="53">
        <f>IFERROR(M75/K75,0)</f>
        <v/>
      </c>
      <c r="O75" s="54">
        <f>'S33'!N75</f>
        <v/>
      </c>
      <c r="P75" s="53">
        <f>N75-O75</f>
        <v/>
      </c>
      <c r="Q75" s="32" t="n"/>
      <c r="R75" s="32" t="n"/>
      <c r="S75" s="32" t="n"/>
      <c r="T75" s="55" t="n"/>
      <c r="U75" s="54">
        <f>'S33'!T75</f>
        <v/>
      </c>
      <c r="V75" s="53">
        <f>T75-U75</f>
        <v/>
      </c>
      <c r="W75" s="53">
        <f>N75-T75</f>
        <v/>
      </c>
      <c r="X75" s="34" t="n"/>
    </row>
    <row r="76" ht="22" customHeight="1">
      <c r="B76" s="10" t="n">
        <v>72</v>
      </c>
      <c r="C76" s="15" t="inlineStr">
        <is>
          <t>Sidi Slimane</t>
        </is>
      </c>
      <c r="D76" s="10" t="inlineStr">
        <is>
          <t>OULED HCEINE</t>
        </is>
      </c>
      <c r="E76" s="10" t="inlineStr">
        <is>
          <t>50-23</t>
        </is>
      </c>
      <c r="F76" s="10" t="inlineStr">
        <is>
          <t>Entretien et réparation du réseau d'assainissement et de drainage</t>
        </is>
      </c>
      <c r="G76" s="10" t="inlineStr">
        <is>
          <t>Travaux de curage des prises des stations de pompage.</t>
        </is>
      </c>
      <c r="H76" s="10" t="inlineStr">
        <is>
          <t>Curage des siphones des station de pompage EST2 et P11/2.</t>
        </is>
      </c>
      <c r="I76" s="11" t="n">
        <v>500000</v>
      </c>
      <c r="J76" s="12" t="inlineStr">
        <is>
          <t>ml</t>
        </is>
      </c>
      <c r="K76" s="13" t="n">
        <v>167</v>
      </c>
      <c r="L76" s="51" t="n"/>
      <c r="M76" s="56">
        <f>'S33'!M76+L76</f>
        <v/>
      </c>
      <c r="N76" s="57">
        <f>IFERROR(M76/K76,0)</f>
        <v/>
      </c>
      <c r="O76" s="58">
        <f>'S33'!N76</f>
        <v/>
      </c>
      <c r="P76" s="57">
        <f>N76-O76</f>
        <v/>
      </c>
      <c r="Q76" s="32" t="n"/>
      <c r="R76" s="32" t="n"/>
      <c r="S76" s="32" t="n"/>
      <c r="T76" s="55" t="n"/>
      <c r="U76" s="58">
        <f>'S33'!T76</f>
        <v/>
      </c>
      <c r="V76" s="57">
        <f>T76-U76</f>
        <v/>
      </c>
      <c r="W76" s="57">
        <f>N76-T76</f>
        <v/>
      </c>
      <c r="X76" s="34" t="n"/>
    </row>
    <row r="77" ht="26" customHeight="1">
      <c r="B77" s="16" t="inlineStr">
        <is>
          <t>TOTAL</t>
        </is>
      </c>
      <c r="C77" s="16" t="n"/>
      <c r="D77" s="16" t="n"/>
      <c r="E77" s="16" t="n"/>
      <c r="F77" s="16" t="n"/>
      <c r="G77" s="16" t="n"/>
      <c r="H77" s="16" t="n"/>
      <c r="I77" s="17">
        <f>SUM(I5:I76)</f>
        <v/>
      </c>
      <c r="J77" s="16" t="n"/>
      <c r="K77" s="16" t="n"/>
      <c r="L77" s="59">
        <f>SUM(L5:L76)</f>
        <v/>
      </c>
      <c r="M77" s="59">
        <f>SUM(M5:M76)</f>
        <v/>
      </c>
      <c r="N77" s="60">
        <f>IFERROR(SUMPRODUCT(N5:N76,I5:I76)/I77,0)</f>
        <v/>
      </c>
      <c r="O77" s="60">
        <f>IFERROR(SUMPRODUCT(O5:O76,I5:I76)/I77,0)</f>
        <v/>
      </c>
      <c r="P77" s="60">
        <f>N77-O77</f>
        <v/>
      </c>
      <c r="Q77" s="17">
        <f>SUM(Q5:Q76)</f>
        <v/>
      </c>
      <c r="R77" s="17">
        <f>SUM(R5:R76)</f>
        <v/>
      </c>
      <c r="S77" s="17">
        <f>SUM(S5:S76)</f>
        <v/>
      </c>
      <c r="T77" s="60">
        <f>IFERROR(SUMPRODUCT(T5:T76,I5:I76)/I77,0)</f>
        <v/>
      </c>
      <c r="U77" s="60">
        <f>IFERROR(SUMPRODUCT(U5:U76,I5:I76)/I77,0)</f>
        <v/>
      </c>
      <c r="V77" s="60">
        <f>T77-U77</f>
        <v/>
      </c>
      <c r="W77" s="60">
        <f>N77-T77</f>
        <v/>
      </c>
      <c r="X77" s="16" t="n"/>
    </row>
  </sheetData>
  <sheetProtection selectLockedCells="0" selectUnlockedCells="0" sheet="1" objects="0" insertRows="1" insertHyperlinks="1" autoFilter="1" scenarios="0" formatColumns="1" deleteColumns="1" insertColumns="1" pivotTables="1" deleteRows="1" formatCells="1" formatRows="1" sort="1" password="CBBE"/>
  <mergeCells count="6">
    <mergeCell ref="E3:I3"/>
    <mergeCell ref="W3:X3"/>
    <mergeCell ref="J3:P3"/>
    <mergeCell ref="B2:X2"/>
    <mergeCell ref="C3:D3"/>
    <mergeCell ref="Q3:V3"/>
  </mergeCells>
  <conditionalFormatting sqref="P5:P76">
    <cfRule type="cellIs" priority="1" operator="greaterThan" dxfId="0">
      <formula>0</formula>
    </cfRule>
    <cfRule type="cellIs" priority="2" operator="lessThan" dxfId="1">
      <formula>0</formula>
    </cfRule>
  </conditionalFormatting>
  <conditionalFormatting sqref="V5:V76">
    <cfRule type="cellIs" priority="3" operator="greaterThan" dxfId="0">
      <formula>0</formula>
    </cfRule>
    <cfRule type="cellIs" priority="4" operator="lessThan" dxfId="1">
      <formula>0</formula>
    </cfRule>
  </conditionalFormatting>
  <conditionalFormatting sqref="W5:W76">
    <cfRule type="cellIs" priority="5" operator="greaterThan" dxfId="0">
      <formula>0.05</formula>
    </cfRule>
    <cfRule type="cellIs" priority="6" operator="lessThan" dxfId="1">
      <formula>-0.05</formula>
    </cfRule>
    <cfRule type="cellIs" priority="7" operator="between" dxfId="2">
      <formula>-0.05</formula>
      <formula>0.05</formula>
    </cfRule>
  </conditionalFormatting>
  <conditionalFormatting sqref="N5:N76">
    <cfRule type="dataBar" priority="8">
      <dataBar showValue="1">
        <cfvo type="num" val="0"/>
        <cfvo type="num" val="1"/>
        <color rgb="001B7D46"/>
      </dataBar>
    </cfRule>
  </conditionalFormatting>
  <conditionalFormatting sqref="T5:T76">
    <cfRule type="dataBar" priority="9">
      <dataBar showValue="1">
        <cfvo type="num" val="0"/>
        <cfvo type="num" val="1"/>
        <color rgb="00D4820A"/>
      </dataBar>
    </cfRule>
  </conditionalFormatting>
  <dataValidations count="2">
    <dataValidation sqref="T5:T76" showDropDown="0" showInputMessage="0" showErrorMessage="0" allowBlank="1" errorTitle="Invalide" error="Valeur entre 0% et 100%" promptTitle="Avancement %" prompt="Entrez 0.25 pour 25%" type="decimal" operator="between">
      <formula1>0</formula1>
      <formula2>1</formula2>
    </dataValidation>
    <dataValidation sqref="L5:L76" showDropDown="0" showInputMessage="0" showErrorMessage="0" allowBlank="1" errorTitle="Invalide" error="Quantité doit être &gt;= 0" promptTitle="Qté Réalisée" prompt="Entrez la quantité réalisée cette semaine" type="decimal" operator="greaterThanOrEqual">
      <formula1>0</formula1>
    </dataValidation>
  </dataValidations>
  <pageMargins left="0.75" right="0.75" top="1" bottom="1" header="0.5" footer="0.5"/>
</worksheet>
</file>

<file path=xl/worksheets/sheet15.xml><?xml version="1.0" encoding="utf-8"?>
<worksheet xmlns="http://schemas.openxmlformats.org/spreadsheetml/2006/main">
  <sheetPr>
    <tabColor rgb="00FF0000"/>
    <outlinePr summaryBelow="1" summaryRight="1"/>
    <pageSetUpPr/>
  </sheetPr>
  <dimension ref="B2:X77"/>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5" customWidth="1" min="2" max="2"/>
    <col width="14" customWidth="1" min="3" max="3"/>
    <col width="18" customWidth="1" min="4" max="4"/>
    <col width="9" customWidth="1" min="5" max="5"/>
    <col width="32" customWidth="1" min="6" max="6"/>
    <col width="28" customWidth="1" min="7" max="7"/>
    <col width="34" customWidth="1" min="8" max="8"/>
    <col width="14" customWidth="1" min="9" max="9"/>
    <col width="8" customWidth="1" min="10" max="10"/>
    <col width="12" customWidth="1" min="11" max="11"/>
    <col width="14" customWidth="1" min="12" max="12"/>
    <col width="14" customWidth="1" min="13" max="13"/>
    <col width="14" customWidth="1" min="14" max="14"/>
    <col width="14" customWidth="1" min="15" max="15"/>
    <col width="14" customWidth="1" min="16" max="16"/>
    <col width="16" customWidth="1" min="17" max="17"/>
    <col width="16" customWidth="1" min="18" max="18"/>
    <col width="16" customWidth="1" min="19" max="19"/>
    <col width="14" customWidth="1" min="20" max="20"/>
    <col width="14" customWidth="1" min="21" max="21"/>
    <col width="14" customWidth="1" min="22" max="22"/>
    <col width="14" customWidth="1" min="23" max="23"/>
    <col width="24" customWidth="1" min="24" max="24"/>
  </cols>
  <sheetData>
    <row r="1" ht="15" customHeight="1"/>
    <row r="2" ht="32" customHeight="1">
      <c r="B2" s="1" t="inlineStr">
        <is>
          <t>Suivi Hebdomadaire - Semaine 35 (24/08 - 30/08) — Août 2026 - Exécution Physique et Financière</t>
        </is>
      </c>
    </row>
    <row r="3" ht="22" customHeight="1">
      <c r="B3" s="20" t="inlineStr">
        <is>
          <t>Date :</t>
        </is>
      </c>
      <c r="C3" s="49" t="n">
        <v>46258</v>
      </c>
      <c r="D3" s="50" t="n"/>
      <c r="E3" s="22" t="inlineStr">
        <is>
          <t>IDENTIFICATION</t>
        </is>
      </c>
      <c r="J3" s="23" t="inlineStr">
        <is>
          <t>INDICATEURS PHYSIQUES</t>
        </is>
      </c>
      <c r="Q3" s="24" t="inlineStr">
        <is>
          <t>INDICATEURS FINANCIERS</t>
        </is>
      </c>
      <c r="W3" s="25" t="inlineStr">
        <is>
          <t>SYNTHÈSE</t>
        </is>
      </c>
    </row>
    <row r="4" ht="28" customHeight="1">
      <c r="B4" s="4" t="inlineStr">
        <is>
          <t>N°</t>
        </is>
      </c>
      <c r="C4" s="4" t="inlineStr">
        <is>
          <t>Province</t>
        </is>
      </c>
      <c r="D4" s="4" t="inlineStr">
        <is>
          <t>Commune</t>
        </is>
      </c>
      <c r="E4" s="4" t="inlineStr">
        <is>
          <t>Rubrique</t>
        </is>
      </c>
      <c r="F4" s="4" t="inlineStr">
        <is>
          <t>Intitulé Rubrique</t>
        </is>
      </c>
      <c r="G4" s="4" t="inlineStr">
        <is>
          <t>Projet</t>
        </is>
      </c>
      <c r="H4" s="4" t="inlineStr">
        <is>
          <t>Consistance</t>
        </is>
      </c>
      <c r="I4" s="4" t="inlineStr">
        <is>
          <t>Coût Total (DH)</t>
        </is>
      </c>
      <c r="J4" s="26" t="inlineStr">
        <is>
          <t>Unité</t>
        </is>
      </c>
      <c r="K4" s="26" t="inlineStr">
        <is>
          <t>Qté Prévue</t>
        </is>
      </c>
      <c r="L4" s="26" t="inlineStr">
        <is>
          <t>Qté Réalisée Sem.</t>
        </is>
      </c>
      <c r="M4" s="26" t="inlineStr">
        <is>
          <t>Qté Réalisée Cumul</t>
        </is>
      </c>
      <c r="N4" s="26" t="inlineStr">
        <is>
          <t>Avancement Physique %</t>
        </is>
      </c>
      <c r="O4" s="26" t="inlineStr">
        <is>
          <t>% Phys. Sem. Préc.</t>
        </is>
      </c>
      <c r="P4" s="26" t="inlineStr">
        <is>
          <t>Accroissement Phys. %</t>
        </is>
      </c>
      <c r="Q4" s="27" t="inlineStr">
        <is>
          <t>Montant Décaissé (DH)</t>
        </is>
      </c>
      <c r="R4" s="27" t="inlineStr">
        <is>
          <t>Montant Payé (DH)</t>
        </is>
      </c>
      <c r="S4" s="27" t="inlineStr">
        <is>
          <t>Montant Ordonné (DH)</t>
        </is>
      </c>
      <c r="T4" s="27" t="inlineStr">
        <is>
          <t>Avancement Financier %</t>
        </is>
      </c>
      <c r="U4" s="27" t="inlineStr">
        <is>
          <t>% Fin. Sem. Préc.</t>
        </is>
      </c>
      <c r="V4" s="27" t="inlineStr">
        <is>
          <t>Accroissement Fin. %</t>
        </is>
      </c>
      <c r="W4" s="28" t="inlineStr">
        <is>
          <t>Écart Phys.-Fin.</t>
        </is>
      </c>
      <c r="X4" s="28" t="inlineStr">
        <is>
          <t>Observations</t>
        </is>
      </c>
    </row>
    <row r="5" ht="22" customHeight="1">
      <c r="B5" s="5" t="n">
        <v>1</v>
      </c>
      <c r="C5" s="6" t="inlineStr">
        <is>
          <t>Sidi Kacem</t>
        </is>
      </c>
      <c r="D5" s="5" t="inlineStr">
        <is>
          <t>KHENICHET</t>
        </is>
      </c>
      <c r="E5" s="5" t="inlineStr">
        <is>
          <t>50-23</t>
        </is>
      </c>
      <c r="F5" s="5" t="inlineStr">
        <is>
          <t>Entretien et réparation du réseau d'assainissement et de drainage</t>
        </is>
      </c>
      <c r="G5" s="5" t="inlineStr">
        <is>
          <t>Travaux de curage des canaux en terre</t>
        </is>
      </c>
      <c r="H5" s="5" t="inlineStr">
        <is>
          <t>Curage des collecteurs d'assainissement du secteur EST2</t>
        </is>
      </c>
      <c r="I5" s="7" t="n">
        <v>2091568</v>
      </c>
      <c r="J5" s="8" t="inlineStr">
        <is>
          <t>ml</t>
        </is>
      </c>
      <c r="K5" s="9" t="n">
        <v>1046</v>
      </c>
      <c r="L5" s="51" t="n"/>
      <c r="M5" s="52">
        <f>'S34'!M5+L5</f>
        <v/>
      </c>
      <c r="N5" s="53">
        <f>IFERROR(M5/K5,0)</f>
        <v/>
      </c>
      <c r="O5" s="54">
        <f>'S34'!N5</f>
        <v/>
      </c>
      <c r="P5" s="53">
        <f>N5-O5</f>
        <v/>
      </c>
      <c r="Q5" s="32" t="n"/>
      <c r="R5" s="32" t="n"/>
      <c r="S5" s="32" t="n"/>
      <c r="T5" s="55" t="n"/>
      <c r="U5" s="54">
        <f>'S34'!T5</f>
        <v/>
      </c>
      <c r="V5" s="53">
        <f>T5-U5</f>
        <v/>
      </c>
      <c r="W5" s="53">
        <f>N5-T5</f>
        <v/>
      </c>
      <c r="X5" s="34" t="n"/>
    </row>
    <row r="6" ht="22" customHeight="1">
      <c r="B6" s="10" t="n">
        <v>2</v>
      </c>
      <c r="C6" s="6" t="inlineStr">
        <is>
          <t>Sidi Kacem</t>
        </is>
      </c>
      <c r="D6" s="10" t="inlineStr">
        <is>
          <t>KHENICHET</t>
        </is>
      </c>
      <c r="E6" s="10" t="inlineStr">
        <is>
          <t>40-21</t>
        </is>
      </c>
      <c r="F6" s="10" t="inlineStr">
        <is>
          <t>Travaux de pistes</t>
        </is>
      </c>
      <c r="G6" s="10" t="inlineStr">
        <is>
          <t>Travaux de réhabilitation des pistes agricoles</t>
        </is>
      </c>
      <c r="H6" s="10" t="inlineStr">
        <is>
          <t>Entretien des pistes agricoles Douar Nouagra et Douar ouled Salem</t>
        </is>
      </c>
      <c r="I6" s="11" t="n">
        <v>78000</v>
      </c>
      <c r="J6" s="12" t="inlineStr">
        <is>
          <t>km</t>
        </is>
      </c>
      <c r="K6" s="13" t="n">
        <v>1</v>
      </c>
      <c r="L6" s="51" t="n"/>
      <c r="M6" s="56">
        <f>'S34'!M6+L6</f>
        <v/>
      </c>
      <c r="N6" s="57">
        <f>IFERROR(M6/K6,0)</f>
        <v/>
      </c>
      <c r="O6" s="58">
        <f>'S34'!N6</f>
        <v/>
      </c>
      <c r="P6" s="57">
        <f>N6-O6</f>
        <v/>
      </c>
      <c r="Q6" s="32" t="n"/>
      <c r="R6" s="32" t="n"/>
      <c r="S6" s="32" t="n"/>
      <c r="T6" s="55" t="n"/>
      <c r="U6" s="58">
        <f>'S34'!T6</f>
        <v/>
      </c>
      <c r="V6" s="57">
        <f>T6-U6</f>
        <v/>
      </c>
      <c r="W6" s="57">
        <f>N6-T6</f>
        <v/>
      </c>
      <c r="X6" s="34" t="n"/>
    </row>
    <row r="7" ht="22" customHeight="1">
      <c r="B7" s="5" t="n">
        <v>3</v>
      </c>
      <c r="C7" s="6" t="inlineStr">
        <is>
          <t>Sidi Kacem</t>
        </is>
      </c>
      <c r="D7" s="5" t="inlineStr">
        <is>
          <t>KHENICHET</t>
        </is>
      </c>
      <c r="E7" s="5" t="inlineStr">
        <is>
          <t>50-23</t>
        </is>
      </c>
      <c r="F7" s="5" t="inlineStr">
        <is>
          <t>Entretien et réparation du réseau d'assainissement et de drainage</t>
        </is>
      </c>
      <c r="G7" s="5" t="inlineStr">
        <is>
          <t>Curage des prises sur l’oued, bâche d’aspiration et bassin de régulation.</t>
        </is>
      </c>
      <c r="H7" s="5" t="inlineStr">
        <is>
          <t>Curage de la chambre des joints de démontage des siphonnes  de la station de pompage EST2.</t>
        </is>
      </c>
      <c r="I7" s="7" t="n">
        <v>126000</v>
      </c>
      <c r="J7" s="8" t="inlineStr">
        <is>
          <t>ml</t>
        </is>
      </c>
      <c r="K7" s="9" t="n">
        <v>42</v>
      </c>
      <c r="L7" s="51" t="n"/>
      <c r="M7" s="52">
        <f>'S34'!M7+L7</f>
        <v/>
      </c>
      <c r="N7" s="53">
        <f>IFERROR(M7/K7,0)</f>
        <v/>
      </c>
      <c r="O7" s="54">
        <f>'S34'!N7</f>
        <v/>
      </c>
      <c r="P7" s="53">
        <f>N7-O7</f>
        <v/>
      </c>
      <c r="Q7" s="32" t="n"/>
      <c r="R7" s="32" t="n"/>
      <c r="S7" s="32" t="n"/>
      <c r="T7" s="55" t="n"/>
      <c r="U7" s="54">
        <f>'S34'!T7</f>
        <v/>
      </c>
      <c r="V7" s="53">
        <f>T7-U7</f>
        <v/>
      </c>
      <c r="W7" s="53">
        <f>N7-T7</f>
        <v/>
      </c>
      <c r="X7" s="34" t="n"/>
    </row>
    <row r="8" ht="22" customHeight="1">
      <c r="B8" s="10" t="n">
        <v>4</v>
      </c>
      <c r="C8" s="6" t="inlineStr">
        <is>
          <t>Sidi Kacem</t>
        </is>
      </c>
      <c r="D8" s="10" t="inlineStr">
        <is>
          <t>KHENICHET</t>
        </is>
      </c>
      <c r="E8" s="10" t="inlineStr">
        <is>
          <t>50-21</t>
        </is>
      </c>
      <c r="F8" s="10" t="inlineStr">
        <is>
          <t>Entretien et réparation des stations de pompage</t>
        </is>
      </c>
      <c r="G8" s="10" t="inlineStr">
        <is>
          <t>Prestation de maintenance des débitmètres et leurs équipements annexes installés au niveau des station de pompage</t>
        </is>
      </c>
      <c r="H8" s="10" t="inlineStr">
        <is>
          <t>Changement trois débitmètre Ø 600mm inondés de la station de pompage EST 2 et deux capteurs VEGASON 62</t>
        </is>
      </c>
      <c r="I8" s="11" t="n">
        <v>165500</v>
      </c>
      <c r="J8" s="12" t="inlineStr">
        <is>
          <t>U</t>
        </is>
      </c>
      <c r="K8" s="13" t="n">
        <v>3</v>
      </c>
      <c r="L8" s="51" t="n"/>
      <c r="M8" s="56">
        <f>'S34'!M8+L8</f>
        <v/>
      </c>
      <c r="N8" s="57">
        <f>IFERROR(M8/K8,0)</f>
        <v/>
      </c>
      <c r="O8" s="58">
        <f>'S34'!N8</f>
        <v/>
      </c>
      <c r="P8" s="57">
        <f>N8-O8</f>
        <v/>
      </c>
      <c r="Q8" s="32" t="n"/>
      <c r="R8" s="32" t="n"/>
      <c r="S8" s="32" t="n"/>
      <c r="T8" s="55" t="n"/>
      <c r="U8" s="58">
        <f>'S34'!T8</f>
        <v/>
      </c>
      <c r="V8" s="57">
        <f>T8-U8</f>
        <v/>
      </c>
      <c r="W8" s="57">
        <f>N8-T8</f>
        <v/>
      </c>
      <c r="X8" s="34" t="n"/>
    </row>
    <row r="9" ht="22" customHeight="1">
      <c r="B9" s="5" t="n">
        <v>5</v>
      </c>
      <c r="C9" s="6" t="inlineStr">
        <is>
          <t>Sidi Kacem</t>
        </is>
      </c>
      <c r="D9" s="5" t="inlineStr">
        <is>
          <t>BIR TALEB</t>
        </is>
      </c>
      <c r="E9" s="5" t="inlineStr">
        <is>
          <t>50-23</t>
        </is>
      </c>
      <c r="F9" s="5" t="inlineStr">
        <is>
          <t>Entretien et réparation du réseau d'assainissement et de drainage</t>
        </is>
      </c>
      <c r="G9" s="5" t="inlineStr">
        <is>
          <t>Travaux de curage des canaux en terre</t>
        </is>
      </c>
      <c r="H9" s="5" t="inlineStr">
        <is>
          <t>Curage du canal d'assainisement Tihli Aval</t>
        </is>
      </c>
      <c r="I9" s="7" t="n">
        <v>1000000</v>
      </c>
      <c r="J9" s="8" t="inlineStr">
        <is>
          <t>ml</t>
        </is>
      </c>
      <c r="K9" s="9" t="n">
        <v>500</v>
      </c>
      <c r="L9" s="51" t="n"/>
      <c r="M9" s="52">
        <f>'S34'!M9+L9</f>
        <v/>
      </c>
      <c r="N9" s="53">
        <f>IFERROR(M9/K9,0)</f>
        <v/>
      </c>
      <c r="O9" s="54">
        <f>'S34'!N9</f>
        <v/>
      </c>
      <c r="P9" s="53">
        <f>N9-O9</f>
        <v/>
      </c>
      <c r="Q9" s="32" t="n"/>
      <c r="R9" s="32" t="n"/>
      <c r="S9" s="32" t="n"/>
      <c r="T9" s="55" t="n"/>
      <c r="U9" s="54">
        <f>'S34'!T9</f>
        <v/>
      </c>
      <c r="V9" s="53">
        <f>T9-U9</f>
        <v/>
      </c>
      <c r="W9" s="53">
        <f>N9-T9</f>
        <v/>
      </c>
      <c r="X9" s="34" t="n"/>
    </row>
    <row r="10" ht="22" customHeight="1">
      <c r="B10" s="10" t="n">
        <v>6</v>
      </c>
      <c r="C10" s="6" t="inlineStr">
        <is>
          <t>Sidi Kacem</t>
        </is>
      </c>
      <c r="D10" s="10" t="inlineStr">
        <is>
          <t>BIR TALEB</t>
        </is>
      </c>
      <c r="E10" s="10" t="inlineStr">
        <is>
          <t>50-23</t>
        </is>
      </c>
      <c r="F10" s="10" t="inlineStr">
        <is>
          <t>Entretien et réparation du réseau d'assainissement et de drainage</t>
        </is>
      </c>
      <c r="G10" s="10" t="inlineStr"/>
      <c r="H10" s="10" t="inlineStr">
        <is>
          <t>Curage des collecteurs d'assainissement du secteur P11/1</t>
        </is>
      </c>
      <c r="I10" s="11" t="n">
        <v>846731</v>
      </c>
      <c r="J10" s="12" t="inlineStr">
        <is>
          <t>ml</t>
        </is>
      </c>
      <c r="K10" s="13" t="n">
        <v>423</v>
      </c>
      <c r="L10" s="51" t="n"/>
      <c r="M10" s="56">
        <f>'S34'!M10+L10</f>
        <v/>
      </c>
      <c r="N10" s="57">
        <f>IFERROR(M10/K10,0)</f>
        <v/>
      </c>
      <c r="O10" s="58">
        <f>'S34'!N10</f>
        <v/>
      </c>
      <c r="P10" s="57">
        <f>N10-O10</f>
        <v/>
      </c>
      <c r="Q10" s="32" t="n"/>
      <c r="R10" s="32" t="n"/>
      <c r="S10" s="32" t="n"/>
      <c r="T10" s="55" t="n"/>
      <c r="U10" s="58">
        <f>'S34'!T10</f>
        <v/>
      </c>
      <c r="V10" s="57">
        <f>T10-U10</f>
        <v/>
      </c>
      <c r="W10" s="57">
        <f>N10-T10</f>
        <v/>
      </c>
      <c r="X10" s="34" t="n"/>
    </row>
    <row r="11" ht="22" customHeight="1">
      <c r="B11" s="5" t="n">
        <v>7</v>
      </c>
      <c r="C11" s="6" t="inlineStr">
        <is>
          <t>Sidi Kacem</t>
        </is>
      </c>
      <c r="D11" s="5" t="inlineStr">
        <is>
          <t>BIR TALEB</t>
        </is>
      </c>
      <c r="E11" s="5" t="inlineStr">
        <is>
          <t>50-23</t>
        </is>
      </c>
      <c r="F11" s="5" t="inlineStr">
        <is>
          <t>Entretien et réparation du réseau d'assainissement et de drainage</t>
        </is>
      </c>
      <c r="G11" s="5" t="inlineStr">
        <is>
          <t>Curage des prises sur l’oued, bâche d’aspiration et bassin de régulation.</t>
        </is>
      </c>
      <c r="H11" s="5" t="inlineStr">
        <is>
          <t>Curage des prises sur l’oued de la station de pompage P11/1.</t>
        </is>
      </c>
      <c r="I11" s="7" t="n">
        <v>200000</v>
      </c>
      <c r="J11" s="8" t="inlineStr">
        <is>
          <t>ml</t>
        </is>
      </c>
      <c r="K11" s="9" t="n">
        <v>67</v>
      </c>
      <c r="L11" s="51" t="n"/>
      <c r="M11" s="52">
        <f>'S34'!M11+L11</f>
        <v/>
      </c>
      <c r="N11" s="53">
        <f>IFERROR(M11/K11,0)</f>
        <v/>
      </c>
      <c r="O11" s="54">
        <f>'S34'!N11</f>
        <v/>
      </c>
      <c r="P11" s="53">
        <f>N11-O11</f>
        <v/>
      </c>
      <c r="Q11" s="32" t="n"/>
      <c r="R11" s="32" t="n"/>
      <c r="S11" s="32" t="n"/>
      <c r="T11" s="55" t="n"/>
      <c r="U11" s="54">
        <f>'S34'!T11</f>
        <v/>
      </c>
      <c r="V11" s="53">
        <f>T11-U11</f>
        <v/>
      </c>
      <c r="W11" s="53">
        <f>N11-T11</f>
        <v/>
      </c>
      <c r="X11" s="34" t="n"/>
    </row>
    <row r="12" ht="22" customHeight="1">
      <c r="B12" s="10" t="n">
        <v>8</v>
      </c>
      <c r="C12" s="6" t="inlineStr">
        <is>
          <t>Sidi Kacem</t>
        </is>
      </c>
      <c r="D12" s="10" t="inlineStr">
        <is>
          <t>BIR TALEB</t>
        </is>
      </c>
      <c r="E12" s="10" t="inlineStr">
        <is>
          <t>50-21</t>
        </is>
      </c>
      <c r="F12" s="10" t="inlineStr">
        <is>
          <t>Entretien et réparation des stations de pompage</t>
        </is>
      </c>
      <c r="G12" s="10" t="inlineStr">
        <is>
          <t>Prestation de maintenance des débitmètres et leurs équipements annexes installés au niveau des station de pompage</t>
        </is>
      </c>
      <c r="H12" s="10" t="inlineStr">
        <is>
          <t>Changement trois débitmètre Ø 400mm inondés de la station de pompage P11/1</t>
        </is>
      </c>
      <c r="I12" s="11" t="n">
        <v>141900</v>
      </c>
      <c r="J12" s="12" t="inlineStr">
        <is>
          <t>U</t>
        </is>
      </c>
      <c r="K12" s="13" t="n">
        <v>3</v>
      </c>
      <c r="L12" s="51" t="n"/>
      <c r="M12" s="56">
        <f>'S34'!M12+L12</f>
        <v/>
      </c>
      <c r="N12" s="57">
        <f>IFERROR(M12/K12,0)</f>
        <v/>
      </c>
      <c r="O12" s="58">
        <f>'S34'!N12</f>
        <v/>
      </c>
      <c r="P12" s="57">
        <f>N12-O12</f>
        <v/>
      </c>
      <c r="Q12" s="32" t="n"/>
      <c r="R12" s="32" t="n"/>
      <c r="S12" s="32" t="n"/>
      <c r="T12" s="55" t="n"/>
      <c r="U12" s="58">
        <f>'S34'!T12</f>
        <v/>
      </c>
      <c r="V12" s="57">
        <f>T12-U12</f>
        <v/>
      </c>
      <c r="W12" s="57">
        <f>N12-T12</f>
        <v/>
      </c>
      <c r="X12" s="34" t="n"/>
    </row>
    <row r="13" ht="22" customHeight="1">
      <c r="B13" s="5" t="n">
        <v>9</v>
      </c>
      <c r="C13" s="6" t="inlineStr">
        <is>
          <t>Sidi Kacem</t>
        </is>
      </c>
      <c r="D13" s="5" t="inlineStr">
        <is>
          <t>BIR TALEB</t>
        </is>
      </c>
      <c r="E13" s="5" t="inlineStr">
        <is>
          <t>50-21</t>
        </is>
      </c>
      <c r="F13" s="5" t="inlineStr">
        <is>
          <t>Entretien et réparation des stations de pompage</t>
        </is>
      </c>
      <c r="G13" s="5" t="inlineStr">
        <is>
          <t>Prestations de maintenance et de réparation mécanique des pompes et des groupes motopompes submersibles des stations de pompage.</t>
        </is>
      </c>
      <c r="H13" s="5" t="inlineStr">
        <is>
          <t>Démontage et expertise des roues des  pompes principaux et pompes a vide de la station P11/1
Changement des roulements, tresses et organes d’effectués de la station P11/1</t>
        </is>
      </c>
      <c r="I13" s="7" t="n">
        <v>26700</v>
      </c>
      <c r="J13" s="8" t="inlineStr">
        <is>
          <t>U</t>
        </is>
      </c>
      <c r="K13" s="9" t="n">
        <v>1</v>
      </c>
      <c r="L13" s="51" t="n"/>
      <c r="M13" s="52">
        <f>'S34'!M13+L13</f>
        <v/>
      </c>
      <c r="N13" s="53">
        <f>IFERROR(M13/K13,0)</f>
        <v/>
      </c>
      <c r="O13" s="54">
        <f>'S34'!N13</f>
        <v/>
      </c>
      <c r="P13" s="53">
        <f>N13-O13</f>
        <v/>
      </c>
      <c r="Q13" s="32" t="n"/>
      <c r="R13" s="32" t="n"/>
      <c r="S13" s="32" t="n"/>
      <c r="T13" s="55" t="n"/>
      <c r="U13" s="54">
        <f>'S34'!T13</f>
        <v/>
      </c>
      <c r="V13" s="53">
        <f>T13-U13</f>
        <v/>
      </c>
      <c r="W13" s="53">
        <f>N13-T13</f>
        <v/>
      </c>
      <c r="X13" s="34" t="n"/>
    </row>
    <row r="14" ht="22" customHeight="1">
      <c r="B14" s="10" t="n">
        <v>10</v>
      </c>
      <c r="C14" s="6" t="inlineStr">
        <is>
          <t>Sidi Kacem</t>
        </is>
      </c>
      <c r="D14" s="10" t="inlineStr">
        <is>
          <t>BIR TALEB</t>
        </is>
      </c>
      <c r="E14" s="10" t="inlineStr">
        <is>
          <t>50-21</t>
        </is>
      </c>
      <c r="F14" s="10" t="inlineStr">
        <is>
          <t>Entretien et réparation des stations de pompage</t>
        </is>
      </c>
      <c r="G14" s="10" t="inlineStr">
        <is>
          <t>Stabilisation Berge oued</t>
        </is>
      </c>
      <c r="H14" s="10" t="inlineStr">
        <is>
          <t>Pose de  gabions et recouvrement du talus par matelas Reno des stations de pompage P11/1.</t>
        </is>
      </c>
      <c r="I14" s="11" t="n">
        <v>480000</v>
      </c>
      <c r="J14" s="12" t="inlineStr">
        <is>
          <t>m³</t>
        </is>
      </c>
      <c r="K14" s="13" t="n">
        <v>320</v>
      </c>
      <c r="L14" s="51" t="n"/>
      <c r="M14" s="56">
        <f>'S34'!M14+L14</f>
        <v/>
      </c>
      <c r="N14" s="57">
        <f>IFERROR(M14/K14,0)</f>
        <v/>
      </c>
      <c r="O14" s="58">
        <f>'S34'!N14</f>
        <v/>
      </c>
      <c r="P14" s="57">
        <f>N14-O14</f>
        <v/>
      </c>
      <c r="Q14" s="32" t="n"/>
      <c r="R14" s="32" t="n"/>
      <c r="S14" s="32" t="n"/>
      <c r="T14" s="55" t="n"/>
      <c r="U14" s="58">
        <f>'S34'!T14</f>
        <v/>
      </c>
      <c r="V14" s="57">
        <f>T14-U14</f>
        <v/>
      </c>
      <c r="W14" s="57">
        <f>N14-T14</f>
        <v/>
      </c>
      <c r="X14" s="34" t="n"/>
    </row>
    <row r="15" ht="22" customHeight="1">
      <c r="B15" s="5" t="n">
        <v>11</v>
      </c>
      <c r="C15" s="6" t="inlineStr">
        <is>
          <t>Sidi Kacem</t>
        </is>
      </c>
      <c r="D15" s="5" t="inlineStr">
        <is>
          <t>BIR TALEB</t>
        </is>
      </c>
      <c r="E15" s="5" t="inlineStr">
        <is>
          <t>50-21</t>
        </is>
      </c>
      <c r="F15" s="5" t="inlineStr">
        <is>
          <t>Entretien et réparation des stations de pompage</t>
        </is>
      </c>
      <c r="G15" s="5" t="inlineStr">
        <is>
          <t>Génie civile des locaux des stations de pompage.</t>
        </is>
      </c>
      <c r="H15" s="5" t="inlineStr">
        <is>
          <t>Expertise d’état et d’étanchéité des locaux pompes.
Renforcement d’étanchéité des locaux pompe sous niveau des oueds des stations de pompage P11/1.
Entretien des supports en béton des conduites d’aspiration.</t>
        </is>
      </c>
      <c r="I15" s="7" t="n">
        <v>300000</v>
      </c>
      <c r="J15" s="8" t="inlineStr">
        <is>
          <t>U</t>
        </is>
      </c>
      <c r="K15" s="9" t="n">
        <v>1</v>
      </c>
      <c r="L15" s="51" t="n"/>
      <c r="M15" s="52">
        <f>'S34'!M15+L15</f>
        <v/>
      </c>
      <c r="N15" s="53">
        <f>IFERROR(M15/K15,0)</f>
        <v/>
      </c>
      <c r="O15" s="54">
        <f>'S34'!N15</f>
        <v/>
      </c>
      <c r="P15" s="53">
        <f>N15-O15</f>
        <v/>
      </c>
      <c r="Q15" s="32" t="n"/>
      <c r="R15" s="32" t="n"/>
      <c r="S15" s="32" t="n"/>
      <c r="T15" s="55" t="n"/>
      <c r="U15" s="54">
        <f>'S34'!T15</f>
        <v/>
      </c>
      <c r="V15" s="53">
        <f>T15-U15</f>
        <v/>
      </c>
      <c r="W15" s="53">
        <f>N15-T15</f>
        <v/>
      </c>
      <c r="X15" s="34" t="n"/>
    </row>
    <row r="16" ht="22" customHeight="1">
      <c r="B16" s="10" t="n">
        <v>12</v>
      </c>
      <c r="C16" s="6" t="inlineStr">
        <is>
          <t>Sidi Kacem</t>
        </is>
      </c>
      <c r="D16" s="10" t="inlineStr">
        <is>
          <t>CHEBANAT</t>
        </is>
      </c>
      <c r="E16" s="10" t="inlineStr">
        <is>
          <t>50-23</t>
        </is>
      </c>
      <c r="F16" s="10" t="inlineStr">
        <is>
          <t>Entretien et réparation du réseau d'assainissement et de drainage</t>
        </is>
      </c>
      <c r="G16" s="10" t="inlineStr">
        <is>
          <t>Travaux de curage des canaux en terre</t>
        </is>
      </c>
      <c r="H16" s="10" t="inlineStr">
        <is>
          <t>Curage des collecteurs d'assainissement des secteur SH5 et SH6.</t>
        </is>
      </c>
      <c r="I16" s="11" t="n">
        <v>1000000</v>
      </c>
      <c r="J16" s="12" t="inlineStr">
        <is>
          <t>ml</t>
        </is>
      </c>
      <c r="K16" s="13" t="n">
        <v>500</v>
      </c>
      <c r="L16" s="51" t="n"/>
      <c r="M16" s="56">
        <f>'S34'!M16+L16</f>
        <v/>
      </c>
      <c r="N16" s="57">
        <f>IFERROR(M16/K16,0)</f>
        <v/>
      </c>
      <c r="O16" s="58">
        <f>'S34'!N16</f>
        <v/>
      </c>
      <c r="P16" s="57">
        <f>N16-O16</f>
        <v/>
      </c>
      <c r="Q16" s="32" t="n"/>
      <c r="R16" s="32" t="n"/>
      <c r="S16" s="32" t="n"/>
      <c r="T16" s="55" t="n"/>
      <c r="U16" s="58">
        <f>'S34'!T16</f>
        <v/>
      </c>
      <c r="V16" s="57">
        <f>T16-U16</f>
        <v/>
      </c>
      <c r="W16" s="57">
        <f>N16-T16</f>
        <v/>
      </c>
      <c r="X16" s="34" t="n"/>
    </row>
    <row r="17" ht="22" customHeight="1">
      <c r="B17" s="5" t="n">
        <v>13</v>
      </c>
      <c r="C17" s="6" t="inlineStr">
        <is>
          <t>Sidi Kacem</t>
        </is>
      </c>
      <c r="D17" s="5" t="inlineStr">
        <is>
          <t>CHEBANAT</t>
        </is>
      </c>
      <c r="E17" s="5" t="inlineStr">
        <is>
          <t>50-23</t>
        </is>
      </c>
      <c r="F17" s="5" t="inlineStr">
        <is>
          <t>Entretien et réparation du réseau d'assainissement et de drainage</t>
        </is>
      </c>
      <c r="G17" s="5" t="inlineStr">
        <is>
          <t>Travaux de curage des canaux révetus</t>
        </is>
      </c>
      <c r="H17" s="5" t="inlineStr">
        <is>
          <t>Curage du canal principal d'irrigation beht partie aval 1.</t>
        </is>
      </c>
      <c r="I17" s="7" t="n">
        <v>739200</v>
      </c>
      <c r="J17" s="8" t="inlineStr">
        <is>
          <t>ml</t>
        </is>
      </c>
      <c r="K17" s="9" t="n">
        <v>370</v>
      </c>
      <c r="L17" s="51" t="n"/>
      <c r="M17" s="52">
        <f>'S34'!M17+L17</f>
        <v/>
      </c>
      <c r="N17" s="53">
        <f>IFERROR(M17/K17,0)</f>
        <v/>
      </c>
      <c r="O17" s="54">
        <f>'S34'!N17</f>
        <v/>
      </c>
      <c r="P17" s="53">
        <f>N17-O17</f>
        <v/>
      </c>
      <c r="Q17" s="32" t="n"/>
      <c r="R17" s="32" t="n"/>
      <c r="S17" s="32" t="n"/>
      <c r="T17" s="55" t="n"/>
      <c r="U17" s="54">
        <f>'S34'!T17</f>
        <v/>
      </c>
      <c r="V17" s="53">
        <f>T17-U17</f>
        <v/>
      </c>
      <c r="W17" s="53">
        <f>N17-T17</f>
        <v/>
      </c>
      <c r="X17" s="34" t="n"/>
    </row>
    <row r="18" ht="22" customHeight="1">
      <c r="B18" s="10" t="n">
        <v>14</v>
      </c>
      <c r="C18" s="6" t="inlineStr">
        <is>
          <t>Sidi Kacem</t>
        </is>
      </c>
      <c r="D18" s="10" t="inlineStr">
        <is>
          <t>ZIRARA</t>
        </is>
      </c>
      <c r="E18" s="10" t="inlineStr">
        <is>
          <t>50-23</t>
        </is>
      </c>
      <c r="F18" s="10" t="inlineStr">
        <is>
          <t>Entretien et réparation du réseau d'assainissement et de drainage</t>
        </is>
      </c>
      <c r="G18" s="10" t="inlineStr">
        <is>
          <t>Travaux de curage des canaux révetus</t>
        </is>
      </c>
      <c r="H18" s="10" t="inlineStr">
        <is>
          <t>Curage du canal principal d'irrigation beht partie aval 2.</t>
        </is>
      </c>
      <c r="I18" s="11" t="n">
        <v>1276800</v>
      </c>
      <c r="J18" s="12" t="inlineStr">
        <is>
          <t>ml</t>
        </is>
      </c>
      <c r="K18" s="13" t="n">
        <v>638</v>
      </c>
      <c r="L18" s="51" t="n"/>
      <c r="M18" s="56">
        <f>'S34'!M18+L18</f>
        <v/>
      </c>
      <c r="N18" s="57">
        <f>IFERROR(M18/K18,0)</f>
        <v/>
      </c>
      <c r="O18" s="58">
        <f>'S34'!N18</f>
        <v/>
      </c>
      <c r="P18" s="57">
        <f>N18-O18</f>
        <v/>
      </c>
      <c r="Q18" s="32" t="n"/>
      <c r="R18" s="32" t="n"/>
      <c r="S18" s="32" t="n"/>
      <c r="T18" s="55" t="n"/>
      <c r="U18" s="58">
        <f>'S34'!T18</f>
        <v/>
      </c>
      <c r="V18" s="57">
        <f>T18-U18</f>
        <v/>
      </c>
      <c r="W18" s="57">
        <f>N18-T18</f>
        <v/>
      </c>
      <c r="X18" s="34" t="n"/>
    </row>
    <row r="19" ht="22" customHeight="1">
      <c r="B19" s="5" t="n">
        <v>15</v>
      </c>
      <c r="C19" s="6" t="inlineStr">
        <is>
          <t>Sidi Kacem</t>
        </is>
      </c>
      <c r="D19" s="5" t="inlineStr">
        <is>
          <t>DAR LAASLOUJI</t>
        </is>
      </c>
      <c r="E19" s="5" t="inlineStr">
        <is>
          <t>50-23</t>
        </is>
      </c>
      <c r="F19" s="5" t="inlineStr">
        <is>
          <t>Entretien et réparation du réseau d'assainissement et de drainage</t>
        </is>
      </c>
      <c r="G19" s="5" t="inlineStr">
        <is>
          <t>Travaux de curage des canaux en terre</t>
        </is>
      </c>
      <c r="H19" s="5" t="inlineStr">
        <is>
          <t>Curage des collecteurs d'assainissement des secteurs P8-1 et P8-2</t>
        </is>
      </c>
      <c r="I19" s="7" t="n">
        <v>5796360</v>
      </c>
      <c r="J19" s="8" t="inlineStr">
        <is>
          <t>ml</t>
        </is>
      </c>
      <c r="K19" s="9" t="n">
        <v>2898</v>
      </c>
      <c r="L19" s="51" t="n"/>
      <c r="M19" s="52">
        <f>'S34'!M19+L19</f>
        <v/>
      </c>
      <c r="N19" s="53">
        <f>IFERROR(M19/K19,0)</f>
        <v/>
      </c>
      <c r="O19" s="54">
        <f>'S34'!N19</f>
        <v/>
      </c>
      <c r="P19" s="53">
        <f>N19-O19</f>
        <v/>
      </c>
      <c r="Q19" s="32" t="n"/>
      <c r="R19" s="32" t="n"/>
      <c r="S19" s="32" t="n"/>
      <c r="T19" s="55" t="n"/>
      <c r="U19" s="54">
        <f>'S34'!T19</f>
        <v/>
      </c>
      <c r="V19" s="53">
        <f>T19-U19</f>
        <v/>
      </c>
      <c r="W19" s="53">
        <f>N19-T19</f>
        <v/>
      </c>
      <c r="X19" s="34" t="n"/>
    </row>
    <row r="20" ht="22" customHeight="1">
      <c r="B20" s="10" t="n">
        <v>16</v>
      </c>
      <c r="C20" s="6" t="inlineStr">
        <is>
          <t>Sidi Kacem</t>
        </is>
      </c>
      <c r="D20" s="10" t="inlineStr">
        <is>
          <t>DAR LAASLOUJI</t>
        </is>
      </c>
      <c r="E20" s="10" t="inlineStr">
        <is>
          <t>40-21</t>
        </is>
      </c>
      <c r="F20" s="10" t="inlineStr">
        <is>
          <t>Travaux de pistes</t>
        </is>
      </c>
      <c r="G20" s="10" t="inlineStr">
        <is>
          <t>Entretien des pistes agricoles</t>
        </is>
      </c>
      <c r="H20" s="10" t="inlineStr">
        <is>
          <t>Entretien des pistes agricoles</t>
        </is>
      </c>
      <c r="I20" s="11" t="n">
        <v>340000</v>
      </c>
      <c r="J20" s="12" t="inlineStr">
        <is>
          <t>km</t>
        </is>
      </c>
      <c r="K20" s="13" t="n">
        <v>1</v>
      </c>
      <c r="L20" s="51" t="n"/>
      <c r="M20" s="56">
        <f>'S34'!M20+L20</f>
        <v/>
      </c>
      <c r="N20" s="57">
        <f>IFERROR(M20/K20,0)</f>
        <v/>
      </c>
      <c r="O20" s="58">
        <f>'S34'!N20</f>
        <v/>
      </c>
      <c r="P20" s="57">
        <f>N20-O20</f>
        <v/>
      </c>
      <c r="Q20" s="32" t="n"/>
      <c r="R20" s="32" t="n"/>
      <c r="S20" s="32" t="n"/>
      <c r="T20" s="55" t="n"/>
      <c r="U20" s="58">
        <f>'S34'!T20</f>
        <v/>
      </c>
      <c r="V20" s="57">
        <f>T20-U20</f>
        <v/>
      </c>
      <c r="W20" s="57">
        <f>N20-T20</f>
        <v/>
      </c>
      <c r="X20" s="34" t="n"/>
    </row>
    <row r="21" ht="22" customHeight="1">
      <c r="B21" s="5" t="n">
        <v>17</v>
      </c>
      <c r="C21" s="6" t="inlineStr">
        <is>
          <t>Sidi Kacem</t>
        </is>
      </c>
      <c r="D21" s="5" t="inlineStr">
        <is>
          <t>HOUAFATE</t>
        </is>
      </c>
      <c r="E21" s="5" t="inlineStr">
        <is>
          <t>20-11</t>
        </is>
      </c>
      <c r="F21" s="5" t="inlineStr">
        <is>
          <t>Travaux de réhabilitation des équipements</t>
        </is>
      </c>
      <c r="G21" s="5" t="inlineStr">
        <is>
          <t>Travaux de réhabilitation des canaux portés d'irrigation</t>
        </is>
      </c>
      <c r="H21" s="5" t="inlineStr">
        <is>
          <t>Fourniture et de pose de canaux porté et accessoires du réseau S3 du secteur S13</t>
        </is>
      </c>
      <c r="I21" s="7" t="n">
        <v>397934</v>
      </c>
      <c r="J21" s="8" t="inlineStr">
        <is>
          <t>ml</t>
        </is>
      </c>
      <c r="K21" s="9" t="n">
        <v>133</v>
      </c>
      <c r="L21" s="51" t="n"/>
      <c r="M21" s="52">
        <f>'S34'!M21+L21</f>
        <v/>
      </c>
      <c r="N21" s="53">
        <f>IFERROR(M21/K21,0)</f>
        <v/>
      </c>
      <c r="O21" s="54">
        <f>'S34'!N21</f>
        <v/>
      </c>
      <c r="P21" s="53">
        <f>N21-O21</f>
        <v/>
      </c>
      <c r="Q21" s="32" t="n"/>
      <c r="R21" s="32" t="n"/>
      <c r="S21" s="32" t="n"/>
      <c r="T21" s="55" t="n"/>
      <c r="U21" s="54">
        <f>'S34'!T21</f>
        <v/>
      </c>
      <c r="V21" s="53">
        <f>T21-U21</f>
        <v/>
      </c>
      <c r="W21" s="53">
        <f>N21-T21</f>
        <v/>
      </c>
      <c r="X21" s="34" t="n"/>
    </row>
    <row r="22" ht="22" customHeight="1">
      <c r="B22" s="10" t="n">
        <v>18</v>
      </c>
      <c r="C22" s="6" t="inlineStr">
        <is>
          <t>Sidi Kacem</t>
        </is>
      </c>
      <c r="D22" s="10" t="inlineStr">
        <is>
          <t>HOUAFATE</t>
        </is>
      </c>
      <c r="E22" s="10" t="inlineStr">
        <is>
          <t>20-11</t>
        </is>
      </c>
      <c r="F22" s="10" t="inlineStr">
        <is>
          <t>Travaux de réhabilitation des équipements</t>
        </is>
      </c>
      <c r="G22" s="10" t="inlineStr"/>
      <c r="H22" s="10" t="inlineStr">
        <is>
          <t>Fourniture et de pose de canaux porté et accessoires du réseau T2S1 du secteur S13</t>
        </is>
      </c>
      <c r="I22" s="11" t="n">
        <v>207575</v>
      </c>
      <c r="J22" s="12" t="inlineStr">
        <is>
          <t>ml</t>
        </is>
      </c>
      <c r="K22" s="13" t="n">
        <v>69</v>
      </c>
      <c r="L22" s="51" t="n"/>
      <c r="M22" s="56">
        <f>'S34'!M22+L22</f>
        <v/>
      </c>
      <c r="N22" s="57">
        <f>IFERROR(M22/K22,0)</f>
        <v/>
      </c>
      <c r="O22" s="58">
        <f>'S34'!N22</f>
        <v/>
      </c>
      <c r="P22" s="57">
        <f>N22-O22</f>
        <v/>
      </c>
      <c r="Q22" s="32" t="n"/>
      <c r="R22" s="32" t="n"/>
      <c r="S22" s="32" t="n"/>
      <c r="T22" s="55" t="n"/>
      <c r="U22" s="58">
        <f>'S34'!T22</f>
        <v/>
      </c>
      <c r="V22" s="57">
        <f>T22-U22</f>
        <v/>
      </c>
      <c r="W22" s="57">
        <f>N22-T22</f>
        <v/>
      </c>
      <c r="X22" s="34" t="n"/>
    </row>
    <row r="23" ht="22" customHeight="1">
      <c r="B23" s="5" t="n">
        <v>19</v>
      </c>
      <c r="C23" s="6" t="inlineStr">
        <is>
          <t>Sidi Kacem</t>
        </is>
      </c>
      <c r="D23" s="5" t="inlineStr">
        <is>
          <t>HOUAFATE</t>
        </is>
      </c>
      <c r="E23" s="5" t="inlineStr">
        <is>
          <t>40-21</t>
        </is>
      </c>
      <c r="F23" s="5" t="inlineStr">
        <is>
          <t>Travaux de pistes</t>
        </is>
      </c>
      <c r="G23" s="5" t="inlineStr">
        <is>
          <t>Entretien des pistes agricoles</t>
        </is>
      </c>
      <c r="H23" s="5" t="inlineStr">
        <is>
          <t>Entretien des pistes agricoles</t>
        </is>
      </c>
      <c r="I23" s="7" t="n">
        <v>2200000</v>
      </c>
      <c r="J23" s="8" t="inlineStr">
        <is>
          <t>km</t>
        </is>
      </c>
      <c r="K23" s="9" t="n">
        <v>4</v>
      </c>
      <c r="L23" s="51" t="n"/>
      <c r="M23" s="52">
        <f>'S34'!M23+L23</f>
        <v/>
      </c>
      <c r="N23" s="53">
        <f>IFERROR(M23/K23,0)</f>
        <v/>
      </c>
      <c r="O23" s="54">
        <f>'S34'!N23</f>
        <v/>
      </c>
      <c r="P23" s="53">
        <f>N23-O23</f>
        <v/>
      </c>
      <c r="Q23" s="32" t="n"/>
      <c r="R23" s="32" t="n"/>
      <c r="S23" s="32" t="n"/>
      <c r="T23" s="55" t="n"/>
      <c r="U23" s="54">
        <f>'S34'!T23</f>
        <v/>
      </c>
      <c r="V23" s="53">
        <f>T23-U23</f>
        <v/>
      </c>
      <c r="W23" s="53">
        <f>N23-T23</f>
        <v/>
      </c>
      <c r="X23" s="34" t="n"/>
    </row>
    <row r="24" ht="22" customHeight="1">
      <c r="B24" s="10" t="n">
        <v>20</v>
      </c>
      <c r="C24" s="6" t="inlineStr">
        <is>
          <t>Sidi Kacem</t>
        </is>
      </c>
      <c r="D24" s="10" t="inlineStr">
        <is>
          <t>HOUAFATE</t>
        </is>
      </c>
      <c r="E24" s="10" t="inlineStr">
        <is>
          <t>50-23</t>
        </is>
      </c>
      <c r="F24" s="10" t="inlineStr">
        <is>
          <t>Entretien et réparation du réseau d'assainissement et de drainage</t>
        </is>
      </c>
      <c r="G24" s="10" t="inlineStr">
        <is>
          <t>Curage des prises sur l’oued, bâche d’aspiration et bassin de régulation.</t>
        </is>
      </c>
      <c r="H24" s="10" t="inlineStr">
        <is>
          <t>Curage des prises sur l’oued de la station de pompage S17 et S13.
Nettoyage des grilles de préfiltration des boues colmaté de la station de pompage S17 et S13.
Curage de la bâche d’aspiration de la station S17 et S13.</t>
        </is>
      </c>
      <c r="I24" s="11" t="n">
        <v>300000</v>
      </c>
      <c r="J24" s="12" t="inlineStr">
        <is>
          <t>ml</t>
        </is>
      </c>
      <c r="K24" s="13" t="n">
        <v>100</v>
      </c>
      <c r="L24" s="51" t="n"/>
      <c r="M24" s="56">
        <f>'S34'!M24+L24</f>
        <v/>
      </c>
      <c r="N24" s="57">
        <f>IFERROR(M24/K24,0)</f>
        <v/>
      </c>
      <c r="O24" s="58">
        <f>'S34'!N24</f>
        <v/>
      </c>
      <c r="P24" s="57">
        <f>N24-O24</f>
        <v/>
      </c>
      <c r="Q24" s="32" t="n"/>
      <c r="R24" s="32" t="n"/>
      <c r="S24" s="32" t="n"/>
      <c r="T24" s="55" t="n"/>
      <c r="U24" s="58">
        <f>'S34'!T24</f>
        <v/>
      </c>
      <c r="V24" s="57">
        <f>T24-U24</f>
        <v/>
      </c>
      <c r="W24" s="57">
        <f>N24-T24</f>
        <v/>
      </c>
      <c r="X24" s="34" t="n"/>
    </row>
    <row r="25" ht="22" customHeight="1">
      <c r="B25" s="5" t="n">
        <v>21</v>
      </c>
      <c r="C25" s="6" t="inlineStr">
        <is>
          <t>Sidi Kacem</t>
        </is>
      </c>
      <c r="D25" s="5" t="inlineStr">
        <is>
          <t>HOUAFATE</t>
        </is>
      </c>
      <c r="E25" s="5" t="inlineStr">
        <is>
          <t>50-21</t>
        </is>
      </c>
      <c r="F25" s="5" t="inlineStr">
        <is>
          <t>Entretien et réparation des stations de pompage</t>
        </is>
      </c>
      <c r="G25" s="5" t="inlineStr">
        <is>
          <t>Prestation de maintenance des débitmètres et leurs équipements annexes installés au niveau des station de pompage</t>
        </is>
      </c>
      <c r="H25" s="5" t="inlineStr">
        <is>
          <t>Changement trois débitmètre Ø 600mm inondés de la station de pompage S13.</t>
        </is>
      </c>
      <c r="I25" s="7" t="n">
        <v>250000</v>
      </c>
      <c r="J25" s="8" t="inlineStr">
        <is>
          <t>U</t>
        </is>
      </c>
      <c r="K25" s="9" t="n">
        <v>3</v>
      </c>
      <c r="L25" s="51" t="n"/>
      <c r="M25" s="52">
        <f>'S34'!M25+L25</f>
        <v/>
      </c>
      <c r="N25" s="53">
        <f>IFERROR(M25/K25,0)</f>
        <v/>
      </c>
      <c r="O25" s="54">
        <f>'S34'!N25</f>
        <v/>
      </c>
      <c r="P25" s="53">
        <f>N25-O25</f>
        <v/>
      </c>
      <c r="Q25" s="32" t="n"/>
      <c r="R25" s="32" t="n"/>
      <c r="S25" s="32" t="n"/>
      <c r="T25" s="55" t="n"/>
      <c r="U25" s="54">
        <f>'S34'!T25</f>
        <v/>
      </c>
      <c r="V25" s="53">
        <f>T25-U25</f>
        <v/>
      </c>
      <c r="W25" s="53">
        <f>N25-T25</f>
        <v/>
      </c>
      <c r="X25" s="34" t="n"/>
    </row>
    <row r="26" ht="22" customHeight="1">
      <c r="B26" s="10" t="n">
        <v>22</v>
      </c>
      <c r="C26" s="6" t="inlineStr">
        <is>
          <t>Sidi Kacem</t>
        </is>
      </c>
      <c r="D26" s="10" t="inlineStr">
        <is>
          <t>HOUAFATE</t>
        </is>
      </c>
      <c r="E26" s="10" t="inlineStr">
        <is>
          <t>50-21</t>
        </is>
      </c>
      <c r="F26" s="10" t="inlineStr">
        <is>
          <t>Entretien et réparation des stations de pompage</t>
        </is>
      </c>
      <c r="G26" s="10" t="inlineStr">
        <is>
          <t>Prestations de maintenance des moteurs électriques des stations de pompage.</t>
        </is>
      </c>
      <c r="H26" s="10" t="inlineStr">
        <is>
          <t>Révision des trois moteurs électriques 200 KW principaux de la station S13. 
Révision des deux moteurs électriques 5,5 KW groupes vide de la station S13.</t>
        </is>
      </c>
      <c r="I26" s="11" t="n">
        <v>25000</v>
      </c>
      <c r="J26" s="12" t="inlineStr">
        <is>
          <t>U</t>
        </is>
      </c>
      <c r="K26" s="13" t="n">
        <v>3</v>
      </c>
      <c r="L26" s="51" t="n"/>
      <c r="M26" s="56">
        <f>'S34'!M26+L26</f>
        <v/>
      </c>
      <c r="N26" s="57">
        <f>IFERROR(M26/K26,0)</f>
        <v/>
      </c>
      <c r="O26" s="58">
        <f>'S34'!N26</f>
        <v/>
      </c>
      <c r="P26" s="57">
        <f>N26-O26</f>
        <v/>
      </c>
      <c r="Q26" s="32" t="n"/>
      <c r="R26" s="32" t="n"/>
      <c r="S26" s="32" t="n"/>
      <c r="T26" s="55" t="n"/>
      <c r="U26" s="58">
        <f>'S34'!T26</f>
        <v/>
      </c>
      <c r="V26" s="57">
        <f>T26-U26</f>
        <v/>
      </c>
      <c r="W26" s="57">
        <f>N26-T26</f>
        <v/>
      </c>
      <c r="X26" s="34" t="n"/>
    </row>
    <row r="27" ht="22" customHeight="1">
      <c r="B27" s="5" t="n">
        <v>23</v>
      </c>
      <c r="C27" s="6" t="inlineStr">
        <is>
          <t>Sidi Kacem</t>
        </is>
      </c>
      <c r="D27" s="5" t="inlineStr">
        <is>
          <t>HOUAFATE</t>
        </is>
      </c>
      <c r="E27" s="5" t="inlineStr">
        <is>
          <t>50-21</t>
        </is>
      </c>
      <c r="F27" s="5" t="inlineStr">
        <is>
          <t>Entretien et réparation des stations de pompage</t>
        </is>
      </c>
      <c r="G27" s="5" t="inlineStr">
        <is>
          <t>Prestations de maintenance et de réparation mécanique des pompes et des groupes motopompes submersibles des stations de pompage.</t>
        </is>
      </c>
      <c r="H27" s="5" t="inlineStr">
        <is>
          <t>Démontage et expertise des roues des  pompes principaux et pompes a vide de la station S13.
Changement des roulements, tresses et organes d’effectués de la station S13.</t>
        </is>
      </c>
      <c r="I27" s="7" t="n">
        <v>38000</v>
      </c>
      <c r="J27" s="8" t="inlineStr">
        <is>
          <t>U</t>
        </is>
      </c>
      <c r="K27" s="9" t="n">
        <v>1</v>
      </c>
      <c r="L27" s="51" t="n"/>
      <c r="M27" s="52">
        <f>'S34'!M27+L27</f>
        <v/>
      </c>
      <c r="N27" s="53">
        <f>IFERROR(M27/K27,0)</f>
        <v/>
      </c>
      <c r="O27" s="54">
        <f>'S34'!N27</f>
        <v/>
      </c>
      <c r="P27" s="53">
        <f>N27-O27</f>
        <v/>
      </c>
      <c r="Q27" s="32" t="n"/>
      <c r="R27" s="32" t="n"/>
      <c r="S27" s="32" t="n"/>
      <c r="T27" s="55" t="n"/>
      <c r="U27" s="54">
        <f>'S34'!T27</f>
        <v/>
      </c>
      <c r="V27" s="53">
        <f>T27-U27</f>
        <v/>
      </c>
      <c r="W27" s="53">
        <f>N27-T27</f>
        <v/>
      </c>
      <c r="X27" s="34" t="n"/>
    </row>
    <row r="28" ht="22" customHeight="1">
      <c r="B28" s="10" t="n">
        <v>24</v>
      </c>
      <c r="C28" s="6" t="inlineStr">
        <is>
          <t>Sidi Kacem</t>
        </is>
      </c>
      <c r="D28" s="10" t="inlineStr">
        <is>
          <t>HOUAFATE</t>
        </is>
      </c>
      <c r="E28" s="10" t="inlineStr">
        <is>
          <t>50-21</t>
        </is>
      </c>
      <c r="F28" s="10" t="inlineStr">
        <is>
          <t>Entretien et réparation des stations de pompage</t>
        </is>
      </c>
      <c r="G28" s="10" t="inlineStr">
        <is>
          <t>Stabilisation Berge oued</t>
        </is>
      </c>
      <c r="H28" s="10" t="inlineStr">
        <is>
          <t>Pose de  gabions et recouvrement du talus par matelas Reno des stations de pompage S13.</t>
        </is>
      </c>
      <c r="I28" s="11" t="n">
        <v>10560000</v>
      </c>
      <c r="J28" s="12" t="inlineStr">
        <is>
          <t>m³</t>
        </is>
      </c>
      <c r="K28" s="13" t="n">
        <v>7040</v>
      </c>
      <c r="L28" s="51" t="n"/>
      <c r="M28" s="56">
        <f>'S34'!M28+L28</f>
        <v/>
      </c>
      <c r="N28" s="57">
        <f>IFERROR(M28/K28,0)</f>
        <v/>
      </c>
      <c r="O28" s="58">
        <f>'S34'!N28</f>
        <v/>
      </c>
      <c r="P28" s="57">
        <f>N28-O28</f>
        <v/>
      </c>
      <c r="Q28" s="32" t="n"/>
      <c r="R28" s="32" t="n"/>
      <c r="S28" s="32" t="n"/>
      <c r="T28" s="55" t="n"/>
      <c r="U28" s="58">
        <f>'S34'!T28</f>
        <v/>
      </c>
      <c r="V28" s="57">
        <f>T28-U28</f>
        <v/>
      </c>
      <c r="W28" s="57">
        <f>N28-T28</f>
        <v/>
      </c>
      <c r="X28" s="34" t="n"/>
    </row>
    <row r="29" ht="22" customHeight="1">
      <c r="B29" s="5" t="n">
        <v>25</v>
      </c>
      <c r="C29" s="6" t="inlineStr">
        <is>
          <t>Sidi Kacem</t>
        </is>
      </c>
      <c r="D29" s="5" t="inlineStr">
        <is>
          <t>HOUAFATE</t>
        </is>
      </c>
      <c r="E29" s="5" t="inlineStr">
        <is>
          <t>50-21</t>
        </is>
      </c>
      <c r="F29" s="5" t="inlineStr">
        <is>
          <t>Entretien et réparation des stations de pompage</t>
        </is>
      </c>
      <c r="G29" s="5" t="inlineStr">
        <is>
          <t>Mur clôture des stations de pompage.</t>
        </is>
      </c>
      <c r="H29" s="5" t="inlineStr">
        <is>
          <t>Stabilisation du sol et reconstruction des murs clôture (270m) cote oued de la station S17.</t>
        </is>
      </c>
      <c r="I29" s="7" t="n">
        <v>144000</v>
      </c>
      <c r="J29" s="8" t="inlineStr">
        <is>
          <t>ml</t>
        </is>
      </c>
      <c r="K29" s="9" t="n">
        <v>270</v>
      </c>
      <c r="L29" s="51" t="n"/>
      <c r="M29" s="52">
        <f>'S34'!M29+L29</f>
        <v/>
      </c>
      <c r="N29" s="53">
        <f>IFERROR(M29/K29,0)</f>
        <v/>
      </c>
      <c r="O29" s="54">
        <f>'S34'!N29</f>
        <v/>
      </c>
      <c r="P29" s="53">
        <f>N29-O29</f>
        <v/>
      </c>
      <c r="Q29" s="32" t="n"/>
      <c r="R29" s="32" t="n"/>
      <c r="S29" s="32" t="n"/>
      <c r="T29" s="55" t="n"/>
      <c r="U29" s="54">
        <f>'S34'!T29</f>
        <v/>
      </c>
      <c r="V29" s="53">
        <f>T29-U29</f>
        <v/>
      </c>
      <c r="W29" s="53">
        <f>N29-T29</f>
        <v/>
      </c>
      <c r="X29" s="34" t="n"/>
    </row>
    <row r="30" ht="22" customHeight="1">
      <c r="B30" s="10" t="n">
        <v>26</v>
      </c>
      <c r="C30" s="6" t="inlineStr">
        <is>
          <t>Sidi Kacem</t>
        </is>
      </c>
      <c r="D30" s="10" t="inlineStr">
        <is>
          <t>HOUAFATE</t>
        </is>
      </c>
      <c r="E30" s="10" t="inlineStr">
        <is>
          <t>50-21</t>
        </is>
      </c>
      <c r="F30" s="10" t="inlineStr">
        <is>
          <t>Entretien et réparation des stations de pompage</t>
        </is>
      </c>
      <c r="G30" s="10" t="inlineStr">
        <is>
          <t>Génie civile des locaux des stations de pompage.</t>
        </is>
      </c>
      <c r="H30" s="10" t="inlineStr">
        <is>
          <t>Expertise d’état et d’étanchéité des locaux pompes, commande, puissance des stations de pompage S17 et S13.
Renforcement d’étanchéité des locaux pompe sous niveau des oueds des stations de pompage S17 et S13.</t>
        </is>
      </c>
      <c r="I30" s="11" t="n">
        <v>800000</v>
      </c>
      <c r="J30" s="12" t="inlineStr">
        <is>
          <t>U</t>
        </is>
      </c>
      <c r="K30" s="13" t="n">
        <v>1</v>
      </c>
      <c r="L30" s="51" t="n"/>
      <c r="M30" s="56">
        <f>'S34'!M30+L30</f>
        <v/>
      </c>
      <c r="N30" s="57">
        <f>IFERROR(M30/K30,0)</f>
        <v/>
      </c>
      <c r="O30" s="58">
        <f>'S34'!N30</f>
        <v/>
      </c>
      <c r="P30" s="57">
        <f>N30-O30</f>
        <v/>
      </c>
      <c r="Q30" s="32" t="n"/>
      <c r="R30" s="32" t="n"/>
      <c r="S30" s="32" t="n"/>
      <c r="T30" s="55" t="n"/>
      <c r="U30" s="58">
        <f>'S34'!T30</f>
        <v/>
      </c>
      <c r="V30" s="57">
        <f>T30-U30</f>
        <v/>
      </c>
      <c r="W30" s="57">
        <f>N30-T30</f>
        <v/>
      </c>
      <c r="X30" s="34" t="n"/>
    </row>
    <row r="31" ht="22" customHeight="1">
      <c r="B31" s="5" t="n">
        <v>27</v>
      </c>
      <c r="C31" s="6" t="inlineStr">
        <is>
          <t>Sidi Kacem</t>
        </is>
      </c>
      <c r="D31" s="5" t="inlineStr">
        <is>
          <t>NOUIRAT</t>
        </is>
      </c>
      <c r="E31" s="5" t="inlineStr">
        <is>
          <t>50-23</t>
        </is>
      </c>
      <c r="F31" s="5" t="inlineStr">
        <is>
          <t>Entretien et réparation du réseau d'assainissement et de drainage</t>
        </is>
      </c>
      <c r="G31" s="5" t="inlineStr">
        <is>
          <t>Travaux de curage des canaux en terre</t>
        </is>
      </c>
      <c r="H31" s="5" t="inlineStr">
        <is>
          <t>Curage des collecteurs d'assainissement des secteurs EST1 et N5</t>
        </is>
      </c>
      <c r="I31" s="7" t="n">
        <v>1733306</v>
      </c>
      <c r="J31" s="8" t="inlineStr">
        <is>
          <t>ml</t>
        </is>
      </c>
      <c r="K31" s="9" t="n">
        <v>867</v>
      </c>
      <c r="L31" s="51" t="n"/>
      <c r="M31" s="52">
        <f>'S34'!M31+L31</f>
        <v/>
      </c>
      <c r="N31" s="53">
        <f>IFERROR(M31/K31,0)</f>
        <v/>
      </c>
      <c r="O31" s="54">
        <f>'S34'!N31</f>
        <v/>
      </c>
      <c r="P31" s="53">
        <f>N31-O31</f>
        <v/>
      </c>
      <c r="Q31" s="32" t="n"/>
      <c r="R31" s="32" t="n"/>
      <c r="S31" s="32" t="n"/>
      <c r="T31" s="55" t="n"/>
      <c r="U31" s="54">
        <f>'S34'!T31</f>
        <v/>
      </c>
      <c r="V31" s="53">
        <f>T31-U31</f>
        <v/>
      </c>
      <c r="W31" s="53">
        <f>N31-T31</f>
        <v/>
      </c>
      <c r="X31" s="34" t="n"/>
    </row>
    <row r="32" ht="22" customHeight="1">
      <c r="B32" s="10" t="n">
        <v>28</v>
      </c>
      <c r="C32" s="6" t="inlineStr">
        <is>
          <t>Sidi Kacem</t>
        </is>
      </c>
      <c r="D32" s="10" t="inlineStr">
        <is>
          <t>NOUIRAT</t>
        </is>
      </c>
      <c r="E32" s="10" t="inlineStr">
        <is>
          <t>40-21</t>
        </is>
      </c>
      <c r="F32" s="10" t="inlineStr">
        <is>
          <t>Travaux de pistes</t>
        </is>
      </c>
      <c r="G32" s="10" t="inlineStr">
        <is>
          <t>Entretien des pistes agricoles</t>
        </is>
      </c>
      <c r="H32" s="10" t="inlineStr">
        <is>
          <t>Entretien des pistes agricoles</t>
        </is>
      </c>
      <c r="I32" s="11" t="n">
        <v>670000</v>
      </c>
      <c r="J32" s="12" t="inlineStr">
        <is>
          <t>km</t>
        </is>
      </c>
      <c r="K32" s="13" t="n">
        <v>1</v>
      </c>
      <c r="L32" s="51" t="n"/>
      <c r="M32" s="56">
        <f>'S34'!M32+L32</f>
        <v/>
      </c>
      <c r="N32" s="57">
        <f>IFERROR(M32/K32,0)</f>
        <v/>
      </c>
      <c r="O32" s="58">
        <f>'S34'!N32</f>
        <v/>
      </c>
      <c r="P32" s="57">
        <f>N32-O32</f>
        <v/>
      </c>
      <c r="Q32" s="32" t="n"/>
      <c r="R32" s="32" t="n"/>
      <c r="S32" s="32" t="n"/>
      <c r="T32" s="55" t="n"/>
      <c r="U32" s="58">
        <f>'S34'!T32</f>
        <v/>
      </c>
      <c r="V32" s="57">
        <f>T32-U32</f>
        <v/>
      </c>
      <c r="W32" s="57">
        <f>N32-T32</f>
        <v/>
      </c>
      <c r="X32" s="34" t="n"/>
    </row>
    <row r="33" ht="22" customHeight="1">
      <c r="B33" s="5" t="n">
        <v>29</v>
      </c>
      <c r="C33" s="6" t="inlineStr">
        <is>
          <t>Sidi Kacem</t>
        </is>
      </c>
      <c r="D33" s="5" t="inlineStr">
        <is>
          <t>NOUIRAT</t>
        </is>
      </c>
      <c r="E33" s="5" t="inlineStr">
        <is>
          <t>20-11</t>
        </is>
      </c>
      <c r="F33" s="5" t="inlineStr">
        <is>
          <t>Travaux de réhabilitation des équipements</t>
        </is>
      </c>
      <c r="G33" s="5" t="inlineStr">
        <is>
          <t>Travaux de réhabilitation des ouvrages de génie civil</t>
        </is>
      </c>
      <c r="H33" s="5" t="inlineStr">
        <is>
          <t>Réhabilitation de l'ouvrage( genie civil ,gabiollannage,clapet anti retour et buse) de l'ouvrage de débouche SE1</t>
        </is>
      </c>
      <c r="I33" s="7" t="n">
        <v>2500000</v>
      </c>
      <c r="J33" s="8" t="inlineStr">
        <is>
          <t>U</t>
        </is>
      </c>
      <c r="K33" s="9" t="n">
        <v>5</v>
      </c>
      <c r="L33" s="51" t="n"/>
      <c r="M33" s="52">
        <f>'S34'!M33+L33</f>
        <v/>
      </c>
      <c r="N33" s="53">
        <f>IFERROR(M33/K33,0)</f>
        <v/>
      </c>
      <c r="O33" s="54">
        <f>'S34'!N33</f>
        <v/>
      </c>
      <c r="P33" s="53">
        <f>N33-O33</f>
        <v/>
      </c>
      <c r="Q33" s="32" t="n"/>
      <c r="R33" s="32" t="n"/>
      <c r="S33" s="32" t="n"/>
      <c r="T33" s="55" t="n"/>
      <c r="U33" s="54">
        <f>'S34'!T33</f>
        <v/>
      </c>
      <c r="V33" s="53">
        <f>T33-U33</f>
        <v/>
      </c>
      <c r="W33" s="53">
        <f>N33-T33</f>
        <v/>
      </c>
      <c r="X33" s="34" t="n"/>
    </row>
    <row r="34" ht="22" customHeight="1">
      <c r="B34" s="10" t="n">
        <v>30</v>
      </c>
      <c r="C34" s="6" t="inlineStr">
        <is>
          <t>Sidi Kacem</t>
        </is>
      </c>
      <c r="D34" s="10" t="inlineStr">
        <is>
          <t>NOUIRAT</t>
        </is>
      </c>
      <c r="E34" s="10" t="inlineStr">
        <is>
          <t>50-23</t>
        </is>
      </c>
      <c r="F34" s="10" t="inlineStr">
        <is>
          <t>Entretien et réparation du réseau d'assainissement et de drainage</t>
        </is>
      </c>
      <c r="G34" s="10" t="inlineStr">
        <is>
          <t>Curage des prises sur l’oued, bâche d’aspiration et bassin de régulation.</t>
        </is>
      </c>
      <c r="H34" s="10" t="inlineStr">
        <is>
          <t>Curage des prises sur l’oued de la station de pompage E1.
Nettoyage des grilles de préfiltration des boues colmaté de la station de pompage E1.
Curage de la bâche d’aspiration de la station E1.</t>
        </is>
      </c>
      <c r="I34" s="11" t="n">
        <v>800000</v>
      </c>
      <c r="J34" s="12" t="inlineStr">
        <is>
          <t>ml</t>
        </is>
      </c>
      <c r="K34" s="13" t="n">
        <v>267</v>
      </c>
      <c r="L34" s="51" t="n"/>
      <c r="M34" s="56">
        <f>'S34'!M34+L34</f>
        <v/>
      </c>
      <c r="N34" s="57">
        <f>IFERROR(M34/K34,0)</f>
        <v/>
      </c>
      <c r="O34" s="58">
        <f>'S34'!N34</f>
        <v/>
      </c>
      <c r="P34" s="57">
        <f>N34-O34</f>
        <v/>
      </c>
      <c r="Q34" s="32" t="n"/>
      <c r="R34" s="32" t="n"/>
      <c r="S34" s="32" t="n"/>
      <c r="T34" s="55" t="n"/>
      <c r="U34" s="58">
        <f>'S34'!T34</f>
        <v/>
      </c>
      <c r="V34" s="57">
        <f>T34-U34</f>
        <v/>
      </c>
      <c r="W34" s="57">
        <f>N34-T34</f>
        <v/>
      </c>
      <c r="X34" s="34" t="n"/>
    </row>
    <row r="35" ht="22" customHeight="1">
      <c r="B35" s="5" t="n">
        <v>31</v>
      </c>
      <c r="C35" s="6" t="inlineStr">
        <is>
          <t>Sidi Kacem</t>
        </is>
      </c>
      <c r="D35" s="5" t="inlineStr">
        <is>
          <t>NOUIRAT</t>
        </is>
      </c>
      <c r="E35" s="5" t="inlineStr">
        <is>
          <t>50-21</t>
        </is>
      </c>
      <c r="F35" s="5" t="inlineStr">
        <is>
          <t>Entretien et réparation des stations de pompage</t>
        </is>
      </c>
      <c r="G35" s="5" t="inlineStr">
        <is>
          <t>Prestation de maintenance des débitmètres et leurs équipements annexes installés au niveau des station de pompage</t>
        </is>
      </c>
      <c r="H35" s="5" t="inlineStr">
        <is>
          <t>Changement du débitmètre Ø 1200mm inondé de la station de pompage E1.</t>
        </is>
      </c>
      <c r="I35" s="7" t="n">
        <v>195000</v>
      </c>
      <c r="J35" s="8" t="inlineStr">
        <is>
          <t>U</t>
        </is>
      </c>
      <c r="K35" s="9" t="n">
        <v>2</v>
      </c>
      <c r="L35" s="51" t="n"/>
      <c r="M35" s="52">
        <f>'S34'!M35+L35</f>
        <v/>
      </c>
      <c r="N35" s="53">
        <f>IFERROR(M35/K35,0)</f>
        <v/>
      </c>
      <c r="O35" s="54">
        <f>'S34'!N35</f>
        <v/>
      </c>
      <c r="P35" s="53">
        <f>N35-O35</f>
        <v/>
      </c>
      <c r="Q35" s="32" t="n"/>
      <c r="R35" s="32" t="n"/>
      <c r="S35" s="32" t="n"/>
      <c r="T35" s="55" t="n"/>
      <c r="U35" s="54">
        <f>'S34'!T35</f>
        <v/>
      </c>
      <c r="V35" s="53">
        <f>T35-U35</f>
        <v/>
      </c>
      <c r="W35" s="53">
        <f>N35-T35</f>
        <v/>
      </c>
      <c r="X35" s="34" t="n"/>
    </row>
    <row r="36" ht="22" customHeight="1">
      <c r="B36" s="10" t="n">
        <v>32</v>
      </c>
      <c r="C36" s="6" t="inlineStr">
        <is>
          <t>Sidi Kacem</t>
        </is>
      </c>
      <c r="D36" s="10" t="inlineStr">
        <is>
          <t>NOUIRAT</t>
        </is>
      </c>
      <c r="E36" s="10" t="inlineStr">
        <is>
          <t>50-21</t>
        </is>
      </c>
      <c r="F36" s="10" t="inlineStr">
        <is>
          <t>Entretien et réparation des stations de pompage</t>
        </is>
      </c>
      <c r="G36" s="10" t="inlineStr">
        <is>
          <t>Prestations de maintenance des moteurs électriques des stations de pompage.</t>
        </is>
      </c>
      <c r="H36" s="10" t="inlineStr">
        <is>
          <t>Révision des deux moteurs électriques principaux de la station E1.</t>
        </is>
      </c>
      <c r="I36" s="11" t="n">
        <v>50000</v>
      </c>
      <c r="J36" s="12" t="inlineStr">
        <is>
          <t>U</t>
        </is>
      </c>
      <c r="K36" s="13" t="n">
        <v>2</v>
      </c>
      <c r="L36" s="51" t="n"/>
      <c r="M36" s="56">
        <f>'S34'!M36+L36</f>
        <v/>
      </c>
      <c r="N36" s="57">
        <f>IFERROR(M36/K36,0)</f>
        <v/>
      </c>
      <c r="O36" s="58">
        <f>'S34'!N36</f>
        <v/>
      </c>
      <c r="P36" s="57">
        <f>N36-O36</f>
        <v/>
      </c>
      <c r="Q36" s="32" t="n"/>
      <c r="R36" s="32" t="n"/>
      <c r="S36" s="32" t="n"/>
      <c r="T36" s="55" t="n"/>
      <c r="U36" s="58">
        <f>'S34'!T36</f>
        <v/>
      </c>
      <c r="V36" s="57">
        <f>T36-U36</f>
        <v/>
      </c>
      <c r="W36" s="57">
        <f>N36-T36</f>
        <v/>
      </c>
      <c r="X36" s="34" t="n"/>
    </row>
    <row r="37" ht="22" customHeight="1">
      <c r="B37" s="5" t="n">
        <v>33</v>
      </c>
      <c r="C37" s="6" t="inlineStr">
        <is>
          <t>Sidi Kacem</t>
        </is>
      </c>
      <c r="D37" s="5" t="inlineStr">
        <is>
          <t>NOUIRAT</t>
        </is>
      </c>
      <c r="E37" s="5" t="inlineStr">
        <is>
          <t>50-21</t>
        </is>
      </c>
      <c r="F37" s="5" t="inlineStr">
        <is>
          <t>Entretien et réparation des stations de pompage</t>
        </is>
      </c>
      <c r="G37" s="5" t="inlineStr">
        <is>
          <t>Prestations de maintenance et de réparation mécanique des pompes et des groupes motopompes submersibles des stations de pompage.</t>
        </is>
      </c>
      <c r="H37" s="5" t="inlineStr">
        <is>
          <t>Démontage et expertise des cinq pompes principaux et pompes a vide de la station E1.
Changement des roulements, tresses et organes d’effectués de la station E1.</t>
        </is>
      </c>
      <c r="I37" s="7" t="n">
        <v>245000</v>
      </c>
      <c r="J37" s="8" t="inlineStr">
        <is>
          <t>U</t>
        </is>
      </c>
      <c r="K37" s="9" t="n">
        <v>5</v>
      </c>
      <c r="L37" s="51" t="n"/>
      <c r="M37" s="52">
        <f>'S34'!M37+L37</f>
        <v/>
      </c>
      <c r="N37" s="53">
        <f>IFERROR(M37/K37,0)</f>
        <v/>
      </c>
      <c r="O37" s="54">
        <f>'S34'!N37</f>
        <v/>
      </c>
      <c r="P37" s="53">
        <f>N37-O37</f>
        <v/>
      </c>
      <c r="Q37" s="32" t="n"/>
      <c r="R37" s="32" t="n"/>
      <c r="S37" s="32" t="n"/>
      <c r="T37" s="55" t="n"/>
      <c r="U37" s="54">
        <f>'S34'!T37</f>
        <v/>
      </c>
      <c r="V37" s="53">
        <f>T37-U37</f>
        <v/>
      </c>
      <c r="W37" s="53">
        <f>N37-T37</f>
        <v/>
      </c>
      <c r="X37" s="34" t="n"/>
    </row>
    <row r="38" ht="22" customHeight="1">
      <c r="B38" s="10" t="n">
        <v>34</v>
      </c>
      <c r="C38" s="6" t="inlineStr">
        <is>
          <t>Sidi Kacem</t>
        </is>
      </c>
      <c r="D38" s="10" t="inlineStr">
        <is>
          <t>NOUIRAT</t>
        </is>
      </c>
      <c r="E38" s="10" t="inlineStr">
        <is>
          <t>50-21</t>
        </is>
      </c>
      <c r="F38" s="10" t="inlineStr">
        <is>
          <t>Entretien et réparation des stations de pompage</t>
        </is>
      </c>
      <c r="G38" s="10" t="inlineStr">
        <is>
          <t>Génie civile des locaux des stations de pompage.</t>
        </is>
      </c>
      <c r="H38" s="10" t="inlineStr">
        <is>
          <t>Expertise d’état et d’étanchéité des locaux pompes, commande, puissance de la station de pompage E1.
Renforcement d’étanchéité des locaux pompe sous niveau des oueds de la station de pompage E1.</t>
        </is>
      </c>
      <c r="I38" s="11" t="n">
        <v>1000000</v>
      </c>
      <c r="J38" s="12" t="inlineStr">
        <is>
          <t>U</t>
        </is>
      </c>
      <c r="K38" s="13" t="n">
        <v>1</v>
      </c>
      <c r="L38" s="51" t="n"/>
      <c r="M38" s="56">
        <f>'S34'!M38+L38</f>
        <v/>
      </c>
      <c r="N38" s="57">
        <f>IFERROR(M38/K38,0)</f>
        <v/>
      </c>
      <c r="O38" s="58">
        <f>'S34'!N38</f>
        <v/>
      </c>
      <c r="P38" s="57">
        <f>N38-O38</f>
        <v/>
      </c>
      <c r="Q38" s="32" t="n"/>
      <c r="R38" s="32" t="n"/>
      <c r="S38" s="32" t="n"/>
      <c r="T38" s="55" t="n"/>
      <c r="U38" s="58">
        <f>'S34'!T38</f>
        <v/>
      </c>
      <c r="V38" s="57">
        <f>T38-U38</f>
        <v/>
      </c>
      <c r="W38" s="57">
        <f>N38-T38</f>
        <v/>
      </c>
      <c r="X38" s="34" t="n"/>
    </row>
    <row r="39" ht="22" customHeight="1">
      <c r="B39" s="5" t="n">
        <v>35</v>
      </c>
      <c r="C39" s="6" t="inlineStr">
        <is>
          <t>Sidi Kacem</t>
        </is>
      </c>
      <c r="D39" s="5" t="inlineStr">
        <is>
          <t>RMILAT</t>
        </is>
      </c>
      <c r="E39" s="5" t="inlineStr">
        <is>
          <t>50-23</t>
        </is>
      </c>
      <c r="F39" s="5" t="inlineStr">
        <is>
          <t>Entretien et réparation du réseau d'assainissement et de drainage</t>
        </is>
      </c>
      <c r="G39" s="5" t="inlineStr">
        <is>
          <t>Travaux de curage des canaux en terre</t>
        </is>
      </c>
      <c r="H39" s="5" t="inlineStr">
        <is>
          <t>Curage des collecteurs d'assainissement des secteurs P7</t>
        </is>
      </c>
      <c r="I39" s="7" t="n">
        <v>5024032</v>
      </c>
      <c r="J39" s="8" t="inlineStr">
        <is>
          <t>ml</t>
        </is>
      </c>
      <c r="K39" s="9" t="n">
        <v>2512</v>
      </c>
      <c r="L39" s="51" t="n"/>
      <c r="M39" s="52">
        <f>'S34'!M39+L39</f>
        <v/>
      </c>
      <c r="N39" s="53">
        <f>IFERROR(M39/K39,0)</f>
        <v/>
      </c>
      <c r="O39" s="54">
        <f>'S34'!N39</f>
        <v/>
      </c>
      <c r="P39" s="53">
        <f>N39-O39</f>
        <v/>
      </c>
      <c r="Q39" s="32" t="n"/>
      <c r="R39" s="32" t="n"/>
      <c r="S39" s="32" t="n"/>
      <c r="T39" s="55" t="n"/>
      <c r="U39" s="54">
        <f>'S34'!T39</f>
        <v/>
      </c>
      <c r="V39" s="53">
        <f>T39-U39</f>
        <v/>
      </c>
      <c r="W39" s="53">
        <f>N39-T39</f>
        <v/>
      </c>
      <c r="X39" s="34" t="n"/>
    </row>
    <row r="40" ht="22" customHeight="1">
      <c r="B40" s="10" t="n">
        <v>36</v>
      </c>
      <c r="C40" s="6" t="inlineStr">
        <is>
          <t>Sidi Kacem</t>
        </is>
      </c>
      <c r="D40" s="10" t="inlineStr">
        <is>
          <t>RMILAT</t>
        </is>
      </c>
      <c r="E40" s="10" t="inlineStr">
        <is>
          <t>40-21</t>
        </is>
      </c>
      <c r="F40" s="10" t="inlineStr">
        <is>
          <t>Travaux de pistes</t>
        </is>
      </c>
      <c r="G40" s="10" t="inlineStr">
        <is>
          <t>Entretien des pistes agricoles</t>
        </is>
      </c>
      <c r="H40" s="10" t="inlineStr">
        <is>
          <t>Entretien des pistes agricoles</t>
        </is>
      </c>
      <c r="I40" s="11" t="n">
        <v>400000</v>
      </c>
      <c r="J40" s="12" t="inlineStr">
        <is>
          <t>km</t>
        </is>
      </c>
      <c r="K40" s="13" t="n">
        <v>1</v>
      </c>
      <c r="L40" s="51" t="n"/>
      <c r="M40" s="56">
        <f>'S34'!M40+L40</f>
        <v/>
      </c>
      <c r="N40" s="57">
        <f>IFERROR(M40/K40,0)</f>
        <v/>
      </c>
      <c r="O40" s="58">
        <f>'S34'!N40</f>
        <v/>
      </c>
      <c r="P40" s="57">
        <f>N40-O40</f>
        <v/>
      </c>
      <c r="Q40" s="32" t="n"/>
      <c r="R40" s="32" t="n"/>
      <c r="S40" s="32" t="n"/>
      <c r="T40" s="55" t="n"/>
      <c r="U40" s="58">
        <f>'S34'!T40</f>
        <v/>
      </c>
      <c r="V40" s="57">
        <f>T40-U40</f>
        <v/>
      </c>
      <c r="W40" s="57">
        <f>N40-T40</f>
        <v/>
      </c>
      <c r="X40" s="34" t="n"/>
    </row>
    <row r="41" ht="22" customHeight="1">
      <c r="B41" s="5" t="n">
        <v>37</v>
      </c>
      <c r="C41" s="6" t="inlineStr">
        <is>
          <t>Sidi Kacem</t>
        </is>
      </c>
      <c r="D41" s="5" t="inlineStr">
        <is>
          <t>SAFSAF</t>
        </is>
      </c>
      <c r="E41" s="5" t="inlineStr">
        <is>
          <t>50-23</t>
        </is>
      </c>
      <c r="F41" s="5" t="inlineStr">
        <is>
          <t>Entretien et réparation du réseau d'assainissement et de drainage</t>
        </is>
      </c>
      <c r="G41" s="5" t="inlineStr">
        <is>
          <t>Travaux de curage des canaux en terre</t>
        </is>
      </c>
      <c r="H41" s="5" t="inlineStr">
        <is>
          <t>Curage des collecteurs d'assainissement des secteurs S7, S9 et S11</t>
        </is>
      </c>
      <c r="I41" s="7" t="n">
        <v>6000000</v>
      </c>
      <c r="J41" s="8" t="inlineStr">
        <is>
          <t>ml</t>
        </is>
      </c>
      <c r="K41" s="9" t="n">
        <v>3000</v>
      </c>
      <c r="L41" s="51" t="n"/>
      <c r="M41" s="52">
        <f>'S34'!M41+L41</f>
        <v/>
      </c>
      <c r="N41" s="53">
        <f>IFERROR(M41/K41,0)</f>
        <v/>
      </c>
      <c r="O41" s="54">
        <f>'S34'!N41</f>
        <v/>
      </c>
      <c r="P41" s="53">
        <f>N41-O41</f>
        <v/>
      </c>
      <c r="Q41" s="32" t="n"/>
      <c r="R41" s="32" t="n"/>
      <c r="S41" s="32" t="n"/>
      <c r="T41" s="55" t="n"/>
      <c r="U41" s="54">
        <f>'S34'!T41</f>
        <v/>
      </c>
      <c r="V41" s="53">
        <f>T41-U41</f>
        <v/>
      </c>
      <c r="W41" s="53">
        <f>N41-T41</f>
        <v/>
      </c>
      <c r="X41" s="34" t="n"/>
    </row>
    <row r="42" ht="22" customHeight="1">
      <c r="B42" s="10" t="n">
        <v>38</v>
      </c>
      <c r="C42" s="6" t="inlineStr">
        <is>
          <t>Sidi Kacem</t>
        </is>
      </c>
      <c r="D42" s="10" t="inlineStr">
        <is>
          <t>SAFSAF</t>
        </is>
      </c>
      <c r="E42" s="10" t="inlineStr">
        <is>
          <t>20-11</t>
        </is>
      </c>
      <c r="F42" s="10" t="inlineStr">
        <is>
          <t>Travaux de réhabilitation des équipements</t>
        </is>
      </c>
      <c r="G42" s="10" t="inlineStr">
        <is>
          <t>Travaux de réhabilitation des canaux portés d'irrigation</t>
        </is>
      </c>
      <c r="H42" s="10" t="inlineStr">
        <is>
          <t>Fourniture et  pose de canaux porté et accessoires du réseau S4 du secteur S11</t>
        </is>
      </c>
      <c r="I42" s="11" t="n">
        <v>232266</v>
      </c>
      <c r="J42" s="12" t="inlineStr">
        <is>
          <t>ml</t>
        </is>
      </c>
      <c r="K42" s="13" t="n">
        <v>77</v>
      </c>
      <c r="L42" s="51" t="n"/>
      <c r="M42" s="56">
        <f>'S34'!M42+L42</f>
        <v/>
      </c>
      <c r="N42" s="57">
        <f>IFERROR(M42/K42,0)</f>
        <v/>
      </c>
      <c r="O42" s="58">
        <f>'S34'!N42</f>
        <v/>
      </c>
      <c r="P42" s="57">
        <f>N42-O42</f>
        <v/>
      </c>
      <c r="Q42" s="32" t="n"/>
      <c r="R42" s="32" t="n"/>
      <c r="S42" s="32" t="n"/>
      <c r="T42" s="55" t="n"/>
      <c r="U42" s="58">
        <f>'S34'!T42</f>
        <v/>
      </c>
      <c r="V42" s="57">
        <f>T42-U42</f>
        <v/>
      </c>
      <c r="W42" s="57">
        <f>N42-T42</f>
        <v/>
      </c>
      <c r="X42" s="34" t="n"/>
    </row>
    <row r="43" ht="22" customHeight="1">
      <c r="B43" s="5" t="n">
        <v>39</v>
      </c>
      <c r="C43" s="6" t="inlineStr">
        <is>
          <t>Sidi Kacem</t>
        </is>
      </c>
      <c r="D43" s="5" t="inlineStr">
        <is>
          <t>SAFSAF</t>
        </is>
      </c>
      <c r="E43" s="5" t="inlineStr">
        <is>
          <t>20-11</t>
        </is>
      </c>
      <c r="F43" s="5" t="inlineStr">
        <is>
          <t>Travaux de réhabilitation des équipements</t>
        </is>
      </c>
      <c r="G43" s="5" t="inlineStr"/>
      <c r="H43" s="5" t="inlineStr">
        <is>
          <t>Recalage des canaux portés du réseau T5S5 du secteur S9</t>
        </is>
      </c>
      <c r="I43" s="7" t="n">
        <v>1055025</v>
      </c>
      <c r="J43" s="8" t="inlineStr">
        <is>
          <t>ml</t>
        </is>
      </c>
      <c r="K43" s="9" t="n">
        <v>352</v>
      </c>
      <c r="L43" s="51" t="n"/>
      <c r="M43" s="52">
        <f>'S34'!M43+L43</f>
        <v/>
      </c>
      <c r="N43" s="53">
        <f>IFERROR(M43/K43,0)</f>
        <v/>
      </c>
      <c r="O43" s="54">
        <f>'S34'!N43</f>
        <v/>
      </c>
      <c r="P43" s="53">
        <f>N43-O43</f>
        <v/>
      </c>
      <c r="Q43" s="32" t="n"/>
      <c r="R43" s="32" t="n"/>
      <c r="S43" s="32" t="n"/>
      <c r="T43" s="55" t="n"/>
      <c r="U43" s="54">
        <f>'S34'!T43</f>
        <v/>
      </c>
      <c r="V43" s="53">
        <f>T43-U43</f>
        <v/>
      </c>
      <c r="W43" s="53">
        <f>N43-T43</f>
        <v/>
      </c>
      <c r="X43" s="34" t="n"/>
    </row>
    <row r="44" ht="22" customHeight="1">
      <c r="B44" s="10" t="n">
        <v>40</v>
      </c>
      <c r="C44" s="6" t="inlineStr">
        <is>
          <t>Sidi Kacem</t>
        </is>
      </c>
      <c r="D44" s="10" t="inlineStr">
        <is>
          <t>SAFSAF</t>
        </is>
      </c>
      <c r="E44" s="10" t="inlineStr">
        <is>
          <t>20-11</t>
        </is>
      </c>
      <c r="F44" s="10" t="inlineStr">
        <is>
          <t>Travaux de réhabilitation des équipements</t>
        </is>
      </c>
      <c r="G44" s="10" t="inlineStr"/>
      <c r="H44" s="10" t="inlineStr">
        <is>
          <t>Recalage des canaux portés du réseau T7S5 du secteur S9</t>
        </is>
      </c>
      <c r="I44" s="11" t="n">
        <v>1004535</v>
      </c>
      <c r="J44" s="12" t="inlineStr">
        <is>
          <t>ml</t>
        </is>
      </c>
      <c r="K44" s="13" t="n">
        <v>335</v>
      </c>
      <c r="L44" s="51" t="n"/>
      <c r="M44" s="56">
        <f>'S34'!M44+L44</f>
        <v/>
      </c>
      <c r="N44" s="57">
        <f>IFERROR(M44/K44,0)</f>
        <v/>
      </c>
      <c r="O44" s="58">
        <f>'S34'!N44</f>
        <v/>
      </c>
      <c r="P44" s="57">
        <f>N44-O44</f>
        <v/>
      </c>
      <c r="Q44" s="32" t="n"/>
      <c r="R44" s="32" t="n"/>
      <c r="S44" s="32" t="n"/>
      <c r="T44" s="55" t="n"/>
      <c r="U44" s="58">
        <f>'S34'!T44</f>
        <v/>
      </c>
      <c r="V44" s="57">
        <f>T44-U44</f>
        <v/>
      </c>
      <c r="W44" s="57">
        <f>N44-T44</f>
        <v/>
      </c>
      <c r="X44" s="34" t="n"/>
    </row>
    <row r="45" ht="22" customHeight="1">
      <c r="B45" s="5" t="n">
        <v>41</v>
      </c>
      <c r="C45" s="6" t="inlineStr">
        <is>
          <t>Sidi Kacem</t>
        </is>
      </c>
      <c r="D45" s="5" t="inlineStr">
        <is>
          <t>SAFSAF</t>
        </is>
      </c>
      <c r="E45" s="5" t="inlineStr">
        <is>
          <t>20-11</t>
        </is>
      </c>
      <c r="F45" s="5" t="inlineStr">
        <is>
          <t>Travaux de réhabilitation des équipements</t>
        </is>
      </c>
      <c r="G45" s="5" t="inlineStr"/>
      <c r="H45" s="5" t="inlineStr">
        <is>
          <t>Recalage des canaux portés du réseau T2S5 du secteur S9</t>
        </is>
      </c>
      <c r="I45" s="7" t="n">
        <v>793830</v>
      </c>
      <c r="J45" s="8" t="inlineStr">
        <is>
          <t>ml</t>
        </is>
      </c>
      <c r="K45" s="9" t="n">
        <v>265</v>
      </c>
      <c r="L45" s="51" t="n"/>
      <c r="M45" s="52">
        <f>'S34'!M45+L45</f>
        <v/>
      </c>
      <c r="N45" s="53">
        <f>IFERROR(M45/K45,0)</f>
        <v/>
      </c>
      <c r="O45" s="54">
        <f>'S34'!N45</f>
        <v/>
      </c>
      <c r="P45" s="53">
        <f>N45-O45</f>
        <v/>
      </c>
      <c r="Q45" s="32" t="n"/>
      <c r="R45" s="32" t="n"/>
      <c r="S45" s="32" t="n"/>
      <c r="T45" s="55" t="n"/>
      <c r="U45" s="54">
        <f>'S34'!T45</f>
        <v/>
      </c>
      <c r="V45" s="53">
        <f>T45-U45</f>
        <v/>
      </c>
      <c r="W45" s="53">
        <f>N45-T45</f>
        <v/>
      </c>
      <c r="X45" s="34" t="n"/>
    </row>
    <row r="46" ht="22" customHeight="1">
      <c r="B46" s="10" t="n">
        <v>42</v>
      </c>
      <c r="C46" s="6" t="inlineStr">
        <is>
          <t>Sidi Kacem</t>
        </is>
      </c>
      <c r="D46" s="10" t="inlineStr">
        <is>
          <t>SAFSAF</t>
        </is>
      </c>
      <c r="E46" s="10" t="inlineStr">
        <is>
          <t>40-21</t>
        </is>
      </c>
      <c r="F46" s="10" t="inlineStr">
        <is>
          <t>Travaux de pistes</t>
        </is>
      </c>
      <c r="G46" s="10" t="inlineStr">
        <is>
          <t>Entretien des pistes agricoles</t>
        </is>
      </c>
      <c r="H46" s="10" t="inlineStr">
        <is>
          <t>Entretien des pistes agricoles</t>
        </is>
      </c>
      <c r="I46" s="11" t="n">
        <v>2000000</v>
      </c>
      <c r="J46" s="12" t="inlineStr">
        <is>
          <t>km</t>
        </is>
      </c>
      <c r="K46" s="13" t="n">
        <v>4</v>
      </c>
      <c r="L46" s="51" t="n"/>
      <c r="M46" s="56">
        <f>'S34'!M46+L46</f>
        <v/>
      </c>
      <c r="N46" s="57">
        <f>IFERROR(M46/K46,0)</f>
        <v/>
      </c>
      <c r="O46" s="58">
        <f>'S34'!N46</f>
        <v/>
      </c>
      <c r="P46" s="57">
        <f>N46-O46</f>
        <v/>
      </c>
      <c r="Q46" s="32" t="n"/>
      <c r="R46" s="32" t="n"/>
      <c r="S46" s="32" t="n"/>
      <c r="T46" s="55" t="n"/>
      <c r="U46" s="58">
        <f>'S34'!T46</f>
        <v/>
      </c>
      <c r="V46" s="57">
        <f>T46-U46</f>
        <v/>
      </c>
      <c r="W46" s="57">
        <f>N46-T46</f>
        <v/>
      </c>
      <c r="X46" s="34" t="n"/>
    </row>
    <row r="47" ht="22" customHeight="1">
      <c r="B47" s="5" t="n">
        <v>43</v>
      </c>
      <c r="C47" s="6" t="inlineStr">
        <is>
          <t>Sidi Kacem</t>
        </is>
      </c>
      <c r="D47" s="5" t="inlineStr">
        <is>
          <t>SAFSAF</t>
        </is>
      </c>
      <c r="E47" s="5" t="inlineStr">
        <is>
          <t>50-23</t>
        </is>
      </c>
      <c r="F47" s="5" t="inlineStr">
        <is>
          <t>Entretien et réparation du réseau d'assainissement et de drainage</t>
        </is>
      </c>
      <c r="G47" s="5" t="inlineStr">
        <is>
          <t>Curage des prises sur l’oued, bâche d’aspiration et bassin de régulation.</t>
        </is>
      </c>
      <c r="H47" s="5" t="inlineStr">
        <is>
          <t>Curage des prises sur l’oued des stations de pompage S11, S9, 7D et 7B.
Nettoyage des grilles de préfiltration des boues colmaté des stations de pompage S11, S9, 7D et 7B.
Nettoyage des crépines des boues colmaté de station pompage 7D.
Curage des dalots et bâche d’aspiration des stations de pompage S11, S9, 7B.</t>
        </is>
      </c>
      <c r="I47" s="7" t="n">
        <v>200000</v>
      </c>
      <c r="J47" s="8" t="inlineStr">
        <is>
          <t>ml</t>
        </is>
      </c>
      <c r="K47" s="9" t="n">
        <v>67</v>
      </c>
      <c r="L47" s="51" t="n"/>
      <c r="M47" s="52">
        <f>'S34'!M47+L47</f>
        <v/>
      </c>
      <c r="N47" s="53">
        <f>IFERROR(M47/K47,0)</f>
        <v/>
      </c>
      <c r="O47" s="54">
        <f>'S34'!N47</f>
        <v/>
      </c>
      <c r="P47" s="53">
        <f>N47-O47</f>
        <v/>
      </c>
      <c r="Q47" s="32" t="n"/>
      <c r="R47" s="32" t="n"/>
      <c r="S47" s="32" t="n"/>
      <c r="T47" s="55" t="n"/>
      <c r="U47" s="54">
        <f>'S34'!T47</f>
        <v/>
      </c>
      <c r="V47" s="53">
        <f>T47-U47</f>
        <v/>
      </c>
      <c r="W47" s="53">
        <f>N47-T47</f>
        <v/>
      </c>
      <c r="X47" s="34" t="n"/>
    </row>
    <row r="48" ht="22" customHeight="1">
      <c r="B48" s="10" t="n">
        <v>44</v>
      </c>
      <c r="C48" s="6" t="inlineStr">
        <is>
          <t>Sidi Kacem</t>
        </is>
      </c>
      <c r="D48" s="10" t="inlineStr">
        <is>
          <t>SAFSAF</t>
        </is>
      </c>
      <c r="E48" s="10" t="inlineStr">
        <is>
          <t>50-21</t>
        </is>
      </c>
      <c r="F48" s="10" t="inlineStr">
        <is>
          <t>Entretien et réparation des stations de pompage</t>
        </is>
      </c>
      <c r="G48" s="10" t="inlineStr">
        <is>
          <t>Prestation de maintenance des débitmètres et leurs équipements annexes installés au niveau des station de pompage</t>
        </is>
      </c>
      <c r="H48" s="10" t="inlineStr">
        <is>
          <t>Changements Sept des débitmètres Ø 600mm inondé des deux stations de pompage S11 et S9.</t>
        </is>
      </c>
      <c r="I48" s="11" t="n">
        <v>580000</v>
      </c>
      <c r="J48" s="12" t="inlineStr">
        <is>
          <t>U</t>
        </is>
      </c>
      <c r="K48" s="13" t="n">
        <v>7</v>
      </c>
      <c r="L48" s="51" t="n"/>
      <c r="M48" s="56">
        <f>'S34'!M48+L48</f>
        <v/>
      </c>
      <c r="N48" s="57">
        <f>IFERROR(M48/K48,0)</f>
        <v/>
      </c>
      <c r="O48" s="58">
        <f>'S34'!N48</f>
        <v/>
      </c>
      <c r="P48" s="57">
        <f>N48-O48</f>
        <v/>
      </c>
      <c r="Q48" s="32" t="n"/>
      <c r="R48" s="32" t="n"/>
      <c r="S48" s="32" t="n"/>
      <c r="T48" s="55" t="n"/>
      <c r="U48" s="58">
        <f>'S34'!T48</f>
        <v/>
      </c>
      <c r="V48" s="57">
        <f>T48-U48</f>
        <v/>
      </c>
      <c r="W48" s="57">
        <f>N48-T48</f>
        <v/>
      </c>
      <c r="X48" s="34" t="n"/>
    </row>
    <row r="49" ht="22" customHeight="1">
      <c r="B49" s="5" t="n">
        <v>45</v>
      </c>
      <c r="C49" s="6" t="inlineStr">
        <is>
          <t>Sidi Kacem</t>
        </is>
      </c>
      <c r="D49" s="5" t="inlineStr">
        <is>
          <t>SAFSAF</t>
        </is>
      </c>
      <c r="E49" s="5" t="inlineStr">
        <is>
          <t>50-21</t>
        </is>
      </c>
      <c r="F49" s="5" t="inlineStr">
        <is>
          <t>Entretien et réparation des stations de pompage</t>
        </is>
      </c>
      <c r="G49" s="5" t="inlineStr">
        <is>
          <t>Stabilisation Berge oued</t>
        </is>
      </c>
      <c r="H49" s="5" t="inlineStr">
        <is>
          <t>Pose de murs en gabions et recouvrement du talus par matelas Reno des stations de pompage S11, S9, 7D et 7B .</t>
        </is>
      </c>
      <c r="I49" s="7" t="n">
        <v>4000000</v>
      </c>
      <c r="J49" s="8" t="inlineStr">
        <is>
          <t>m³</t>
        </is>
      </c>
      <c r="K49" s="9" t="n">
        <v>2667</v>
      </c>
      <c r="L49" s="51" t="n"/>
      <c r="M49" s="52">
        <f>'S34'!M49+L49</f>
        <v/>
      </c>
      <c r="N49" s="53">
        <f>IFERROR(M49/K49,0)</f>
        <v/>
      </c>
      <c r="O49" s="54">
        <f>'S34'!N49</f>
        <v/>
      </c>
      <c r="P49" s="53">
        <f>N49-O49</f>
        <v/>
      </c>
      <c r="Q49" s="32" t="n"/>
      <c r="R49" s="32" t="n"/>
      <c r="S49" s="32" t="n"/>
      <c r="T49" s="55" t="n"/>
      <c r="U49" s="54">
        <f>'S34'!T49</f>
        <v/>
      </c>
      <c r="V49" s="53">
        <f>T49-U49</f>
        <v/>
      </c>
      <c r="W49" s="53">
        <f>N49-T49</f>
        <v/>
      </c>
      <c r="X49" s="34" t="n"/>
    </row>
    <row r="50" ht="22" customHeight="1">
      <c r="B50" s="10" t="n">
        <v>46</v>
      </c>
      <c r="C50" s="6" t="inlineStr">
        <is>
          <t>Sidi Kacem</t>
        </is>
      </c>
      <c r="D50" s="10" t="inlineStr">
        <is>
          <t>SIDI AZZOUZ</t>
        </is>
      </c>
      <c r="E50" s="10" t="inlineStr">
        <is>
          <t>40-21</t>
        </is>
      </c>
      <c r="F50" s="10" t="inlineStr">
        <is>
          <t>Travaux de pistes</t>
        </is>
      </c>
      <c r="G50" s="10" t="inlineStr">
        <is>
          <t>Entretien des pistes agricoles</t>
        </is>
      </c>
      <c r="H50" s="10" t="inlineStr">
        <is>
          <t>Entretien des pistes agricoles</t>
        </is>
      </c>
      <c r="I50" s="11" t="n">
        <v>655000</v>
      </c>
      <c r="J50" s="12" t="inlineStr">
        <is>
          <t>km</t>
        </is>
      </c>
      <c r="K50" s="13" t="n">
        <v>1</v>
      </c>
      <c r="L50" s="51" t="n"/>
      <c r="M50" s="56">
        <f>'S34'!M50+L50</f>
        <v/>
      </c>
      <c r="N50" s="57">
        <f>IFERROR(M50/K50,0)</f>
        <v/>
      </c>
      <c r="O50" s="58">
        <f>'S34'!N50</f>
        <v/>
      </c>
      <c r="P50" s="57">
        <f>N50-O50</f>
        <v/>
      </c>
      <c r="Q50" s="32" t="n"/>
      <c r="R50" s="32" t="n"/>
      <c r="S50" s="32" t="n"/>
      <c r="T50" s="55" t="n"/>
      <c r="U50" s="58">
        <f>'S34'!T50</f>
        <v/>
      </c>
      <c r="V50" s="57">
        <f>T50-U50</f>
        <v/>
      </c>
      <c r="W50" s="57">
        <f>N50-T50</f>
        <v/>
      </c>
      <c r="X50" s="34" t="n"/>
    </row>
    <row r="51" ht="22" customHeight="1">
      <c r="B51" s="5" t="n">
        <v>47</v>
      </c>
      <c r="C51" s="6" t="inlineStr">
        <is>
          <t>Sidi Kacem</t>
        </is>
      </c>
      <c r="D51" s="5" t="inlineStr">
        <is>
          <t>SIDI EL KAMEL</t>
        </is>
      </c>
      <c r="E51" s="5" t="inlineStr">
        <is>
          <t>20-11</t>
        </is>
      </c>
      <c r="F51" s="5" t="inlineStr">
        <is>
          <t>Travaux de réhabilitation des équipements</t>
        </is>
      </c>
      <c r="G51" s="5" t="inlineStr">
        <is>
          <t>Travaux de réhabilitation des canaux portés d'irrigation</t>
        </is>
      </c>
      <c r="H51" s="5" t="inlineStr">
        <is>
          <t>Fourniture et de pose de canaux porté et accessoires du réseau SR4 du secteur S3R</t>
        </is>
      </c>
      <c r="I51" s="7" t="n">
        <v>5182920</v>
      </c>
      <c r="J51" s="8" t="inlineStr">
        <is>
          <t>ml</t>
        </is>
      </c>
      <c r="K51" s="9" t="n">
        <v>1728</v>
      </c>
      <c r="L51" s="51" t="n"/>
      <c r="M51" s="52">
        <f>'S34'!M51+L51</f>
        <v/>
      </c>
      <c r="N51" s="53">
        <f>IFERROR(M51/K51,0)</f>
        <v/>
      </c>
      <c r="O51" s="54">
        <f>'S34'!N51</f>
        <v/>
      </c>
      <c r="P51" s="53">
        <f>N51-O51</f>
        <v/>
      </c>
      <c r="Q51" s="32" t="n"/>
      <c r="R51" s="32" t="n"/>
      <c r="S51" s="32" t="n"/>
      <c r="T51" s="55" t="n"/>
      <c r="U51" s="54">
        <f>'S34'!T51</f>
        <v/>
      </c>
      <c r="V51" s="53">
        <f>T51-U51</f>
        <v/>
      </c>
      <c r="W51" s="53">
        <f>N51-T51</f>
        <v/>
      </c>
      <c r="X51" s="34" t="n"/>
    </row>
    <row r="52" ht="22" customHeight="1">
      <c r="B52" s="10" t="n">
        <v>48</v>
      </c>
      <c r="C52" s="6" t="inlineStr">
        <is>
          <t>Sidi Kacem</t>
        </is>
      </c>
      <c r="D52" s="10" t="inlineStr">
        <is>
          <t>SIDI EL KAMEL</t>
        </is>
      </c>
      <c r="E52" s="10" t="inlineStr">
        <is>
          <t>20-11</t>
        </is>
      </c>
      <c r="F52" s="10" t="inlineStr">
        <is>
          <t>Travaux de réhabilitation des équipements</t>
        </is>
      </c>
      <c r="G52" s="10" t="inlineStr"/>
      <c r="H52" s="10" t="inlineStr">
        <is>
          <t>Fourniture et de pose de canaux porté et accessoires du réseau SR6 du secteur S1RIZ</t>
        </is>
      </c>
      <c r="I52" s="11" t="n">
        <v>152818</v>
      </c>
      <c r="J52" s="12" t="inlineStr">
        <is>
          <t>ml</t>
        </is>
      </c>
      <c r="K52" s="13" t="n">
        <v>51</v>
      </c>
      <c r="L52" s="51" t="n"/>
      <c r="M52" s="56">
        <f>'S34'!M52+L52</f>
        <v/>
      </c>
      <c r="N52" s="57">
        <f>IFERROR(M52/K52,0)</f>
        <v/>
      </c>
      <c r="O52" s="58">
        <f>'S34'!N52</f>
        <v/>
      </c>
      <c r="P52" s="57">
        <f>N52-O52</f>
        <v/>
      </c>
      <c r="Q52" s="32" t="n"/>
      <c r="R52" s="32" t="n"/>
      <c r="S52" s="32" t="n"/>
      <c r="T52" s="55" t="n"/>
      <c r="U52" s="58">
        <f>'S34'!T52</f>
        <v/>
      </c>
      <c r="V52" s="57">
        <f>T52-U52</f>
        <v/>
      </c>
      <c r="W52" s="57">
        <f>N52-T52</f>
        <v/>
      </c>
      <c r="X52" s="34" t="n"/>
    </row>
    <row r="53" ht="22" customHeight="1">
      <c r="B53" s="5" t="n">
        <v>49</v>
      </c>
      <c r="C53" s="6" t="inlineStr">
        <is>
          <t>Sidi Kacem</t>
        </is>
      </c>
      <c r="D53" s="5" t="inlineStr">
        <is>
          <t>SIDI EL KAMEL</t>
        </is>
      </c>
      <c r="E53" s="5" t="inlineStr">
        <is>
          <t>20-11</t>
        </is>
      </c>
      <c r="F53" s="5" t="inlineStr">
        <is>
          <t>Travaux de réhabilitation des équipements</t>
        </is>
      </c>
      <c r="G53" s="5" t="inlineStr"/>
      <c r="H53" s="5" t="inlineStr">
        <is>
          <t>Recalage des canaux portés du réseau SR4 du secteur S3R</t>
        </is>
      </c>
      <c r="I53" s="7" t="n">
        <v>1418000</v>
      </c>
      <c r="J53" s="8" t="inlineStr">
        <is>
          <t>ml</t>
        </is>
      </c>
      <c r="K53" s="9" t="n">
        <v>473</v>
      </c>
      <c r="L53" s="51" t="n"/>
      <c r="M53" s="52">
        <f>'S34'!M53+L53</f>
        <v/>
      </c>
      <c r="N53" s="53">
        <f>IFERROR(M53/K53,0)</f>
        <v/>
      </c>
      <c r="O53" s="54">
        <f>'S34'!N53</f>
        <v/>
      </c>
      <c r="P53" s="53">
        <f>N53-O53</f>
        <v/>
      </c>
      <c r="Q53" s="32" t="n"/>
      <c r="R53" s="32" t="n"/>
      <c r="S53" s="32" t="n"/>
      <c r="T53" s="55" t="n"/>
      <c r="U53" s="54">
        <f>'S34'!T53</f>
        <v/>
      </c>
      <c r="V53" s="53">
        <f>T53-U53</f>
        <v/>
      </c>
      <c r="W53" s="53">
        <f>N53-T53</f>
        <v/>
      </c>
      <c r="X53" s="34" t="n"/>
    </row>
    <row r="54" ht="22" customHeight="1">
      <c r="B54" s="10" t="n">
        <v>50</v>
      </c>
      <c r="C54" s="6" t="inlineStr">
        <is>
          <t>Sidi Kacem</t>
        </is>
      </c>
      <c r="D54" s="10" t="inlineStr">
        <is>
          <t>SIDI EL KAMEL</t>
        </is>
      </c>
      <c r="E54" s="10" t="inlineStr">
        <is>
          <t>20-11</t>
        </is>
      </c>
      <c r="F54" s="10" t="inlineStr">
        <is>
          <t>Travaux de réhabilitation des équipements</t>
        </is>
      </c>
      <c r="G54" s="10" t="inlineStr">
        <is>
          <t>Travaux de réhabilitation des ouvrages de génie civil</t>
        </is>
      </c>
      <c r="H54" s="10" t="inlineStr">
        <is>
          <t>Réhabilitation des murs de soutènements des ouvrages de franchissements du canal d'assainissement CS3 secteur S3 et de l’ouvrage de franchissement du canal primaire d’irrigation du secteur S1R au niveau de la route provinciale P4234</t>
        </is>
      </c>
      <c r="I54" s="11" t="n">
        <v>800000</v>
      </c>
      <c r="J54" s="12" t="inlineStr">
        <is>
          <t>ml</t>
        </is>
      </c>
      <c r="K54" s="13" t="n">
        <v>400</v>
      </c>
      <c r="L54" s="51" t="n"/>
      <c r="M54" s="56">
        <f>'S34'!M54+L54</f>
        <v/>
      </c>
      <c r="N54" s="57">
        <f>IFERROR(M54/K54,0)</f>
        <v/>
      </c>
      <c r="O54" s="58">
        <f>'S34'!N54</f>
        <v/>
      </c>
      <c r="P54" s="57">
        <f>N54-O54</f>
        <v/>
      </c>
      <c r="Q54" s="32" t="n"/>
      <c r="R54" s="32" t="n"/>
      <c r="S54" s="32" t="n"/>
      <c r="T54" s="55" t="n"/>
      <c r="U54" s="58">
        <f>'S34'!T54</f>
        <v/>
      </c>
      <c r="V54" s="57">
        <f>T54-U54</f>
        <v/>
      </c>
      <c r="W54" s="57">
        <f>N54-T54</f>
        <v/>
      </c>
      <c r="X54" s="34" t="n"/>
    </row>
    <row r="55" ht="22" customHeight="1">
      <c r="B55" s="5" t="n">
        <v>51</v>
      </c>
      <c r="C55" s="6" t="inlineStr">
        <is>
          <t>Sidi Kacem</t>
        </is>
      </c>
      <c r="D55" s="5" t="inlineStr">
        <is>
          <t>SIDI EL KAMEL</t>
        </is>
      </c>
      <c r="E55" s="5" t="inlineStr">
        <is>
          <t>40-21</t>
        </is>
      </c>
      <c r="F55" s="5" t="inlineStr">
        <is>
          <t>Travaux de pistes</t>
        </is>
      </c>
      <c r="G55" s="5" t="inlineStr">
        <is>
          <t>Entretien des pistes agricoles</t>
        </is>
      </c>
      <c r="H55" s="5" t="inlineStr">
        <is>
          <t>Entretien des pistes agricoles</t>
        </is>
      </c>
      <c r="I55" s="7" t="n">
        <v>3700000</v>
      </c>
      <c r="J55" s="8" t="inlineStr">
        <is>
          <t>km</t>
        </is>
      </c>
      <c r="K55" s="9" t="n">
        <v>7</v>
      </c>
      <c r="L55" s="51" t="n"/>
      <c r="M55" s="52">
        <f>'S34'!M55+L55</f>
        <v/>
      </c>
      <c r="N55" s="53">
        <f>IFERROR(M55/K55,0)</f>
        <v/>
      </c>
      <c r="O55" s="54">
        <f>'S34'!N55</f>
        <v/>
      </c>
      <c r="P55" s="53">
        <f>N55-O55</f>
        <v/>
      </c>
      <c r="Q55" s="32" t="n"/>
      <c r="R55" s="32" t="n"/>
      <c r="S55" s="32" t="n"/>
      <c r="T55" s="55" t="n"/>
      <c r="U55" s="54">
        <f>'S34'!T55</f>
        <v/>
      </c>
      <c r="V55" s="53">
        <f>T55-U55</f>
        <v/>
      </c>
      <c r="W55" s="53">
        <f>N55-T55</f>
        <v/>
      </c>
      <c r="X55" s="34" t="n"/>
    </row>
    <row r="56" ht="22" customHeight="1">
      <c r="B56" s="10" t="n">
        <v>52</v>
      </c>
      <c r="C56" s="6" t="inlineStr">
        <is>
          <t>Sidi Kacem</t>
        </is>
      </c>
      <c r="D56" s="10" t="inlineStr">
        <is>
          <t>SIDI EL KAMEL</t>
        </is>
      </c>
      <c r="E56" s="10" t="inlineStr">
        <is>
          <t>50-21</t>
        </is>
      </c>
      <c r="F56" s="10" t="inlineStr">
        <is>
          <t>Entretien et réparation des stations de pompage</t>
        </is>
      </c>
      <c r="G56" s="10" t="inlineStr">
        <is>
          <t>Prestation de maintenance des débitmètres et leurs équipements annexes installés au niveau des station de pompage</t>
        </is>
      </c>
      <c r="H56" s="10" t="inlineStr">
        <is>
          <t>Changement de quatre débitmètres Ø 500mm et trois Ø 800mm inondé des stations de pompage 1R, 3R et 5R.</t>
        </is>
      </c>
      <c r="I56" s="11" t="n">
        <v>705000</v>
      </c>
      <c r="J56" s="12" t="inlineStr">
        <is>
          <t>U</t>
        </is>
      </c>
      <c r="K56" s="13" t="n">
        <v>3</v>
      </c>
      <c r="L56" s="51" t="n"/>
      <c r="M56" s="56">
        <f>'S34'!M56+L56</f>
        <v/>
      </c>
      <c r="N56" s="57">
        <f>IFERROR(M56/K56,0)</f>
        <v/>
      </c>
      <c r="O56" s="58">
        <f>'S34'!N56</f>
        <v/>
      </c>
      <c r="P56" s="57">
        <f>N56-O56</f>
        <v/>
      </c>
      <c r="Q56" s="32" t="n"/>
      <c r="R56" s="32" t="n"/>
      <c r="S56" s="32" t="n"/>
      <c r="T56" s="55" t="n"/>
      <c r="U56" s="58">
        <f>'S34'!T56</f>
        <v/>
      </c>
      <c r="V56" s="57">
        <f>T56-U56</f>
        <v/>
      </c>
      <c r="W56" s="57">
        <f>N56-T56</f>
        <v/>
      </c>
      <c r="X56" s="34" t="n"/>
    </row>
    <row r="57" ht="22" customHeight="1">
      <c r="B57" s="5" t="n">
        <v>53</v>
      </c>
      <c r="C57" s="6" t="inlineStr">
        <is>
          <t>Sidi Kacem</t>
        </is>
      </c>
      <c r="D57" s="5" t="inlineStr">
        <is>
          <t>SIDI EL KAMEL</t>
        </is>
      </c>
      <c r="E57" s="5" t="inlineStr">
        <is>
          <t>50-21</t>
        </is>
      </c>
      <c r="F57" s="5" t="inlineStr">
        <is>
          <t>Entretien et réparation des stations de pompage</t>
        </is>
      </c>
      <c r="G57" s="5" t="inlineStr">
        <is>
          <t>Mur clôture des stations de pompage.</t>
        </is>
      </c>
      <c r="H57" s="5" t="inlineStr">
        <is>
          <t>Stabilisation et reconstruction des murs clôture cote oued des stations de pompage 7A, 3R et 1R.</t>
        </is>
      </c>
      <c r="I57" s="7" t="n">
        <v>372000</v>
      </c>
      <c r="J57" s="8" t="inlineStr">
        <is>
          <t>ml</t>
        </is>
      </c>
      <c r="K57" s="9" t="n">
        <v>124</v>
      </c>
      <c r="L57" s="51" t="n"/>
      <c r="M57" s="52">
        <f>'S34'!M57+L57</f>
        <v/>
      </c>
      <c r="N57" s="53">
        <f>IFERROR(M57/K57,0)</f>
        <v/>
      </c>
      <c r="O57" s="54">
        <f>'S34'!N57</f>
        <v/>
      </c>
      <c r="P57" s="53">
        <f>N57-O57</f>
        <v/>
      </c>
      <c r="Q57" s="32" t="n"/>
      <c r="R57" s="32" t="n"/>
      <c r="S57" s="32" t="n"/>
      <c r="T57" s="55" t="n"/>
      <c r="U57" s="54">
        <f>'S34'!T57</f>
        <v/>
      </c>
      <c r="V57" s="53">
        <f>T57-U57</f>
        <v/>
      </c>
      <c r="W57" s="53">
        <f>N57-T57</f>
        <v/>
      </c>
      <c r="X57" s="34" t="n"/>
    </row>
    <row r="58" ht="22" customHeight="1">
      <c r="B58" s="10" t="n">
        <v>54</v>
      </c>
      <c r="C58" s="14" t="inlineStr">
        <is>
          <t>Kénitra</t>
        </is>
      </c>
      <c r="D58" s="10" t="inlineStr">
        <is>
          <t>Bni malek</t>
        </is>
      </c>
      <c r="E58" s="10" t="inlineStr">
        <is>
          <t>50-23</t>
        </is>
      </c>
      <c r="F58" s="10" t="inlineStr">
        <is>
          <t>Entretien et réparation du réseau d'assainissement et de drainage</t>
        </is>
      </c>
      <c r="G58" s="10" t="inlineStr">
        <is>
          <t>Travaux de curage des canaux en terre</t>
        </is>
      </c>
      <c r="H58" s="10" t="inlineStr">
        <is>
          <t>Curage des emissaires et colatures secondaire au niveau des secteurs MDA ET N9</t>
        </is>
      </c>
      <c r="I58" s="11" t="n">
        <v>10000000</v>
      </c>
      <c r="J58" s="12" t="inlineStr">
        <is>
          <t>ml</t>
        </is>
      </c>
      <c r="K58" s="13" t="n">
        <v>5000</v>
      </c>
      <c r="L58" s="51" t="n"/>
      <c r="M58" s="56">
        <f>'S34'!M58+L58</f>
        <v/>
      </c>
      <c r="N58" s="57">
        <f>IFERROR(M58/K58,0)</f>
        <v/>
      </c>
      <c r="O58" s="58">
        <f>'S34'!N58</f>
        <v/>
      </c>
      <c r="P58" s="57">
        <f>N58-O58</f>
        <v/>
      </c>
      <c r="Q58" s="32" t="n"/>
      <c r="R58" s="32" t="n"/>
      <c r="S58" s="32" t="n"/>
      <c r="T58" s="55" t="n"/>
      <c r="U58" s="58">
        <f>'S34'!T58</f>
        <v/>
      </c>
      <c r="V58" s="57">
        <f>T58-U58</f>
        <v/>
      </c>
      <c r="W58" s="57">
        <f>N58-T58</f>
        <v/>
      </c>
      <c r="X58" s="34" t="n"/>
    </row>
    <row r="59" ht="22" customHeight="1">
      <c r="B59" s="5" t="n">
        <v>55</v>
      </c>
      <c r="C59" s="14" t="inlineStr">
        <is>
          <t>Kénitra</t>
        </is>
      </c>
      <c r="D59" s="5" t="inlineStr">
        <is>
          <t>Bni malek</t>
        </is>
      </c>
      <c r="E59" s="5" t="inlineStr">
        <is>
          <t>40-21</t>
        </is>
      </c>
      <c r="F59" s="5" t="inlineStr">
        <is>
          <t>Travaux de pistes</t>
        </is>
      </c>
      <c r="G59" s="5" t="inlineStr">
        <is>
          <t>Travaux de réhabilitation des pistes agricoles</t>
        </is>
      </c>
      <c r="H59" s="5" t="inlineStr">
        <is>
          <t>Entretien des pistes agricoles des secteurs MDA et N3</t>
        </is>
      </c>
      <c r="I59" s="7" t="n">
        <v>2000000</v>
      </c>
      <c r="J59" s="8" t="inlineStr">
        <is>
          <t>km</t>
        </is>
      </c>
      <c r="K59" s="9" t="n">
        <v>4</v>
      </c>
      <c r="L59" s="51" t="n"/>
      <c r="M59" s="52">
        <f>'S34'!M59+L59</f>
        <v/>
      </c>
      <c r="N59" s="53">
        <f>IFERROR(M59/K59,0)</f>
        <v/>
      </c>
      <c r="O59" s="54">
        <f>'S34'!N59</f>
        <v/>
      </c>
      <c r="P59" s="53">
        <f>N59-O59</f>
        <v/>
      </c>
      <c r="Q59" s="32" t="n"/>
      <c r="R59" s="32" t="n"/>
      <c r="S59" s="32" t="n"/>
      <c r="T59" s="55" t="n"/>
      <c r="U59" s="54">
        <f>'S34'!T59</f>
        <v/>
      </c>
      <c r="V59" s="53">
        <f>T59-U59</f>
        <v/>
      </c>
      <c r="W59" s="53">
        <f>N59-T59</f>
        <v/>
      </c>
      <c r="X59" s="34" t="n"/>
    </row>
    <row r="60" ht="22" customHeight="1">
      <c r="B60" s="10" t="n">
        <v>56</v>
      </c>
      <c r="C60" s="14" t="inlineStr">
        <is>
          <t>Kénitra</t>
        </is>
      </c>
      <c r="D60" s="10" t="inlineStr">
        <is>
          <t>Bni malek</t>
        </is>
      </c>
      <c r="E60" s="10" t="inlineStr">
        <is>
          <t>50-21</t>
        </is>
      </c>
      <c r="F60" s="10" t="inlineStr">
        <is>
          <t>Entretien et réparation des stations de pompage</t>
        </is>
      </c>
      <c r="G60" s="10" t="inlineStr">
        <is>
          <t>Prestations de maintenance et de réparation mécanique des pompes et des groupes motopompes submersibles des stations de pompage.</t>
        </is>
      </c>
      <c r="H60" s="10" t="inlineStr">
        <is>
          <t>station de pompage MDA secteur MDA</t>
        </is>
      </c>
      <c r="I60" s="11" t="n">
        <v>300000</v>
      </c>
      <c r="J60" s="12" t="inlineStr">
        <is>
          <t>U</t>
        </is>
      </c>
      <c r="K60" s="13" t="n">
        <v>1</v>
      </c>
      <c r="L60" s="51" t="n"/>
      <c r="M60" s="56">
        <f>'S34'!M60+L60</f>
        <v/>
      </c>
      <c r="N60" s="57">
        <f>IFERROR(M60/K60,0)</f>
        <v/>
      </c>
      <c r="O60" s="58">
        <f>'S34'!N60</f>
        <v/>
      </c>
      <c r="P60" s="57">
        <f>N60-O60</f>
        <v/>
      </c>
      <c r="Q60" s="32" t="n"/>
      <c r="R60" s="32" t="n"/>
      <c r="S60" s="32" t="n"/>
      <c r="T60" s="55" t="n"/>
      <c r="U60" s="58">
        <f>'S34'!T60</f>
        <v/>
      </c>
      <c r="V60" s="57">
        <f>T60-U60</f>
        <v/>
      </c>
      <c r="W60" s="57">
        <f>N60-T60</f>
        <v/>
      </c>
      <c r="X60" s="34" t="n"/>
    </row>
    <row r="61" ht="22" customHeight="1">
      <c r="B61" s="5" t="n">
        <v>57</v>
      </c>
      <c r="C61" s="14" t="inlineStr">
        <is>
          <t>Kénitra</t>
        </is>
      </c>
      <c r="D61" s="5" t="inlineStr">
        <is>
          <t>Bni malek</t>
        </is>
      </c>
      <c r="E61" s="5" t="inlineStr">
        <is>
          <t>20-11</t>
        </is>
      </c>
      <c r="F61" s="5" t="inlineStr">
        <is>
          <t>Travaux de réhabilitation des équipements</t>
        </is>
      </c>
      <c r="G61" s="5" t="inlineStr">
        <is>
          <t>Travaux de réhabilitation des ouvrages de génie civil</t>
        </is>
      </c>
      <c r="H61" s="5" t="inlineStr">
        <is>
          <t>Rétablissement des bornes affaissées des secteurs N2 et N3</t>
        </is>
      </c>
      <c r="I61" s="7" t="n">
        <v>100000</v>
      </c>
      <c r="J61" s="8" t="inlineStr">
        <is>
          <t>U</t>
        </is>
      </c>
      <c r="K61" s="9" t="n">
        <v>200</v>
      </c>
      <c r="L61" s="51" t="n"/>
      <c r="M61" s="52">
        <f>'S34'!M61+L61</f>
        <v/>
      </c>
      <c r="N61" s="53">
        <f>IFERROR(M61/K61,0)</f>
        <v/>
      </c>
      <c r="O61" s="54">
        <f>'S34'!N61</f>
        <v/>
      </c>
      <c r="P61" s="53">
        <f>N61-O61</f>
        <v/>
      </c>
      <c r="Q61" s="32" t="n"/>
      <c r="R61" s="32" t="n"/>
      <c r="S61" s="32" t="n"/>
      <c r="T61" s="55" t="n"/>
      <c r="U61" s="54">
        <f>'S34'!T61</f>
        <v/>
      </c>
      <c r="V61" s="53">
        <f>T61-U61</f>
        <v/>
      </c>
      <c r="W61" s="53">
        <f>N61-T61</f>
        <v/>
      </c>
      <c r="X61" s="34" t="n"/>
    </row>
    <row r="62" ht="22" customHeight="1">
      <c r="B62" s="10" t="n">
        <v>58</v>
      </c>
      <c r="C62" s="14" t="inlineStr">
        <is>
          <t>Kénitra</t>
        </is>
      </c>
      <c r="D62" s="10" t="inlineStr">
        <is>
          <t>SOUK TLET</t>
        </is>
      </c>
      <c r="E62" s="10" t="inlineStr">
        <is>
          <t>50-23</t>
        </is>
      </c>
      <c r="F62" s="10" t="inlineStr">
        <is>
          <t>Entretien et réparation du réseau d'assainissement et de drainage</t>
        </is>
      </c>
      <c r="G62" s="10" t="inlineStr">
        <is>
          <t>Travaux de curage des canaux en terre</t>
        </is>
      </c>
      <c r="H62" s="10" t="inlineStr">
        <is>
          <t>curage des emissaires et colatures secondaire au niveau des secteurs N2,N3 ET N4,</t>
        </is>
      </c>
      <c r="I62" s="11" t="n">
        <v>3000000</v>
      </c>
      <c r="J62" s="12" t="inlineStr">
        <is>
          <t>ml</t>
        </is>
      </c>
      <c r="K62" s="13" t="n">
        <v>1500</v>
      </c>
      <c r="L62" s="51" t="n"/>
      <c r="M62" s="56">
        <f>'S34'!M62+L62</f>
        <v/>
      </c>
      <c r="N62" s="57">
        <f>IFERROR(M62/K62,0)</f>
        <v/>
      </c>
      <c r="O62" s="58">
        <f>'S34'!N62</f>
        <v/>
      </c>
      <c r="P62" s="57">
        <f>N62-O62</f>
        <v/>
      </c>
      <c r="Q62" s="32" t="n"/>
      <c r="R62" s="32" t="n"/>
      <c r="S62" s="32" t="n"/>
      <c r="T62" s="55" t="n"/>
      <c r="U62" s="58">
        <f>'S34'!T62</f>
        <v/>
      </c>
      <c r="V62" s="57">
        <f>T62-U62</f>
        <v/>
      </c>
      <c r="W62" s="57">
        <f>N62-T62</f>
        <v/>
      </c>
      <c r="X62" s="34" t="n"/>
    </row>
    <row r="63" ht="22" customHeight="1">
      <c r="B63" s="5" t="n">
        <v>59</v>
      </c>
      <c r="C63" s="14" t="inlineStr">
        <is>
          <t>Kénitra</t>
        </is>
      </c>
      <c r="D63" s="5" t="inlineStr">
        <is>
          <t>SOUK TLET</t>
        </is>
      </c>
      <c r="E63" s="5" t="inlineStr">
        <is>
          <t>40-21</t>
        </is>
      </c>
      <c r="F63" s="5" t="inlineStr">
        <is>
          <t>Travaux de pistes</t>
        </is>
      </c>
      <c r="G63" s="5" t="inlineStr">
        <is>
          <t>Travaux de réhabilitation des pistes agricoles</t>
        </is>
      </c>
      <c r="H63" s="5" t="inlineStr">
        <is>
          <t>Entretien des pistes des secteurs N2,N3,N4 et C4R,</t>
        </is>
      </c>
      <c r="I63" s="7" t="n">
        <v>5000000</v>
      </c>
      <c r="J63" s="8" t="inlineStr">
        <is>
          <t>U</t>
        </is>
      </c>
      <c r="K63" s="9" t="n">
        <v>1</v>
      </c>
      <c r="L63" s="51" t="n"/>
      <c r="M63" s="52">
        <f>'S34'!M63+L63</f>
        <v/>
      </c>
      <c r="N63" s="53">
        <f>IFERROR(M63/K63,0)</f>
        <v/>
      </c>
      <c r="O63" s="54">
        <f>'S34'!N63</f>
        <v/>
      </c>
      <c r="P63" s="53">
        <f>N63-O63</f>
        <v/>
      </c>
      <c r="Q63" s="32" t="n"/>
      <c r="R63" s="32" t="n"/>
      <c r="S63" s="32" t="n"/>
      <c r="T63" s="55" t="n"/>
      <c r="U63" s="54">
        <f>'S34'!T63</f>
        <v/>
      </c>
      <c r="V63" s="53">
        <f>T63-U63</f>
        <v/>
      </c>
      <c r="W63" s="53">
        <f>N63-T63</f>
        <v/>
      </c>
      <c r="X63" s="34" t="n"/>
    </row>
    <row r="64" ht="22" customHeight="1">
      <c r="B64" s="10" t="n">
        <v>60</v>
      </c>
      <c r="C64" s="14" t="inlineStr">
        <is>
          <t>Kénitra</t>
        </is>
      </c>
      <c r="D64" s="10" t="inlineStr">
        <is>
          <t>Sidi Med Lahmar</t>
        </is>
      </c>
      <c r="E64" s="10" t="inlineStr">
        <is>
          <t>50-23</t>
        </is>
      </c>
      <c r="F64" s="10" t="inlineStr">
        <is>
          <t>Entretien et réparation du réseau d'assainissement et de drainage</t>
        </is>
      </c>
      <c r="G64" s="10" t="inlineStr">
        <is>
          <t>Travaux de curage des canaux en terre</t>
        </is>
      </c>
      <c r="H64" s="10" t="inlineStr">
        <is>
          <t>Curage des emissaires et colatures secondaires secteurs N1</t>
        </is>
      </c>
      <c r="I64" s="11" t="n">
        <v>3000000</v>
      </c>
      <c r="J64" s="12" t="inlineStr">
        <is>
          <t>ml</t>
        </is>
      </c>
      <c r="K64" s="13" t="n">
        <v>1500</v>
      </c>
      <c r="L64" s="51" t="n"/>
      <c r="M64" s="56">
        <f>'S34'!M64+L64</f>
        <v/>
      </c>
      <c r="N64" s="57">
        <f>IFERROR(M64/K64,0)</f>
        <v/>
      </c>
      <c r="O64" s="58">
        <f>'S34'!N64</f>
        <v/>
      </c>
      <c r="P64" s="57">
        <f>N64-O64</f>
        <v/>
      </c>
      <c r="Q64" s="32" t="n"/>
      <c r="R64" s="32" t="n"/>
      <c r="S64" s="32" t="n"/>
      <c r="T64" s="55" t="n"/>
      <c r="U64" s="58">
        <f>'S34'!T64</f>
        <v/>
      </c>
      <c r="V64" s="57">
        <f>T64-U64</f>
        <v/>
      </c>
      <c r="W64" s="57">
        <f>N64-T64</f>
        <v/>
      </c>
      <c r="X64" s="34" t="n"/>
    </row>
    <row r="65" ht="22" customHeight="1">
      <c r="B65" s="5" t="n">
        <v>61</v>
      </c>
      <c r="C65" s="14" t="inlineStr">
        <is>
          <t>Kénitra</t>
        </is>
      </c>
      <c r="D65" s="5" t="inlineStr">
        <is>
          <t>Sidi Med Lahmar</t>
        </is>
      </c>
      <c r="E65" s="5" t="inlineStr">
        <is>
          <t>40-21</t>
        </is>
      </c>
      <c r="F65" s="5" t="inlineStr">
        <is>
          <t>Travaux de pistes</t>
        </is>
      </c>
      <c r="G65" s="5" t="inlineStr">
        <is>
          <t>Travaux de réhabilitation des pistes agricoles</t>
        </is>
      </c>
      <c r="H65" s="5" t="inlineStr">
        <is>
          <t>Entretien des pistes agricoles des secteurs N9 et N1</t>
        </is>
      </c>
      <c r="I65" s="7" t="n">
        <v>3000000</v>
      </c>
      <c r="J65" s="8" t="inlineStr">
        <is>
          <t>km</t>
        </is>
      </c>
      <c r="K65" s="9" t="n">
        <v>6</v>
      </c>
      <c r="L65" s="51" t="n"/>
      <c r="M65" s="52">
        <f>'S34'!M65+L65</f>
        <v/>
      </c>
      <c r="N65" s="53">
        <f>IFERROR(M65/K65,0)</f>
        <v/>
      </c>
      <c r="O65" s="54">
        <f>'S34'!N65</f>
        <v/>
      </c>
      <c r="P65" s="53">
        <f>N65-O65</f>
        <v/>
      </c>
      <c r="Q65" s="32" t="n"/>
      <c r="R65" s="32" t="n"/>
      <c r="S65" s="32" t="n"/>
      <c r="T65" s="55" t="n"/>
      <c r="U65" s="54">
        <f>'S34'!T65</f>
        <v/>
      </c>
      <c r="V65" s="53">
        <f>T65-U65</f>
        <v/>
      </c>
      <c r="W65" s="53">
        <f>N65-T65</f>
        <v/>
      </c>
      <c r="X65" s="34" t="n"/>
    </row>
    <row r="66" ht="22" customHeight="1">
      <c r="B66" s="10" t="n">
        <v>62</v>
      </c>
      <c r="C66" s="14" t="inlineStr">
        <is>
          <t>Kénitra</t>
        </is>
      </c>
      <c r="D66" s="10" t="inlineStr">
        <is>
          <t>Mograne</t>
        </is>
      </c>
      <c r="E66" s="10" t="inlineStr">
        <is>
          <t>50-23</t>
        </is>
      </c>
      <c r="F66" s="10" t="inlineStr">
        <is>
          <t>Entretien et réparation du réseau d'assainissement et de drainage</t>
        </is>
      </c>
      <c r="G66" s="10" t="inlineStr">
        <is>
          <t>Travaux de curage des canaux en terre</t>
        </is>
      </c>
      <c r="H66" s="10" t="inlineStr">
        <is>
          <t>Curage des canaux d'assainissement Hors secteur équipé ghoufera et laison beht sebou ,</t>
        </is>
      </c>
      <c r="I66" s="11" t="n">
        <v>6000000</v>
      </c>
      <c r="J66" s="12" t="inlineStr">
        <is>
          <t>ml</t>
        </is>
      </c>
      <c r="K66" s="13" t="n">
        <v>3000</v>
      </c>
      <c r="L66" s="51" t="n"/>
      <c r="M66" s="56">
        <f>'S34'!M66+L66</f>
        <v/>
      </c>
      <c r="N66" s="57">
        <f>IFERROR(M66/K66,0)</f>
        <v/>
      </c>
      <c r="O66" s="58">
        <f>'S34'!N66</f>
        <v/>
      </c>
      <c r="P66" s="57">
        <f>N66-O66</f>
        <v/>
      </c>
      <c r="Q66" s="32" t="n"/>
      <c r="R66" s="32" t="n"/>
      <c r="S66" s="32" t="n"/>
      <c r="T66" s="55" t="n"/>
      <c r="U66" s="58">
        <f>'S34'!T66</f>
        <v/>
      </c>
      <c r="V66" s="57">
        <f>T66-U66</f>
        <v/>
      </c>
      <c r="W66" s="57">
        <f>N66-T66</f>
        <v/>
      </c>
      <c r="X66" s="34" t="n"/>
    </row>
    <row r="67" ht="22" customHeight="1">
      <c r="B67" s="5" t="n">
        <v>63</v>
      </c>
      <c r="C67" s="14" t="inlineStr">
        <is>
          <t>Kénitra</t>
        </is>
      </c>
      <c r="D67" s="5" t="inlineStr">
        <is>
          <t>Mograne</t>
        </is>
      </c>
      <c r="E67" s="5" t="inlineStr">
        <is>
          <t>40-21</t>
        </is>
      </c>
      <c r="F67" s="5" t="inlineStr">
        <is>
          <t>Travaux de pistes</t>
        </is>
      </c>
      <c r="G67" s="5" t="inlineStr">
        <is>
          <t>Travaux de réhabilitation des pistes agricoles</t>
        </is>
      </c>
      <c r="H67" s="5" t="inlineStr">
        <is>
          <t>Entretien des pistes agricoles des secteurs SEBOU1,SEBOU2? BEHT3 et BEHT4</t>
        </is>
      </c>
      <c r="I67" s="7" t="n">
        <v>6000000</v>
      </c>
      <c r="J67" s="8" t="inlineStr">
        <is>
          <t>km</t>
        </is>
      </c>
      <c r="K67" s="9" t="n">
        <v>12</v>
      </c>
      <c r="L67" s="51" t="n"/>
      <c r="M67" s="52">
        <f>'S34'!M67+L67</f>
        <v/>
      </c>
      <c r="N67" s="53">
        <f>IFERROR(M67/K67,0)</f>
        <v/>
      </c>
      <c r="O67" s="54">
        <f>'S34'!N67</f>
        <v/>
      </c>
      <c r="P67" s="53">
        <f>N67-O67</f>
        <v/>
      </c>
      <c r="Q67" s="32" t="n"/>
      <c r="R67" s="32" t="n"/>
      <c r="S67" s="32" t="n"/>
      <c r="T67" s="55" t="n"/>
      <c r="U67" s="54">
        <f>'S34'!T67</f>
        <v/>
      </c>
      <c r="V67" s="53">
        <f>T67-U67</f>
        <v/>
      </c>
      <c r="W67" s="53">
        <f>N67-T67</f>
        <v/>
      </c>
      <c r="X67" s="34" t="n"/>
    </row>
    <row r="68" ht="22" customHeight="1">
      <c r="B68" s="10" t="n">
        <v>64</v>
      </c>
      <c r="C68" s="14" t="inlineStr">
        <is>
          <t>Kénitra</t>
        </is>
      </c>
      <c r="D68" s="10" t="inlineStr">
        <is>
          <t>Sidi allal tazi</t>
        </is>
      </c>
      <c r="E68" s="10" t="inlineStr">
        <is>
          <t>50-23</t>
        </is>
      </c>
      <c r="F68" s="10" t="inlineStr">
        <is>
          <t>Entretien et réparation du réseau d'assainissement et de drainage</t>
        </is>
      </c>
      <c r="G68" s="10" t="inlineStr">
        <is>
          <t>Travaux de curage des canaux en terre</t>
        </is>
      </c>
      <c r="H68" s="10" t="inlineStr">
        <is>
          <t>Curage du canaL d'assainissement CK,</t>
        </is>
      </c>
      <c r="I68" s="11" t="n">
        <v>3000000</v>
      </c>
      <c r="J68" s="12" t="inlineStr">
        <is>
          <t>ml</t>
        </is>
      </c>
      <c r="K68" s="13" t="n">
        <v>1500</v>
      </c>
      <c r="L68" s="51" t="n"/>
      <c r="M68" s="56">
        <f>'S34'!M68+L68</f>
        <v/>
      </c>
      <c r="N68" s="57">
        <f>IFERROR(M68/K68,0)</f>
        <v/>
      </c>
      <c r="O68" s="58">
        <f>'S34'!N68</f>
        <v/>
      </c>
      <c r="P68" s="57">
        <f>N68-O68</f>
        <v/>
      </c>
      <c r="Q68" s="32" t="n"/>
      <c r="R68" s="32" t="n"/>
      <c r="S68" s="32" t="n"/>
      <c r="T68" s="55" t="n"/>
      <c r="U68" s="58">
        <f>'S34'!T68</f>
        <v/>
      </c>
      <c r="V68" s="57">
        <f>T68-U68</f>
        <v/>
      </c>
      <c r="W68" s="57">
        <f>N68-T68</f>
        <v/>
      </c>
      <c r="X68" s="34" t="n"/>
    </row>
    <row r="69" ht="22" customHeight="1">
      <c r="B69" s="5" t="n">
        <v>65</v>
      </c>
      <c r="C69" s="14" t="inlineStr">
        <is>
          <t>Kénitra</t>
        </is>
      </c>
      <c r="D69" s="5" t="inlineStr">
        <is>
          <t>AMEUR SAFLIA</t>
        </is>
      </c>
      <c r="E69" s="5" t="inlineStr">
        <is>
          <t>50-23</t>
        </is>
      </c>
      <c r="F69" s="5" t="inlineStr">
        <is>
          <t>Entretien et réparation du réseau d'assainissement et de drainage</t>
        </is>
      </c>
      <c r="G69" s="5" t="inlineStr">
        <is>
          <t>Travaux de curage des canaux en terre</t>
        </is>
      </c>
      <c r="H69" s="5" t="inlineStr">
        <is>
          <t>Curage des canaux d'assainissement amontTtiflt Sebou,</t>
        </is>
      </c>
      <c r="I69" s="7" t="n">
        <v>1000000</v>
      </c>
      <c r="J69" s="8" t="inlineStr">
        <is>
          <t>ml</t>
        </is>
      </c>
      <c r="K69" s="9" t="n">
        <v>500</v>
      </c>
      <c r="L69" s="51" t="n"/>
      <c r="M69" s="52">
        <f>'S34'!M69+L69</f>
        <v/>
      </c>
      <c r="N69" s="53">
        <f>IFERROR(M69/K69,0)</f>
        <v/>
      </c>
      <c r="O69" s="54">
        <f>'S34'!N69</f>
        <v/>
      </c>
      <c r="P69" s="53">
        <f>N69-O69</f>
        <v/>
      </c>
      <c r="Q69" s="32" t="n"/>
      <c r="R69" s="32" t="n"/>
      <c r="S69" s="32" t="n"/>
      <c r="T69" s="55" t="n"/>
      <c r="U69" s="54">
        <f>'S34'!T69</f>
        <v/>
      </c>
      <c r="V69" s="53">
        <f>T69-U69</f>
        <v/>
      </c>
      <c r="W69" s="53">
        <f>N69-T69</f>
        <v/>
      </c>
      <c r="X69" s="34" t="n"/>
    </row>
    <row r="70" ht="22" customHeight="1">
      <c r="B70" s="10" t="n">
        <v>66</v>
      </c>
      <c r="C70" s="14" t="inlineStr">
        <is>
          <t>Kénitra</t>
        </is>
      </c>
      <c r="D70" s="10" t="inlineStr">
        <is>
          <t>Oulad SLAMA</t>
        </is>
      </c>
      <c r="E70" s="10" t="inlineStr">
        <is>
          <t>50-23</t>
        </is>
      </c>
      <c r="F70" s="10" t="inlineStr">
        <is>
          <t>Entretien et réparation du réseau d'assainissement et de drainage</t>
        </is>
      </c>
      <c r="G70" s="10" t="inlineStr">
        <is>
          <t>Travaux de curage des canaux en terre</t>
        </is>
      </c>
      <c r="H70" s="10" t="inlineStr">
        <is>
          <t>Curage des canaux d'assainissement debouche Tiflt aval,</t>
        </is>
      </c>
      <c r="I70" s="11" t="n">
        <v>1000000</v>
      </c>
      <c r="J70" s="12" t="inlineStr">
        <is>
          <t>ml</t>
        </is>
      </c>
      <c r="K70" s="13" t="n">
        <v>500</v>
      </c>
      <c r="L70" s="51" t="n"/>
      <c r="M70" s="56">
        <f>'S34'!M70+L70</f>
        <v/>
      </c>
      <c r="N70" s="57">
        <f>IFERROR(M70/K70,0)</f>
        <v/>
      </c>
      <c r="O70" s="58">
        <f>'S34'!N70</f>
        <v/>
      </c>
      <c r="P70" s="57">
        <f>N70-O70</f>
        <v/>
      </c>
      <c r="Q70" s="32" t="n"/>
      <c r="R70" s="32" t="n"/>
      <c r="S70" s="32" t="n"/>
      <c r="T70" s="55" t="n"/>
      <c r="U70" s="58">
        <f>'S34'!T70</f>
        <v/>
      </c>
      <c r="V70" s="57">
        <f>T70-U70</f>
        <v/>
      </c>
      <c r="W70" s="57">
        <f>N70-T70</f>
        <v/>
      </c>
      <c r="X70" s="34" t="n"/>
    </row>
    <row r="71" ht="22" customHeight="1">
      <c r="B71" s="5" t="n">
        <v>67</v>
      </c>
      <c r="C71" s="14" t="inlineStr">
        <is>
          <t>Kénitra</t>
        </is>
      </c>
      <c r="D71" s="5" t="inlineStr">
        <is>
          <t>BHARA Oulad AYAD</t>
        </is>
      </c>
      <c r="E71" s="5" t="inlineStr">
        <is>
          <t>50-23</t>
        </is>
      </c>
      <c r="F71" s="5" t="inlineStr">
        <is>
          <t>Entretien et réparation du réseau d'assainissement et de drainage</t>
        </is>
      </c>
      <c r="G71" s="5" t="inlineStr">
        <is>
          <t>Travaux de curage des canaux en terre</t>
        </is>
      </c>
      <c r="H71" s="5" t="inlineStr">
        <is>
          <t>Curage des canaux d'assainissement canal nador bas et haut segmet,</t>
        </is>
      </c>
      <c r="I71" s="7" t="n">
        <v>6600000</v>
      </c>
      <c r="J71" s="8" t="inlineStr">
        <is>
          <t>ml</t>
        </is>
      </c>
      <c r="K71" s="9" t="n">
        <v>3300</v>
      </c>
      <c r="L71" s="51" t="n"/>
      <c r="M71" s="52">
        <f>'S34'!M71+L71</f>
        <v/>
      </c>
      <c r="N71" s="53">
        <f>IFERROR(M71/K71,0)</f>
        <v/>
      </c>
      <c r="O71" s="54">
        <f>'S34'!N71</f>
        <v/>
      </c>
      <c r="P71" s="53">
        <f>N71-O71</f>
        <v/>
      </c>
      <c r="Q71" s="32" t="n"/>
      <c r="R71" s="32" t="n"/>
      <c r="S71" s="32" t="n"/>
      <c r="T71" s="55" t="n"/>
      <c r="U71" s="54">
        <f>'S34'!T71</f>
        <v/>
      </c>
      <c r="V71" s="53">
        <f>T71-U71</f>
        <v/>
      </c>
      <c r="W71" s="53">
        <f>N71-T71</f>
        <v/>
      </c>
      <c r="X71" s="34" t="n"/>
    </row>
    <row r="72" ht="22" customHeight="1">
      <c r="B72" s="10" t="n">
        <v>68</v>
      </c>
      <c r="C72" s="15" t="inlineStr">
        <is>
          <t>Sidi Slimane</t>
        </is>
      </c>
      <c r="D72" s="10" t="inlineStr">
        <is>
          <t>OULED HCEINE</t>
        </is>
      </c>
      <c r="E72" s="10" t="inlineStr">
        <is>
          <t>50-23</t>
        </is>
      </c>
      <c r="F72" s="10" t="inlineStr">
        <is>
          <t>Entretien et réparation du réseau d'assainissement et de drainage</t>
        </is>
      </c>
      <c r="G72" s="10" t="inlineStr">
        <is>
          <t>Travaux de curage des canaux en terre</t>
        </is>
      </c>
      <c r="H72" s="10" t="inlineStr">
        <is>
          <t>Curage des collecteurs d'assainissement du secteur EST4.</t>
        </is>
      </c>
      <c r="I72" s="11" t="n">
        <v>1805475</v>
      </c>
      <c r="J72" s="12" t="inlineStr">
        <is>
          <t>ml</t>
        </is>
      </c>
      <c r="K72" s="13" t="n">
        <v>903</v>
      </c>
      <c r="L72" s="51" t="n"/>
      <c r="M72" s="56">
        <f>'S34'!M72+L72</f>
        <v/>
      </c>
      <c r="N72" s="57">
        <f>IFERROR(M72/K72,0)</f>
        <v/>
      </c>
      <c r="O72" s="58">
        <f>'S34'!N72</f>
        <v/>
      </c>
      <c r="P72" s="57">
        <f>N72-O72</f>
        <v/>
      </c>
      <c r="Q72" s="32" t="n"/>
      <c r="R72" s="32" t="n"/>
      <c r="S72" s="32" t="n"/>
      <c r="T72" s="55" t="n"/>
      <c r="U72" s="58">
        <f>'S34'!T72</f>
        <v/>
      </c>
      <c r="V72" s="57">
        <f>T72-U72</f>
        <v/>
      </c>
      <c r="W72" s="57">
        <f>N72-T72</f>
        <v/>
      </c>
      <c r="X72" s="34" t="n"/>
    </row>
    <row r="73" ht="22" customHeight="1">
      <c r="B73" s="5" t="n">
        <v>69</v>
      </c>
      <c r="C73" s="15" t="inlineStr">
        <is>
          <t>Sidi Slimane</t>
        </is>
      </c>
      <c r="D73" s="5" t="inlineStr">
        <is>
          <t>OULED HCEINE</t>
        </is>
      </c>
      <c r="E73" s="5" t="inlineStr">
        <is>
          <t>50-23</t>
        </is>
      </c>
      <c r="F73" s="5" t="inlineStr">
        <is>
          <t>Entretien et réparation du réseau d'assainissement et de drainage</t>
        </is>
      </c>
      <c r="G73" s="5" t="inlineStr">
        <is>
          <t>Travaux de curage des canaux en terre</t>
        </is>
      </c>
      <c r="H73" s="5" t="inlineStr">
        <is>
          <t>Curage du canal d'assainissement Tihli central.</t>
        </is>
      </c>
      <c r="I73" s="7" t="n">
        <v>2587200</v>
      </c>
      <c r="J73" s="8" t="inlineStr">
        <is>
          <t>ml</t>
        </is>
      </c>
      <c r="K73" s="9" t="n">
        <v>1294</v>
      </c>
      <c r="L73" s="51" t="n"/>
      <c r="M73" s="52">
        <f>'S34'!M73+L73</f>
        <v/>
      </c>
      <c r="N73" s="53">
        <f>IFERROR(M73/K73,0)</f>
        <v/>
      </c>
      <c r="O73" s="54">
        <f>'S34'!N73</f>
        <v/>
      </c>
      <c r="P73" s="53">
        <f>N73-O73</f>
        <v/>
      </c>
      <c r="Q73" s="32" t="n"/>
      <c r="R73" s="32" t="n"/>
      <c r="S73" s="32" t="n"/>
      <c r="T73" s="55" t="n"/>
      <c r="U73" s="54">
        <f>'S34'!T73</f>
        <v/>
      </c>
      <c r="V73" s="53">
        <f>T73-U73</f>
        <v/>
      </c>
      <c r="W73" s="53">
        <f>N73-T73</f>
        <v/>
      </c>
      <c r="X73" s="34" t="n"/>
    </row>
    <row r="74" ht="22" customHeight="1">
      <c r="B74" s="10" t="n">
        <v>70</v>
      </c>
      <c r="C74" s="15" t="inlineStr">
        <is>
          <t>Sidi Slimane</t>
        </is>
      </c>
      <c r="D74" s="10" t="inlineStr">
        <is>
          <t>OULED HCEINE</t>
        </is>
      </c>
      <c r="E74" s="10" t="inlineStr">
        <is>
          <t>40-21</t>
        </is>
      </c>
      <c r="F74" s="10" t="inlineStr">
        <is>
          <t>Travaux de pistes</t>
        </is>
      </c>
      <c r="G74" s="10" t="inlineStr">
        <is>
          <t>Travaux de réhabilitation des pistes agricoles</t>
        </is>
      </c>
      <c r="H74" s="10" t="inlineStr">
        <is>
          <t>Entretien des pistes agricoles</t>
        </is>
      </c>
      <c r="I74" s="11" t="n">
        <v>3500000</v>
      </c>
      <c r="J74" s="12" t="inlineStr">
        <is>
          <t>km</t>
        </is>
      </c>
      <c r="K74" s="13" t="n">
        <v>7</v>
      </c>
      <c r="L74" s="51" t="n"/>
      <c r="M74" s="56">
        <f>'S34'!M74+L74</f>
        <v/>
      </c>
      <c r="N74" s="57">
        <f>IFERROR(M74/K74,0)</f>
        <v/>
      </c>
      <c r="O74" s="58">
        <f>'S34'!N74</f>
        <v/>
      </c>
      <c r="P74" s="57">
        <f>N74-O74</f>
        <v/>
      </c>
      <c r="Q74" s="32" t="n"/>
      <c r="R74" s="32" t="n"/>
      <c r="S74" s="32" t="n"/>
      <c r="T74" s="55" t="n"/>
      <c r="U74" s="58">
        <f>'S34'!T74</f>
        <v/>
      </c>
      <c r="V74" s="57">
        <f>T74-U74</f>
        <v/>
      </c>
      <c r="W74" s="57">
        <f>N74-T74</f>
        <v/>
      </c>
      <c r="X74" s="34" t="n"/>
    </row>
    <row r="75" ht="22" customHeight="1">
      <c r="B75" s="5" t="n">
        <v>71</v>
      </c>
      <c r="C75" s="15" t="inlineStr">
        <is>
          <t>Sidi Slimane</t>
        </is>
      </c>
      <c r="D75" s="5" t="inlineStr">
        <is>
          <t>OULED HCEINE</t>
        </is>
      </c>
      <c r="E75" s="5" t="inlineStr">
        <is>
          <t>50-21</t>
        </is>
      </c>
      <c r="F75" s="5" t="inlineStr">
        <is>
          <t>Entretien et réparation des stations de pompage</t>
        </is>
      </c>
      <c r="G75" s="5" t="inlineStr">
        <is>
          <t>Travaux de réparation des équipements hydromécaniques et éléctriques et entretien de la partie génie civil des stations de pompage.</t>
        </is>
      </c>
      <c r="H75" s="5" t="inlineStr">
        <is>
          <t>Démontage et expertise des roues des  pompes principaux et pompes a vide de la station EST4 et P11/2.
Changement des roulements, tresses et organes d’effectués de la station EST4 et P11/2
Changement deux débitmètre Ø 1200 mm de la station EST4 et un débimétre de la station P11/2.
Changement des capteurs de niveau inondés.
Révision et réparation des moteurs des vannes motorisées inondées.
changement de six contrôleurs de débits DW181 inondés.
Un capteur de débitmètre inondé nécessitent un diagnostic VEGASON  .
Entretien de l'éclairage du local de vide et bâche d’aspiration inondé de la station EST4 et la partie de l’éclairage du local des pompes inondées de la station P11/2.
Pose de gabions et recouvrement du talus par matelas Reno des stations de pompage P11/2</t>
        </is>
      </c>
      <c r="I75" s="7" t="n">
        <v>870000</v>
      </c>
      <c r="J75" s="8" t="inlineStr">
        <is>
          <t>U</t>
        </is>
      </c>
      <c r="K75" s="9" t="n">
        <v>4</v>
      </c>
      <c r="L75" s="51" t="n"/>
      <c r="M75" s="52">
        <f>'S34'!M75+L75</f>
        <v/>
      </c>
      <c r="N75" s="53">
        <f>IFERROR(M75/K75,0)</f>
        <v/>
      </c>
      <c r="O75" s="54">
        <f>'S34'!N75</f>
        <v/>
      </c>
      <c r="P75" s="53">
        <f>N75-O75</f>
        <v/>
      </c>
      <c r="Q75" s="32" t="n"/>
      <c r="R75" s="32" t="n"/>
      <c r="S75" s="32" t="n"/>
      <c r="T75" s="55" t="n"/>
      <c r="U75" s="54">
        <f>'S34'!T75</f>
        <v/>
      </c>
      <c r="V75" s="53">
        <f>T75-U75</f>
        <v/>
      </c>
      <c r="W75" s="53">
        <f>N75-T75</f>
        <v/>
      </c>
      <c r="X75" s="34" t="n"/>
    </row>
    <row r="76" ht="22" customHeight="1">
      <c r="B76" s="10" t="n">
        <v>72</v>
      </c>
      <c r="C76" s="15" t="inlineStr">
        <is>
          <t>Sidi Slimane</t>
        </is>
      </c>
      <c r="D76" s="10" t="inlineStr">
        <is>
          <t>OULED HCEINE</t>
        </is>
      </c>
      <c r="E76" s="10" t="inlineStr">
        <is>
          <t>50-23</t>
        </is>
      </c>
      <c r="F76" s="10" t="inlineStr">
        <is>
          <t>Entretien et réparation du réseau d'assainissement et de drainage</t>
        </is>
      </c>
      <c r="G76" s="10" t="inlineStr">
        <is>
          <t>Travaux de curage des prises des stations de pompage.</t>
        </is>
      </c>
      <c r="H76" s="10" t="inlineStr">
        <is>
          <t>Curage des siphones des station de pompage EST2 et P11/2.</t>
        </is>
      </c>
      <c r="I76" s="11" t="n">
        <v>500000</v>
      </c>
      <c r="J76" s="12" t="inlineStr">
        <is>
          <t>ml</t>
        </is>
      </c>
      <c r="K76" s="13" t="n">
        <v>167</v>
      </c>
      <c r="L76" s="51" t="n"/>
      <c r="M76" s="56">
        <f>'S34'!M76+L76</f>
        <v/>
      </c>
      <c r="N76" s="57">
        <f>IFERROR(M76/K76,0)</f>
        <v/>
      </c>
      <c r="O76" s="58">
        <f>'S34'!N76</f>
        <v/>
      </c>
      <c r="P76" s="57">
        <f>N76-O76</f>
        <v/>
      </c>
      <c r="Q76" s="32" t="n"/>
      <c r="R76" s="32" t="n"/>
      <c r="S76" s="32" t="n"/>
      <c r="T76" s="55" t="n"/>
      <c r="U76" s="58">
        <f>'S34'!T76</f>
        <v/>
      </c>
      <c r="V76" s="57">
        <f>T76-U76</f>
        <v/>
      </c>
      <c r="W76" s="57">
        <f>N76-T76</f>
        <v/>
      </c>
      <c r="X76" s="34" t="n"/>
    </row>
    <row r="77" ht="26" customHeight="1">
      <c r="B77" s="16" t="inlineStr">
        <is>
          <t>TOTAL</t>
        </is>
      </c>
      <c r="C77" s="16" t="n"/>
      <c r="D77" s="16" t="n"/>
      <c r="E77" s="16" t="n"/>
      <c r="F77" s="16" t="n"/>
      <c r="G77" s="16" t="n"/>
      <c r="H77" s="16" t="n"/>
      <c r="I77" s="17">
        <f>SUM(I5:I76)</f>
        <v/>
      </c>
      <c r="J77" s="16" t="n"/>
      <c r="K77" s="16" t="n"/>
      <c r="L77" s="59">
        <f>SUM(L5:L76)</f>
        <v/>
      </c>
      <c r="M77" s="59">
        <f>SUM(M5:M76)</f>
        <v/>
      </c>
      <c r="N77" s="60">
        <f>IFERROR(SUMPRODUCT(N5:N76,I5:I76)/I77,0)</f>
        <v/>
      </c>
      <c r="O77" s="60">
        <f>IFERROR(SUMPRODUCT(O5:O76,I5:I76)/I77,0)</f>
        <v/>
      </c>
      <c r="P77" s="60">
        <f>N77-O77</f>
        <v/>
      </c>
      <c r="Q77" s="17">
        <f>SUM(Q5:Q76)</f>
        <v/>
      </c>
      <c r="R77" s="17">
        <f>SUM(R5:R76)</f>
        <v/>
      </c>
      <c r="S77" s="17">
        <f>SUM(S5:S76)</f>
        <v/>
      </c>
      <c r="T77" s="60">
        <f>IFERROR(SUMPRODUCT(T5:T76,I5:I76)/I77,0)</f>
        <v/>
      </c>
      <c r="U77" s="60">
        <f>IFERROR(SUMPRODUCT(U5:U76,I5:I76)/I77,0)</f>
        <v/>
      </c>
      <c r="V77" s="60">
        <f>T77-U77</f>
        <v/>
      </c>
      <c r="W77" s="60">
        <f>N77-T77</f>
        <v/>
      </c>
      <c r="X77" s="16" t="n"/>
    </row>
  </sheetData>
  <sheetProtection selectLockedCells="0" selectUnlockedCells="0" sheet="1" objects="0" insertRows="1" insertHyperlinks="1" autoFilter="1" scenarios="0" formatColumns="1" deleteColumns="1" insertColumns="1" pivotTables="1" deleteRows="1" formatCells="1" formatRows="1" sort="1" password="CBBE"/>
  <mergeCells count="6">
    <mergeCell ref="E3:I3"/>
    <mergeCell ref="W3:X3"/>
    <mergeCell ref="J3:P3"/>
    <mergeCell ref="B2:X2"/>
    <mergeCell ref="C3:D3"/>
    <mergeCell ref="Q3:V3"/>
  </mergeCells>
  <conditionalFormatting sqref="P5:P76">
    <cfRule type="cellIs" priority="1" operator="greaterThan" dxfId="0">
      <formula>0</formula>
    </cfRule>
    <cfRule type="cellIs" priority="2" operator="lessThan" dxfId="1">
      <formula>0</formula>
    </cfRule>
  </conditionalFormatting>
  <conditionalFormatting sqref="V5:V76">
    <cfRule type="cellIs" priority="3" operator="greaterThan" dxfId="0">
      <formula>0</formula>
    </cfRule>
    <cfRule type="cellIs" priority="4" operator="lessThan" dxfId="1">
      <formula>0</formula>
    </cfRule>
  </conditionalFormatting>
  <conditionalFormatting sqref="W5:W76">
    <cfRule type="cellIs" priority="5" operator="greaterThan" dxfId="0">
      <formula>0.05</formula>
    </cfRule>
    <cfRule type="cellIs" priority="6" operator="lessThan" dxfId="1">
      <formula>-0.05</formula>
    </cfRule>
    <cfRule type="cellIs" priority="7" operator="between" dxfId="2">
      <formula>-0.05</formula>
      <formula>0.05</formula>
    </cfRule>
  </conditionalFormatting>
  <conditionalFormatting sqref="N5:N76">
    <cfRule type="dataBar" priority="8">
      <dataBar showValue="1">
        <cfvo type="num" val="0"/>
        <cfvo type="num" val="1"/>
        <color rgb="001B7D46"/>
      </dataBar>
    </cfRule>
  </conditionalFormatting>
  <conditionalFormatting sqref="T5:T76">
    <cfRule type="dataBar" priority="9">
      <dataBar showValue="1">
        <cfvo type="num" val="0"/>
        <cfvo type="num" val="1"/>
        <color rgb="00D4820A"/>
      </dataBar>
    </cfRule>
  </conditionalFormatting>
  <dataValidations count="2">
    <dataValidation sqref="T5:T76" showDropDown="0" showInputMessage="0" showErrorMessage="0" allowBlank="1" errorTitle="Invalide" error="Valeur entre 0% et 100%" promptTitle="Avancement %" prompt="Entrez 0.25 pour 25%" type="decimal" operator="between">
      <formula1>0</formula1>
      <formula2>1</formula2>
    </dataValidation>
    <dataValidation sqref="L5:L76" showDropDown="0" showInputMessage="0" showErrorMessage="0" allowBlank="1" errorTitle="Invalide" error="Quantité doit être &gt;= 0" promptTitle="Qté Réalisée" prompt="Entrez la quantité réalisée cette semaine" type="decimal" operator="greaterThanOrEqual">
      <formula1>0</formula1>
    </dataValidation>
  </dataValidations>
  <pageMargins left="0.75" right="0.75" top="1" bottom="1" header="0.5" footer="0.5"/>
</worksheet>
</file>

<file path=xl/worksheets/sheet16.xml><?xml version="1.0" encoding="utf-8"?>
<worksheet xmlns="http://schemas.openxmlformats.org/spreadsheetml/2006/main">
  <sheetPr>
    <tabColor rgb="00FF0000"/>
    <outlinePr summaryBelow="1" summaryRight="1"/>
    <pageSetUpPr/>
  </sheetPr>
  <dimension ref="B2:X77"/>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5" customWidth="1" min="2" max="2"/>
    <col width="14" customWidth="1" min="3" max="3"/>
    <col width="18" customWidth="1" min="4" max="4"/>
    <col width="9" customWidth="1" min="5" max="5"/>
    <col width="32" customWidth="1" min="6" max="6"/>
    <col width="28" customWidth="1" min="7" max="7"/>
    <col width="34" customWidth="1" min="8" max="8"/>
    <col width="14" customWidth="1" min="9" max="9"/>
    <col width="8" customWidth="1" min="10" max="10"/>
    <col width="12" customWidth="1" min="11" max="11"/>
    <col width="14" customWidth="1" min="12" max="12"/>
    <col width="14" customWidth="1" min="13" max="13"/>
    <col width="14" customWidth="1" min="14" max="14"/>
    <col width="14" customWidth="1" min="15" max="15"/>
    <col width="14" customWidth="1" min="16" max="16"/>
    <col width="16" customWidth="1" min="17" max="17"/>
    <col width="16" customWidth="1" min="18" max="18"/>
    <col width="16" customWidth="1" min="19" max="19"/>
    <col width="14" customWidth="1" min="20" max="20"/>
    <col width="14" customWidth="1" min="21" max="21"/>
    <col width="14" customWidth="1" min="22" max="22"/>
    <col width="14" customWidth="1" min="23" max="23"/>
    <col width="24" customWidth="1" min="24" max="24"/>
  </cols>
  <sheetData>
    <row r="1" ht="15" customHeight="1"/>
    <row r="2" ht="32" customHeight="1">
      <c r="B2" s="1" t="inlineStr">
        <is>
          <t>Suivi Hebdomadaire - Semaine 36 (31/08 - 06/09) — Août 2026 - Exécution Physique et Financière</t>
        </is>
      </c>
    </row>
    <row r="3" ht="22" customHeight="1">
      <c r="B3" s="20" t="inlineStr">
        <is>
          <t>Date :</t>
        </is>
      </c>
      <c r="C3" s="49" t="n">
        <v>46265</v>
      </c>
      <c r="D3" s="50" t="n"/>
      <c r="E3" s="22" t="inlineStr">
        <is>
          <t>IDENTIFICATION</t>
        </is>
      </c>
      <c r="J3" s="23" t="inlineStr">
        <is>
          <t>INDICATEURS PHYSIQUES</t>
        </is>
      </c>
      <c r="Q3" s="24" t="inlineStr">
        <is>
          <t>INDICATEURS FINANCIERS</t>
        </is>
      </c>
      <c r="W3" s="25" t="inlineStr">
        <is>
          <t>SYNTHÈSE</t>
        </is>
      </c>
    </row>
    <row r="4" ht="28" customHeight="1">
      <c r="B4" s="4" t="inlineStr">
        <is>
          <t>N°</t>
        </is>
      </c>
      <c r="C4" s="4" t="inlineStr">
        <is>
          <t>Province</t>
        </is>
      </c>
      <c r="D4" s="4" t="inlineStr">
        <is>
          <t>Commune</t>
        </is>
      </c>
      <c r="E4" s="4" t="inlineStr">
        <is>
          <t>Rubrique</t>
        </is>
      </c>
      <c r="F4" s="4" t="inlineStr">
        <is>
          <t>Intitulé Rubrique</t>
        </is>
      </c>
      <c r="G4" s="4" t="inlineStr">
        <is>
          <t>Projet</t>
        </is>
      </c>
      <c r="H4" s="4" t="inlineStr">
        <is>
          <t>Consistance</t>
        </is>
      </c>
      <c r="I4" s="4" t="inlineStr">
        <is>
          <t>Coût Total (DH)</t>
        </is>
      </c>
      <c r="J4" s="26" t="inlineStr">
        <is>
          <t>Unité</t>
        </is>
      </c>
      <c r="K4" s="26" t="inlineStr">
        <is>
          <t>Qté Prévue</t>
        </is>
      </c>
      <c r="L4" s="26" t="inlineStr">
        <is>
          <t>Qté Réalisée Sem.</t>
        </is>
      </c>
      <c r="M4" s="26" t="inlineStr">
        <is>
          <t>Qté Réalisée Cumul</t>
        </is>
      </c>
      <c r="N4" s="26" t="inlineStr">
        <is>
          <t>Avancement Physique %</t>
        </is>
      </c>
      <c r="O4" s="26" t="inlineStr">
        <is>
          <t>% Phys. Sem. Préc.</t>
        </is>
      </c>
      <c r="P4" s="26" t="inlineStr">
        <is>
          <t>Accroissement Phys. %</t>
        </is>
      </c>
      <c r="Q4" s="27" t="inlineStr">
        <is>
          <t>Montant Décaissé (DH)</t>
        </is>
      </c>
      <c r="R4" s="27" t="inlineStr">
        <is>
          <t>Montant Payé (DH)</t>
        </is>
      </c>
      <c r="S4" s="27" t="inlineStr">
        <is>
          <t>Montant Ordonné (DH)</t>
        </is>
      </c>
      <c r="T4" s="27" t="inlineStr">
        <is>
          <t>Avancement Financier %</t>
        </is>
      </c>
      <c r="U4" s="27" t="inlineStr">
        <is>
          <t>% Fin. Sem. Préc.</t>
        </is>
      </c>
      <c r="V4" s="27" t="inlineStr">
        <is>
          <t>Accroissement Fin. %</t>
        </is>
      </c>
      <c r="W4" s="28" t="inlineStr">
        <is>
          <t>Écart Phys.-Fin.</t>
        </is>
      </c>
      <c r="X4" s="28" t="inlineStr">
        <is>
          <t>Observations</t>
        </is>
      </c>
    </row>
    <row r="5" ht="22" customHeight="1">
      <c r="B5" s="5" t="n">
        <v>1</v>
      </c>
      <c r="C5" s="6" t="inlineStr">
        <is>
          <t>Sidi Kacem</t>
        </is>
      </c>
      <c r="D5" s="5" t="inlineStr">
        <is>
          <t>KHENICHET</t>
        </is>
      </c>
      <c r="E5" s="5" t="inlineStr">
        <is>
          <t>50-23</t>
        </is>
      </c>
      <c r="F5" s="5" t="inlineStr">
        <is>
          <t>Entretien et réparation du réseau d'assainissement et de drainage</t>
        </is>
      </c>
      <c r="G5" s="5" t="inlineStr">
        <is>
          <t>Travaux de curage des canaux en terre</t>
        </is>
      </c>
      <c r="H5" s="5" t="inlineStr">
        <is>
          <t>Curage des collecteurs d'assainissement du secteur EST2</t>
        </is>
      </c>
      <c r="I5" s="7" t="n">
        <v>2091568</v>
      </c>
      <c r="J5" s="8" t="inlineStr">
        <is>
          <t>ml</t>
        </is>
      </c>
      <c r="K5" s="9" t="n">
        <v>1046</v>
      </c>
      <c r="L5" s="51" t="n"/>
      <c r="M5" s="52">
        <f>'S35'!M5+L5</f>
        <v/>
      </c>
      <c r="N5" s="53">
        <f>IFERROR(M5/K5,0)</f>
        <v/>
      </c>
      <c r="O5" s="54">
        <f>'S35'!N5</f>
        <v/>
      </c>
      <c r="P5" s="53">
        <f>N5-O5</f>
        <v/>
      </c>
      <c r="Q5" s="32" t="n"/>
      <c r="R5" s="32" t="n"/>
      <c r="S5" s="32" t="n"/>
      <c r="T5" s="55" t="n"/>
      <c r="U5" s="54">
        <f>'S35'!T5</f>
        <v/>
      </c>
      <c r="V5" s="53">
        <f>T5-U5</f>
        <v/>
      </c>
      <c r="W5" s="53">
        <f>N5-T5</f>
        <v/>
      </c>
      <c r="X5" s="34" t="n"/>
    </row>
    <row r="6" ht="22" customHeight="1">
      <c r="B6" s="10" t="n">
        <v>2</v>
      </c>
      <c r="C6" s="6" t="inlineStr">
        <is>
          <t>Sidi Kacem</t>
        </is>
      </c>
      <c r="D6" s="10" t="inlineStr">
        <is>
          <t>KHENICHET</t>
        </is>
      </c>
      <c r="E6" s="10" t="inlineStr">
        <is>
          <t>40-21</t>
        </is>
      </c>
      <c r="F6" s="10" t="inlineStr">
        <is>
          <t>Travaux de pistes</t>
        </is>
      </c>
      <c r="G6" s="10" t="inlineStr">
        <is>
          <t>Travaux de réhabilitation des pistes agricoles</t>
        </is>
      </c>
      <c r="H6" s="10" t="inlineStr">
        <is>
          <t>Entretien des pistes agricoles Douar Nouagra et Douar ouled Salem</t>
        </is>
      </c>
      <c r="I6" s="11" t="n">
        <v>78000</v>
      </c>
      <c r="J6" s="12" t="inlineStr">
        <is>
          <t>km</t>
        </is>
      </c>
      <c r="K6" s="13" t="n">
        <v>1</v>
      </c>
      <c r="L6" s="51" t="n"/>
      <c r="M6" s="56">
        <f>'S35'!M6+L6</f>
        <v/>
      </c>
      <c r="N6" s="57">
        <f>IFERROR(M6/K6,0)</f>
        <v/>
      </c>
      <c r="O6" s="58">
        <f>'S35'!N6</f>
        <v/>
      </c>
      <c r="P6" s="57">
        <f>N6-O6</f>
        <v/>
      </c>
      <c r="Q6" s="32" t="n"/>
      <c r="R6" s="32" t="n"/>
      <c r="S6" s="32" t="n"/>
      <c r="T6" s="55" t="n"/>
      <c r="U6" s="58">
        <f>'S35'!T6</f>
        <v/>
      </c>
      <c r="V6" s="57">
        <f>T6-U6</f>
        <v/>
      </c>
      <c r="W6" s="57">
        <f>N6-T6</f>
        <v/>
      </c>
      <c r="X6" s="34" t="n"/>
    </row>
    <row r="7" ht="22" customHeight="1">
      <c r="B7" s="5" t="n">
        <v>3</v>
      </c>
      <c r="C7" s="6" t="inlineStr">
        <is>
          <t>Sidi Kacem</t>
        </is>
      </c>
      <c r="D7" s="5" t="inlineStr">
        <is>
          <t>KHENICHET</t>
        </is>
      </c>
      <c r="E7" s="5" t="inlineStr">
        <is>
          <t>50-23</t>
        </is>
      </c>
      <c r="F7" s="5" t="inlineStr">
        <is>
          <t>Entretien et réparation du réseau d'assainissement et de drainage</t>
        </is>
      </c>
      <c r="G7" s="5" t="inlineStr">
        <is>
          <t>Curage des prises sur l’oued, bâche d’aspiration et bassin de régulation.</t>
        </is>
      </c>
      <c r="H7" s="5" t="inlineStr">
        <is>
          <t>Curage de la chambre des joints de démontage des siphonnes  de la station de pompage EST2.</t>
        </is>
      </c>
      <c r="I7" s="7" t="n">
        <v>126000</v>
      </c>
      <c r="J7" s="8" t="inlineStr">
        <is>
          <t>ml</t>
        </is>
      </c>
      <c r="K7" s="9" t="n">
        <v>42</v>
      </c>
      <c r="L7" s="51" t="n"/>
      <c r="M7" s="52">
        <f>'S35'!M7+L7</f>
        <v/>
      </c>
      <c r="N7" s="53">
        <f>IFERROR(M7/K7,0)</f>
        <v/>
      </c>
      <c r="O7" s="54">
        <f>'S35'!N7</f>
        <v/>
      </c>
      <c r="P7" s="53">
        <f>N7-O7</f>
        <v/>
      </c>
      <c r="Q7" s="32" t="n"/>
      <c r="R7" s="32" t="n"/>
      <c r="S7" s="32" t="n"/>
      <c r="T7" s="55" t="n"/>
      <c r="U7" s="54">
        <f>'S35'!T7</f>
        <v/>
      </c>
      <c r="V7" s="53">
        <f>T7-U7</f>
        <v/>
      </c>
      <c r="W7" s="53">
        <f>N7-T7</f>
        <v/>
      </c>
      <c r="X7" s="34" t="n"/>
    </row>
    <row r="8" ht="22" customHeight="1">
      <c r="B8" s="10" t="n">
        <v>4</v>
      </c>
      <c r="C8" s="6" t="inlineStr">
        <is>
          <t>Sidi Kacem</t>
        </is>
      </c>
      <c r="D8" s="10" t="inlineStr">
        <is>
          <t>KHENICHET</t>
        </is>
      </c>
      <c r="E8" s="10" t="inlineStr">
        <is>
          <t>50-21</t>
        </is>
      </c>
      <c r="F8" s="10" t="inlineStr">
        <is>
          <t>Entretien et réparation des stations de pompage</t>
        </is>
      </c>
      <c r="G8" s="10" t="inlineStr">
        <is>
          <t>Prestation de maintenance des débitmètres et leurs équipements annexes installés au niveau des station de pompage</t>
        </is>
      </c>
      <c r="H8" s="10" t="inlineStr">
        <is>
          <t>Changement trois débitmètre Ø 600mm inondés de la station de pompage EST 2 et deux capteurs VEGASON 62</t>
        </is>
      </c>
      <c r="I8" s="11" t="n">
        <v>165500</v>
      </c>
      <c r="J8" s="12" t="inlineStr">
        <is>
          <t>U</t>
        </is>
      </c>
      <c r="K8" s="13" t="n">
        <v>3</v>
      </c>
      <c r="L8" s="51" t="n"/>
      <c r="M8" s="56">
        <f>'S35'!M8+L8</f>
        <v/>
      </c>
      <c r="N8" s="57">
        <f>IFERROR(M8/K8,0)</f>
        <v/>
      </c>
      <c r="O8" s="58">
        <f>'S35'!N8</f>
        <v/>
      </c>
      <c r="P8" s="57">
        <f>N8-O8</f>
        <v/>
      </c>
      <c r="Q8" s="32" t="n"/>
      <c r="R8" s="32" t="n"/>
      <c r="S8" s="32" t="n"/>
      <c r="T8" s="55" t="n"/>
      <c r="U8" s="58">
        <f>'S35'!T8</f>
        <v/>
      </c>
      <c r="V8" s="57">
        <f>T8-U8</f>
        <v/>
      </c>
      <c r="W8" s="57">
        <f>N8-T8</f>
        <v/>
      </c>
      <c r="X8" s="34" t="n"/>
    </row>
    <row r="9" ht="22" customHeight="1">
      <c r="B9" s="5" t="n">
        <v>5</v>
      </c>
      <c r="C9" s="6" t="inlineStr">
        <is>
          <t>Sidi Kacem</t>
        </is>
      </c>
      <c r="D9" s="5" t="inlineStr">
        <is>
          <t>BIR TALEB</t>
        </is>
      </c>
      <c r="E9" s="5" t="inlineStr">
        <is>
          <t>50-23</t>
        </is>
      </c>
      <c r="F9" s="5" t="inlineStr">
        <is>
          <t>Entretien et réparation du réseau d'assainissement et de drainage</t>
        </is>
      </c>
      <c r="G9" s="5" t="inlineStr">
        <is>
          <t>Travaux de curage des canaux en terre</t>
        </is>
      </c>
      <c r="H9" s="5" t="inlineStr">
        <is>
          <t>Curage du canal d'assainisement Tihli Aval</t>
        </is>
      </c>
      <c r="I9" s="7" t="n">
        <v>1000000</v>
      </c>
      <c r="J9" s="8" t="inlineStr">
        <is>
          <t>ml</t>
        </is>
      </c>
      <c r="K9" s="9" t="n">
        <v>500</v>
      </c>
      <c r="L9" s="51" t="n"/>
      <c r="M9" s="52">
        <f>'S35'!M9+L9</f>
        <v/>
      </c>
      <c r="N9" s="53">
        <f>IFERROR(M9/K9,0)</f>
        <v/>
      </c>
      <c r="O9" s="54">
        <f>'S35'!N9</f>
        <v/>
      </c>
      <c r="P9" s="53">
        <f>N9-O9</f>
        <v/>
      </c>
      <c r="Q9" s="32" t="n"/>
      <c r="R9" s="32" t="n"/>
      <c r="S9" s="32" t="n"/>
      <c r="T9" s="55" t="n"/>
      <c r="U9" s="54">
        <f>'S35'!T9</f>
        <v/>
      </c>
      <c r="V9" s="53">
        <f>T9-U9</f>
        <v/>
      </c>
      <c r="W9" s="53">
        <f>N9-T9</f>
        <v/>
      </c>
      <c r="X9" s="34" t="n"/>
    </row>
    <row r="10" ht="22" customHeight="1">
      <c r="B10" s="10" t="n">
        <v>6</v>
      </c>
      <c r="C10" s="6" t="inlineStr">
        <is>
          <t>Sidi Kacem</t>
        </is>
      </c>
      <c r="D10" s="10" t="inlineStr">
        <is>
          <t>BIR TALEB</t>
        </is>
      </c>
      <c r="E10" s="10" t="inlineStr">
        <is>
          <t>50-23</t>
        </is>
      </c>
      <c r="F10" s="10" t="inlineStr">
        <is>
          <t>Entretien et réparation du réseau d'assainissement et de drainage</t>
        </is>
      </c>
      <c r="G10" s="10" t="inlineStr"/>
      <c r="H10" s="10" t="inlineStr">
        <is>
          <t>Curage des collecteurs d'assainissement du secteur P11/1</t>
        </is>
      </c>
      <c r="I10" s="11" t="n">
        <v>846731</v>
      </c>
      <c r="J10" s="12" t="inlineStr">
        <is>
          <t>ml</t>
        </is>
      </c>
      <c r="K10" s="13" t="n">
        <v>423</v>
      </c>
      <c r="L10" s="51" t="n"/>
      <c r="M10" s="56">
        <f>'S35'!M10+L10</f>
        <v/>
      </c>
      <c r="N10" s="57">
        <f>IFERROR(M10/K10,0)</f>
        <v/>
      </c>
      <c r="O10" s="58">
        <f>'S35'!N10</f>
        <v/>
      </c>
      <c r="P10" s="57">
        <f>N10-O10</f>
        <v/>
      </c>
      <c r="Q10" s="32" t="n"/>
      <c r="R10" s="32" t="n"/>
      <c r="S10" s="32" t="n"/>
      <c r="T10" s="55" t="n"/>
      <c r="U10" s="58">
        <f>'S35'!T10</f>
        <v/>
      </c>
      <c r="V10" s="57">
        <f>T10-U10</f>
        <v/>
      </c>
      <c r="W10" s="57">
        <f>N10-T10</f>
        <v/>
      </c>
      <c r="X10" s="34" t="n"/>
    </row>
    <row r="11" ht="22" customHeight="1">
      <c r="B11" s="5" t="n">
        <v>7</v>
      </c>
      <c r="C11" s="6" t="inlineStr">
        <is>
          <t>Sidi Kacem</t>
        </is>
      </c>
      <c r="D11" s="5" t="inlineStr">
        <is>
          <t>BIR TALEB</t>
        </is>
      </c>
      <c r="E11" s="5" t="inlineStr">
        <is>
          <t>50-23</t>
        </is>
      </c>
      <c r="F11" s="5" t="inlineStr">
        <is>
          <t>Entretien et réparation du réseau d'assainissement et de drainage</t>
        </is>
      </c>
      <c r="G11" s="5" t="inlineStr">
        <is>
          <t>Curage des prises sur l’oued, bâche d’aspiration et bassin de régulation.</t>
        </is>
      </c>
      <c r="H11" s="5" t="inlineStr">
        <is>
          <t>Curage des prises sur l’oued de la station de pompage P11/1.</t>
        </is>
      </c>
      <c r="I11" s="7" t="n">
        <v>200000</v>
      </c>
      <c r="J11" s="8" t="inlineStr">
        <is>
          <t>ml</t>
        </is>
      </c>
      <c r="K11" s="9" t="n">
        <v>67</v>
      </c>
      <c r="L11" s="51" t="n"/>
      <c r="M11" s="52">
        <f>'S35'!M11+L11</f>
        <v/>
      </c>
      <c r="N11" s="53">
        <f>IFERROR(M11/K11,0)</f>
        <v/>
      </c>
      <c r="O11" s="54">
        <f>'S35'!N11</f>
        <v/>
      </c>
      <c r="P11" s="53">
        <f>N11-O11</f>
        <v/>
      </c>
      <c r="Q11" s="32" t="n"/>
      <c r="R11" s="32" t="n"/>
      <c r="S11" s="32" t="n"/>
      <c r="T11" s="55" t="n"/>
      <c r="U11" s="54">
        <f>'S35'!T11</f>
        <v/>
      </c>
      <c r="V11" s="53">
        <f>T11-U11</f>
        <v/>
      </c>
      <c r="W11" s="53">
        <f>N11-T11</f>
        <v/>
      </c>
      <c r="X11" s="34" t="n"/>
    </row>
    <row r="12" ht="22" customHeight="1">
      <c r="B12" s="10" t="n">
        <v>8</v>
      </c>
      <c r="C12" s="6" t="inlineStr">
        <is>
          <t>Sidi Kacem</t>
        </is>
      </c>
      <c r="D12" s="10" t="inlineStr">
        <is>
          <t>BIR TALEB</t>
        </is>
      </c>
      <c r="E12" s="10" t="inlineStr">
        <is>
          <t>50-21</t>
        </is>
      </c>
      <c r="F12" s="10" t="inlineStr">
        <is>
          <t>Entretien et réparation des stations de pompage</t>
        </is>
      </c>
      <c r="G12" s="10" t="inlineStr">
        <is>
          <t>Prestation de maintenance des débitmètres et leurs équipements annexes installés au niveau des station de pompage</t>
        </is>
      </c>
      <c r="H12" s="10" t="inlineStr">
        <is>
          <t>Changement trois débitmètre Ø 400mm inondés de la station de pompage P11/1</t>
        </is>
      </c>
      <c r="I12" s="11" t="n">
        <v>141900</v>
      </c>
      <c r="J12" s="12" t="inlineStr">
        <is>
          <t>U</t>
        </is>
      </c>
      <c r="K12" s="13" t="n">
        <v>3</v>
      </c>
      <c r="L12" s="51" t="n"/>
      <c r="M12" s="56">
        <f>'S35'!M12+L12</f>
        <v/>
      </c>
      <c r="N12" s="57">
        <f>IFERROR(M12/K12,0)</f>
        <v/>
      </c>
      <c r="O12" s="58">
        <f>'S35'!N12</f>
        <v/>
      </c>
      <c r="P12" s="57">
        <f>N12-O12</f>
        <v/>
      </c>
      <c r="Q12" s="32" t="n"/>
      <c r="R12" s="32" t="n"/>
      <c r="S12" s="32" t="n"/>
      <c r="T12" s="55" t="n"/>
      <c r="U12" s="58">
        <f>'S35'!T12</f>
        <v/>
      </c>
      <c r="V12" s="57">
        <f>T12-U12</f>
        <v/>
      </c>
      <c r="W12" s="57">
        <f>N12-T12</f>
        <v/>
      </c>
      <c r="X12" s="34" t="n"/>
    </row>
    <row r="13" ht="22" customHeight="1">
      <c r="B13" s="5" t="n">
        <v>9</v>
      </c>
      <c r="C13" s="6" t="inlineStr">
        <is>
          <t>Sidi Kacem</t>
        </is>
      </c>
      <c r="D13" s="5" t="inlineStr">
        <is>
          <t>BIR TALEB</t>
        </is>
      </c>
      <c r="E13" s="5" t="inlineStr">
        <is>
          <t>50-21</t>
        </is>
      </c>
      <c r="F13" s="5" t="inlineStr">
        <is>
          <t>Entretien et réparation des stations de pompage</t>
        </is>
      </c>
      <c r="G13" s="5" t="inlineStr">
        <is>
          <t>Prestations de maintenance et de réparation mécanique des pompes et des groupes motopompes submersibles des stations de pompage.</t>
        </is>
      </c>
      <c r="H13" s="5" t="inlineStr">
        <is>
          <t>Démontage et expertise des roues des  pompes principaux et pompes a vide de la station P11/1
Changement des roulements, tresses et organes d’effectués de la station P11/1</t>
        </is>
      </c>
      <c r="I13" s="7" t="n">
        <v>26700</v>
      </c>
      <c r="J13" s="8" t="inlineStr">
        <is>
          <t>U</t>
        </is>
      </c>
      <c r="K13" s="9" t="n">
        <v>1</v>
      </c>
      <c r="L13" s="51" t="n"/>
      <c r="M13" s="52">
        <f>'S35'!M13+L13</f>
        <v/>
      </c>
      <c r="N13" s="53">
        <f>IFERROR(M13/K13,0)</f>
        <v/>
      </c>
      <c r="O13" s="54">
        <f>'S35'!N13</f>
        <v/>
      </c>
      <c r="P13" s="53">
        <f>N13-O13</f>
        <v/>
      </c>
      <c r="Q13" s="32" t="n"/>
      <c r="R13" s="32" t="n"/>
      <c r="S13" s="32" t="n"/>
      <c r="T13" s="55" t="n"/>
      <c r="U13" s="54">
        <f>'S35'!T13</f>
        <v/>
      </c>
      <c r="V13" s="53">
        <f>T13-U13</f>
        <v/>
      </c>
      <c r="W13" s="53">
        <f>N13-T13</f>
        <v/>
      </c>
      <c r="X13" s="34" t="n"/>
    </row>
    <row r="14" ht="22" customHeight="1">
      <c r="B14" s="10" t="n">
        <v>10</v>
      </c>
      <c r="C14" s="6" t="inlineStr">
        <is>
          <t>Sidi Kacem</t>
        </is>
      </c>
      <c r="D14" s="10" t="inlineStr">
        <is>
          <t>BIR TALEB</t>
        </is>
      </c>
      <c r="E14" s="10" t="inlineStr">
        <is>
          <t>50-21</t>
        </is>
      </c>
      <c r="F14" s="10" t="inlineStr">
        <is>
          <t>Entretien et réparation des stations de pompage</t>
        </is>
      </c>
      <c r="G14" s="10" t="inlineStr">
        <is>
          <t>Stabilisation Berge oued</t>
        </is>
      </c>
      <c r="H14" s="10" t="inlineStr">
        <is>
          <t>Pose de  gabions et recouvrement du talus par matelas Reno des stations de pompage P11/1.</t>
        </is>
      </c>
      <c r="I14" s="11" t="n">
        <v>480000</v>
      </c>
      <c r="J14" s="12" t="inlineStr">
        <is>
          <t>m³</t>
        </is>
      </c>
      <c r="K14" s="13" t="n">
        <v>320</v>
      </c>
      <c r="L14" s="51" t="n"/>
      <c r="M14" s="56">
        <f>'S35'!M14+L14</f>
        <v/>
      </c>
      <c r="N14" s="57">
        <f>IFERROR(M14/K14,0)</f>
        <v/>
      </c>
      <c r="O14" s="58">
        <f>'S35'!N14</f>
        <v/>
      </c>
      <c r="P14" s="57">
        <f>N14-O14</f>
        <v/>
      </c>
      <c r="Q14" s="32" t="n"/>
      <c r="R14" s="32" t="n"/>
      <c r="S14" s="32" t="n"/>
      <c r="T14" s="55" t="n"/>
      <c r="U14" s="58">
        <f>'S35'!T14</f>
        <v/>
      </c>
      <c r="V14" s="57">
        <f>T14-U14</f>
        <v/>
      </c>
      <c r="W14" s="57">
        <f>N14-T14</f>
        <v/>
      </c>
      <c r="X14" s="34" t="n"/>
    </row>
    <row r="15" ht="22" customHeight="1">
      <c r="B15" s="5" t="n">
        <v>11</v>
      </c>
      <c r="C15" s="6" t="inlineStr">
        <is>
          <t>Sidi Kacem</t>
        </is>
      </c>
      <c r="D15" s="5" t="inlineStr">
        <is>
          <t>BIR TALEB</t>
        </is>
      </c>
      <c r="E15" s="5" t="inlineStr">
        <is>
          <t>50-21</t>
        </is>
      </c>
      <c r="F15" s="5" t="inlineStr">
        <is>
          <t>Entretien et réparation des stations de pompage</t>
        </is>
      </c>
      <c r="G15" s="5" t="inlineStr">
        <is>
          <t>Génie civile des locaux des stations de pompage.</t>
        </is>
      </c>
      <c r="H15" s="5" t="inlineStr">
        <is>
          <t>Expertise d’état et d’étanchéité des locaux pompes.
Renforcement d’étanchéité des locaux pompe sous niveau des oueds des stations de pompage P11/1.
Entretien des supports en béton des conduites d’aspiration.</t>
        </is>
      </c>
      <c r="I15" s="7" t="n">
        <v>300000</v>
      </c>
      <c r="J15" s="8" t="inlineStr">
        <is>
          <t>U</t>
        </is>
      </c>
      <c r="K15" s="9" t="n">
        <v>1</v>
      </c>
      <c r="L15" s="51" t="n"/>
      <c r="M15" s="52">
        <f>'S35'!M15+L15</f>
        <v/>
      </c>
      <c r="N15" s="53">
        <f>IFERROR(M15/K15,0)</f>
        <v/>
      </c>
      <c r="O15" s="54">
        <f>'S35'!N15</f>
        <v/>
      </c>
      <c r="P15" s="53">
        <f>N15-O15</f>
        <v/>
      </c>
      <c r="Q15" s="32" t="n"/>
      <c r="R15" s="32" t="n"/>
      <c r="S15" s="32" t="n"/>
      <c r="T15" s="55" t="n"/>
      <c r="U15" s="54">
        <f>'S35'!T15</f>
        <v/>
      </c>
      <c r="V15" s="53">
        <f>T15-U15</f>
        <v/>
      </c>
      <c r="W15" s="53">
        <f>N15-T15</f>
        <v/>
      </c>
      <c r="X15" s="34" t="n"/>
    </row>
    <row r="16" ht="22" customHeight="1">
      <c r="B16" s="10" t="n">
        <v>12</v>
      </c>
      <c r="C16" s="6" t="inlineStr">
        <is>
          <t>Sidi Kacem</t>
        </is>
      </c>
      <c r="D16" s="10" t="inlineStr">
        <is>
          <t>CHEBANAT</t>
        </is>
      </c>
      <c r="E16" s="10" t="inlineStr">
        <is>
          <t>50-23</t>
        </is>
      </c>
      <c r="F16" s="10" t="inlineStr">
        <is>
          <t>Entretien et réparation du réseau d'assainissement et de drainage</t>
        </is>
      </c>
      <c r="G16" s="10" t="inlineStr">
        <is>
          <t>Travaux de curage des canaux en terre</t>
        </is>
      </c>
      <c r="H16" s="10" t="inlineStr">
        <is>
          <t>Curage des collecteurs d'assainissement des secteur SH5 et SH6.</t>
        </is>
      </c>
      <c r="I16" s="11" t="n">
        <v>1000000</v>
      </c>
      <c r="J16" s="12" t="inlineStr">
        <is>
          <t>ml</t>
        </is>
      </c>
      <c r="K16" s="13" t="n">
        <v>500</v>
      </c>
      <c r="L16" s="51" t="n"/>
      <c r="M16" s="56">
        <f>'S35'!M16+L16</f>
        <v/>
      </c>
      <c r="N16" s="57">
        <f>IFERROR(M16/K16,0)</f>
        <v/>
      </c>
      <c r="O16" s="58">
        <f>'S35'!N16</f>
        <v/>
      </c>
      <c r="P16" s="57">
        <f>N16-O16</f>
        <v/>
      </c>
      <c r="Q16" s="32" t="n"/>
      <c r="R16" s="32" t="n"/>
      <c r="S16" s="32" t="n"/>
      <c r="T16" s="55" t="n"/>
      <c r="U16" s="58">
        <f>'S35'!T16</f>
        <v/>
      </c>
      <c r="V16" s="57">
        <f>T16-U16</f>
        <v/>
      </c>
      <c r="W16" s="57">
        <f>N16-T16</f>
        <v/>
      </c>
      <c r="X16" s="34" t="n"/>
    </row>
    <row r="17" ht="22" customHeight="1">
      <c r="B17" s="5" t="n">
        <v>13</v>
      </c>
      <c r="C17" s="6" t="inlineStr">
        <is>
          <t>Sidi Kacem</t>
        </is>
      </c>
      <c r="D17" s="5" t="inlineStr">
        <is>
          <t>CHEBANAT</t>
        </is>
      </c>
      <c r="E17" s="5" t="inlineStr">
        <is>
          <t>50-23</t>
        </is>
      </c>
      <c r="F17" s="5" t="inlineStr">
        <is>
          <t>Entretien et réparation du réseau d'assainissement et de drainage</t>
        </is>
      </c>
      <c r="G17" s="5" t="inlineStr">
        <is>
          <t>Travaux de curage des canaux révetus</t>
        </is>
      </c>
      <c r="H17" s="5" t="inlineStr">
        <is>
          <t>Curage du canal principal d'irrigation beht partie aval 1.</t>
        </is>
      </c>
      <c r="I17" s="7" t="n">
        <v>739200</v>
      </c>
      <c r="J17" s="8" t="inlineStr">
        <is>
          <t>ml</t>
        </is>
      </c>
      <c r="K17" s="9" t="n">
        <v>370</v>
      </c>
      <c r="L17" s="51" t="n"/>
      <c r="M17" s="52">
        <f>'S35'!M17+L17</f>
        <v/>
      </c>
      <c r="N17" s="53">
        <f>IFERROR(M17/K17,0)</f>
        <v/>
      </c>
      <c r="O17" s="54">
        <f>'S35'!N17</f>
        <v/>
      </c>
      <c r="P17" s="53">
        <f>N17-O17</f>
        <v/>
      </c>
      <c r="Q17" s="32" t="n"/>
      <c r="R17" s="32" t="n"/>
      <c r="S17" s="32" t="n"/>
      <c r="T17" s="55" t="n"/>
      <c r="U17" s="54">
        <f>'S35'!T17</f>
        <v/>
      </c>
      <c r="V17" s="53">
        <f>T17-U17</f>
        <v/>
      </c>
      <c r="W17" s="53">
        <f>N17-T17</f>
        <v/>
      </c>
      <c r="X17" s="34" t="n"/>
    </row>
    <row r="18" ht="22" customHeight="1">
      <c r="B18" s="10" t="n">
        <v>14</v>
      </c>
      <c r="C18" s="6" t="inlineStr">
        <is>
          <t>Sidi Kacem</t>
        </is>
      </c>
      <c r="D18" s="10" t="inlineStr">
        <is>
          <t>ZIRARA</t>
        </is>
      </c>
      <c r="E18" s="10" t="inlineStr">
        <is>
          <t>50-23</t>
        </is>
      </c>
      <c r="F18" s="10" t="inlineStr">
        <is>
          <t>Entretien et réparation du réseau d'assainissement et de drainage</t>
        </is>
      </c>
      <c r="G18" s="10" t="inlineStr">
        <is>
          <t>Travaux de curage des canaux révetus</t>
        </is>
      </c>
      <c r="H18" s="10" t="inlineStr">
        <is>
          <t>Curage du canal principal d'irrigation beht partie aval 2.</t>
        </is>
      </c>
      <c r="I18" s="11" t="n">
        <v>1276800</v>
      </c>
      <c r="J18" s="12" t="inlineStr">
        <is>
          <t>ml</t>
        </is>
      </c>
      <c r="K18" s="13" t="n">
        <v>638</v>
      </c>
      <c r="L18" s="51" t="n"/>
      <c r="M18" s="56">
        <f>'S35'!M18+L18</f>
        <v/>
      </c>
      <c r="N18" s="57">
        <f>IFERROR(M18/K18,0)</f>
        <v/>
      </c>
      <c r="O18" s="58">
        <f>'S35'!N18</f>
        <v/>
      </c>
      <c r="P18" s="57">
        <f>N18-O18</f>
        <v/>
      </c>
      <c r="Q18" s="32" t="n"/>
      <c r="R18" s="32" t="n"/>
      <c r="S18" s="32" t="n"/>
      <c r="T18" s="55" t="n"/>
      <c r="U18" s="58">
        <f>'S35'!T18</f>
        <v/>
      </c>
      <c r="V18" s="57">
        <f>T18-U18</f>
        <v/>
      </c>
      <c r="W18" s="57">
        <f>N18-T18</f>
        <v/>
      </c>
      <c r="X18" s="34" t="n"/>
    </row>
    <row r="19" ht="22" customHeight="1">
      <c r="B19" s="5" t="n">
        <v>15</v>
      </c>
      <c r="C19" s="6" t="inlineStr">
        <is>
          <t>Sidi Kacem</t>
        </is>
      </c>
      <c r="D19" s="5" t="inlineStr">
        <is>
          <t>DAR LAASLOUJI</t>
        </is>
      </c>
      <c r="E19" s="5" t="inlineStr">
        <is>
          <t>50-23</t>
        </is>
      </c>
      <c r="F19" s="5" t="inlineStr">
        <is>
          <t>Entretien et réparation du réseau d'assainissement et de drainage</t>
        </is>
      </c>
      <c r="G19" s="5" t="inlineStr">
        <is>
          <t>Travaux de curage des canaux en terre</t>
        </is>
      </c>
      <c r="H19" s="5" t="inlineStr">
        <is>
          <t>Curage des collecteurs d'assainissement des secteurs P8-1 et P8-2</t>
        </is>
      </c>
      <c r="I19" s="7" t="n">
        <v>5796360</v>
      </c>
      <c r="J19" s="8" t="inlineStr">
        <is>
          <t>ml</t>
        </is>
      </c>
      <c r="K19" s="9" t="n">
        <v>2898</v>
      </c>
      <c r="L19" s="51" t="n"/>
      <c r="M19" s="52">
        <f>'S35'!M19+L19</f>
        <v/>
      </c>
      <c r="N19" s="53">
        <f>IFERROR(M19/K19,0)</f>
        <v/>
      </c>
      <c r="O19" s="54">
        <f>'S35'!N19</f>
        <v/>
      </c>
      <c r="P19" s="53">
        <f>N19-O19</f>
        <v/>
      </c>
      <c r="Q19" s="32" t="n"/>
      <c r="R19" s="32" t="n"/>
      <c r="S19" s="32" t="n"/>
      <c r="T19" s="55" t="n"/>
      <c r="U19" s="54">
        <f>'S35'!T19</f>
        <v/>
      </c>
      <c r="V19" s="53">
        <f>T19-U19</f>
        <v/>
      </c>
      <c r="W19" s="53">
        <f>N19-T19</f>
        <v/>
      </c>
      <c r="X19" s="34" t="n"/>
    </row>
    <row r="20" ht="22" customHeight="1">
      <c r="B20" s="10" t="n">
        <v>16</v>
      </c>
      <c r="C20" s="6" t="inlineStr">
        <is>
          <t>Sidi Kacem</t>
        </is>
      </c>
      <c r="D20" s="10" t="inlineStr">
        <is>
          <t>DAR LAASLOUJI</t>
        </is>
      </c>
      <c r="E20" s="10" t="inlineStr">
        <is>
          <t>40-21</t>
        </is>
      </c>
      <c r="F20" s="10" t="inlineStr">
        <is>
          <t>Travaux de pistes</t>
        </is>
      </c>
      <c r="G20" s="10" t="inlineStr">
        <is>
          <t>Entretien des pistes agricoles</t>
        </is>
      </c>
      <c r="H20" s="10" t="inlineStr">
        <is>
          <t>Entretien des pistes agricoles</t>
        </is>
      </c>
      <c r="I20" s="11" t="n">
        <v>340000</v>
      </c>
      <c r="J20" s="12" t="inlineStr">
        <is>
          <t>km</t>
        </is>
      </c>
      <c r="K20" s="13" t="n">
        <v>1</v>
      </c>
      <c r="L20" s="51" t="n"/>
      <c r="M20" s="56">
        <f>'S35'!M20+L20</f>
        <v/>
      </c>
      <c r="N20" s="57">
        <f>IFERROR(M20/K20,0)</f>
        <v/>
      </c>
      <c r="O20" s="58">
        <f>'S35'!N20</f>
        <v/>
      </c>
      <c r="P20" s="57">
        <f>N20-O20</f>
        <v/>
      </c>
      <c r="Q20" s="32" t="n"/>
      <c r="R20" s="32" t="n"/>
      <c r="S20" s="32" t="n"/>
      <c r="T20" s="55" t="n"/>
      <c r="U20" s="58">
        <f>'S35'!T20</f>
        <v/>
      </c>
      <c r="V20" s="57">
        <f>T20-U20</f>
        <v/>
      </c>
      <c r="W20" s="57">
        <f>N20-T20</f>
        <v/>
      </c>
      <c r="X20" s="34" t="n"/>
    </row>
    <row r="21" ht="22" customHeight="1">
      <c r="B21" s="5" t="n">
        <v>17</v>
      </c>
      <c r="C21" s="6" t="inlineStr">
        <is>
          <t>Sidi Kacem</t>
        </is>
      </c>
      <c r="D21" s="5" t="inlineStr">
        <is>
          <t>HOUAFATE</t>
        </is>
      </c>
      <c r="E21" s="5" t="inlineStr">
        <is>
          <t>20-11</t>
        </is>
      </c>
      <c r="F21" s="5" t="inlineStr">
        <is>
          <t>Travaux de réhabilitation des équipements</t>
        </is>
      </c>
      <c r="G21" s="5" t="inlineStr">
        <is>
          <t>Travaux de réhabilitation des canaux portés d'irrigation</t>
        </is>
      </c>
      <c r="H21" s="5" t="inlineStr">
        <is>
          <t>Fourniture et de pose de canaux porté et accessoires du réseau S3 du secteur S13</t>
        </is>
      </c>
      <c r="I21" s="7" t="n">
        <v>397934</v>
      </c>
      <c r="J21" s="8" t="inlineStr">
        <is>
          <t>ml</t>
        </is>
      </c>
      <c r="K21" s="9" t="n">
        <v>133</v>
      </c>
      <c r="L21" s="51" t="n"/>
      <c r="M21" s="52">
        <f>'S35'!M21+L21</f>
        <v/>
      </c>
      <c r="N21" s="53">
        <f>IFERROR(M21/K21,0)</f>
        <v/>
      </c>
      <c r="O21" s="54">
        <f>'S35'!N21</f>
        <v/>
      </c>
      <c r="P21" s="53">
        <f>N21-O21</f>
        <v/>
      </c>
      <c r="Q21" s="32" t="n"/>
      <c r="R21" s="32" t="n"/>
      <c r="S21" s="32" t="n"/>
      <c r="T21" s="55" t="n"/>
      <c r="U21" s="54">
        <f>'S35'!T21</f>
        <v/>
      </c>
      <c r="V21" s="53">
        <f>T21-U21</f>
        <v/>
      </c>
      <c r="W21" s="53">
        <f>N21-T21</f>
        <v/>
      </c>
      <c r="X21" s="34" t="n"/>
    </row>
    <row r="22" ht="22" customHeight="1">
      <c r="B22" s="10" t="n">
        <v>18</v>
      </c>
      <c r="C22" s="6" t="inlineStr">
        <is>
          <t>Sidi Kacem</t>
        </is>
      </c>
      <c r="D22" s="10" t="inlineStr">
        <is>
          <t>HOUAFATE</t>
        </is>
      </c>
      <c r="E22" s="10" t="inlineStr">
        <is>
          <t>20-11</t>
        </is>
      </c>
      <c r="F22" s="10" t="inlineStr">
        <is>
          <t>Travaux de réhabilitation des équipements</t>
        </is>
      </c>
      <c r="G22" s="10" t="inlineStr"/>
      <c r="H22" s="10" t="inlineStr">
        <is>
          <t>Fourniture et de pose de canaux porté et accessoires du réseau T2S1 du secteur S13</t>
        </is>
      </c>
      <c r="I22" s="11" t="n">
        <v>207575</v>
      </c>
      <c r="J22" s="12" t="inlineStr">
        <is>
          <t>ml</t>
        </is>
      </c>
      <c r="K22" s="13" t="n">
        <v>69</v>
      </c>
      <c r="L22" s="51" t="n"/>
      <c r="M22" s="56">
        <f>'S35'!M22+L22</f>
        <v/>
      </c>
      <c r="N22" s="57">
        <f>IFERROR(M22/K22,0)</f>
        <v/>
      </c>
      <c r="O22" s="58">
        <f>'S35'!N22</f>
        <v/>
      </c>
      <c r="P22" s="57">
        <f>N22-O22</f>
        <v/>
      </c>
      <c r="Q22" s="32" t="n"/>
      <c r="R22" s="32" t="n"/>
      <c r="S22" s="32" t="n"/>
      <c r="T22" s="55" t="n"/>
      <c r="U22" s="58">
        <f>'S35'!T22</f>
        <v/>
      </c>
      <c r="V22" s="57">
        <f>T22-U22</f>
        <v/>
      </c>
      <c r="W22" s="57">
        <f>N22-T22</f>
        <v/>
      </c>
      <c r="X22" s="34" t="n"/>
    </row>
    <row r="23" ht="22" customHeight="1">
      <c r="B23" s="5" t="n">
        <v>19</v>
      </c>
      <c r="C23" s="6" t="inlineStr">
        <is>
          <t>Sidi Kacem</t>
        </is>
      </c>
      <c r="D23" s="5" t="inlineStr">
        <is>
          <t>HOUAFATE</t>
        </is>
      </c>
      <c r="E23" s="5" t="inlineStr">
        <is>
          <t>40-21</t>
        </is>
      </c>
      <c r="F23" s="5" t="inlineStr">
        <is>
          <t>Travaux de pistes</t>
        </is>
      </c>
      <c r="G23" s="5" t="inlineStr">
        <is>
          <t>Entretien des pistes agricoles</t>
        </is>
      </c>
      <c r="H23" s="5" t="inlineStr">
        <is>
          <t>Entretien des pistes agricoles</t>
        </is>
      </c>
      <c r="I23" s="7" t="n">
        <v>2200000</v>
      </c>
      <c r="J23" s="8" t="inlineStr">
        <is>
          <t>km</t>
        </is>
      </c>
      <c r="K23" s="9" t="n">
        <v>4</v>
      </c>
      <c r="L23" s="51" t="n"/>
      <c r="M23" s="52">
        <f>'S35'!M23+L23</f>
        <v/>
      </c>
      <c r="N23" s="53">
        <f>IFERROR(M23/K23,0)</f>
        <v/>
      </c>
      <c r="O23" s="54">
        <f>'S35'!N23</f>
        <v/>
      </c>
      <c r="P23" s="53">
        <f>N23-O23</f>
        <v/>
      </c>
      <c r="Q23" s="32" t="n"/>
      <c r="R23" s="32" t="n"/>
      <c r="S23" s="32" t="n"/>
      <c r="T23" s="55" t="n"/>
      <c r="U23" s="54">
        <f>'S35'!T23</f>
        <v/>
      </c>
      <c r="V23" s="53">
        <f>T23-U23</f>
        <v/>
      </c>
      <c r="W23" s="53">
        <f>N23-T23</f>
        <v/>
      </c>
      <c r="X23" s="34" t="n"/>
    </row>
    <row r="24" ht="22" customHeight="1">
      <c r="B24" s="10" t="n">
        <v>20</v>
      </c>
      <c r="C24" s="6" t="inlineStr">
        <is>
          <t>Sidi Kacem</t>
        </is>
      </c>
      <c r="D24" s="10" t="inlineStr">
        <is>
          <t>HOUAFATE</t>
        </is>
      </c>
      <c r="E24" s="10" t="inlineStr">
        <is>
          <t>50-23</t>
        </is>
      </c>
      <c r="F24" s="10" t="inlineStr">
        <is>
          <t>Entretien et réparation du réseau d'assainissement et de drainage</t>
        </is>
      </c>
      <c r="G24" s="10" t="inlineStr">
        <is>
          <t>Curage des prises sur l’oued, bâche d’aspiration et bassin de régulation.</t>
        </is>
      </c>
      <c r="H24" s="10" t="inlineStr">
        <is>
          <t>Curage des prises sur l’oued de la station de pompage S17 et S13.
Nettoyage des grilles de préfiltration des boues colmaté de la station de pompage S17 et S13.
Curage de la bâche d’aspiration de la station S17 et S13.</t>
        </is>
      </c>
      <c r="I24" s="11" t="n">
        <v>300000</v>
      </c>
      <c r="J24" s="12" t="inlineStr">
        <is>
          <t>ml</t>
        </is>
      </c>
      <c r="K24" s="13" t="n">
        <v>100</v>
      </c>
      <c r="L24" s="51" t="n"/>
      <c r="M24" s="56">
        <f>'S35'!M24+L24</f>
        <v/>
      </c>
      <c r="N24" s="57">
        <f>IFERROR(M24/K24,0)</f>
        <v/>
      </c>
      <c r="O24" s="58">
        <f>'S35'!N24</f>
        <v/>
      </c>
      <c r="P24" s="57">
        <f>N24-O24</f>
        <v/>
      </c>
      <c r="Q24" s="32" t="n"/>
      <c r="R24" s="32" t="n"/>
      <c r="S24" s="32" t="n"/>
      <c r="T24" s="55" t="n"/>
      <c r="U24" s="58">
        <f>'S35'!T24</f>
        <v/>
      </c>
      <c r="V24" s="57">
        <f>T24-U24</f>
        <v/>
      </c>
      <c r="W24" s="57">
        <f>N24-T24</f>
        <v/>
      </c>
      <c r="X24" s="34" t="n"/>
    </row>
    <row r="25" ht="22" customHeight="1">
      <c r="B25" s="5" t="n">
        <v>21</v>
      </c>
      <c r="C25" s="6" t="inlineStr">
        <is>
          <t>Sidi Kacem</t>
        </is>
      </c>
      <c r="D25" s="5" t="inlineStr">
        <is>
          <t>HOUAFATE</t>
        </is>
      </c>
      <c r="E25" s="5" t="inlineStr">
        <is>
          <t>50-21</t>
        </is>
      </c>
      <c r="F25" s="5" t="inlineStr">
        <is>
          <t>Entretien et réparation des stations de pompage</t>
        </is>
      </c>
      <c r="G25" s="5" t="inlineStr">
        <is>
          <t>Prestation de maintenance des débitmètres et leurs équipements annexes installés au niveau des station de pompage</t>
        </is>
      </c>
      <c r="H25" s="5" t="inlineStr">
        <is>
          <t>Changement trois débitmètre Ø 600mm inondés de la station de pompage S13.</t>
        </is>
      </c>
      <c r="I25" s="7" t="n">
        <v>250000</v>
      </c>
      <c r="J25" s="8" t="inlineStr">
        <is>
          <t>U</t>
        </is>
      </c>
      <c r="K25" s="9" t="n">
        <v>3</v>
      </c>
      <c r="L25" s="51" t="n"/>
      <c r="M25" s="52">
        <f>'S35'!M25+L25</f>
        <v/>
      </c>
      <c r="N25" s="53">
        <f>IFERROR(M25/K25,0)</f>
        <v/>
      </c>
      <c r="O25" s="54">
        <f>'S35'!N25</f>
        <v/>
      </c>
      <c r="P25" s="53">
        <f>N25-O25</f>
        <v/>
      </c>
      <c r="Q25" s="32" t="n"/>
      <c r="R25" s="32" t="n"/>
      <c r="S25" s="32" t="n"/>
      <c r="T25" s="55" t="n"/>
      <c r="U25" s="54">
        <f>'S35'!T25</f>
        <v/>
      </c>
      <c r="V25" s="53">
        <f>T25-U25</f>
        <v/>
      </c>
      <c r="W25" s="53">
        <f>N25-T25</f>
        <v/>
      </c>
      <c r="X25" s="34" t="n"/>
    </row>
    <row r="26" ht="22" customHeight="1">
      <c r="B26" s="10" t="n">
        <v>22</v>
      </c>
      <c r="C26" s="6" t="inlineStr">
        <is>
          <t>Sidi Kacem</t>
        </is>
      </c>
      <c r="D26" s="10" t="inlineStr">
        <is>
          <t>HOUAFATE</t>
        </is>
      </c>
      <c r="E26" s="10" t="inlineStr">
        <is>
          <t>50-21</t>
        </is>
      </c>
      <c r="F26" s="10" t="inlineStr">
        <is>
          <t>Entretien et réparation des stations de pompage</t>
        </is>
      </c>
      <c r="G26" s="10" t="inlineStr">
        <is>
          <t>Prestations de maintenance des moteurs électriques des stations de pompage.</t>
        </is>
      </c>
      <c r="H26" s="10" t="inlineStr">
        <is>
          <t>Révision des trois moteurs électriques 200 KW principaux de la station S13. 
Révision des deux moteurs électriques 5,5 KW groupes vide de la station S13.</t>
        </is>
      </c>
      <c r="I26" s="11" t="n">
        <v>25000</v>
      </c>
      <c r="J26" s="12" t="inlineStr">
        <is>
          <t>U</t>
        </is>
      </c>
      <c r="K26" s="13" t="n">
        <v>3</v>
      </c>
      <c r="L26" s="51" t="n"/>
      <c r="M26" s="56">
        <f>'S35'!M26+L26</f>
        <v/>
      </c>
      <c r="N26" s="57">
        <f>IFERROR(M26/K26,0)</f>
        <v/>
      </c>
      <c r="O26" s="58">
        <f>'S35'!N26</f>
        <v/>
      </c>
      <c r="P26" s="57">
        <f>N26-O26</f>
        <v/>
      </c>
      <c r="Q26" s="32" t="n"/>
      <c r="R26" s="32" t="n"/>
      <c r="S26" s="32" t="n"/>
      <c r="T26" s="55" t="n"/>
      <c r="U26" s="58">
        <f>'S35'!T26</f>
        <v/>
      </c>
      <c r="V26" s="57">
        <f>T26-U26</f>
        <v/>
      </c>
      <c r="W26" s="57">
        <f>N26-T26</f>
        <v/>
      </c>
      <c r="X26" s="34" t="n"/>
    </row>
    <row r="27" ht="22" customHeight="1">
      <c r="B27" s="5" t="n">
        <v>23</v>
      </c>
      <c r="C27" s="6" t="inlineStr">
        <is>
          <t>Sidi Kacem</t>
        </is>
      </c>
      <c r="D27" s="5" t="inlineStr">
        <is>
          <t>HOUAFATE</t>
        </is>
      </c>
      <c r="E27" s="5" t="inlineStr">
        <is>
          <t>50-21</t>
        </is>
      </c>
      <c r="F27" s="5" t="inlineStr">
        <is>
          <t>Entretien et réparation des stations de pompage</t>
        </is>
      </c>
      <c r="G27" s="5" t="inlineStr">
        <is>
          <t>Prestations de maintenance et de réparation mécanique des pompes et des groupes motopompes submersibles des stations de pompage.</t>
        </is>
      </c>
      <c r="H27" s="5" t="inlineStr">
        <is>
          <t>Démontage et expertise des roues des  pompes principaux et pompes a vide de la station S13.
Changement des roulements, tresses et organes d’effectués de la station S13.</t>
        </is>
      </c>
      <c r="I27" s="7" t="n">
        <v>38000</v>
      </c>
      <c r="J27" s="8" t="inlineStr">
        <is>
          <t>U</t>
        </is>
      </c>
      <c r="K27" s="9" t="n">
        <v>1</v>
      </c>
      <c r="L27" s="51" t="n"/>
      <c r="M27" s="52">
        <f>'S35'!M27+L27</f>
        <v/>
      </c>
      <c r="N27" s="53">
        <f>IFERROR(M27/K27,0)</f>
        <v/>
      </c>
      <c r="O27" s="54">
        <f>'S35'!N27</f>
        <v/>
      </c>
      <c r="P27" s="53">
        <f>N27-O27</f>
        <v/>
      </c>
      <c r="Q27" s="32" t="n"/>
      <c r="R27" s="32" t="n"/>
      <c r="S27" s="32" t="n"/>
      <c r="T27" s="55" t="n"/>
      <c r="U27" s="54">
        <f>'S35'!T27</f>
        <v/>
      </c>
      <c r="V27" s="53">
        <f>T27-U27</f>
        <v/>
      </c>
      <c r="W27" s="53">
        <f>N27-T27</f>
        <v/>
      </c>
      <c r="X27" s="34" t="n"/>
    </row>
    <row r="28" ht="22" customHeight="1">
      <c r="B28" s="10" t="n">
        <v>24</v>
      </c>
      <c r="C28" s="6" t="inlineStr">
        <is>
          <t>Sidi Kacem</t>
        </is>
      </c>
      <c r="D28" s="10" t="inlineStr">
        <is>
          <t>HOUAFATE</t>
        </is>
      </c>
      <c r="E28" s="10" t="inlineStr">
        <is>
          <t>50-21</t>
        </is>
      </c>
      <c r="F28" s="10" t="inlineStr">
        <is>
          <t>Entretien et réparation des stations de pompage</t>
        </is>
      </c>
      <c r="G28" s="10" t="inlineStr">
        <is>
          <t>Stabilisation Berge oued</t>
        </is>
      </c>
      <c r="H28" s="10" t="inlineStr">
        <is>
          <t>Pose de  gabions et recouvrement du talus par matelas Reno des stations de pompage S13.</t>
        </is>
      </c>
      <c r="I28" s="11" t="n">
        <v>10560000</v>
      </c>
      <c r="J28" s="12" t="inlineStr">
        <is>
          <t>m³</t>
        </is>
      </c>
      <c r="K28" s="13" t="n">
        <v>7040</v>
      </c>
      <c r="L28" s="51" t="n"/>
      <c r="M28" s="56">
        <f>'S35'!M28+L28</f>
        <v/>
      </c>
      <c r="N28" s="57">
        <f>IFERROR(M28/K28,0)</f>
        <v/>
      </c>
      <c r="O28" s="58">
        <f>'S35'!N28</f>
        <v/>
      </c>
      <c r="P28" s="57">
        <f>N28-O28</f>
        <v/>
      </c>
      <c r="Q28" s="32" t="n"/>
      <c r="R28" s="32" t="n"/>
      <c r="S28" s="32" t="n"/>
      <c r="T28" s="55" t="n"/>
      <c r="U28" s="58">
        <f>'S35'!T28</f>
        <v/>
      </c>
      <c r="V28" s="57">
        <f>T28-U28</f>
        <v/>
      </c>
      <c r="W28" s="57">
        <f>N28-T28</f>
        <v/>
      </c>
      <c r="X28" s="34" t="n"/>
    </row>
    <row r="29" ht="22" customHeight="1">
      <c r="B29" s="5" t="n">
        <v>25</v>
      </c>
      <c r="C29" s="6" t="inlineStr">
        <is>
          <t>Sidi Kacem</t>
        </is>
      </c>
      <c r="D29" s="5" t="inlineStr">
        <is>
          <t>HOUAFATE</t>
        </is>
      </c>
      <c r="E29" s="5" t="inlineStr">
        <is>
          <t>50-21</t>
        </is>
      </c>
      <c r="F29" s="5" t="inlineStr">
        <is>
          <t>Entretien et réparation des stations de pompage</t>
        </is>
      </c>
      <c r="G29" s="5" t="inlineStr">
        <is>
          <t>Mur clôture des stations de pompage.</t>
        </is>
      </c>
      <c r="H29" s="5" t="inlineStr">
        <is>
          <t>Stabilisation du sol et reconstruction des murs clôture (270m) cote oued de la station S17.</t>
        </is>
      </c>
      <c r="I29" s="7" t="n">
        <v>144000</v>
      </c>
      <c r="J29" s="8" t="inlineStr">
        <is>
          <t>ml</t>
        </is>
      </c>
      <c r="K29" s="9" t="n">
        <v>270</v>
      </c>
      <c r="L29" s="51" t="n"/>
      <c r="M29" s="52">
        <f>'S35'!M29+L29</f>
        <v/>
      </c>
      <c r="N29" s="53">
        <f>IFERROR(M29/K29,0)</f>
        <v/>
      </c>
      <c r="O29" s="54">
        <f>'S35'!N29</f>
        <v/>
      </c>
      <c r="P29" s="53">
        <f>N29-O29</f>
        <v/>
      </c>
      <c r="Q29" s="32" t="n"/>
      <c r="R29" s="32" t="n"/>
      <c r="S29" s="32" t="n"/>
      <c r="T29" s="55" t="n"/>
      <c r="U29" s="54">
        <f>'S35'!T29</f>
        <v/>
      </c>
      <c r="V29" s="53">
        <f>T29-U29</f>
        <v/>
      </c>
      <c r="W29" s="53">
        <f>N29-T29</f>
        <v/>
      </c>
      <c r="X29" s="34" t="n"/>
    </row>
    <row r="30" ht="22" customHeight="1">
      <c r="B30" s="10" t="n">
        <v>26</v>
      </c>
      <c r="C30" s="6" t="inlineStr">
        <is>
          <t>Sidi Kacem</t>
        </is>
      </c>
      <c r="D30" s="10" t="inlineStr">
        <is>
          <t>HOUAFATE</t>
        </is>
      </c>
      <c r="E30" s="10" t="inlineStr">
        <is>
          <t>50-21</t>
        </is>
      </c>
      <c r="F30" s="10" t="inlineStr">
        <is>
          <t>Entretien et réparation des stations de pompage</t>
        </is>
      </c>
      <c r="G30" s="10" t="inlineStr">
        <is>
          <t>Génie civile des locaux des stations de pompage.</t>
        </is>
      </c>
      <c r="H30" s="10" t="inlineStr">
        <is>
          <t>Expertise d’état et d’étanchéité des locaux pompes, commande, puissance des stations de pompage S17 et S13.
Renforcement d’étanchéité des locaux pompe sous niveau des oueds des stations de pompage S17 et S13.</t>
        </is>
      </c>
      <c r="I30" s="11" t="n">
        <v>800000</v>
      </c>
      <c r="J30" s="12" t="inlineStr">
        <is>
          <t>U</t>
        </is>
      </c>
      <c r="K30" s="13" t="n">
        <v>1</v>
      </c>
      <c r="L30" s="51" t="n"/>
      <c r="M30" s="56">
        <f>'S35'!M30+L30</f>
        <v/>
      </c>
      <c r="N30" s="57">
        <f>IFERROR(M30/K30,0)</f>
        <v/>
      </c>
      <c r="O30" s="58">
        <f>'S35'!N30</f>
        <v/>
      </c>
      <c r="P30" s="57">
        <f>N30-O30</f>
        <v/>
      </c>
      <c r="Q30" s="32" t="n"/>
      <c r="R30" s="32" t="n"/>
      <c r="S30" s="32" t="n"/>
      <c r="T30" s="55" t="n"/>
      <c r="U30" s="58">
        <f>'S35'!T30</f>
        <v/>
      </c>
      <c r="V30" s="57">
        <f>T30-U30</f>
        <v/>
      </c>
      <c r="W30" s="57">
        <f>N30-T30</f>
        <v/>
      </c>
      <c r="X30" s="34" t="n"/>
    </row>
    <row r="31" ht="22" customHeight="1">
      <c r="B31" s="5" t="n">
        <v>27</v>
      </c>
      <c r="C31" s="6" t="inlineStr">
        <is>
          <t>Sidi Kacem</t>
        </is>
      </c>
      <c r="D31" s="5" t="inlineStr">
        <is>
          <t>NOUIRAT</t>
        </is>
      </c>
      <c r="E31" s="5" t="inlineStr">
        <is>
          <t>50-23</t>
        </is>
      </c>
      <c r="F31" s="5" t="inlineStr">
        <is>
          <t>Entretien et réparation du réseau d'assainissement et de drainage</t>
        </is>
      </c>
      <c r="G31" s="5" t="inlineStr">
        <is>
          <t>Travaux de curage des canaux en terre</t>
        </is>
      </c>
      <c r="H31" s="5" t="inlineStr">
        <is>
          <t>Curage des collecteurs d'assainissement des secteurs EST1 et N5</t>
        </is>
      </c>
      <c r="I31" s="7" t="n">
        <v>1733306</v>
      </c>
      <c r="J31" s="8" t="inlineStr">
        <is>
          <t>ml</t>
        </is>
      </c>
      <c r="K31" s="9" t="n">
        <v>867</v>
      </c>
      <c r="L31" s="51" t="n"/>
      <c r="M31" s="52">
        <f>'S35'!M31+L31</f>
        <v/>
      </c>
      <c r="N31" s="53">
        <f>IFERROR(M31/K31,0)</f>
        <v/>
      </c>
      <c r="O31" s="54">
        <f>'S35'!N31</f>
        <v/>
      </c>
      <c r="P31" s="53">
        <f>N31-O31</f>
        <v/>
      </c>
      <c r="Q31" s="32" t="n"/>
      <c r="R31" s="32" t="n"/>
      <c r="S31" s="32" t="n"/>
      <c r="T31" s="55" t="n"/>
      <c r="U31" s="54">
        <f>'S35'!T31</f>
        <v/>
      </c>
      <c r="V31" s="53">
        <f>T31-U31</f>
        <v/>
      </c>
      <c r="W31" s="53">
        <f>N31-T31</f>
        <v/>
      </c>
      <c r="X31" s="34" t="n"/>
    </row>
    <row r="32" ht="22" customHeight="1">
      <c r="B32" s="10" t="n">
        <v>28</v>
      </c>
      <c r="C32" s="6" t="inlineStr">
        <is>
          <t>Sidi Kacem</t>
        </is>
      </c>
      <c r="D32" s="10" t="inlineStr">
        <is>
          <t>NOUIRAT</t>
        </is>
      </c>
      <c r="E32" s="10" t="inlineStr">
        <is>
          <t>40-21</t>
        </is>
      </c>
      <c r="F32" s="10" t="inlineStr">
        <is>
          <t>Travaux de pistes</t>
        </is>
      </c>
      <c r="G32" s="10" t="inlineStr">
        <is>
          <t>Entretien des pistes agricoles</t>
        </is>
      </c>
      <c r="H32" s="10" t="inlineStr">
        <is>
          <t>Entretien des pistes agricoles</t>
        </is>
      </c>
      <c r="I32" s="11" t="n">
        <v>670000</v>
      </c>
      <c r="J32" s="12" t="inlineStr">
        <is>
          <t>km</t>
        </is>
      </c>
      <c r="K32" s="13" t="n">
        <v>1</v>
      </c>
      <c r="L32" s="51" t="n"/>
      <c r="M32" s="56">
        <f>'S35'!M32+L32</f>
        <v/>
      </c>
      <c r="N32" s="57">
        <f>IFERROR(M32/K32,0)</f>
        <v/>
      </c>
      <c r="O32" s="58">
        <f>'S35'!N32</f>
        <v/>
      </c>
      <c r="P32" s="57">
        <f>N32-O32</f>
        <v/>
      </c>
      <c r="Q32" s="32" t="n"/>
      <c r="R32" s="32" t="n"/>
      <c r="S32" s="32" t="n"/>
      <c r="T32" s="55" t="n"/>
      <c r="U32" s="58">
        <f>'S35'!T32</f>
        <v/>
      </c>
      <c r="V32" s="57">
        <f>T32-U32</f>
        <v/>
      </c>
      <c r="W32" s="57">
        <f>N32-T32</f>
        <v/>
      </c>
      <c r="X32" s="34" t="n"/>
    </row>
    <row r="33" ht="22" customHeight="1">
      <c r="B33" s="5" t="n">
        <v>29</v>
      </c>
      <c r="C33" s="6" t="inlineStr">
        <is>
          <t>Sidi Kacem</t>
        </is>
      </c>
      <c r="D33" s="5" t="inlineStr">
        <is>
          <t>NOUIRAT</t>
        </is>
      </c>
      <c r="E33" s="5" t="inlineStr">
        <is>
          <t>20-11</t>
        </is>
      </c>
      <c r="F33" s="5" t="inlineStr">
        <is>
          <t>Travaux de réhabilitation des équipements</t>
        </is>
      </c>
      <c r="G33" s="5" t="inlineStr">
        <is>
          <t>Travaux de réhabilitation des ouvrages de génie civil</t>
        </is>
      </c>
      <c r="H33" s="5" t="inlineStr">
        <is>
          <t>Réhabilitation de l'ouvrage( genie civil ,gabiollannage,clapet anti retour et buse) de l'ouvrage de débouche SE1</t>
        </is>
      </c>
      <c r="I33" s="7" t="n">
        <v>2500000</v>
      </c>
      <c r="J33" s="8" t="inlineStr">
        <is>
          <t>U</t>
        </is>
      </c>
      <c r="K33" s="9" t="n">
        <v>5</v>
      </c>
      <c r="L33" s="51" t="n"/>
      <c r="M33" s="52">
        <f>'S35'!M33+L33</f>
        <v/>
      </c>
      <c r="N33" s="53">
        <f>IFERROR(M33/K33,0)</f>
        <v/>
      </c>
      <c r="O33" s="54">
        <f>'S35'!N33</f>
        <v/>
      </c>
      <c r="P33" s="53">
        <f>N33-O33</f>
        <v/>
      </c>
      <c r="Q33" s="32" t="n"/>
      <c r="R33" s="32" t="n"/>
      <c r="S33" s="32" t="n"/>
      <c r="T33" s="55" t="n"/>
      <c r="U33" s="54">
        <f>'S35'!T33</f>
        <v/>
      </c>
      <c r="V33" s="53">
        <f>T33-U33</f>
        <v/>
      </c>
      <c r="W33" s="53">
        <f>N33-T33</f>
        <v/>
      </c>
      <c r="X33" s="34" t="n"/>
    </row>
    <row r="34" ht="22" customHeight="1">
      <c r="B34" s="10" t="n">
        <v>30</v>
      </c>
      <c r="C34" s="6" t="inlineStr">
        <is>
          <t>Sidi Kacem</t>
        </is>
      </c>
      <c r="D34" s="10" t="inlineStr">
        <is>
          <t>NOUIRAT</t>
        </is>
      </c>
      <c r="E34" s="10" t="inlineStr">
        <is>
          <t>50-23</t>
        </is>
      </c>
      <c r="F34" s="10" t="inlineStr">
        <is>
          <t>Entretien et réparation du réseau d'assainissement et de drainage</t>
        </is>
      </c>
      <c r="G34" s="10" t="inlineStr">
        <is>
          <t>Curage des prises sur l’oued, bâche d’aspiration et bassin de régulation.</t>
        </is>
      </c>
      <c r="H34" s="10" t="inlineStr">
        <is>
          <t>Curage des prises sur l’oued de la station de pompage E1.
Nettoyage des grilles de préfiltration des boues colmaté de la station de pompage E1.
Curage de la bâche d’aspiration de la station E1.</t>
        </is>
      </c>
      <c r="I34" s="11" t="n">
        <v>800000</v>
      </c>
      <c r="J34" s="12" t="inlineStr">
        <is>
          <t>ml</t>
        </is>
      </c>
      <c r="K34" s="13" t="n">
        <v>267</v>
      </c>
      <c r="L34" s="51" t="n"/>
      <c r="M34" s="56">
        <f>'S35'!M34+L34</f>
        <v/>
      </c>
      <c r="N34" s="57">
        <f>IFERROR(M34/K34,0)</f>
        <v/>
      </c>
      <c r="O34" s="58">
        <f>'S35'!N34</f>
        <v/>
      </c>
      <c r="P34" s="57">
        <f>N34-O34</f>
        <v/>
      </c>
      <c r="Q34" s="32" t="n"/>
      <c r="R34" s="32" t="n"/>
      <c r="S34" s="32" t="n"/>
      <c r="T34" s="55" t="n"/>
      <c r="U34" s="58">
        <f>'S35'!T34</f>
        <v/>
      </c>
      <c r="V34" s="57">
        <f>T34-U34</f>
        <v/>
      </c>
      <c r="W34" s="57">
        <f>N34-T34</f>
        <v/>
      </c>
      <c r="X34" s="34" t="n"/>
    </row>
    <row r="35" ht="22" customHeight="1">
      <c r="B35" s="5" t="n">
        <v>31</v>
      </c>
      <c r="C35" s="6" t="inlineStr">
        <is>
          <t>Sidi Kacem</t>
        </is>
      </c>
      <c r="D35" s="5" t="inlineStr">
        <is>
          <t>NOUIRAT</t>
        </is>
      </c>
      <c r="E35" s="5" t="inlineStr">
        <is>
          <t>50-21</t>
        </is>
      </c>
      <c r="F35" s="5" t="inlineStr">
        <is>
          <t>Entretien et réparation des stations de pompage</t>
        </is>
      </c>
      <c r="G35" s="5" t="inlineStr">
        <is>
          <t>Prestation de maintenance des débitmètres et leurs équipements annexes installés au niveau des station de pompage</t>
        </is>
      </c>
      <c r="H35" s="5" t="inlineStr">
        <is>
          <t>Changement du débitmètre Ø 1200mm inondé de la station de pompage E1.</t>
        </is>
      </c>
      <c r="I35" s="7" t="n">
        <v>195000</v>
      </c>
      <c r="J35" s="8" t="inlineStr">
        <is>
          <t>U</t>
        </is>
      </c>
      <c r="K35" s="9" t="n">
        <v>2</v>
      </c>
      <c r="L35" s="51" t="n"/>
      <c r="M35" s="52">
        <f>'S35'!M35+L35</f>
        <v/>
      </c>
      <c r="N35" s="53">
        <f>IFERROR(M35/K35,0)</f>
        <v/>
      </c>
      <c r="O35" s="54">
        <f>'S35'!N35</f>
        <v/>
      </c>
      <c r="P35" s="53">
        <f>N35-O35</f>
        <v/>
      </c>
      <c r="Q35" s="32" t="n"/>
      <c r="R35" s="32" t="n"/>
      <c r="S35" s="32" t="n"/>
      <c r="T35" s="55" t="n"/>
      <c r="U35" s="54">
        <f>'S35'!T35</f>
        <v/>
      </c>
      <c r="V35" s="53">
        <f>T35-U35</f>
        <v/>
      </c>
      <c r="W35" s="53">
        <f>N35-T35</f>
        <v/>
      </c>
      <c r="X35" s="34" t="n"/>
    </row>
    <row r="36" ht="22" customHeight="1">
      <c r="B36" s="10" t="n">
        <v>32</v>
      </c>
      <c r="C36" s="6" t="inlineStr">
        <is>
          <t>Sidi Kacem</t>
        </is>
      </c>
      <c r="D36" s="10" t="inlineStr">
        <is>
          <t>NOUIRAT</t>
        </is>
      </c>
      <c r="E36" s="10" t="inlineStr">
        <is>
          <t>50-21</t>
        </is>
      </c>
      <c r="F36" s="10" t="inlineStr">
        <is>
          <t>Entretien et réparation des stations de pompage</t>
        </is>
      </c>
      <c r="G36" s="10" t="inlineStr">
        <is>
          <t>Prestations de maintenance des moteurs électriques des stations de pompage.</t>
        </is>
      </c>
      <c r="H36" s="10" t="inlineStr">
        <is>
          <t>Révision des deux moteurs électriques principaux de la station E1.</t>
        </is>
      </c>
      <c r="I36" s="11" t="n">
        <v>50000</v>
      </c>
      <c r="J36" s="12" t="inlineStr">
        <is>
          <t>U</t>
        </is>
      </c>
      <c r="K36" s="13" t="n">
        <v>2</v>
      </c>
      <c r="L36" s="51" t="n"/>
      <c r="M36" s="56">
        <f>'S35'!M36+L36</f>
        <v/>
      </c>
      <c r="N36" s="57">
        <f>IFERROR(M36/K36,0)</f>
        <v/>
      </c>
      <c r="O36" s="58">
        <f>'S35'!N36</f>
        <v/>
      </c>
      <c r="P36" s="57">
        <f>N36-O36</f>
        <v/>
      </c>
      <c r="Q36" s="32" t="n"/>
      <c r="R36" s="32" t="n"/>
      <c r="S36" s="32" t="n"/>
      <c r="T36" s="55" t="n"/>
      <c r="U36" s="58">
        <f>'S35'!T36</f>
        <v/>
      </c>
      <c r="V36" s="57">
        <f>T36-U36</f>
        <v/>
      </c>
      <c r="W36" s="57">
        <f>N36-T36</f>
        <v/>
      </c>
      <c r="X36" s="34" t="n"/>
    </row>
    <row r="37" ht="22" customHeight="1">
      <c r="B37" s="5" t="n">
        <v>33</v>
      </c>
      <c r="C37" s="6" t="inlineStr">
        <is>
          <t>Sidi Kacem</t>
        </is>
      </c>
      <c r="D37" s="5" t="inlineStr">
        <is>
          <t>NOUIRAT</t>
        </is>
      </c>
      <c r="E37" s="5" t="inlineStr">
        <is>
          <t>50-21</t>
        </is>
      </c>
      <c r="F37" s="5" t="inlineStr">
        <is>
          <t>Entretien et réparation des stations de pompage</t>
        </is>
      </c>
      <c r="G37" s="5" t="inlineStr">
        <is>
          <t>Prestations de maintenance et de réparation mécanique des pompes et des groupes motopompes submersibles des stations de pompage.</t>
        </is>
      </c>
      <c r="H37" s="5" t="inlineStr">
        <is>
          <t>Démontage et expertise des cinq pompes principaux et pompes a vide de la station E1.
Changement des roulements, tresses et organes d’effectués de la station E1.</t>
        </is>
      </c>
      <c r="I37" s="7" t="n">
        <v>245000</v>
      </c>
      <c r="J37" s="8" t="inlineStr">
        <is>
          <t>U</t>
        </is>
      </c>
      <c r="K37" s="9" t="n">
        <v>5</v>
      </c>
      <c r="L37" s="51" t="n"/>
      <c r="M37" s="52">
        <f>'S35'!M37+L37</f>
        <v/>
      </c>
      <c r="N37" s="53">
        <f>IFERROR(M37/K37,0)</f>
        <v/>
      </c>
      <c r="O37" s="54">
        <f>'S35'!N37</f>
        <v/>
      </c>
      <c r="P37" s="53">
        <f>N37-O37</f>
        <v/>
      </c>
      <c r="Q37" s="32" t="n"/>
      <c r="R37" s="32" t="n"/>
      <c r="S37" s="32" t="n"/>
      <c r="T37" s="55" t="n"/>
      <c r="U37" s="54">
        <f>'S35'!T37</f>
        <v/>
      </c>
      <c r="V37" s="53">
        <f>T37-U37</f>
        <v/>
      </c>
      <c r="W37" s="53">
        <f>N37-T37</f>
        <v/>
      </c>
      <c r="X37" s="34" t="n"/>
    </row>
    <row r="38" ht="22" customHeight="1">
      <c r="B38" s="10" t="n">
        <v>34</v>
      </c>
      <c r="C38" s="6" t="inlineStr">
        <is>
          <t>Sidi Kacem</t>
        </is>
      </c>
      <c r="D38" s="10" t="inlineStr">
        <is>
          <t>NOUIRAT</t>
        </is>
      </c>
      <c r="E38" s="10" t="inlineStr">
        <is>
          <t>50-21</t>
        </is>
      </c>
      <c r="F38" s="10" t="inlineStr">
        <is>
          <t>Entretien et réparation des stations de pompage</t>
        </is>
      </c>
      <c r="G38" s="10" t="inlineStr">
        <is>
          <t>Génie civile des locaux des stations de pompage.</t>
        </is>
      </c>
      <c r="H38" s="10" t="inlineStr">
        <is>
          <t>Expertise d’état et d’étanchéité des locaux pompes, commande, puissance de la station de pompage E1.
Renforcement d’étanchéité des locaux pompe sous niveau des oueds de la station de pompage E1.</t>
        </is>
      </c>
      <c r="I38" s="11" t="n">
        <v>1000000</v>
      </c>
      <c r="J38" s="12" t="inlineStr">
        <is>
          <t>U</t>
        </is>
      </c>
      <c r="K38" s="13" t="n">
        <v>1</v>
      </c>
      <c r="L38" s="51" t="n"/>
      <c r="M38" s="56">
        <f>'S35'!M38+L38</f>
        <v/>
      </c>
      <c r="N38" s="57">
        <f>IFERROR(M38/K38,0)</f>
        <v/>
      </c>
      <c r="O38" s="58">
        <f>'S35'!N38</f>
        <v/>
      </c>
      <c r="P38" s="57">
        <f>N38-O38</f>
        <v/>
      </c>
      <c r="Q38" s="32" t="n"/>
      <c r="R38" s="32" t="n"/>
      <c r="S38" s="32" t="n"/>
      <c r="T38" s="55" t="n"/>
      <c r="U38" s="58">
        <f>'S35'!T38</f>
        <v/>
      </c>
      <c r="V38" s="57">
        <f>T38-U38</f>
        <v/>
      </c>
      <c r="W38" s="57">
        <f>N38-T38</f>
        <v/>
      </c>
      <c r="X38" s="34" t="n"/>
    </row>
    <row r="39" ht="22" customHeight="1">
      <c r="B39" s="5" t="n">
        <v>35</v>
      </c>
      <c r="C39" s="6" t="inlineStr">
        <is>
          <t>Sidi Kacem</t>
        </is>
      </c>
      <c r="D39" s="5" t="inlineStr">
        <is>
          <t>RMILAT</t>
        </is>
      </c>
      <c r="E39" s="5" t="inlineStr">
        <is>
          <t>50-23</t>
        </is>
      </c>
      <c r="F39" s="5" t="inlineStr">
        <is>
          <t>Entretien et réparation du réseau d'assainissement et de drainage</t>
        </is>
      </c>
      <c r="G39" s="5" t="inlineStr">
        <is>
          <t>Travaux de curage des canaux en terre</t>
        </is>
      </c>
      <c r="H39" s="5" t="inlineStr">
        <is>
          <t>Curage des collecteurs d'assainissement des secteurs P7</t>
        </is>
      </c>
      <c r="I39" s="7" t="n">
        <v>5024032</v>
      </c>
      <c r="J39" s="8" t="inlineStr">
        <is>
          <t>ml</t>
        </is>
      </c>
      <c r="K39" s="9" t="n">
        <v>2512</v>
      </c>
      <c r="L39" s="51" t="n"/>
      <c r="M39" s="52">
        <f>'S35'!M39+L39</f>
        <v/>
      </c>
      <c r="N39" s="53">
        <f>IFERROR(M39/K39,0)</f>
        <v/>
      </c>
      <c r="O39" s="54">
        <f>'S35'!N39</f>
        <v/>
      </c>
      <c r="P39" s="53">
        <f>N39-O39</f>
        <v/>
      </c>
      <c r="Q39" s="32" t="n"/>
      <c r="R39" s="32" t="n"/>
      <c r="S39" s="32" t="n"/>
      <c r="T39" s="55" t="n"/>
      <c r="U39" s="54">
        <f>'S35'!T39</f>
        <v/>
      </c>
      <c r="V39" s="53">
        <f>T39-U39</f>
        <v/>
      </c>
      <c r="W39" s="53">
        <f>N39-T39</f>
        <v/>
      </c>
      <c r="X39" s="34" t="n"/>
    </row>
    <row r="40" ht="22" customHeight="1">
      <c r="B40" s="10" t="n">
        <v>36</v>
      </c>
      <c r="C40" s="6" t="inlineStr">
        <is>
          <t>Sidi Kacem</t>
        </is>
      </c>
      <c r="D40" s="10" t="inlineStr">
        <is>
          <t>RMILAT</t>
        </is>
      </c>
      <c r="E40" s="10" t="inlineStr">
        <is>
          <t>40-21</t>
        </is>
      </c>
      <c r="F40" s="10" t="inlineStr">
        <is>
          <t>Travaux de pistes</t>
        </is>
      </c>
      <c r="G40" s="10" t="inlineStr">
        <is>
          <t>Entretien des pistes agricoles</t>
        </is>
      </c>
      <c r="H40" s="10" t="inlineStr">
        <is>
          <t>Entretien des pistes agricoles</t>
        </is>
      </c>
      <c r="I40" s="11" t="n">
        <v>400000</v>
      </c>
      <c r="J40" s="12" t="inlineStr">
        <is>
          <t>km</t>
        </is>
      </c>
      <c r="K40" s="13" t="n">
        <v>1</v>
      </c>
      <c r="L40" s="51" t="n"/>
      <c r="M40" s="56">
        <f>'S35'!M40+L40</f>
        <v/>
      </c>
      <c r="N40" s="57">
        <f>IFERROR(M40/K40,0)</f>
        <v/>
      </c>
      <c r="O40" s="58">
        <f>'S35'!N40</f>
        <v/>
      </c>
      <c r="P40" s="57">
        <f>N40-O40</f>
        <v/>
      </c>
      <c r="Q40" s="32" t="n"/>
      <c r="R40" s="32" t="n"/>
      <c r="S40" s="32" t="n"/>
      <c r="T40" s="55" t="n"/>
      <c r="U40" s="58">
        <f>'S35'!T40</f>
        <v/>
      </c>
      <c r="V40" s="57">
        <f>T40-U40</f>
        <v/>
      </c>
      <c r="W40" s="57">
        <f>N40-T40</f>
        <v/>
      </c>
      <c r="X40" s="34" t="n"/>
    </row>
    <row r="41" ht="22" customHeight="1">
      <c r="B41" s="5" t="n">
        <v>37</v>
      </c>
      <c r="C41" s="6" t="inlineStr">
        <is>
          <t>Sidi Kacem</t>
        </is>
      </c>
      <c r="D41" s="5" t="inlineStr">
        <is>
          <t>SAFSAF</t>
        </is>
      </c>
      <c r="E41" s="5" t="inlineStr">
        <is>
          <t>50-23</t>
        </is>
      </c>
      <c r="F41" s="5" t="inlineStr">
        <is>
          <t>Entretien et réparation du réseau d'assainissement et de drainage</t>
        </is>
      </c>
      <c r="G41" s="5" t="inlineStr">
        <is>
          <t>Travaux de curage des canaux en terre</t>
        </is>
      </c>
      <c r="H41" s="5" t="inlineStr">
        <is>
          <t>Curage des collecteurs d'assainissement des secteurs S7, S9 et S11</t>
        </is>
      </c>
      <c r="I41" s="7" t="n">
        <v>6000000</v>
      </c>
      <c r="J41" s="8" t="inlineStr">
        <is>
          <t>ml</t>
        </is>
      </c>
      <c r="K41" s="9" t="n">
        <v>3000</v>
      </c>
      <c r="L41" s="51" t="n"/>
      <c r="M41" s="52">
        <f>'S35'!M41+L41</f>
        <v/>
      </c>
      <c r="N41" s="53">
        <f>IFERROR(M41/K41,0)</f>
        <v/>
      </c>
      <c r="O41" s="54">
        <f>'S35'!N41</f>
        <v/>
      </c>
      <c r="P41" s="53">
        <f>N41-O41</f>
        <v/>
      </c>
      <c r="Q41" s="32" t="n"/>
      <c r="R41" s="32" t="n"/>
      <c r="S41" s="32" t="n"/>
      <c r="T41" s="55" t="n"/>
      <c r="U41" s="54">
        <f>'S35'!T41</f>
        <v/>
      </c>
      <c r="V41" s="53">
        <f>T41-U41</f>
        <v/>
      </c>
      <c r="W41" s="53">
        <f>N41-T41</f>
        <v/>
      </c>
      <c r="X41" s="34" t="n"/>
    </row>
    <row r="42" ht="22" customHeight="1">
      <c r="B42" s="10" t="n">
        <v>38</v>
      </c>
      <c r="C42" s="6" t="inlineStr">
        <is>
          <t>Sidi Kacem</t>
        </is>
      </c>
      <c r="D42" s="10" t="inlineStr">
        <is>
          <t>SAFSAF</t>
        </is>
      </c>
      <c r="E42" s="10" t="inlineStr">
        <is>
          <t>20-11</t>
        </is>
      </c>
      <c r="F42" s="10" t="inlineStr">
        <is>
          <t>Travaux de réhabilitation des équipements</t>
        </is>
      </c>
      <c r="G42" s="10" t="inlineStr">
        <is>
          <t>Travaux de réhabilitation des canaux portés d'irrigation</t>
        </is>
      </c>
      <c r="H42" s="10" t="inlineStr">
        <is>
          <t>Fourniture et  pose de canaux porté et accessoires du réseau S4 du secteur S11</t>
        </is>
      </c>
      <c r="I42" s="11" t="n">
        <v>232266</v>
      </c>
      <c r="J42" s="12" t="inlineStr">
        <is>
          <t>ml</t>
        </is>
      </c>
      <c r="K42" s="13" t="n">
        <v>77</v>
      </c>
      <c r="L42" s="51" t="n"/>
      <c r="M42" s="56">
        <f>'S35'!M42+L42</f>
        <v/>
      </c>
      <c r="N42" s="57">
        <f>IFERROR(M42/K42,0)</f>
        <v/>
      </c>
      <c r="O42" s="58">
        <f>'S35'!N42</f>
        <v/>
      </c>
      <c r="P42" s="57">
        <f>N42-O42</f>
        <v/>
      </c>
      <c r="Q42" s="32" t="n"/>
      <c r="R42" s="32" t="n"/>
      <c r="S42" s="32" t="n"/>
      <c r="T42" s="55" t="n"/>
      <c r="U42" s="58">
        <f>'S35'!T42</f>
        <v/>
      </c>
      <c r="V42" s="57">
        <f>T42-U42</f>
        <v/>
      </c>
      <c r="W42" s="57">
        <f>N42-T42</f>
        <v/>
      </c>
      <c r="X42" s="34" t="n"/>
    </row>
    <row r="43" ht="22" customHeight="1">
      <c r="B43" s="5" t="n">
        <v>39</v>
      </c>
      <c r="C43" s="6" t="inlineStr">
        <is>
          <t>Sidi Kacem</t>
        </is>
      </c>
      <c r="D43" s="5" t="inlineStr">
        <is>
          <t>SAFSAF</t>
        </is>
      </c>
      <c r="E43" s="5" t="inlineStr">
        <is>
          <t>20-11</t>
        </is>
      </c>
      <c r="F43" s="5" t="inlineStr">
        <is>
          <t>Travaux de réhabilitation des équipements</t>
        </is>
      </c>
      <c r="G43" s="5" t="inlineStr"/>
      <c r="H43" s="5" t="inlineStr">
        <is>
          <t>Recalage des canaux portés du réseau T5S5 du secteur S9</t>
        </is>
      </c>
      <c r="I43" s="7" t="n">
        <v>1055025</v>
      </c>
      <c r="J43" s="8" t="inlineStr">
        <is>
          <t>ml</t>
        </is>
      </c>
      <c r="K43" s="9" t="n">
        <v>352</v>
      </c>
      <c r="L43" s="51" t="n"/>
      <c r="M43" s="52">
        <f>'S35'!M43+L43</f>
        <v/>
      </c>
      <c r="N43" s="53">
        <f>IFERROR(M43/K43,0)</f>
        <v/>
      </c>
      <c r="O43" s="54">
        <f>'S35'!N43</f>
        <v/>
      </c>
      <c r="P43" s="53">
        <f>N43-O43</f>
        <v/>
      </c>
      <c r="Q43" s="32" t="n"/>
      <c r="R43" s="32" t="n"/>
      <c r="S43" s="32" t="n"/>
      <c r="T43" s="55" t="n"/>
      <c r="U43" s="54">
        <f>'S35'!T43</f>
        <v/>
      </c>
      <c r="V43" s="53">
        <f>T43-U43</f>
        <v/>
      </c>
      <c r="W43" s="53">
        <f>N43-T43</f>
        <v/>
      </c>
      <c r="X43" s="34" t="n"/>
    </row>
    <row r="44" ht="22" customHeight="1">
      <c r="B44" s="10" t="n">
        <v>40</v>
      </c>
      <c r="C44" s="6" t="inlineStr">
        <is>
          <t>Sidi Kacem</t>
        </is>
      </c>
      <c r="D44" s="10" t="inlineStr">
        <is>
          <t>SAFSAF</t>
        </is>
      </c>
      <c r="E44" s="10" t="inlineStr">
        <is>
          <t>20-11</t>
        </is>
      </c>
      <c r="F44" s="10" t="inlineStr">
        <is>
          <t>Travaux de réhabilitation des équipements</t>
        </is>
      </c>
      <c r="G44" s="10" t="inlineStr"/>
      <c r="H44" s="10" t="inlineStr">
        <is>
          <t>Recalage des canaux portés du réseau T7S5 du secteur S9</t>
        </is>
      </c>
      <c r="I44" s="11" t="n">
        <v>1004535</v>
      </c>
      <c r="J44" s="12" t="inlineStr">
        <is>
          <t>ml</t>
        </is>
      </c>
      <c r="K44" s="13" t="n">
        <v>335</v>
      </c>
      <c r="L44" s="51" t="n"/>
      <c r="M44" s="56">
        <f>'S35'!M44+L44</f>
        <v/>
      </c>
      <c r="N44" s="57">
        <f>IFERROR(M44/K44,0)</f>
        <v/>
      </c>
      <c r="O44" s="58">
        <f>'S35'!N44</f>
        <v/>
      </c>
      <c r="P44" s="57">
        <f>N44-O44</f>
        <v/>
      </c>
      <c r="Q44" s="32" t="n"/>
      <c r="R44" s="32" t="n"/>
      <c r="S44" s="32" t="n"/>
      <c r="T44" s="55" t="n"/>
      <c r="U44" s="58">
        <f>'S35'!T44</f>
        <v/>
      </c>
      <c r="V44" s="57">
        <f>T44-U44</f>
        <v/>
      </c>
      <c r="W44" s="57">
        <f>N44-T44</f>
        <v/>
      </c>
      <c r="X44" s="34" t="n"/>
    </row>
    <row r="45" ht="22" customHeight="1">
      <c r="B45" s="5" t="n">
        <v>41</v>
      </c>
      <c r="C45" s="6" t="inlineStr">
        <is>
          <t>Sidi Kacem</t>
        </is>
      </c>
      <c r="D45" s="5" t="inlineStr">
        <is>
          <t>SAFSAF</t>
        </is>
      </c>
      <c r="E45" s="5" t="inlineStr">
        <is>
          <t>20-11</t>
        </is>
      </c>
      <c r="F45" s="5" t="inlineStr">
        <is>
          <t>Travaux de réhabilitation des équipements</t>
        </is>
      </c>
      <c r="G45" s="5" t="inlineStr"/>
      <c r="H45" s="5" t="inlineStr">
        <is>
          <t>Recalage des canaux portés du réseau T2S5 du secteur S9</t>
        </is>
      </c>
      <c r="I45" s="7" t="n">
        <v>793830</v>
      </c>
      <c r="J45" s="8" t="inlineStr">
        <is>
          <t>ml</t>
        </is>
      </c>
      <c r="K45" s="9" t="n">
        <v>265</v>
      </c>
      <c r="L45" s="51" t="n"/>
      <c r="M45" s="52">
        <f>'S35'!M45+L45</f>
        <v/>
      </c>
      <c r="N45" s="53">
        <f>IFERROR(M45/K45,0)</f>
        <v/>
      </c>
      <c r="O45" s="54">
        <f>'S35'!N45</f>
        <v/>
      </c>
      <c r="P45" s="53">
        <f>N45-O45</f>
        <v/>
      </c>
      <c r="Q45" s="32" t="n"/>
      <c r="R45" s="32" t="n"/>
      <c r="S45" s="32" t="n"/>
      <c r="T45" s="55" t="n"/>
      <c r="U45" s="54">
        <f>'S35'!T45</f>
        <v/>
      </c>
      <c r="V45" s="53">
        <f>T45-U45</f>
        <v/>
      </c>
      <c r="W45" s="53">
        <f>N45-T45</f>
        <v/>
      </c>
      <c r="X45" s="34" t="n"/>
    </row>
    <row r="46" ht="22" customHeight="1">
      <c r="B46" s="10" t="n">
        <v>42</v>
      </c>
      <c r="C46" s="6" t="inlineStr">
        <is>
          <t>Sidi Kacem</t>
        </is>
      </c>
      <c r="D46" s="10" t="inlineStr">
        <is>
          <t>SAFSAF</t>
        </is>
      </c>
      <c r="E46" s="10" t="inlineStr">
        <is>
          <t>40-21</t>
        </is>
      </c>
      <c r="F46" s="10" t="inlineStr">
        <is>
          <t>Travaux de pistes</t>
        </is>
      </c>
      <c r="G46" s="10" t="inlineStr">
        <is>
          <t>Entretien des pistes agricoles</t>
        </is>
      </c>
      <c r="H46" s="10" t="inlineStr">
        <is>
          <t>Entretien des pistes agricoles</t>
        </is>
      </c>
      <c r="I46" s="11" t="n">
        <v>2000000</v>
      </c>
      <c r="J46" s="12" t="inlineStr">
        <is>
          <t>km</t>
        </is>
      </c>
      <c r="K46" s="13" t="n">
        <v>4</v>
      </c>
      <c r="L46" s="51" t="n"/>
      <c r="M46" s="56">
        <f>'S35'!M46+L46</f>
        <v/>
      </c>
      <c r="N46" s="57">
        <f>IFERROR(M46/K46,0)</f>
        <v/>
      </c>
      <c r="O46" s="58">
        <f>'S35'!N46</f>
        <v/>
      </c>
      <c r="P46" s="57">
        <f>N46-O46</f>
        <v/>
      </c>
      <c r="Q46" s="32" t="n"/>
      <c r="R46" s="32" t="n"/>
      <c r="S46" s="32" t="n"/>
      <c r="T46" s="55" t="n"/>
      <c r="U46" s="58">
        <f>'S35'!T46</f>
        <v/>
      </c>
      <c r="V46" s="57">
        <f>T46-U46</f>
        <v/>
      </c>
      <c r="W46" s="57">
        <f>N46-T46</f>
        <v/>
      </c>
      <c r="X46" s="34" t="n"/>
    </row>
    <row r="47" ht="22" customHeight="1">
      <c r="B47" s="5" t="n">
        <v>43</v>
      </c>
      <c r="C47" s="6" t="inlineStr">
        <is>
          <t>Sidi Kacem</t>
        </is>
      </c>
      <c r="D47" s="5" t="inlineStr">
        <is>
          <t>SAFSAF</t>
        </is>
      </c>
      <c r="E47" s="5" t="inlineStr">
        <is>
          <t>50-23</t>
        </is>
      </c>
      <c r="F47" s="5" t="inlineStr">
        <is>
          <t>Entretien et réparation du réseau d'assainissement et de drainage</t>
        </is>
      </c>
      <c r="G47" s="5" t="inlineStr">
        <is>
          <t>Curage des prises sur l’oued, bâche d’aspiration et bassin de régulation.</t>
        </is>
      </c>
      <c r="H47" s="5" t="inlineStr">
        <is>
          <t>Curage des prises sur l’oued des stations de pompage S11, S9, 7D et 7B.
Nettoyage des grilles de préfiltration des boues colmaté des stations de pompage S11, S9, 7D et 7B.
Nettoyage des crépines des boues colmaté de station pompage 7D.
Curage des dalots et bâche d’aspiration des stations de pompage S11, S9, 7B.</t>
        </is>
      </c>
      <c r="I47" s="7" t="n">
        <v>200000</v>
      </c>
      <c r="J47" s="8" t="inlineStr">
        <is>
          <t>ml</t>
        </is>
      </c>
      <c r="K47" s="9" t="n">
        <v>67</v>
      </c>
      <c r="L47" s="51" t="n"/>
      <c r="M47" s="52">
        <f>'S35'!M47+L47</f>
        <v/>
      </c>
      <c r="N47" s="53">
        <f>IFERROR(M47/K47,0)</f>
        <v/>
      </c>
      <c r="O47" s="54">
        <f>'S35'!N47</f>
        <v/>
      </c>
      <c r="P47" s="53">
        <f>N47-O47</f>
        <v/>
      </c>
      <c r="Q47" s="32" t="n"/>
      <c r="R47" s="32" t="n"/>
      <c r="S47" s="32" t="n"/>
      <c r="T47" s="55" t="n"/>
      <c r="U47" s="54">
        <f>'S35'!T47</f>
        <v/>
      </c>
      <c r="V47" s="53">
        <f>T47-U47</f>
        <v/>
      </c>
      <c r="W47" s="53">
        <f>N47-T47</f>
        <v/>
      </c>
      <c r="X47" s="34" t="n"/>
    </row>
    <row r="48" ht="22" customHeight="1">
      <c r="B48" s="10" t="n">
        <v>44</v>
      </c>
      <c r="C48" s="6" t="inlineStr">
        <is>
          <t>Sidi Kacem</t>
        </is>
      </c>
      <c r="D48" s="10" t="inlineStr">
        <is>
          <t>SAFSAF</t>
        </is>
      </c>
      <c r="E48" s="10" t="inlineStr">
        <is>
          <t>50-21</t>
        </is>
      </c>
      <c r="F48" s="10" t="inlineStr">
        <is>
          <t>Entretien et réparation des stations de pompage</t>
        </is>
      </c>
      <c r="G48" s="10" t="inlineStr">
        <is>
          <t>Prestation de maintenance des débitmètres et leurs équipements annexes installés au niveau des station de pompage</t>
        </is>
      </c>
      <c r="H48" s="10" t="inlineStr">
        <is>
          <t>Changements Sept des débitmètres Ø 600mm inondé des deux stations de pompage S11 et S9.</t>
        </is>
      </c>
      <c r="I48" s="11" t="n">
        <v>580000</v>
      </c>
      <c r="J48" s="12" t="inlineStr">
        <is>
          <t>U</t>
        </is>
      </c>
      <c r="K48" s="13" t="n">
        <v>7</v>
      </c>
      <c r="L48" s="51" t="n"/>
      <c r="M48" s="56">
        <f>'S35'!M48+L48</f>
        <v/>
      </c>
      <c r="N48" s="57">
        <f>IFERROR(M48/K48,0)</f>
        <v/>
      </c>
      <c r="O48" s="58">
        <f>'S35'!N48</f>
        <v/>
      </c>
      <c r="P48" s="57">
        <f>N48-O48</f>
        <v/>
      </c>
      <c r="Q48" s="32" t="n"/>
      <c r="R48" s="32" t="n"/>
      <c r="S48" s="32" t="n"/>
      <c r="T48" s="55" t="n"/>
      <c r="U48" s="58">
        <f>'S35'!T48</f>
        <v/>
      </c>
      <c r="V48" s="57">
        <f>T48-U48</f>
        <v/>
      </c>
      <c r="W48" s="57">
        <f>N48-T48</f>
        <v/>
      </c>
      <c r="X48" s="34" t="n"/>
    </row>
    <row r="49" ht="22" customHeight="1">
      <c r="B49" s="5" t="n">
        <v>45</v>
      </c>
      <c r="C49" s="6" t="inlineStr">
        <is>
          <t>Sidi Kacem</t>
        </is>
      </c>
      <c r="D49" s="5" t="inlineStr">
        <is>
          <t>SAFSAF</t>
        </is>
      </c>
      <c r="E49" s="5" t="inlineStr">
        <is>
          <t>50-21</t>
        </is>
      </c>
      <c r="F49" s="5" t="inlineStr">
        <is>
          <t>Entretien et réparation des stations de pompage</t>
        </is>
      </c>
      <c r="G49" s="5" t="inlineStr">
        <is>
          <t>Stabilisation Berge oued</t>
        </is>
      </c>
      <c r="H49" s="5" t="inlineStr">
        <is>
          <t>Pose de murs en gabions et recouvrement du talus par matelas Reno des stations de pompage S11, S9, 7D et 7B .</t>
        </is>
      </c>
      <c r="I49" s="7" t="n">
        <v>4000000</v>
      </c>
      <c r="J49" s="8" t="inlineStr">
        <is>
          <t>m³</t>
        </is>
      </c>
      <c r="K49" s="9" t="n">
        <v>2667</v>
      </c>
      <c r="L49" s="51" t="n"/>
      <c r="M49" s="52">
        <f>'S35'!M49+L49</f>
        <v/>
      </c>
      <c r="N49" s="53">
        <f>IFERROR(M49/K49,0)</f>
        <v/>
      </c>
      <c r="O49" s="54">
        <f>'S35'!N49</f>
        <v/>
      </c>
      <c r="P49" s="53">
        <f>N49-O49</f>
        <v/>
      </c>
      <c r="Q49" s="32" t="n"/>
      <c r="R49" s="32" t="n"/>
      <c r="S49" s="32" t="n"/>
      <c r="T49" s="55" t="n"/>
      <c r="U49" s="54">
        <f>'S35'!T49</f>
        <v/>
      </c>
      <c r="V49" s="53">
        <f>T49-U49</f>
        <v/>
      </c>
      <c r="W49" s="53">
        <f>N49-T49</f>
        <v/>
      </c>
      <c r="X49" s="34" t="n"/>
    </row>
    <row r="50" ht="22" customHeight="1">
      <c r="B50" s="10" t="n">
        <v>46</v>
      </c>
      <c r="C50" s="6" t="inlineStr">
        <is>
          <t>Sidi Kacem</t>
        </is>
      </c>
      <c r="D50" s="10" t="inlineStr">
        <is>
          <t>SIDI AZZOUZ</t>
        </is>
      </c>
      <c r="E50" s="10" t="inlineStr">
        <is>
          <t>40-21</t>
        </is>
      </c>
      <c r="F50" s="10" t="inlineStr">
        <is>
          <t>Travaux de pistes</t>
        </is>
      </c>
      <c r="G50" s="10" t="inlineStr">
        <is>
          <t>Entretien des pistes agricoles</t>
        </is>
      </c>
      <c r="H50" s="10" t="inlineStr">
        <is>
          <t>Entretien des pistes agricoles</t>
        </is>
      </c>
      <c r="I50" s="11" t="n">
        <v>655000</v>
      </c>
      <c r="J50" s="12" t="inlineStr">
        <is>
          <t>km</t>
        </is>
      </c>
      <c r="K50" s="13" t="n">
        <v>1</v>
      </c>
      <c r="L50" s="51" t="n"/>
      <c r="M50" s="56">
        <f>'S35'!M50+L50</f>
        <v/>
      </c>
      <c r="N50" s="57">
        <f>IFERROR(M50/K50,0)</f>
        <v/>
      </c>
      <c r="O50" s="58">
        <f>'S35'!N50</f>
        <v/>
      </c>
      <c r="P50" s="57">
        <f>N50-O50</f>
        <v/>
      </c>
      <c r="Q50" s="32" t="n"/>
      <c r="R50" s="32" t="n"/>
      <c r="S50" s="32" t="n"/>
      <c r="T50" s="55" t="n"/>
      <c r="U50" s="58">
        <f>'S35'!T50</f>
        <v/>
      </c>
      <c r="V50" s="57">
        <f>T50-U50</f>
        <v/>
      </c>
      <c r="W50" s="57">
        <f>N50-T50</f>
        <v/>
      </c>
      <c r="X50" s="34" t="n"/>
    </row>
    <row r="51" ht="22" customHeight="1">
      <c r="B51" s="5" t="n">
        <v>47</v>
      </c>
      <c r="C51" s="6" t="inlineStr">
        <is>
          <t>Sidi Kacem</t>
        </is>
      </c>
      <c r="D51" s="5" t="inlineStr">
        <is>
          <t>SIDI EL KAMEL</t>
        </is>
      </c>
      <c r="E51" s="5" t="inlineStr">
        <is>
          <t>20-11</t>
        </is>
      </c>
      <c r="F51" s="5" t="inlineStr">
        <is>
          <t>Travaux de réhabilitation des équipements</t>
        </is>
      </c>
      <c r="G51" s="5" t="inlineStr">
        <is>
          <t>Travaux de réhabilitation des canaux portés d'irrigation</t>
        </is>
      </c>
      <c r="H51" s="5" t="inlineStr">
        <is>
          <t>Fourniture et de pose de canaux porté et accessoires du réseau SR4 du secteur S3R</t>
        </is>
      </c>
      <c r="I51" s="7" t="n">
        <v>5182920</v>
      </c>
      <c r="J51" s="8" t="inlineStr">
        <is>
          <t>ml</t>
        </is>
      </c>
      <c r="K51" s="9" t="n">
        <v>1728</v>
      </c>
      <c r="L51" s="51" t="n"/>
      <c r="M51" s="52">
        <f>'S35'!M51+L51</f>
        <v/>
      </c>
      <c r="N51" s="53">
        <f>IFERROR(M51/K51,0)</f>
        <v/>
      </c>
      <c r="O51" s="54">
        <f>'S35'!N51</f>
        <v/>
      </c>
      <c r="P51" s="53">
        <f>N51-O51</f>
        <v/>
      </c>
      <c r="Q51" s="32" t="n"/>
      <c r="R51" s="32" t="n"/>
      <c r="S51" s="32" t="n"/>
      <c r="T51" s="55" t="n"/>
      <c r="U51" s="54">
        <f>'S35'!T51</f>
        <v/>
      </c>
      <c r="V51" s="53">
        <f>T51-U51</f>
        <v/>
      </c>
      <c r="W51" s="53">
        <f>N51-T51</f>
        <v/>
      </c>
      <c r="X51" s="34" t="n"/>
    </row>
    <row r="52" ht="22" customHeight="1">
      <c r="B52" s="10" t="n">
        <v>48</v>
      </c>
      <c r="C52" s="6" t="inlineStr">
        <is>
          <t>Sidi Kacem</t>
        </is>
      </c>
      <c r="D52" s="10" t="inlineStr">
        <is>
          <t>SIDI EL KAMEL</t>
        </is>
      </c>
      <c r="E52" s="10" t="inlineStr">
        <is>
          <t>20-11</t>
        </is>
      </c>
      <c r="F52" s="10" t="inlineStr">
        <is>
          <t>Travaux de réhabilitation des équipements</t>
        </is>
      </c>
      <c r="G52" s="10" t="inlineStr"/>
      <c r="H52" s="10" t="inlineStr">
        <is>
          <t>Fourniture et de pose de canaux porté et accessoires du réseau SR6 du secteur S1RIZ</t>
        </is>
      </c>
      <c r="I52" s="11" t="n">
        <v>152818</v>
      </c>
      <c r="J52" s="12" t="inlineStr">
        <is>
          <t>ml</t>
        </is>
      </c>
      <c r="K52" s="13" t="n">
        <v>51</v>
      </c>
      <c r="L52" s="51" t="n"/>
      <c r="M52" s="56">
        <f>'S35'!M52+L52</f>
        <v/>
      </c>
      <c r="N52" s="57">
        <f>IFERROR(M52/K52,0)</f>
        <v/>
      </c>
      <c r="O52" s="58">
        <f>'S35'!N52</f>
        <v/>
      </c>
      <c r="P52" s="57">
        <f>N52-O52</f>
        <v/>
      </c>
      <c r="Q52" s="32" t="n"/>
      <c r="R52" s="32" t="n"/>
      <c r="S52" s="32" t="n"/>
      <c r="T52" s="55" t="n"/>
      <c r="U52" s="58">
        <f>'S35'!T52</f>
        <v/>
      </c>
      <c r="V52" s="57">
        <f>T52-U52</f>
        <v/>
      </c>
      <c r="W52" s="57">
        <f>N52-T52</f>
        <v/>
      </c>
      <c r="X52" s="34" t="n"/>
    </row>
    <row r="53" ht="22" customHeight="1">
      <c r="B53" s="5" t="n">
        <v>49</v>
      </c>
      <c r="C53" s="6" t="inlineStr">
        <is>
          <t>Sidi Kacem</t>
        </is>
      </c>
      <c r="D53" s="5" t="inlineStr">
        <is>
          <t>SIDI EL KAMEL</t>
        </is>
      </c>
      <c r="E53" s="5" t="inlineStr">
        <is>
          <t>20-11</t>
        </is>
      </c>
      <c r="F53" s="5" t="inlineStr">
        <is>
          <t>Travaux de réhabilitation des équipements</t>
        </is>
      </c>
      <c r="G53" s="5" t="inlineStr"/>
      <c r="H53" s="5" t="inlineStr">
        <is>
          <t>Recalage des canaux portés du réseau SR4 du secteur S3R</t>
        </is>
      </c>
      <c r="I53" s="7" t="n">
        <v>1418000</v>
      </c>
      <c r="J53" s="8" t="inlineStr">
        <is>
          <t>ml</t>
        </is>
      </c>
      <c r="K53" s="9" t="n">
        <v>473</v>
      </c>
      <c r="L53" s="51" t="n"/>
      <c r="M53" s="52">
        <f>'S35'!M53+L53</f>
        <v/>
      </c>
      <c r="N53" s="53">
        <f>IFERROR(M53/K53,0)</f>
        <v/>
      </c>
      <c r="O53" s="54">
        <f>'S35'!N53</f>
        <v/>
      </c>
      <c r="P53" s="53">
        <f>N53-O53</f>
        <v/>
      </c>
      <c r="Q53" s="32" t="n"/>
      <c r="R53" s="32" t="n"/>
      <c r="S53" s="32" t="n"/>
      <c r="T53" s="55" t="n"/>
      <c r="U53" s="54">
        <f>'S35'!T53</f>
        <v/>
      </c>
      <c r="V53" s="53">
        <f>T53-U53</f>
        <v/>
      </c>
      <c r="W53" s="53">
        <f>N53-T53</f>
        <v/>
      </c>
      <c r="X53" s="34" t="n"/>
    </row>
    <row r="54" ht="22" customHeight="1">
      <c r="B54" s="10" t="n">
        <v>50</v>
      </c>
      <c r="C54" s="6" t="inlineStr">
        <is>
          <t>Sidi Kacem</t>
        </is>
      </c>
      <c r="D54" s="10" t="inlineStr">
        <is>
          <t>SIDI EL KAMEL</t>
        </is>
      </c>
      <c r="E54" s="10" t="inlineStr">
        <is>
          <t>20-11</t>
        </is>
      </c>
      <c r="F54" s="10" t="inlineStr">
        <is>
          <t>Travaux de réhabilitation des équipements</t>
        </is>
      </c>
      <c r="G54" s="10" t="inlineStr">
        <is>
          <t>Travaux de réhabilitation des ouvrages de génie civil</t>
        </is>
      </c>
      <c r="H54" s="10" t="inlineStr">
        <is>
          <t>Réhabilitation des murs de soutènements des ouvrages de franchissements du canal d'assainissement CS3 secteur S3 et de l’ouvrage de franchissement du canal primaire d’irrigation du secteur S1R au niveau de la route provinciale P4234</t>
        </is>
      </c>
      <c r="I54" s="11" t="n">
        <v>800000</v>
      </c>
      <c r="J54" s="12" t="inlineStr">
        <is>
          <t>ml</t>
        </is>
      </c>
      <c r="K54" s="13" t="n">
        <v>400</v>
      </c>
      <c r="L54" s="51" t="n"/>
      <c r="M54" s="56">
        <f>'S35'!M54+L54</f>
        <v/>
      </c>
      <c r="N54" s="57">
        <f>IFERROR(M54/K54,0)</f>
        <v/>
      </c>
      <c r="O54" s="58">
        <f>'S35'!N54</f>
        <v/>
      </c>
      <c r="P54" s="57">
        <f>N54-O54</f>
        <v/>
      </c>
      <c r="Q54" s="32" t="n"/>
      <c r="R54" s="32" t="n"/>
      <c r="S54" s="32" t="n"/>
      <c r="T54" s="55" t="n"/>
      <c r="U54" s="58">
        <f>'S35'!T54</f>
        <v/>
      </c>
      <c r="V54" s="57">
        <f>T54-U54</f>
        <v/>
      </c>
      <c r="W54" s="57">
        <f>N54-T54</f>
        <v/>
      </c>
      <c r="X54" s="34" t="n"/>
    </row>
    <row r="55" ht="22" customHeight="1">
      <c r="B55" s="5" t="n">
        <v>51</v>
      </c>
      <c r="C55" s="6" t="inlineStr">
        <is>
          <t>Sidi Kacem</t>
        </is>
      </c>
      <c r="D55" s="5" t="inlineStr">
        <is>
          <t>SIDI EL KAMEL</t>
        </is>
      </c>
      <c r="E55" s="5" t="inlineStr">
        <is>
          <t>40-21</t>
        </is>
      </c>
      <c r="F55" s="5" t="inlineStr">
        <is>
          <t>Travaux de pistes</t>
        </is>
      </c>
      <c r="G55" s="5" t="inlineStr">
        <is>
          <t>Entretien des pistes agricoles</t>
        </is>
      </c>
      <c r="H55" s="5" t="inlineStr">
        <is>
          <t>Entretien des pistes agricoles</t>
        </is>
      </c>
      <c r="I55" s="7" t="n">
        <v>3700000</v>
      </c>
      <c r="J55" s="8" t="inlineStr">
        <is>
          <t>km</t>
        </is>
      </c>
      <c r="K55" s="9" t="n">
        <v>7</v>
      </c>
      <c r="L55" s="51" t="n"/>
      <c r="M55" s="52">
        <f>'S35'!M55+L55</f>
        <v/>
      </c>
      <c r="N55" s="53">
        <f>IFERROR(M55/K55,0)</f>
        <v/>
      </c>
      <c r="O55" s="54">
        <f>'S35'!N55</f>
        <v/>
      </c>
      <c r="P55" s="53">
        <f>N55-O55</f>
        <v/>
      </c>
      <c r="Q55" s="32" t="n"/>
      <c r="R55" s="32" t="n"/>
      <c r="S55" s="32" t="n"/>
      <c r="T55" s="55" t="n"/>
      <c r="U55" s="54">
        <f>'S35'!T55</f>
        <v/>
      </c>
      <c r="V55" s="53">
        <f>T55-U55</f>
        <v/>
      </c>
      <c r="W55" s="53">
        <f>N55-T55</f>
        <v/>
      </c>
      <c r="X55" s="34" t="n"/>
    </row>
    <row r="56" ht="22" customHeight="1">
      <c r="B56" s="10" t="n">
        <v>52</v>
      </c>
      <c r="C56" s="6" t="inlineStr">
        <is>
          <t>Sidi Kacem</t>
        </is>
      </c>
      <c r="D56" s="10" t="inlineStr">
        <is>
          <t>SIDI EL KAMEL</t>
        </is>
      </c>
      <c r="E56" s="10" t="inlineStr">
        <is>
          <t>50-21</t>
        </is>
      </c>
      <c r="F56" s="10" t="inlineStr">
        <is>
          <t>Entretien et réparation des stations de pompage</t>
        </is>
      </c>
      <c r="G56" s="10" t="inlineStr">
        <is>
          <t>Prestation de maintenance des débitmètres et leurs équipements annexes installés au niveau des station de pompage</t>
        </is>
      </c>
      <c r="H56" s="10" t="inlineStr">
        <is>
          <t>Changement de quatre débitmètres Ø 500mm et trois Ø 800mm inondé des stations de pompage 1R, 3R et 5R.</t>
        </is>
      </c>
      <c r="I56" s="11" t="n">
        <v>705000</v>
      </c>
      <c r="J56" s="12" t="inlineStr">
        <is>
          <t>U</t>
        </is>
      </c>
      <c r="K56" s="13" t="n">
        <v>3</v>
      </c>
      <c r="L56" s="51" t="n"/>
      <c r="M56" s="56">
        <f>'S35'!M56+L56</f>
        <v/>
      </c>
      <c r="N56" s="57">
        <f>IFERROR(M56/K56,0)</f>
        <v/>
      </c>
      <c r="O56" s="58">
        <f>'S35'!N56</f>
        <v/>
      </c>
      <c r="P56" s="57">
        <f>N56-O56</f>
        <v/>
      </c>
      <c r="Q56" s="32" t="n"/>
      <c r="R56" s="32" t="n"/>
      <c r="S56" s="32" t="n"/>
      <c r="T56" s="55" t="n"/>
      <c r="U56" s="58">
        <f>'S35'!T56</f>
        <v/>
      </c>
      <c r="V56" s="57">
        <f>T56-U56</f>
        <v/>
      </c>
      <c r="W56" s="57">
        <f>N56-T56</f>
        <v/>
      </c>
      <c r="X56" s="34" t="n"/>
    </row>
    <row r="57" ht="22" customHeight="1">
      <c r="B57" s="5" t="n">
        <v>53</v>
      </c>
      <c r="C57" s="6" t="inlineStr">
        <is>
          <t>Sidi Kacem</t>
        </is>
      </c>
      <c r="D57" s="5" t="inlineStr">
        <is>
          <t>SIDI EL KAMEL</t>
        </is>
      </c>
      <c r="E57" s="5" t="inlineStr">
        <is>
          <t>50-21</t>
        </is>
      </c>
      <c r="F57" s="5" t="inlineStr">
        <is>
          <t>Entretien et réparation des stations de pompage</t>
        </is>
      </c>
      <c r="G57" s="5" t="inlineStr">
        <is>
          <t>Mur clôture des stations de pompage.</t>
        </is>
      </c>
      <c r="H57" s="5" t="inlineStr">
        <is>
          <t>Stabilisation et reconstruction des murs clôture cote oued des stations de pompage 7A, 3R et 1R.</t>
        </is>
      </c>
      <c r="I57" s="7" t="n">
        <v>372000</v>
      </c>
      <c r="J57" s="8" t="inlineStr">
        <is>
          <t>ml</t>
        </is>
      </c>
      <c r="K57" s="9" t="n">
        <v>124</v>
      </c>
      <c r="L57" s="51" t="n"/>
      <c r="M57" s="52">
        <f>'S35'!M57+L57</f>
        <v/>
      </c>
      <c r="N57" s="53">
        <f>IFERROR(M57/K57,0)</f>
        <v/>
      </c>
      <c r="O57" s="54">
        <f>'S35'!N57</f>
        <v/>
      </c>
      <c r="P57" s="53">
        <f>N57-O57</f>
        <v/>
      </c>
      <c r="Q57" s="32" t="n"/>
      <c r="R57" s="32" t="n"/>
      <c r="S57" s="32" t="n"/>
      <c r="T57" s="55" t="n"/>
      <c r="U57" s="54">
        <f>'S35'!T57</f>
        <v/>
      </c>
      <c r="V57" s="53">
        <f>T57-U57</f>
        <v/>
      </c>
      <c r="W57" s="53">
        <f>N57-T57</f>
        <v/>
      </c>
      <c r="X57" s="34" t="n"/>
    </row>
    <row r="58" ht="22" customHeight="1">
      <c r="B58" s="10" t="n">
        <v>54</v>
      </c>
      <c r="C58" s="14" t="inlineStr">
        <is>
          <t>Kénitra</t>
        </is>
      </c>
      <c r="D58" s="10" t="inlineStr">
        <is>
          <t>Bni malek</t>
        </is>
      </c>
      <c r="E58" s="10" t="inlineStr">
        <is>
          <t>50-23</t>
        </is>
      </c>
      <c r="F58" s="10" t="inlineStr">
        <is>
          <t>Entretien et réparation du réseau d'assainissement et de drainage</t>
        </is>
      </c>
      <c r="G58" s="10" t="inlineStr">
        <is>
          <t>Travaux de curage des canaux en terre</t>
        </is>
      </c>
      <c r="H58" s="10" t="inlineStr">
        <is>
          <t>Curage des emissaires et colatures secondaire au niveau des secteurs MDA ET N9</t>
        </is>
      </c>
      <c r="I58" s="11" t="n">
        <v>10000000</v>
      </c>
      <c r="J58" s="12" t="inlineStr">
        <is>
          <t>ml</t>
        </is>
      </c>
      <c r="K58" s="13" t="n">
        <v>5000</v>
      </c>
      <c r="L58" s="51" t="n"/>
      <c r="M58" s="56">
        <f>'S35'!M58+L58</f>
        <v/>
      </c>
      <c r="N58" s="57">
        <f>IFERROR(M58/K58,0)</f>
        <v/>
      </c>
      <c r="O58" s="58">
        <f>'S35'!N58</f>
        <v/>
      </c>
      <c r="P58" s="57">
        <f>N58-O58</f>
        <v/>
      </c>
      <c r="Q58" s="32" t="n"/>
      <c r="R58" s="32" t="n"/>
      <c r="S58" s="32" t="n"/>
      <c r="T58" s="55" t="n"/>
      <c r="U58" s="58">
        <f>'S35'!T58</f>
        <v/>
      </c>
      <c r="V58" s="57">
        <f>T58-U58</f>
        <v/>
      </c>
      <c r="W58" s="57">
        <f>N58-T58</f>
        <v/>
      </c>
      <c r="X58" s="34" t="n"/>
    </row>
    <row r="59" ht="22" customHeight="1">
      <c r="B59" s="5" t="n">
        <v>55</v>
      </c>
      <c r="C59" s="14" t="inlineStr">
        <is>
          <t>Kénitra</t>
        </is>
      </c>
      <c r="D59" s="5" t="inlineStr">
        <is>
          <t>Bni malek</t>
        </is>
      </c>
      <c r="E59" s="5" t="inlineStr">
        <is>
          <t>40-21</t>
        </is>
      </c>
      <c r="F59" s="5" t="inlineStr">
        <is>
          <t>Travaux de pistes</t>
        </is>
      </c>
      <c r="G59" s="5" t="inlineStr">
        <is>
          <t>Travaux de réhabilitation des pistes agricoles</t>
        </is>
      </c>
      <c r="H59" s="5" t="inlineStr">
        <is>
          <t>Entretien des pistes agricoles des secteurs MDA et N3</t>
        </is>
      </c>
      <c r="I59" s="7" t="n">
        <v>2000000</v>
      </c>
      <c r="J59" s="8" t="inlineStr">
        <is>
          <t>km</t>
        </is>
      </c>
      <c r="K59" s="9" t="n">
        <v>4</v>
      </c>
      <c r="L59" s="51" t="n"/>
      <c r="M59" s="52">
        <f>'S35'!M59+L59</f>
        <v/>
      </c>
      <c r="N59" s="53">
        <f>IFERROR(M59/K59,0)</f>
        <v/>
      </c>
      <c r="O59" s="54">
        <f>'S35'!N59</f>
        <v/>
      </c>
      <c r="P59" s="53">
        <f>N59-O59</f>
        <v/>
      </c>
      <c r="Q59" s="32" t="n"/>
      <c r="R59" s="32" t="n"/>
      <c r="S59" s="32" t="n"/>
      <c r="T59" s="55" t="n"/>
      <c r="U59" s="54">
        <f>'S35'!T59</f>
        <v/>
      </c>
      <c r="V59" s="53">
        <f>T59-U59</f>
        <v/>
      </c>
      <c r="W59" s="53">
        <f>N59-T59</f>
        <v/>
      </c>
      <c r="X59" s="34" t="n"/>
    </row>
    <row r="60" ht="22" customHeight="1">
      <c r="B60" s="10" t="n">
        <v>56</v>
      </c>
      <c r="C60" s="14" t="inlineStr">
        <is>
          <t>Kénitra</t>
        </is>
      </c>
      <c r="D60" s="10" t="inlineStr">
        <is>
          <t>Bni malek</t>
        </is>
      </c>
      <c r="E60" s="10" t="inlineStr">
        <is>
          <t>50-21</t>
        </is>
      </c>
      <c r="F60" s="10" t="inlineStr">
        <is>
          <t>Entretien et réparation des stations de pompage</t>
        </is>
      </c>
      <c r="G60" s="10" t="inlineStr">
        <is>
          <t>Prestations de maintenance et de réparation mécanique des pompes et des groupes motopompes submersibles des stations de pompage.</t>
        </is>
      </c>
      <c r="H60" s="10" t="inlineStr">
        <is>
          <t>station de pompage MDA secteur MDA</t>
        </is>
      </c>
      <c r="I60" s="11" t="n">
        <v>300000</v>
      </c>
      <c r="J60" s="12" t="inlineStr">
        <is>
          <t>U</t>
        </is>
      </c>
      <c r="K60" s="13" t="n">
        <v>1</v>
      </c>
      <c r="L60" s="51" t="n"/>
      <c r="M60" s="56">
        <f>'S35'!M60+L60</f>
        <v/>
      </c>
      <c r="N60" s="57">
        <f>IFERROR(M60/K60,0)</f>
        <v/>
      </c>
      <c r="O60" s="58">
        <f>'S35'!N60</f>
        <v/>
      </c>
      <c r="P60" s="57">
        <f>N60-O60</f>
        <v/>
      </c>
      <c r="Q60" s="32" t="n"/>
      <c r="R60" s="32" t="n"/>
      <c r="S60" s="32" t="n"/>
      <c r="T60" s="55" t="n"/>
      <c r="U60" s="58">
        <f>'S35'!T60</f>
        <v/>
      </c>
      <c r="V60" s="57">
        <f>T60-U60</f>
        <v/>
      </c>
      <c r="W60" s="57">
        <f>N60-T60</f>
        <v/>
      </c>
      <c r="X60" s="34" t="n"/>
    </row>
    <row r="61" ht="22" customHeight="1">
      <c r="B61" s="5" t="n">
        <v>57</v>
      </c>
      <c r="C61" s="14" t="inlineStr">
        <is>
          <t>Kénitra</t>
        </is>
      </c>
      <c r="D61" s="5" t="inlineStr">
        <is>
          <t>Bni malek</t>
        </is>
      </c>
      <c r="E61" s="5" t="inlineStr">
        <is>
          <t>20-11</t>
        </is>
      </c>
      <c r="F61" s="5" t="inlineStr">
        <is>
          <t>Travaux de réhabilitation des équipements</t>
        </is>
      </c>
      <c r="G61" s="5" t="inlineStr">
        <is>
          <t>Travaux de réhabilitation des ouvrages de génie civil</t>
        </is>
      </c>
      <c r="H61" s="5" t="inlineStr">
        <is>
          <t>Rétablissement des bornes affaissées des secteurs N2 et N3</t>
        </is>
      </c>
      <c r="I61" s="7" t="n">
        <v>100000</v>
      </c>
      <c r="J61" s="8" t="inlineStr">
        <is>
          <t>U</t>
        </is>
      </c>
      <c r="K61" s="9" t="n">
        <v>200</v>
      </c>
      <c r="L61" s="51" t="n"/>
      <c r="M61" s="52">
        <f>'S35'!M61+L61</f>
        <v/>
      </c>
      <c r="N61" s="53">
        <f>IFERROR(M61/K61,0)</f>
        <v/>
      </c>
      <c r="O61" s="54">
        <f>'S35'!N61</f>
        <v/>
      </c>
      <c r="P61" s="53">
        <f>N61-O61</f>
        <v/>
      </c>
      <c r="Q61" s="32" t="n"/>
      <c r="R61" s="32" t="n"/>
      <c r="S61" s="32" t="n"/>
      <c r="T61" s="55" t="n"/>
      <c r="U61" s="54">
        <f>'S35'!T61</f>
        <v/>
      </c>
      <c r="V61" s="53">
        <f>T61-U61</f>
        <v/>
      </c>
      <c r="W61" s="53">
        <f>N61-T61</f>
        <v/>
      </c>
      <c r="X61" s="34" t="n"/>
    </row>
    <row r="62" ht="22" customHeight="1">
      <c r="B62" s="10" t="n">
        <v>58</v>
      </c>
      <c r="C62" s="14" t="inlineStr">
        <is>
          <t>Kénitra</t>
        </is>
      </c>
      <c r="D62" s="10" t="inlineStr">
        <is>
          <t>SOUK TLET</t>
        </is>
      </c>
      <c r="E62" s="10" t="inlineStr">
        <is>
          <t>50-23</t>
        </is>
      </c>
      <c r="F62" s="10" t="inlineStr">
        <is>
          <t>Entretien et réparation du réseau d'assainissement et de drainage</t>
        </is>
      </c>
      <c r="G62" s="10" t="inlineStr">
        <is>
          <t>Travaux de curage des canaux en terre</t>
        </is>
      </c>
      <c r="H62" s="10" t="inlineStr">
        <is>
          <t>curage des emissaires et colatures secondaire au niveau des secteurs N2,N3 ET N4,</t>
        </is>
      </c>
      <c r="I62" s="11" t="n">
        <v>3000000</v>
      </c>
      <c r="J62" s="12" t="inlineStr">
        <is>
          <t>ml</t>
        </is>
      </c>
      <c r="K62" s="13" t="n">
        <v>1500</v>
      </c>
      <c r="L62" s="51" t="n"/>
      <c r="M62" s="56">
        <f>'S35'!M62+L62</f>
        <v/>
      </c>
      <c r="N62" s="57">
        <f>IFERROR(M62/K62,0)</f>
        <v/>
      </c>
      <c r="O62" s="58">
        <f>'S35'!N62</f>
        <v/>
      </c>
      <c r="P62" s="57">
        <f>N62-O62</f>
        <v/>
      </c>
      <c r="Q62" s="32" t="n"/>
      <c r="R62" s="32" t="n"/>
      <c r="S62" s="32" t="n"/>
      <c r="T62" s="55" t="n"/>
      <c r="U62" s="58">
        <f>'S35'!T62</f>
        <v/>
      </c>
      <c r="V62" s="57">
        <f>T62-U62</f>
        <v/>
      </c>
      <c r="W62" s="57">
        <f>N62-T62</f>
        <v/>
      </c>
      <c r="X62" s="34" t="n"/>
    </row>
    <row r="63" ht="22" customHeight="1">
      <c r="B63" s="5" t="n">
        <v>59</v>
      </c>
      <c r="C63" s="14" t="inlineStr">
        <is>
          <t>Kénitra</t>
        </is>
      </c>
      <c r="D63" s="5" t="inlineStr">
        <is>
          <t>SOUK TLET</t>
        </is>
      </c>
      <c r="E63" s="5" t="inlineStr">
        <is>
          <t>40-21</t>
        </is>
      </c>
      <c r="F63" s="5" t="inlineStr">
        <is>
          <t>Travaux de pistes</t>
        </is>
      </c>
      <c r="G63" s="5" t="inlineStr">
        <is>
          <t>Travaux de réhabilitation des pistes agricoles</t>
        </is>
      </c>
      <c r="H63" s="5" t="inlineStr">
        <is>
          <t>Entretien des pistes des secteurs N2,N3,N4 et C4R,</t>
        </is>
      </c>
      <c r="I63" s="7" t="n">
        <v>5000000</v>
      </c>
      <c r="J63" s="8" t="inlineStr">
        <is>
          <t>U</t>
        </is>
      </c>
      <c r="K63" s="9" t="n">
        <v>1</v>
      </c>
      <c r="L63" s="51" t="n"/>
      <c r="M63" s="52">
        <f>'S35'!M63+L63</f>
        <v/>
      </c>
      <c r="N63" s="53">
        <f>IFERROR(M63/K63,0)</f>
        <v/>
      </c>
      <c r="O63" s="54">
        <f>'S35'!N63</f>
        <v/>
      </c>
      <c r="P63" s="53">
        <f>N63-O63</f>
        <v/>
      </c>
      <c r="Q63" s="32" t="n"/>
      <c r="R63" s="32" t="n"/>
      <c r="S63" s="32" t="n"/>
      <c r="T63" s="55" t="n"/>
      <c r="U63" s="54">
        <f>'S35'!T63</f>
        <v/>
      </c>
      <c r="V63" s="53">
        <f>T63-U63</f>
        <v/>
      </c>
      <c r="W63" s="53">
        <f>N63-T63</f>
        <v/>
      </c>
      <c r="X63" s="34" t="n"/>
    </row>
    <row r="64" ht="22" customHeight="1">
      <c r="B64" s="10" t="n">
        <v>60</v>
      </c>
      <c r="C64" s="14" t="inlineStr">
        <is>
          <t>Kénitra</t>
        </is>
      </c>
      <c r="D64" s="10" t="inlineStr">
        <is>
          <t>Sidi Med Lahmar</t>
        </is>
      </c>
      <c r="E64" s="10" t="inlineStr">
        <is>
          <t>50-23</t>
        </is>
      </c>
      <c r="F64" s="10" t="inlineStr">
        <is>
          <t>Entretien et réparation du réseau d'assainissement et de drainage</t>
        </is>
      </c>
      <c r="G64" s="10" t="inlineStr">
        <is>
          <t>Travaux de curage des canaux en terre</t>
        </is>
      </c>
      <c r="H64" s="10" t="inlineStr">
        <is>
          <t>Curage des emissaires et colatures secondaires secteurs N1</t>
        </is>
      </c>
      <c r="I64" s="11" t="n">
        <v>3000000</v>
      </c>
      <c r="J64" s="12" t="inlineStr">
        <is>
          <t>ml</t>
        </is>
      </c>
      <c r="K64" s="13" t="n">
        <v>1500</v>
      </c>
      <c r="L64" s="51" t="n"/>
      <c r="M64" s="56">
        <f>'S35'!M64+L64</f>
        <v/>
      </c>
      <c r="N64" s="57">
        <f>IFERROR(M64/K64,0)</f>
        <v/>
      </c>
      <c r="O64" s="58">
        <f>'S35'!N64</f>
        <v/>
      </c>
      <c r="P64" s="57">
        <f>N64-O64</f>
        <v/>
      </c>
      <c r="Q64" s="32" t="n"/>
      <c r="R64" s="32" t="n"/>
      <c r="S64" s="32" t="n"/>
      <c r="T64" s="55" t="n"/>
      <c r="U64" s="58">
        <f>'S35'!T64</f>
        <v/>
      </c>
      <c r="V64" s="57">
        <f>T64-U64</f>
        <v/>
      </c>
      <c r="W64" s="57">
        <f>N64-T64</f>
        <v/>
      </c>
      <c r="X64" s="34" t="n"/>
    </row>
    <row r="65" ht="22" customHeight="1">
      <c r="B65" s="5" t="n">
        <v>61</v>
      </c>
      <c r="C65" s="14" t="inlineStr">
        <is>
          <t>Kénitra</t>
        </is>
      </c>
      <c r="D65" s="5" t="inlineStr">
        <is>
          <t>Sidi Med Lahmar</t>
        </is>
      </c>
      <c r="E65" s="5" t="inlineStr">
        <is>
          <t>40-21</t>
        </is>
      </c>
      <c r="F65" s="5" t="inlineStr">
        <is>
          <t>Travaux de pistes</t>
        </is>
      </c>
      <c r="G65" s="5" t="inlineStr">
        <is>
          <t>Travaux de réhabilitation des pistes agricoles</t>
        </is>
      </c>
      <c r="H65" s="5" t="inlineStr">
        <is>
          <t>Entretien des pistes agricoles des secteurs N9 et N1</t>
        </is>
      </c>
      <c r="I65" s="7" t="n">
        <v>3000000</v>
      </c>
      <c r="J65" s="8" t="inlineStr">
        <is>
          <t>km</t>
        </is>
      </c>
      <c r="K65" s="9" t="n">
        <v>6</v>
      </c>
      <c r="L65" s="51" t="n"/>
      <c r="M65" s="52">
        <f>'S35'!M65+L65</f>
        <v/>
      </c>
      <c r="N65" s="53">
        <f>IFERROR(M65/K65,0)</f>
        <v/>
      </c>
      <c r="O65" s="54">
        <f>'S35'!N65</f>
        <v/>
      </c>
      <c r="P65" s="53">
        <f>N65-O65</f>
        <v/>
      </c>
      <c r="Q65" s="32" t="n"/>
      <c r="R65" s="32" t="n"/>
      <c r="S65" s="32" t="n"/>
      <c r="T65" s="55" t="n"/>
      <c r="U65" s="54">
        <f>'S35'!T65</f>
        <v/>
      </c>
      <c r="V65" s="53">
        <f>T65-U65</f>
        <v/>
      </c>
      <c r="W65" s="53">
        <f>N65-T65</f>
        <v/>
      </c>
      <c r="X65" s="34" t="n"/>
    </row>
    <row r="66" ht="22" customHeight="1">
      <c r="B66" s="10" t="n">
        <v>62</v>
      </c>
      <c r="C66" s="14" t="inlineStr">
        <is>
          <t>Kénitra</t>
        </is>
      </c>
      <c r="D66" s="10" t="inlineStr">
        <is>
          <t>Mograne</t>
        </is>
      </c>
      <c r="E66" s="10" t="inlineStr">
        <is>
          <t>50-23</t>
        </is>
      </c>
      <c r="F66" s="10" t="inlineStr">
        <is>
          <t>Entretien et réparation du réseau d'assainissement et de drainage</t>
        </is>
      </c>
      <c r="G66" s="10" t="inlineStr">
        <is>
          <t>Travaux de curage des canaux en terre</t>
        </is>
      </c>
      <c r="H66" s="10" t="inlineStr">
        <is>
          <t>Curage des canaux d'assainissement Hors secteur équipé ghoufera et laison beht sebou ,</t>
        </is>
      </c>
      <c r="I66" s="11" t="n">
        <v>6000000</v>
      </c>
      <c r="J66" s="12" t="inlineStr">
        <is>
          <t>ml</t>
        </is>
      </c>
      <c r="K66" s="13" t="n">
        <v>3000</v>
      </c>
      <c r="L66" s="51" t="n"/>
      <c r="M66" s="56">
        <f>'S35'!M66+L66</f>
        <v/>
      </c>
      <c r="N66" s="57">
        <f>IFERROR(M66/K66,0)</f>
        <v/>
      </c>
      <c r="O66" s="58">
        <f>'S35'!N66</f>
        <v/>
      </c>
      <c r="P66" s="57">
        <f>N66-O66</f>
        <v/>
      </c>
      <c r="Q66" s="32" t="n"/>
      <c r="R66" s="32" t="n"/>
      <c r="S66" s="32" t="n"/>
      <c r="T66" s="55" t="n"/>
      <c r="U66" s="58">
        <f>'S35'!T66</f>
        <v/>
      </c>
      <c r="V66" s="57">
        <f>T66-U66</f>
        <v/>
      </c>
      <c r="W66" s="57">
        <f>N66-T66</f>
        <v/>
      </c>
      <c r="X66" s="34" t="n"/>
    </row>
    <row r="67" ht="22" customHeight="1">
      <c r="B67" s="5" t="n">
        <v>63</v>
      </c>
      <c r="C67" s="14" t="inlineStr">
        <is>
          <t>Kénitra</t>
        </is>
      </c>
      <c r="D67" s="5" t="inlineStr">
        <is>
          <t>Mograne</t>
        </is>
      </c>
      <c r="E67" s="5" t="inlineStr">
        <is>
          <t>40-21</t>
        </is>
      </c>
      <c r="F67" s="5" t="inlineStr">
        <is>
          <t>Travaux de pistes</t>
        </is>
      </c>
      <c r="G67" s="5" t="inlineStr">
        <is>
          <t>Travaux de réhabilitation des pistes agricoles</t>
        </is>
      </c>
      <c r="H67" s="5" t="inlineStr">
        <is>
          <t>Entretien des pistes agricoles des secteurs SEBOU1,SEBOU2? BEHT3 et BEHT4</t>
        </is>
      </c>
      <c r="I67" s="7" t="n">
        <v>6000000</v>
      </c>
      <c r="J67" s="8" t="inlineStr">
        <is>
          <t>km</t>
        </is>
      </c>
      <c r="K67" s="9" t="n">
        <v>12</v>
      </c>
      <c r="L67" s="51" t="n"/>
      <c r="M67" s="52">
        <f>'S35'!M67+L67</f>
        <v/>
      </c>
      <c r="N67" s="53">
        <f>IFERROR(M67/K67,0)</f>
        <v/>
      </c>
      <c r="O67" s="54">
        <f>'S35'!N67</f>
        <v/>
      </c>
      <c r="P67" s="53">
        <f>N67-O67</f>
        <v/>
      </c>
      <c r="Q67" s="32" t="n"/>
      <c r="R67" s="32" t="n"/>
      <c r="S67" s="32" t="n"/>
      <c r="T67" s="55" t="n"/>
      <c r="U67" s="54">
        <f>'S35'!T67</f>
        <v/>
      </c>
      <c r="V67" s="53">
        <f>T67-U67</f>
        <v/>
      </c>
      <c r="W67" s="53">
        <f>N67-T67</f>
        <v/>
      </c>
      <c r="X67" s="34" t="n"/>
    </row>
    <row r="68" ht="22" customHeight="1">
      <c r="B68" s="10" t="n">
        <v>64</v>
      </c>
      <c r="C68" s="14" t="inlineStr">
        <is>
          <t>Kénitra</t>
        </is>
      </c>
      <c r="D68" s="10" t="inlineStr">
        <is>
          <t>Sidi allal tazi</t>
        </is>
      </c>
      <c r="E68" s="10" t="inlineStr">
        <is>
          <t>50-23</t>
        </is>
      </c>
      <c r="F68" s="10" t="inlineStr">
        <is>
          <t>Entretien et réparation du réseau d'assainissement et de drainage</t>
        </is>
      </c>
      <c r="G68" s="10" t="inlineStr">
        <is>
          <t>Travaux de curage des canaux en terre</t>
        </is>
      </c>
      <c r="H68" s="10" t="inlineStr">
        <is>
          <t>Curage du canaL d'assainissement CK,</t>
        </is>
      </c>
      <c r="I68" s="11" t="n">
        <v>3000000</v>
      </c>
      <c r="J68" s="12" t="inlineStr">
        <is>
          <t>ml</t>
        </is>
      </c>
      <c r="K68" s="13" t="n">
        <v>1500</v>
      </c>
      <c r="L68" s="51" t="n"/>
      <c r="M68" s="56">
        <f>'S35'!M68+L68</f>
        <v/>
      </c>
      <c r="N68" s="57">
        <f>IFERROR(M68/K68,0)</f>
        <v/>
      </c>
      <c r="O68" s="58">
        <f>'S35'!N68</f>
        <v/>
      </c>
      <c r="P68" s="57">
        <f>N68-O68</f>
        <v/>
      </c>
      <c r="Q68" s="32" t="n"/>
      <c r="R68" s="32" t="n"/>
      <c r="S68" s="32" t="n"/>
      <c r="T68" s="55" t="n"/>
      <c r="U68" s="58">
        <f>'S35'!T68</f>
        <v/>
      </c>
      <c r="V68" s="57">
        <f>T68-U68</f>
        <v/>
      </c>
      <c r="W68" s="57">
        <f>N68-T68</f>
        <v/>
      </c>
      <c r="X68" s="34" t="n"/>
    </row>
    <row r="69" ht="22" customHeight="1">
      <c r="B69" s="5" t="n">
        <v>65</v>
      </c>
      <c r="C69" s="14" t="inlineStr">
        <is>
          <t>Kénitra</t>
        </is>
      </c>
      <c r="D69" s="5" t="inlineStr">
        <is>
          <t>AMEUR SAFLIA</t>
        </is>
      </c>
      <c r="E69" s="5" t="inlineStr">
        <is>
          <t>50-23</t>
        </is>
      </c>
      <c r="F69" s="5" t="inlineStr">
        <is>
          <t>Entretien et réparation du réseau d'assainissement et de drainage</t>
        </is>
      </c>
      <c r="G69" s="5" t="inlineStr">
        <is>
          <t>Travaux de curage des canaux en terre</t>
        </is>
      </c>
      <c r="H69" s="5" t="inlineStr">
        <is>
          <t>Curage des canaux d'assainissement amontTtiflt Sebou,</t>
        </is>
      </c>
      <c r="I69" s="7" t="n">
        <v>1000000</v>
      </c>
      <c r="J69" s="8" t="inlineStr">
        <is>
          <t>ml</t>
        </is>
      </c>
      <c r="K69" s="9" t="n">
        <v>500</v>
      </c>
      <c r="L69" s="51" t="n"/>
      <c r="M69" s="52">
        <f>'S35'!M69+L69</f>
        <v/>
      </c>
      <c r="N69" s="53">
        <f>IFERROR(M69/K69,0)</f>
        <v/>
      </c>
      <c r="O69" s="54">
        <f>'S35'!N69</f>
        <v/>
      </c>
      <c r="P69" s="53">
        <f>N69-O69</f>
        <v/>
      </c>
      <c r="Q69" s="32" t="n"/>
      <c r="R69" s="32" t="n"/>
      <c r="S69" s="32" t="n"/>
      <c r="T69" s="55" t="n"/>
      <c r="U69" s="54">
        <f>'S35'!T69</f>
        <v/>
      </c>
      <c r="V69" s="53">
        <f>T69-U69</f>
        <v/>
      </c>
      <c r="W69" s="53">
        <f>N69-T69</f>
        <v/>
      </c>
      <c r="X69" s="34" t="n"/>
    </row>
    <row r="70" ht="22" customHeight="1">
      <c r="B70" s="10" t="n">
        <v>66</v>
      </c>
      <c r="C70" s="14" t="inlineStr">
        <is>
          <t>Kénitra</t>
        </is>
      </c>
      <c r="D70" s="10" t="inlineStr">
        <is>
          <t>Oulad SLAMA</t>
        </is>
      </c>
      <c r="E70" s="10" t="inlineStr">
        <is>
          <t>50-23</t>
        </is>
      </c>
      <c r="F70" s="10" t="inlineStr">
        <is>
          <t>Entretien et réparation du réseau d'assainissement et de drainage</t>
        </is>
      </c>
      <c r="G70" s="10" t="inlineStr">
        <is>
          <t>Travaux de curage des canaux en terre</t>
        </is>
      </c>
      <c r="H70" s="10" t="inlineStr">
        <is>
          <t>Curage des canaux d'assainissement debouche Tiflt aval,</t>
        </is>
      </c>
      <c r="I70" s="11" t="n">
        <v>1000000</v>
      </c>
      <c r="J70" s="12" t="inlineStr">
        <is>
          <t>ml</t>
        </is>
      </c>
      <c r="K70" s="13" t="n">
        <v>500</v>
      </c>
      <c r="L70" s="51" t="n"/>
      <c r="M70" s="56">
        <f>'S35'!M70+L70</f>
        <v/>
      </c>
      <c r="N70" s="57">
        <f>IFERROR(M70/K70,0)</f>
        <v/>
      </c>
      <c r="O70" s="58">
        <f>'S35'!N70</f>
        <v/>
      </c>
      <c r="P70" s="57">
        <f>N70-O70</f>
        <v/>
      </c>
      <c r="Q70" s="32" t="n"/>
      <c r="R70" s="32" t="n"/>
      <c r="S70" s="32" t="n"/>
      <c r="T70" s="55" t="n"/>
      <c r="U70" s="58">
        <f>'S35'!T70</f>
        <v/>
      </c>
      <c r="V70" s="57">
        <f>T70-U70</f>
        <v/>
      </c>
      <c r="W70" s="57">
        <f>N70-T70</f>
        <v/>
      </c>
      <c r="X70" s="34" t="n"/>
    </row>
    <row r="71" ht="22" customHeight="1">
      <c r="B71" s="5" t="n">
        <v>67</v>
      </c>
      <c r="C71" s="14" t="inlineStr">
        <is>
          <t>Kénitra</t>
        </is>
      </c>
      <c r="D71" s="5" t="inlineStr">
        <is>
          <t>BHARA Oulad AYAD</t>
        </is>
      </c>
      <c r="E71" s="5" t="inlineStr">
        <is>
          <t>50-23</t>
        </is>
      </c>
      <c r="F71" s="5" t="inlineStr">
        <is>
          <t>Entretien et réparation du réseau d'assainissement et de drainage</t>
        </is>
      </c>
      <c r="G71" s="5" t="inlineStr">
        <is>
          <t>Travaux de curage des canaux en terre</t>
        </is>
      </c>
      <c r="H71" s="5" t="inlineStr">
        <is>
          <t>Curage des canaux d'assainissement canal nador bas et haut segmet,</t>
        </is>
      </c>
      <c r="I71" s="7" t="n">
        <v>6600000</v>
      </c>
      <c r="J71" s="8" t="inlineStr">
        <is>
          <t>ml</t>
        </is>
      </c>
      <c r="K71" s="9" t="n">
        <v>3300</v>
      </c>
      <c r="L71" s="51" t="n"/>
      <c r="M71" s="52">
        <f>'S35'!M71+L71</f>
        <v/>
      </c>
      <c r="N71" s="53">
        <f>IFERROR(M71/K71,0)</f>
        <v/>
      </c>
      <c r="O71" s="54">
        <f>'S35'!N71</f>
        <v/>
      </c>
      <c r="P71" s="53">
        <f>N71-O71</f>
        <v/>
      </c>
      <c r="Q71" s="32" t="n"/>
      <c r="R71" s="32" t="n"/>
      <c r="S71" s="32" t="n"/>
      <c r="T71" s="55" t="n"/>
      <c r="U71" s="54">
        <f>'S35'!T71</f>
        <v/>
      </c>
      <c r="V71" s="53">
        <f>T71-U71</f>
        <v/>
      </c>
      <c r="W71" s="53">
        <f>N71-T71</f>
        <v/>
      </c>
      <c r="X71" s="34" t="n"/>
    </row>
    <row r="72" ht="22" customHeight="1">
      <c r="B72" s="10" t="n">
        <v>68</v>
      </c>
      <c r="C72" s="15" t="inlineStr">
        <is>
          <t>Sidi Slimane</t>
        </is>
      </c>
      <c r="D72" s="10" t="inlineStr">
        <is>
          <t>OULED HCEINE</t>
        </is>
      </c>
      <c r="E72" s="10" t="inlineStr">
        <is>
          <t>50-23</t>
        </is>
      </c>
      <c r="F72" s="10" t="inlineStr">
        <is>
          <t>Entretien et réparation du réseau d'assainissement et de drainage</t>
        </is>
      </c>
      <c r="G72" s="10" t="inlineStr">
        <is>
          <t>Travaux de curage des canaux en terre</t>
        </is>
      </c>
      <c r="H72" s="10" t="inlineStr">
        <is>
          <t>Curage des collecteurs d'assainissement du secteur EST4.</t>
        </is>
      </c>
      <c r="I72" s="11" t="n">
        <v>1805475</v>
      </c>
      <c r="J72" s="12" t="inlineStr">
        <is>
          <t>ml</t>
        </is>
      </c>
      <c r="K72" s="13" t="n">
        <v>903</v>
      </c>
      <c r="L72" s="51" t="n"/>
      <c r="M72" s="56">
        <f>'S35'!M72+L72</f>
        <v/>
      </c>
      <c r="N72" s="57">
        <f>IFERROR(M72/K72,0)</f>
        <v/>
      </c>
      <c r="O72" s="58">
        <f>'S35'!N72</f>
        <v/>
      </c>
      <c r="P72" s="57">
        <f>N72-O72</f>
        <v/>
      </c>
      <c r="Q72" s="32" t="n"/>
      <c r="R72" s="32" t="n"/>
      <c r="S72" s="32" t="n"/>
      <c r="T72" s="55" t="n"/>
      <c r="U72" s="58">
        <f>'S35'!T72</f>
        <v/>
      </c>
      <c r="V72" s="57">
        <f>T72-U72</f>
        <v/>
      </c>
      <c r="W72" s="57">
        <f>N72-T72</f>
        <v/>
      </c>
      <c r="X72" s="34" t="n"/>
    </row>
    <row r="73" ht="22" customHeight="1">
      <c r="B73" s="5" t="n">
        <v>69</v>
      </c>
      <c r="C73" s="15" t="inlineStr">
        <is>
          <t>Sidi Slimane</t>
        </is>
      </c>
      <c r="D73" s="5" t="inlineStr">
        <is>
          <t>OULED HCEINE</t>
        </is>
      </c>
      <c r="E73" s="5" t="inlineStr">
        <is>
          <t>50-23</t>
        </is>
      </c>
      <c r="F73" s="5" t="inlineStr">
        <is>
          <t>Entretien et réparation du réseau d'assainissement et de drainage</t>
        </is>
      </c>
      <c r="G73" s="5" t="inlineStr">
        <is>
          <t>Travaux de curage des canaux en terre</t>
        </is>
      </c>
      <c r="H73" s="5" t="inlineStr">
        <is>
          <t>Curage du canal d'assainissement Tihli central.</t>
        </is>
      </c>
      <c r="I73" s="7" t="n">
        <v>2587200</v>
      </c>
      <c r="J73" s="8" t="inlineStr">
        <is>
          <t>ml</t>
        </is>
      </c>
      <c r="K73" s="9" t="n">
        <v>1294</v>
      </c>
      <c r="L73" s="51" t="n"/>
      <c r="M73" s="52">
        <f>'S35'!M73+L73</f>
        <v/>
      </c>
      <c r="N73" s="53">
        <f>IFERROR(M73/K73,0)</f>
        <v/>
      </c>
      <c r="O73" s="54">
        <f>'S35'!N73</f>
        <v/>
      </c>
      <c r="P73" s="53">
        <f>N73-O73</f>
        <v/>
      </c>
      <c r="Q73" s="32" t="n"/>
      <c r="R73" s="32" t="n"/>
      <c r="S73" s="32" t="n"/>
      <c r="T73" s="55" t="n"/>
      <c r="U73" s="54">
        <f>'S35'!T73</f>
        <v/>
      </c>
      <c r="V73" s="53">
        <f>T73-U73</f>
        <v/>
      </c>
      <c r="W73" s="53">
        <f>N73-T73</f>
        <v/>
      </c>
      <c r="X73" s="34" t="n"/>
    </row>
    <row r="74" ht="22" customHeight="1">
      <c r="B74" s="10" t="n">
        <v>70</v>
      </c>
      <c r="C74" s="15" t="inlineStr">
        <is>
          <t>Sidi Slimane</t>
        </is>
      </c>
      <c r="D74" s="10" t="inlineStr">
        <is>
          <t>OULED HCEINE</t>
        </is>
      </c>
      <c r="E74" s="10" t="inlineStr">
        <is>
          <t>40-21</t>
        </is>
      </c>
      <c r="F74" s="10" t="inlineStr">
        <is>
          <t>Travaux de pistes</t>
        </is>
      </c>
      <c r="G74" s="10" t="inlineStr">
        <is>
          <t>Travaux de réhabilitation des pistes agricoles</t>
        </is>
      </c>
      <c r="H74" s="10" t="inlineStr">
        <is>
          <t>Entretien des pistes agricoles</t>
        </is>
      </c>
      <c r="I74" s="11" t="n">
        <v>3500000</v>
      </c>
      <c r="J74" s="12" t="inlineStr">
        <is>
          <t>km</t>
        </is>
      </c>
      <c r="K74" s="13" t="n">
        <v>7</v>
      </c>
      <c r="L74" s="51" t="n"/>
      <c r="M74" s="56">
        <f>'S35'!M74+L74</f>
        <v/>
      </c>
      <c r="N74" s="57">
        <f>IFERROR(M74/K74,0)</f>
        <v/>
      </c>
      <c r="O74" s="58">
        <f>'S35'!N74</f>
        <v/>
      </c>
      <c r="P74" s="57">
        <f>N74-O74</f>
        <v/>
      </c>
      <c r="Q74" s="32" t="n"/>
      <c r="R74" s="32" t="n"/>
      <c r="S74" s="32" t="n"/>
      <c r="T74" s="55" t="n"/>
      <c r="U74" s="58">
        <f>'S35'!T74</f>
        <v/>
      </c>
      <c r="V74" s="57">
        <f>T74-U74</f>
        <v/>
      </c>
      <c r="W74" s="57">
        <f>N74-T74</f>
        <v/>
      </c>
      <c r="X74" s="34" t="n"/>
    </row>
    <row r="75" ht="22" customHeight="1">
      <c r="B75" s="5" t="n">
        <v>71</v>
      </c>
      <c r="C75" s="15" t="inlineStr">
        <is>
          <t>Sidi Slimane</t>
        </is>
      </c>
      <c r="D75" s="5" t="inlineStr">
        <is>
          <t>OULED HCEINE</t>
        </is>
      </c>
      <c r="E75" s="5" t="inlineStr">
        <is>
          <t>50-21</t>
        </is>
      </c>
      <c r="F75" s="5" t="inlineStr">
        <is>
          <t>Entretien et réparation des stations de pompage</t>
        </is>
      </c>
      <c r="G75" s="5" t="inlineStr">
        <is>
          <t>Travaux de réparation des équipements hydromécaniques et éléctriques et entretien de la partie génie civil des stations de pompage.</t>
        </is>
      </c>
      <c r="H75" s="5" t="inlineStr">
        <is>
          <t>Démontage et expertise des roues des  pompes principaux et pompes a vide de la station EST4 et P11/2.
Changement des roulements, tresses et organes d’effectués de la station EST4 et P11/2
Changement deux débitmètre Ø 1200 mm de la station EST4 et un débimétre de la station P11/2.
Changement des capteurs de niveau inondés.
Révision et réparation des moteurs des vannes motorisées inondées.
changement de six contrôleurs de débits DW181 inondés.
Un capteur de débitmètre inondé nécessitent un diagnostic VEGASON  .
Entretien de l'éclairage du local de vide et bâche d’aspiration inondé de la station EST4 et la partie de l’éclairage du local des pompes inondées de la station P11/2.
Pose de gabions et recouvrement du talus par matelas Reno des stations de pompage P11/2</t>
        </is>
      </c>
      <c r="I75" s="7" t="n">
        <v>870000</v>
      </c>
      <c r="J75" s="8" t="inlineStr">
        <is>
          <t>U</t>
        </is>
      </c>
      <c r="K75" s="9" t="n">
        <v>4</v>
      </c>
      <c r="L75" s="51" t="n"/>
      <c r="M75" s="52">
        <f>'S35'!M75+L75</f>
        <v/>
      </c>
      <c r="N75" s="53">
        <f>IFERROR(M75/K75,0)</f>
        <v/>
      </c>
      <c r="O75" s="54">
        <f>'S35'!N75</f>
        <v/>
      </c>
      <c r="P75" s="53">
        <f>N75-O75</f>
        <v/>
      </c>
      <c r="Q75" s="32" t="n"/>
      <c r="R75" s="32" t="n"/>
      <c r="S75" s="32" t="n"/>
      <c r="T75" s="55" t="n"/>
      <c r="U75" s="54">
        <f>'S35'!T75</f>
        <v/>
      </c>
      <c r="V75" s="53">
        <f>T75-U75</f>
        <v/>
      </c>
      <c r="W75" s="53">
        <f>N75-T75</f>
        <v/>
      </c>
      <c r="X75" s="34" t="n"/>
    </row>
    <row r="76" ht="22" customHeight="1">
      <c r="B76" s="10" t="n">
        <v>72</v>
      </c>
      <c r="C76" s="15" t="inlineStr">
        <is>
          <t>Sidi Slimane</t>
        </is>
      </c>
      <c r="D76" s="10" t="inlineStr">
        <is>
          <t>OULED HCEINE</t>
        </is>
      </c>
      <c r="E76" s="10" t="inlineStr">
        <is>
          <t>50-23</t>
        </is>
      </c>
      <c r="F76" s="10" t="inlineStr">
        <is>
          <t>Entretien et réparation du réseau d'assainissement et de drainage</t>
        </is>
      </c>
      <c r="G76" s="10" t="inlineStr">
        <is>
          <t>Travaux de curage des prises des stations de pompage.</t>
        </is>
      </c>
      <c r="H76" s="10" t="inlineStr">
        <is>
          <t>Curage des siphones des station de pompage EST2 et P11/2.</t>
        </is>
      </c>
      <c r="I76" s="11" t="n">
        <v>500000</v>
      </c>
      <c r="J76" s="12" t="inlineStr">
        <is>
          <t>ml</t>
        </is>
      </c>
      <c r="K76" s="13" t="n">
        <v>167</v>
      </c>
      <c r="L76" s="51" t="n"/>
      <c r="M76" s="56">
        <f>'S35'!M76+L76</f>
        <v/>
      </c>
      <c r="N76" s="57">
        <f>IFERROR(M76/K76,0)</f>
        <v/>
      </c>
      <c r="O76" s="58">
        <f>'S35'!N76</f>
        <v/>
      </c>
      <c r="P76" s="57">
        <f>N76-O76</f>
        <v/>
      </c>
      <c r="Q76" s="32" t="n"/>
      <c r="R76" s="32" t="n"/>
      <c r="S76" s="32" t="n"/>
      <c r="T76" s="55" t="n"/>
      <c r="U76" s="58">
        <f>'S35'!T76</f>
        <v/>
      </c>
      <c r="V76" s="57">
        <f>T76-U76</f>
        <v/>
      </c>
      <c r="W76" s="57">
        <f>N76-T76</f>
        <v/>
      </c>
      <c r="X76" s="34" t="n"/>
    </row>
    <row r="77" ht="26" customHeight="1">
      <c r="B77" s="16" t="inlineStr">
        <is>
          <t>TOTAL</t>
        </is>
      </c>
      <c r="C77" s="16" t="n"/>
      <c r="D77" s="16" t="n"/>
      <c r="E77" s="16" t="n"/>
      <c r="F77" s="16" t="n"/>
      <c r="G77" s="16" t="n"/>
      <c r="H77" s="16" t="n"/>
      <c r="I77" s="17">
        <f>SUM(I5:I76)</f>
        <v/>
      </c>
      <c r="J77" s="16" t="n"/>
      <c r="K77" s="16" t="n"/>
      <c r="L77" s="59">
        <f>SUM(L5:L76)</f>
        <v/>
      </c>
      <c r="M77" s="59">
        <f>SUM(M5:M76)</f>
        <v/>
      </c>
      <c r="N77" s="60">
        <f>IFERROR(SUMPRODUCT(N5:N76,I5:I76)/I77,0)</f>
        <v/>
      </c>
      <c r="O77" s="60">
        <f>IFERROR(SUMPRODUCT(O5:O76,I5:I76)/I77,0)</f>
        <v/>
      </c>
      <c r="P77" s="60">
        <f>N77-O77</f>
        <v/>
      </c>
      <c r="Q77" s="17">
        <f>SUM(Q5:Q76)</f>
        <v/>
      </c>
      <c r="R77" s="17">
        <f>SUM(R5:R76)</f>
        <v/>
      </c>
      <c r="S77" s="17">
        <f>SUM(S5:S76)</f>
        <v/>
      </c>
      <c r="T77" s="60">
        <f>IFERROR(SUMPRODUCT(T5:T76,I5:I76)/I77,0)</f>
        <v/>
      </c>
      <c r="U77" s="60">
        <f>IFERROR(SUMPRODUCT(U5:U76,I5:I76)/I77,0)</f>
        <v/>
      </c>
      <c r="V77" s="60">
        <f>T77-U77</f>
        <v/>
      </c>
      <c r="W77" s="60">
        <f>N77-T77</f>
        <v/>
      </c>
      <c r="X77" s="16" t="n"/>
    </row>
  </sheetData>
  <sheetProtection selectLockedCells="0" selectUnlockedCells="0" sheet="1" objects="0" insertRows="1" insertHyperlinks="1" autoFilter="1" scenarios="0" formatColumns="1" deleteColumns="1" insertColumns="1" pivotTables="1" deleteRows="1" formatCells="1" formatRows="1" sort="1" password="CBBE"/>
  <mergeCells count="6">
    <mergeCell ref="E3:I3"/>
    <mergeCell ref="W3:X3"/>
    <mergeCell ref="J3:P3"/>
    <mergeCell ref="B2:X2"/>
    <mergeCell ref="C3:D3"/>
    <mergeCell ref="Q3:V3"/>
  </mergeCells>
  <conditionalFormatting sqref="P5:P76">
    <cfRule type="cellIs" priority="1" operator="greaterThan" dxfId="0">
      <formula>0</formula>
    </cfRule>
    <cfRule type="cellIs" priority="2" operator="lessThan" dxfId="1">
      <formula>0</formula>
    </cfRule>
  </conditionalFormatting>
  <conditionalFormatting sqref="V5:V76">
    <cfRule type="cellIs" priority="3" operator="greaterThan" dxfId="0">
      <formula>0</formula>
    </cfRule>
    <cfRule type="cellIs" priority="4" operator="lessThan" dxfId="1">
      <formula>0</formula>
    </cfRule>
  </conditionalFormatting>
  <conditionalFormatting sqref="W5:W76">
    <cfRule type="cellIs" priority="5" operator="greaterThan" dxfId="0">
      <formula>0.05</formula>
    </cfRule>
    <cfRule type="cellIs" priority="6" operator="lessThan" dxfId="1">
      <formula>-0.05</formula>
    </cfRule>
    <cfRule type="cellIs" priority="7" operator="between" dxfId="2">
      <formula>-0.05</formula>
      <formula>0.05</formula>
    </cfRule>
  </conditionalFormatting>
  <conditionalFormatting sqref="N5:N76">
    <cfRule type="dataBar" priority="8">
      <dataBar showValue="1">
        <cfvo type="num" val="0"/>
        <cfvo type="num" val="1"/>
        <color rgb="001B7D46"/>
      </dataBar>
    </cfRule>
  </conditionalFormatting>
  <conditionalFormatting sqref="T5:T76">
    <cfRule type="dataBar" priority="9">
      <dataBar showValue="1">
        <cfvo type="num" val="0"/>
        <cfvo type="num" val="1"/>
        <color rgb="00D4820A"/>
      </dataBar>
    </cfRule>
  </conditionalFormatting>
  <dataValidations count="2">
    <dataValidation sqref="T5:T76" showDropDown="0" showInputMessage="0" showErrorMessage="0" allowBlank="1" errorTitle="Invalide" error="Valeur entre 0% et 100%" promptTitle="Avancement %" prompt="Entrez 0.25 pour 25%" type="decimal" operator="between">
      <formula1>0</formula1>
      <formula2>1</formula2>
    </dataValidation>
    <dataValidation sqref="L5:L76" showDropDown="0" showInputMessage="0" showErrorMessage="0" allowBlank="1" errorTitle="Invalide" error="Quantité doit être &gt;= 0" promptTitle="Qté Réalisée" prompt="Entrez la quantité réalisée cette semaine" type="decimal" operator="greaterThanOrEqual">
      <formula1>0</formula1>
    </dataValidation>
  </dataValidations>
  <pageMargins left="0.75" right="0.75" top="1" bottom="1" header="0.5" footer="0.5"/>
</worksheet>
</file>

<file path=xl/worksheets/sheet17.xml><?xml version="1.0" encoding="utf-8"?>
<worksheet xmlns="http://schemas.openxmlformats.org/spreadsheetml/2006/main">
  <sheetPr>
    <tabColor rgb="00C00000"/>
    <outlinePr summaryBelow="1" summaryRight="1"/>
    <pageSetUpPr/>
  </sheetPr>
  <dimension ref="B2:X77"/>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5" customWidth="1" min="2" max="2"/>
    <col width="14" customWidth="1" min="3" max="3"/>
    <col width="18" customWidth="1" min="4" max="4"/>
    <col width="9" customWidth="1" min="5" max="5"/>
    <col width="32" customWidth="1" min="6" max="6"/>
    <col width="28" customWidth="1" min="7" max="7"/>
    <col width="34" customWidth="1" min="8" max="8"/>
    <col width="14" customWidth="1" min="9" max="9"/>
    <col width="8" customWidth="1" min="10" max="10"/>
    <col width="12" customWidth="1" min="11" max="11"/>
    <col width="14" customWidth="1" min="12" max="12"/>
    <col width="14" customWidth="1" min="13" max="13"/>
    <col width="14" customWidth="1" min="14" max="14"/>
    <col width="14" customWidth="1" min="15" max="15"/>
    <col width="14" customWidth="1" min="16" max="16"/>
    <col width="16" customWidth="1" min="17" max="17"/>
    <col width="16" customWidth="1" min="18" max="18"/>
    <col width="16" customWidth="1" min="19" max="19"/>
    <col width="14" customWidth="1" min="20" max="20"/>
    <col width="14" customWidth="1" min="21" max="21"/>
    <col width="14" customWidth="1" min="22" max="22"/>
    <col width="14" customWidth="1" min="23" max="23"/>
    <col width="24" customWidth="1" min="24" max="24"/>
  </cols>
  <sheetData>
    <row r="1" ht="15" customHeight="1"/>
    <row r="2" ht="32" customHeight="1">
      <c r="B2" s="1" t="inlineStr">
        <is>
          <t>Suivi Hebdomadaire - Semaine 37 (07/09 - 13/09) — Septembre 2026 - Exécution Physique et Financière</t>
        </is>
      </c>
    </row>
    <row r="3" ht="22" customHeight="1">
      <c r="B3" s="20" t="inlineStr">
        <is>
          <t>Date :</t>
        </is>
      </c>
      <c r="C3" s="49" t="n">
        <v>46272</v>
      </c>
      <c r="D3" s="50" t="n"/>
      <c r="E3" s="22" t="inlineStr">
        <is>
          <t>IDENTIFICATION</t>
        </is>
      </c>
      <c r="J3" s="23" t="inlineStr">
        <is>
          <t>INDICATEURS PHYSIQUES</t>
        </is>
      </c>
      <c r="Q3" s="24" t="inlineStr">
        <is>
          <t>INDICATEURS FINANCIERS</t>
        </is>
      </c>
      <c r="W3" s="25" t="inlineStr">
        <is>
          <t>SYNTHÈSE</t>
        </is>
      </c>
    </row>
    <row r="4" ht="28" customHeight="1">
      <c r="B4" s="4" t="inlineStr">
        <is>
          <t>N°</t>
        </is>
      </c>
      <c r="C4" s="4" t="inlineStr">
        <is>
          <t>Province</t>
        </is>
      </c>
      <c r="D4" s="4" t="inlineStr">
        <is>
          <t>Commune</t>
        </is>
      </c>
      <c r="E4" s="4" t="inlineStr">
        <is>
          <t>Rubrique</t>
        </is>
      </c>
      <c r="F4" s="4" t="inlineStr">
        <is>
          <t>Intitulé Rubrique</t>
        </is>
      </c>
      <c r="G4" s="4" t="inlineStr">
        <is>
          <t>Projet</t>
        </is>
      </c>
      <c r="H4" s="4" t="inlineStr">
        <is>
          <t>Consistance</t>
        </is>
      </c>
      <c r="I4" s="4" t="inlineStr">
        <is>
          <t>Coût Total (DH)</t>
        </is>
      </c>
      <c r="J4" s="26" t="inlineStr">
        <is>
          <t>Unité</t>
        </is>
      </c>
      <c r="K4" s="26" t="inlineStr">
        <is>
          <t>Qté Prévue</t>
        </is>
      </c>
      <c r="L4" s="26" t="inlineStr">
        <is>
          <t>Qté Réalisée Sem.</t>
        </is>
      </c>
      <c r="M4" s="26" t="inlineStr">
        <is>
          <t>Qté Réalisée Cumul</t>
        </is>
      </c>
      <c r="N4" s="26" t="inlineStr">
        <is>
          <t>Avancement Physique %</t>
        </is>
      </c>
      <c r="O4" s="26" t="inlineStr">
        <is>
          <t>% Phys. Sem. Préc.</t>
        </is>
      </c>
      <c r="P4" s="26" t="inlineStr">
        <is>
          <t>Accroissement Phys. %</t>
        </is>
      </c>
      <c r="Q4" s="27" t="inlineStr">
        <is>
          <t>Montant Décaissé (DH)</t>
        </is>
      </c>
      <c r="R4" s="27" t="inlineStr">
        <is>
          <t>Montant Payé (DH)</t>
        </is>
      </c>
      <c r="S4" s="27" t="inlineStr">
        <is>
          <t>Montant Ordonné (DH)</t>
        </is>
      </c>
      <c r="T4" s="27" t="inlineStr">
        <is>
          <t>Avancement Financier %</t>
        </is>
      </c>
      <c r="U4" s="27" t="inlineStr">
        <is>
          <t>% Fin. Sem. Préc.</t>
        </is>
      </c>
      <c r="V4" s="27" t="inlineStr">
        <is>
          <t>Accroissement Fin. %</t>
        </is>
      </c>
      <c r="W4" s="28" t="inlineStr">
        <is>
          <t>Écart Phys.-Fin.</t>
        </is>
      </c>
      <c r="X4" s="28" t="inlineStr">
        <is>
          <t>Observations</t>
        </is>
      </c>
    </row>
    <row r="5" ht="22" customHeight="1">
      <c r="B5" s="5" t="n">
        <v>1</v>
      </c>
      <c r="C5" s="6" t="inlineStr">
        <is>
          <t>Sidi Kacem</t>
        </is>
      </c>
      <c r="D5" s="5" t="inlineStr">
        <is>
          <t>KHENICHET</t>
        </is>
      </c>
      <c r="E5" s="5" t="inlineStr">
        <is>
          <t>50-23</t>
        </is>
      </c>
      <c r="F5" s="5" t="inlineStr">
        <is>
          <t>Entretien et réparation du réseau d'assainissement et de drainage</t>
        </is>
      </c>
      <c r="G5" s="5" t="inlineStr">
        <is>
          <t>Travaux de curage des canaux en terre</t>
        </is>
      </c>
      <c r="H5" s="5" t="inlineStr">
        <is>
          <t>Curage des collecteurs d'assainissement du secteur EST2</t>
        </is>
      </c>
      <c r="I5" s="7" t="n">
        <v>2091568</v>
      </c>
      <c r="J5" s="8" t="inlineStr">
        <is>
          <t>ml</t>
        </is>
      </c>
      <c r="K5" s="9" t="n">
        <v>1046</v>
      </c>
      <c r="L5" s="51" t="n"/>
      <c r="M5" s="52">
        <f>'S36'!M5+L5</f>
        <v/>
      </c>
      <c r="N5" s="53">
        <f>IFERROR(M5/K5,0)</f>
        <v/>
      </c>
      <c r="O5" s="54">
        <f>'S36'!N5</f>
        <v/>
      </c>
      <c r="P5" s="53">
        <f>N5-O5</f>
        <v/>
      </c>
      <c r="Q5" s="32" t="n"/>
      <c r="R5" s="32" t="n"/>
      <c r="S5" s="32" t="n"/>
      <c r="T5" s="55" t="n"/>
      <c r="U5" s="54">
        <f>'S36'!T5</f>
        <v/>
      </c>
      <c r="V5" s="53">
        <f>T5-U5</f>
        <v/>
      </c>
      <c r="W5" s="53">
        <f>N5-T5</f>
        <v/>
      </c>
      <c r="X5" s="34" t="n"/>
    </row>
    <row r="6" ht="22" customHeight="1">
      <c r="B6" s="10" t="n">
        <v>2</v>
      </c>
      <c r="C6" s="6" t="inlineStr">
        <is>
          <t>Sidi Kacem</t>
        </is>
      </c>
      <c r="D6" s="10" t="inlineStr">
        <is>
          <t>KHENICHET</t>
        </is>
      </c>
      <c r="E6" s="10" t="inlineStr">
        <is>
          <t>40-21</t>
        </is>
      </c>
      <c r="F6" s="10" t="inlineStr">
        <is>
          <t>Travaux de pistes</t>
        </is>
      </c>
      <c r="G6" s="10" t="inlineStr">
        <is>
          <t>Travaux de réhabilitation des pistes agricoles</t>
        </is>
      </c>
      <c r="H6" s="10" t="inlineStr">
        <is>
          <t>Entretien des pistes agricoles Douar Nouagra et Douar ouled Salem</t>
        </is>
      </c>
      <c r="I6" s="11" t="n">
        <v>78000</v>
      </c>
      <c r="J6" s="12" t="inlineStr">
        <is>
          <t>km</t>
        </is>
      </c>
      <c r="K6" s="13" t="n">
        <v>1</v>
      </c>
      <c r="L6" s="51" t="n"/>
      <c r="M6" s="56">
        <f>'S36'!M6+L6</f>
        <v/>
      </c>
      <c r="N6" s="57">
        <f>IFERROR(M6/K6,0)</f>
        <v/>
      </c>
      <c r="O6" s="58">
        <f>'S36'!N6</f>
        <v/>
      </c>
      <c r="P6" s="57">
        <f>N6-O6</f>
        <v/>
      </c>
      <c r="Q6" s="32" t="n"/>
      <c r="R6" s="32" t="n"/>
      <c r="S6" s="32" t="n"/>
      <c r="T6" s="55" t="n"/>
      <c r="U6" s="58">
        <f>'S36'!T6</f>
        <v/>
      </c>
      <c r="V6" s="57">
        <f>T6-U6</f>
        <v/>
      </c>
      <c r="W6" s="57">
        <f>N6-T6</f>
        <v/>
      </c>
      <c r="X6" s="34" t="n"/>
    </row>
    <row r="7" ht="22" customHeight="1">
      <c r="B7" s="5" t="n">
        <v>3</v>
      </c>
      <c r="C7" s="6" t="inlineStr">
        <is>
          <t>Sidi Kacem</t>
        </is>
      </c>
      <c r="D7" s="5" t="inlineStr">
        <is>
          <t>KHENICHET</t>
        </is>
      </c>
      <c r="E7" s="5" t="inlineStr">
        <is>
          <t>50-23</t>
        </is>
      </c>
      <c r="F7" s="5" t="inlineStr">
        <is>
          <t>Entretien et réparation du réseau d'assainissement et de drainage</t>
        </is>
      </c>
      <c r="G7" s="5" t="inlineStr">
        <is>
          <t>Curage des prises sur l’oued, bâche d’aspiration et bassin de régulation.</t>
        </is>
      </c>
      <c r="H7" s="5" t="inlineStr">
        <is>
          <t>Curage de la chambre des joints de démontage des siphonnes  de la station de pompage EST2.</t>
        </is>
      </c>
      <c r="I7" s="7" t="n">
        <v>126000</v>
      </c>
      <c r="J7" s="8" t="inlineStr">
        <is>
          <t>ml</t>
        </is>
      </c>
      <c r="K7" s="9" t="n">
        <v>42</v>
      </c>
      <c r="L7" s="51" t="n"/>
      <c r="M7" s="52">
        <f>'S36'!M7+L7</f>
        <v/>
      </c>
      <c r="N7" s="53">
        <f>IFERROR(M7/K7,0)</f>
        <v/>
      </c>
      <c r="O7" s="54">
        <f>'S36'!N7</f>
        <v/>
      </c>
      <c r="P7" s="53">
        <f>N7-O7</f>
        <v/>
      </c>
      <c r="Q7" s="32" t="n"/>
      <c r="R7" s="32" t="n"/>
      <c r="S7" s="32" t="n"/>
      <c r="T7" s="55" t="n"/>
      <c r="U7" s="54">
        <f>'S36'!T7</f>
        <v/>
      </c>
      <c r="V7" s="53">
        <f>T7-U7</f>
        <v/>
      </c>
      <c r="W7" s="53">
        <f>N7-T7</f>
        <v/>
      </c>
      <c r="X7" s="34" t="n"/>
    </row>
    <row r="8" ht="22" customHeight="1">
      <c r="B8" s="10" t="n">
        <v>4</v>
      </c>
      <c r="C8" s="6" t="inlineStr">
        <is>
          <t>Sidi Kacem</t>
        </is>
      </c>
      <c r="D8" s="10" t="inlineStr">
        <is>
          <t>KHENICHET</t>
        </is>
      </c>
      <c r="E8" s="10" t="inlineStr">
        <is>
          <t>50-21</t>
        </is>
      </c>
      <c r="F8" s="10" t="inlineStr">
        <is>
          <t>Entretien et réparation des stations de pompage</t>
        </is>
      </c>
      <c r="G8" s="10" t="inlineStr">
        <is>
          <t>Prestation de maintenance des débitmètres et leurs équipements annexes installés au niveau des station de pompage</t>
        </is>
      </c>
      <c r="H8" s="10" t="inlineStr">
        <is>
          <t>Changement trois débitmètre Ø 600mm inondés de la station de pompage EST 2 et deux capteurs VEGASON 62</t>
        </is>
      </c>
      <c r="I8" s="11" t="n">
        <v>165500</v>
      </c>
      <c r="J8" s="12" t="inlineStr">
        <is>
          <t>U</t>
        </is>
      </c>
      <c r="K8" s="13" t="n">
        <v>3</v>
      </c>
      <c r="L8" s="51" t="n"/>
      <c r="M8" s="56">
        <f>'S36'!M8+L8</f>
        <v/>
      </c>
      <c r="N8" s="57">
        <f>IFERROR(M8/K8,0)</f>
        <v/>
      </c>
      <c r="O8" s="58">
        <f>'S36'!N8</f>
        <v/>
      </c>
      <c r="P8" s="57">
        <f>N8-O8</f>
        <v/>
      </c>
      <c r="Q8" s="32" t="n"/>
      <c r="R8" s="32" t="n"/>
      <c r="S8" s="32" t="n"/>
      <c r="T8" s="55" t="n"/>
      <c r="U8" s="58">
        <f>'S36'!T8</f>
        <v/>
      </c>
      <c r="V8" s="57">
        <f>T8-U8</f>
        <v/>
      </c>
      <c r="W8" s="57">
        <f>N8-T8</f>
        <v/>
      </c>
      <c r="X8" s="34" t="n"/>
    </row>
    <row r="9" ht="22" customHeight="1">
      <c r="B9" s="5" t="n">
        <v>5</v>
      </c>
      <c r="C9" s="6" t="inlineStr">
        <is>
          <t>Sidi Kacem</t>
        </is>
      </c>
      <c r="D9" s="5" t="inlineStr">
        <is>
          <t>BIR TALEB</t>
        </is>
      </c>
      <c r="E9" s="5" t="inlineStr">
        <is>
          <t>50-23</t>
        </is>
      </c>
      <c r="F9" s="5" t="inlineStr">
        <is>
          <t>Entretien et réparation du réseau d'assainissement et de drainage</t>
        </is>
      </c>
      <c r="G9" s="5" t="inlineStr">
        <is>
          <t>Travaux de curage des canaux en terre</t>
        </is>
      </c>
      <c r="H9" s="5" t="inlineStr">
        <is>
          <t>Curage du canal d'assainisement Tihli Aval</t>
        </is>
      </c>
      <c r="I9" s="7" t="n">
        <v>1000000</v>
      </c>
      <c r="J9" s="8" t="inlineStr">
        <is>
          <t>ml</t>
        </is>
      </c>
      <c r="K9" s="9" t="n">
        <v>500</v>
      </c>
      <c r="L9" s="51" t="n"/>
      <c r="M9" s="52">
        <f>'S36'!M9+L9</f>
        <v/>
      </c>
      <c r="N9" s="53">
        <f>IFERROR(M9/K9,0)</f>
        <v/>
      </c>
      <c r="O9" s="54">
        <f>'S36'!N9</f>
        <v/>
      </c>
      <c r="P9" s="53">
        <f>N9-O9</f>
        <v/>
      </c>
      <c r="Q9" s="32" t="n"/>
      <c r="R9" s="32" t="n"/>
      <c r="S9" s="32" t="n"/>
      <c r="T9" s="55" t="n"/>
      <c r="U9" s="54">
        <f>'S36'!T9</f>
        <v/>
      </c>
      <c r="V9" s="53">
        <f>T9-U9</f>
        <v/>
      </c>
      <c r="W9" s="53">
        <f>N9-T9</f>
        <v/>
      </c>
      <c r="X9" s="34" t="n"/>
    </row>
    <row r="10" ht="22" customHeight="1">
      <c r="B10" s="10" t="n">
        <v>6</v>
      </c>
      <c r="C10" s="6" t="inlineStr">
        <is>
          <t>Sidi Kacem</t>
        </is>
      </c>
      <c r="D10" s="10" t="inlineStr">
        <is>
          <t>BIR TALEB</t>
        </is>
      </c>
      <c r="E10" s="10" t="inlineStr">
        <is>
          <t>50-23</t>
        </is>
      </c>
      <c r="F10" s="10" t="inlineStr">
        <is>
          <t>Entretien et réparation du réseau d'assainissement et de drainage</t>
        </is>
      </c>
      <c r="G10" s="10" t="inlineStr"/>
      <c r="H10" s="10" t="inlineStr">
        <is>
          <t>Curage des collecteurs d'assainissement du secteur P11/1</t>
        </is>
      </c>
      <c r="I10" s="11" t="n">
        <v>846731</v>
      </c>
      <c r="J10" s="12" t="inlineStr">
        <is>
          <t>ml</t>
        </is>
      </c>
      <c r="K10" s="13" t="n">
        <v>423</v>
      </c>
      <c r="L10" s="51" t="n"/>
      <c r="M10" s="56">
        <f>'S36'!M10+L10</f>
        <v/>
      </c>
      <c r="N10" s="57">
        <f>IFERROR(M10/K10,0)</f>
        <v/>
      </c>
      <c r="O10" s="58">
        <f>'S36'!N10</f>
        <v/>
      </c>
      <c r="P10" s="57">
        <f>N10-O10</f>
        <v/>
      </c>
      <c r="Q10" s="32" t="n"/>
      <c r="R10" s="32" t="n"/>
      <c r="S10" s="32" t="n"/>
      <c r="T10" s="55" t="n"/>
      <c r="U10" s="58">
        <f>'S36'!T10</f>
        <v/>
      </c>
      <c r="V10" s="57">
        <f>T10-U10</f>
        <v/>
      </c>
      <c r="W10" s="57">
        <f>N10-T10</f>
        <v/>
      </c>
      <c r="X10" s="34" t="n"/>
    </row>
    <row r="11" ht="22" customHeight="1">
      <c r="B11" s="5" t="n">
        <v>7</v>
      </c>
      <c r="C11" s="6" t="inlineStr">
        <is>
          <t>Sidi Kacem</t>
        </is>
      </c>
      <c r="D11" s="5" t="inlineStr">
        <is>
          <t>BIR TALEB</t>
        </is>
      </c>
      <c r="E11" s="5" t="inlineStr">
        <is>
          <t>50-23</t>
        </is>
      </c>
      <c r="F11" s="5" t="inlineStr">
        <is>
          <t>Entretien et réparation du réseau d'assainissement et de drainage</t>
        </is>
      </c>
      <c r="G11" s="5" t="inlineStr">
        <is>
          <t>Curage des prises sur l’oued, bâche d’aspiration et bassin de régulation.</t>
        </is>
      </c>
      <c r="H11" s="5" t="inlineStr">
        <is>
          <t>Curage des prises sur l’oued de la station de pompage P11/1.</t>
        </is>
      </c>
      <c r="I11" s="7" t="n">
        <v>200000</v>
      </c>
      <c r="J11" s="8" t="inlineStr">
        <is>
          <t>ml</t>
        </is>
      </c>
      <c r="K11" s="9" t="n">
        <v>67</v>
      </c>
      <c r="L11" s="51" t="n"/>
      <c r="M11" s="52">
        <f>'S36'!M11+L11</f>
        <v/>
      </c>
      <c r="N11" s="53">
        <f>IFERROR(M11/K11,0)</f>
        <v/>
      </c>
      <c r="O11" s="54">
        <f>'S36'!N11</f>
        <v/>
      </c>
      <c r="P11" s="53">
        <f>N11-O11</f>
        <v/>
      </c>
      <c r="Q11" s="32" t="n"/>
      <c r="R11" s="32" t="n"/>
      <c r="S11" s="32" t="n"/>
      <c r="T11" s="55" t="n"/>
      <c r="U11" s="54">
        <f>'S36'!T11</f>
        <v/>
      </c>
      <c r="V11" s="53">
        <f>T11-U11</f>
        <v/>
      </c>
      <c r="W11" s="53">
        <f>N11-T11</f>
        <v/>
      </c>
      <c r="X11" s="34" t="n"/>
    </row>
    <row r="12" ht="22" customHeight="1">
      <c r="B12" s="10" t="n">
        <v>8</v>
      </c>
      <c r="C12" s="6" t="inlineStr">
        <is>
          <t>Sidi Kacem</t>
        </is>
      </c>
      <c r="D12" s="10" t="inlineStr">
        <is>
          <t>BIR TALEB</t>
        </is>
      </c>
      <c r="E12" s="10" t="inlineStr">
        <is>
          <t>50-21</t>
        </is>
      </c>
      <c r="F12" s="10" t="inlineStr">
        <is>
          <t>Entretien et réparation des stations de pompage</t>
        </is>
      </c>
      <c r="G12" s="10" t="inlineStr">
        <is>
          <t>Prestation de maintenance des débitmètres et leurs équipements annexes installés au niveau des station de pompage</t>
        </is>
      </c>
      <c r="H12" s="10" t="inlineStr">
        <is>
          <t>Changement trois débitmètre Ø 400mm inondés de la station de pompage P11/1</t>
        </is>
      </c>
      <c r="I12" s="11" t="n">
        <v>141900</v>
      </c>
      <c r="J12" s="12" t="inlineStr">
        <is>
          <t>U</t>
        </is>
      </c>
      <c r="K12" s="13" t="n">
        <v>3</v>
      </c>
      <c r="L12" s="51" t="n"/>
      <c r="M12" s="56">
        <f>'S36'!M12+L12</f>
        <v/>
      </c>
      <c r="N12" s="57">
        <f>IFERROR(M12/K12,0)</f>
        <v/>
      </c>
      <c r="O12" s="58">
        <f>'S36'!N12</f>
        <v/>
      </c>
      <c r="P12" s="57">
        <f>N12-O12</f>
        <v/>
      </c>
      <c r="Q12" s="32" t="n"/>
      <c r="R12" s="32" t="n"/>
      <c r="S12" s="32" t="n"/>
      <c r="T12" s="55" t="n"/>
      <c r="U12" s="58">
        <f>'S36'!T12</f>
        <v/>
      </c>
      <c r="V12" s="57">
        <f>T12-U12</f>
        <v/>
      </c>
      <c r="W12" s="57">
        <f>N12-T12</f>
        <v/>
      </c>
      <c r="X12" s="34" t="n"/>
    </row>
    <row r="13" ht="22" customHeight="1">
      <c r="B13" s="5" t="n">
        <v>9</v>
      </c>
      <c r="C13" s="6" t="inlineStr">
        <is>
          <t>Sidi Kacem</t>
        </is>
      </c>
      <c r="D13" s="5" t="inlineStr">
        <is>
          <t>BIR TALEB</t>
        </is>
      </c>
      <c r="E13" s="5" t="inlineStr">
        <is>
          <t>50-21</t>
        </is>
      </c>
      <c r="F13" s="5" t="inlineStr">
        <is>
          <t>Entretien et réparation des stations de pompage</t>
        </is>
      </c>
      <c r="G13" s="5" t="inlineStr">
        <is>
          <t>Prestations de maintenance et de réparation mécanique des pompes et des groupes motopompes submersibles des stations de pompage.</t>
        </is>
      </c>
      <c r="H13" s="5" t="inlineStr">
        <is>
          <t>Démontage et expertise des roues des  pompes principaux et pompes a vide de la station P11/1
Changement des roulements, tresses et organes d’effectués de la station P11/1</t>
        </is>
      </c>
      <c r="I13" s="7" t="n">
        <v>26700</v>
      </c>
      <c r="J13" s="8" t="inlineStr">
        <is>
          <t>U</t>
        </is>
      </c>
      <c r="K13" s="9" t="n">
        <v>1</v>
      </c>
      <c r="L13" s="51" t="n"/>
      <c r="M13" s="52">
        <f>'S36'!M13+L13</f>
        <v/>
      </c>
      <c r="N13" s="53">
        <f>IFERROR(M13/K13,0)</f>
        <v/>
      </c>
      <c r="O13" s="54">
        <f>'S36'!N13</f>
        <v/>
      </c>
      <c r="P13" s="53">
        <f>N13-O13</f>
        <v/>
      </c>
      <c r="Q13" s="32" t="n"/>
      <c r="R13" s="32" t="n"/>
      <c r="S13" s="32" t="n"/>
      <c r="T13" s="55" t="n"/>
      <c r="U13" s="54">
        <f>'S36'!T13</f>
        <v/>
      </c>
      <c r="V13" s="53">
        <f>T13-U13</f>
        <v/>
      </c>
      <c r="W13" s="53">
        <f>N13-T13</f>
        <v/>
      </c>
      <c r="X13" s="34" t="n"/>
    </row>
    <row r="14" ht="22" customHeight="1">
      <c r="B14" s="10" t="n">
        <v>10</v>
      </c>
      <c r="C14" s="6" t="inlineStr">
        <is>
          <t>Sidi Kacem</t>
        </is>
      </c>
      <c r="D14" s="10" t="inlineStr">
        <is>
          <t>BIR TALEB</t>
        </is>
      </c>
      <c r="E14" s="10" t="inlineStr">
        <is>
          <t>50-21</t>
        </is>
      </c>
      <c r="F14" s="10" t="inlineStr">
        <is>
          <t>Entretien et réparation des stations de pompage</t>
        </is>
      </c>
      <c r="G14" s="10" t="inlineStr">
        <is>
          <t>Stabilisation Berge oued</t>
        </is>
      </c>
      <c r="H14" s="10" t="inlineStr">
        <is>
          <t>Pose de  gabions et recouvrement du talus par matelas Reno des stations de pompage P11/1.</t>
        </is>
      </c>
      <c r="I14" s="11" t="n">
        <v>480000</v>
      </c>
      <c r="J14" s="12" t="inlineStr">
        <is>
          <t>m³</t>
        </is>
      </c>
      <c r="K14" s="13" t="n">
        <v>320</v>
      </c>
      <c r="L14" s="51" t="n"/>
      <c r="M14" s="56">
        <f>'S36'!M14+L14</f>
        <v/>
      </c>
      <c r="N14" s="57">
        <f>IFERROR(M14/K14,0)</f>
        <v/>
      </c>
      <c r="O14" s="58">
        <f>'S36'!N14</f>
        <v/>
      </c>
      <c r="P14" s="57">
        <f>N14-O14</f>
        <v/>
      </c>
      <c r="Q14" s="32" t="n"/>
      <c r="R14" s="32" t="n"/>
      <c r="S14" s="32" t="n"/>
      <c r="T14" s="55" t="n"/>
      <c r="U14" s="58">
        <f>'S36'!T14</f>
        <v/>
      </c>
      <c r="V14" s="57">
        <f>T14-U14</f>
        <v/>
      </c>
      <c r="W14" s="57">
        <f>N14-T14</f>
        <v/>
      </c>
      <c r="X14" s="34" t="n"/>
    </row>
    <row r="15" ht="22" customHeight="1">
      <c r="B15" s="5" t="n">
        <v>11</v>
      </c>
      <c r="C15" s="6" t="inlineStr">
        <is>
          <t>Sidi Kacem</t>
        </is>
      </c>
      <c r="D15" s="5" t="inlineStr">
        <is>
          <t>BIR TALEB</t>
        </is>
      </c>
      <c r="E15" s="5" t="inlineStr">
        <is>
          <t>50-21</t>
        </is>
      </c>
      <c r="F15" s="5" t="inlineStr">
        <is>
          <t>Entretien et réparation des stations de pompage</t>
        </is>
      </c>
      <c r="G15" s="5" t="inlineStr">
        <is>
          <t>Génie civile des locaux des stations de pompage.</t>
        </is>
      </c>
      <c r="H15" s="5" t="inlineStr">
        <is>
          <t>Expertise d’état et d’étanchéité des locaux pompes.
Renforcement d’étanchéité des locaux pompe sous niveau des oueds des stations de pompage P11/1.
Entretien des supports en béton des conduites d’aspiration.</t>
        </is>
      </c>
      <c r="I15" s="7" t="n">
        <v>300000</v>
      </c>
      <c r="J15" s="8" t="inlineStr">
        <is>
          <t>U</t>
        </is>
      </c>
      <c r="K15" s="9" t="n">
        <v>1</v>
      </c>
      <c r="L15" s="51" t="n"/>
      <c r="M15" s="52">
        <f>'S36'!M15+L15</f>
        <v/>
      </c>
      <c r="N15" s="53">
        <f>IFERROR(M15/K15,0)</f>
        <v/>
      </c>
      <c r="O15" s="54">
        <f>'S36'!N15</f>
        <v/>
      </c>
      <c r="P15" s="53">
        <f>N15-O15</f>
        <v/>
      </c>
      <c r="Q15" s="32" t="n"/>
      <c r="R15" s="32" t="n"/>
      <c r="S15" s="32" t="n"/>
      <c r="T15" s="55" t="n"/>
      <c r="U15" s="54">
        <f>'S36'!T15</f>
        <v/>
      </c>
      <c r="V15" s="53">
        <f>T15-U15</f>
        <v/>
      </c>
      <c r="W15" s="53">
        <f>N15-T15</f>
        <v/>
      </c>
      <c r="X15" s="34" t="n"/>
    </row>
    <row r="16" ht="22" customHeight="1">
      <c r="B16" s="10" t="n">
        <v>12</v>
      </c>
      <c r="C16" s="6" t="inlineStr">
        <is>
          <t>Sidi Kacem</t>
        </is>
      </c>
      <c r="D16" s="10" t="inlineStr">
        <is>
          <t>CHEBANAT</t>
        </is>
      </c>
      <c r="E16" s="10" t="inlineStr">
        <is>
          <t>50-23</t>
        </is>
      </c>
      <c r="F16" s="10" t="inlineStr">
        <is>
          <t>Entretien et réparation du réseau d'assainissement et de drainage</t>
        </is>
      </c>
      <c r="G16" s="10" t="inlineStr">
        <is>
          <t>Travaux de curage des canaux en terre</t>
        </is>
      </c>
      <c r="H16" s="10" t="inlineStr">
        <is>
          <t>Curage des collecteurs d'assainissement des secteur SH5 et SH6.</t>
        </is>
      </c>
      <c r="I16" s="11" t="n">
        <v>1000000</v>
      </c>
      <c r="J16" s="12" t="inlineStr">
        <is>
          <t>ml</t>
        </is>
      </c>
      <c r="K16" s="13" t="n">
        <v>500</v>
      </c>
      <c r="L16" s="51" t="n"/>
      <c r="M16" s="56">
        <f>'S36'!M16+L16</f>
        <v/>
      </c>
      <c r="N16" s="57">
        <f>IFERROR(M16/K16,0)</f>
        <v/>
      </c>
      <c r="O16" s="58">
        <f>'S36'!N16</f>
        <v/>
      </c>
      <c r="P16" s="57">
        <f>N16-O16</f>
        <v/>
      </c>
      <c r="Q16" s="32" t="n"/>
      <c r="R16" s="32" t="n"/>
      <c r="S16" s="32" t="n"/>
      <c r="T16" s="55" t="n"/>
      <c r="U16" s="58">
        <f>'S36'!T16</f>
        <v/>
      </c>
      <c r="V16" s="57">
        <f>T16-U16</f>
        <v/>
      </c>
      <c r="W16" s="57">
        <f>N16-T16</f>
        <v/>
      </c>
      <c r="X16" s="34" t="n"/>
    </row>
    <row r="17" ht="22" customHeight="1">
      <c r="B17" s="5" t="n">
        <v>13</v>
      </c>
      <c r="C17" s="6" t="inlineStr">
        <is>
          <t>Sidi Kacem</t>
        </is>
      </c>
      <c r="D17" s="5" t="inlineStr">
        <is>
          <t>CHEBANAT</t>
        </is>
      </c>
      <c r="E17" s="5" t="inlineStr">
        <is>
          <t>50-23</t>
        </is>
      </c>
      <c r="F17" s="5" t="inlineStr">
        <is>
          <t>Entretien et réparation du réseau d'assainissement et de drainage</t>
        </is>
      </c>
      <c r="G17" s="5" t="inlineStr">
        <is>
          <t>Travaux de curage des canaux révetus</t>
        </is>
      </c>
      <c r="H17" s="5" t="inlineStr">
        <is>
          <t>Curage du canal principal d'irrigation beht partie aval 1.</t>
        </is>
      </c>
      <c r="I17" s="7" t="n">
        <v>739200</v>
      </c>
      <c r="J17" s="8" t="inlineStr">
        <is>
          <t>ml</t>
        </is>
      </c>
      <c r="K17" s="9" t="n">
        <v>370</v>
      </c>
      <c r="L17" s="51" t="n"/>
      <c r="M17" s="52">
        <f>'S36'!M17+L17</f>
        <v/>
      </c>
      <c r="N17" s="53">
        <f>IFERROR(M17/K17,0)</f>
        <v/>
      </c>
      <c r="O17" s="54">
        <f>'S36'!N17</f>
        <v/>
      </c>
      <c r="P17" s="53">
        <f>N17-O17</f>
        <v/>
      </c>
      <c r="Q17" s="32" t="n"/>
      <c r="R17" s="32" t="n"/>
      <c r="S17" s="32" t="n"/>
      <c r="T17" s="55" t="n"/>
      <c r="U17" s="54">
        <f>'S36'!T17</f>
        <v/>
      </c>
      <c r="V17" s="53">
        <f>T17-U17</f>
        <v/>
      </c>
      <c r="W17" s="53">
        <f>N17-T17</f>
        <v/>
      </c>
      <c r="X17" s="34" t="n"/>
    </row>
    <row r="18" ht="22" customHeight="1">
      <c r="B18" s="10" t="n">
        <v>14</v>
      </c>
      <c r="C18" s="6" t="inlineStr">
        <is>
          <t>Sidi Kacem</t>
        </is>
      </c>
      <c r="D18" s="10" t="inlineStr">
        <is>
          <t>ZIRARA</t>
        </is>
      </c>
      <c r="E18" s="10" t="inlineStr">
        <is>
          <t>50-23</t>
        </is>
      </c>
      <c r="F18" s="10" t="inlineStr">
        <is>
          <t>Entretien et réparation du réseau d'assainissement et de drainage</t>
        </is>
      </c>
      <c r="G18" s="10" t="inlineStr">
        <is>
          <t>Travaux de curage des canaux révetus</t>
        </is>
      </c>
      <c r="H18" s="10" t="inlineStr">
        <is>
          <t>Curage du canal principal d'irrigation beht partie aval 2.</t>
        </is>
      </c>
      <c r="I18" s="11" t="n">
        <v>1276800</v>
      </c>
      <c r="J18" s="12" t="inlineStr">
        <is>
          <t>ml</t>
        </is>
      </c>
      <c r="K18" s="13" t="n">
        <v>638</v>
      </c>
      <c r="L18" s="51" t="n"/>
      <c r="M18" s="56">
        <f>'S36'!M18+L18</f>
        <v/>
      </c>
      <c r="N18" s="57">
        <f>IFERROR(M18/K18,0)</f>
        <v/>
      </c>
      <c r="O18" s="58">
        <f>'S36'!N18</f>
        <v/>
      </c>
      <c r="P18" s="57">
        <f>N18-O18</f>
        <v/>
      </c>
      <c r="Q18" s="32" t="n"/>
      <c r="R18" s="32" t="n"/>
      <c r="S18" s="32" t="n"/>
      <c r="T18" s="55" t="n"/>
      <c r="U18" s="58">
        <f>'S36'!T18</f>
        <v/>
      </c>
      <c r="V18" s="57">
        <f>T18-U18</f>
        <v/>
      </c>
      <c r="W18" s="57">
        <f>N18-T18</f>
        <v/>
      </c>
      <c r="X18" s="34" t="n"/>
    </row>
    <row r="19" ht="22" customHeight="1">
      <c r="B19" s="5" t="n">
        <v>15</v>
      </c>
      <c r="C19" s="6" t="inlineStr">
        <is>
          <t>Sidi Kacem</t>
        </is>
      </c>
      <c r="D19" s="5" t="inlineStr">
        <is>
          <t>DAR LAASLOUJI</t>
        </is>
      </c>
      <c r="E19" s="5" t="inlineStr">
        <is>
          <t>50-23</t>
        </is>
      </c>
      <c r="F19" s="5" t="inlineStr">
        <is>
          <t>Entretien et réparation du réseau d'assainissement et de drainage</t>
        </is>
      </c>
      <c r="G19" s="5" t="inlineStr">
        <is>
          <t>Travaux de curage des canaux en terre</t>
        </is>
      </c>
      <c r="H19" s="5" t="inlineStr">
        <is>
          <t>Curage des collecteurs d'assainissement des secteurs P8-1 et P8-2</t>
        </is>
      </c>
      <c r="I19" s="7" t="n">
        <v>5796360</v>
      </c>
      <c r="J19" s="8" t="inlineStr">
        <is>
          <t>ml</t>
        </is>
      </c>
      <c r="K19" s="9" t="n">
        <v>2898</v>
      </c>
      <c r="L19" s="51" t="n"/>
      <c r="M19" s="52">
        <f>'S36'!M19+L19</f>
        <v/>
      </c>
      <c r="N19" s="53">
        <f>IFERROR(M19/K19,0)</f>
        <v/>
      </c>
      <c r="O19" s="54">
        <f>'S36'!N19</f>
        <v/>
      </c>
      <c r="P19" s="53">
        <f>N19-O19</f>
        <v/>
      </c>
      <c r="Q19" s="32" t="n"/>
      <c r="R19" s="32" t="n"/>
      <c r="S19" s="32" t="n"/>
      <c r="T19" s="55" t="n"/>
      <c r="U19" s="54">
        <f>'S36'!T19</f>
        <v/>
      </c>
      <c r="V19" s="53">
        <f>T19-U19</f>
        <v/>
      </c>
      <c r="W19" s="53">
        <f>N19-T19</f>
        <v/>
      </c>
      <c r="X19" s="34" t="n"/>
    </row>
    <row r="20" ht="22" customHeight="1">
      <c r="B20" s="10" t="n">
        <v>16</v>
      </c>
      <c r="C20" s="6" t="inlineStr">
        <is>
          <t>Sidi Kacem</t>
        </is>
      </c>
      <c r="D20" s="10" t="inlineStr">
        <is>
          <t>DAR LAASLOUJI</t>
        </is>
      </c>
      <c r="E20" s="10" t="inlineStr">
        <is>
          <t>40-21</t>
        </is>
      </c>
      <c r="F20" s="10" t="inlineStr">
        <is>
          <t>Travaux de pistes</t>
        </is>
      </c>
      <c r="G20" s="10" t="inlineStr">
        <is>
          <t>Entretien des pistes agricoles</t>
        </is>
      </c>
      <c r="H20" s="10" t="inlineStr">
        <is>
          <t>Entretien des pistes agricoles</t>
        </is>
      </c>
      <c r="I20" s="11" t="n">
        <v>340000</v>
      </c>
      <c r="J20" s="12" t="inlineStr">
        <is>
          <t>km</t>
        </is>
      </c>
      <c r="K20" s="13" t="n">
        <v>1</v>
      </c>
      <c r="L20" s="51" t="n"/>
      <c r="M20" s="56">
        <f>'S36'!M20+L20</f>
        <v/>
      </c>
      <c r="N20" s="57">
        <f>IFERROR(M20/K20,0)</f>
        <v/>
      </c>
      <c r="O20" s="58">
        <f>'S36'!N20</f>
        <v/>
      </c>
      <c r="P20" s="57">
        <f>N20-O20</f>
        <v/>
      </c>
      <c r="Q20" s="32" t="n"/>
      <c r="R20" s="32" t="n"/>
      <c r="S20" s="32" t="n"/>
      <c r="T20" s="55" t="n"/>
      <c r="U20" s="58">
        <f>'S36'!T20</f>
        <v/>
      </c>
      <c r="V20" s="57">
        <f>T20-U20</f>
        <v/>
      </c>
      <c r="W20" s="57">
        <f>N20-T20</f>
        <v/>
      </c>
      <c r="X20" s="34" t="n"/>
    </row>
    <row r="21" ht="22" customHeight="1">
      <c r="B21" s="5" t="n">
        <v>17</v>
      </c>
      <c r="C21" s="6" t="inlineStr">
        <is>
          <t>Sidi Kacem</t>
        </is>
      </c>
      <c r="D21" s="5" t="inlineStr">
        <is>
          <t>HOUAFATE</t>
        </is>
      </c>
      <c r="E21" s="5" t="inlineStr">
        <is>
          <t>20-11</t>
        </is>
      </c>
      <c r="F21" s="5" t="inlineStr">
        <is>
          <t>Travaux de réhabilitation des équipements</t>
        </is>
      </c>
      <c r="G21" s="5" t="inlineStr">
        <is>
          <t>Travaux de réhabilitation des canaux portés d'irrigation</t>
        </is>
      </c>
      <c r="H21" s="5" t="inlineStr">
        <is>
          <t>Fourniture et de pose de canaux porté et accessoires du réseau S3 du secteur S13</t>
        </is>
      </c>
      <c r="I21" s="7" t="n">
        <v>397934</v>
      </c>
      <c r="J21" s="8" t="inlineStr">
        <is>
          <t>ml</t>
        </is>
      </c>
      <c r="K21" s="9" t="n">
        <v>133</v>
      </c>
      <c r="L21" s="51" t="n"/>
      <c r="M21" s="52">
        <f>'S36'!M21+L21</f>
        <v/>
      </c>
      <c r="N21" s="53">
        <f>IFERROR(M21/K21,0)</f>
        <v/>
      </c>
      <c r="O21" s="54">
        <f>'S36'!N21</f>
        <v/>
      </c>
      <c r="P21" s="53">
        <f>N21-O21</f>
        <v/>
      </c>
      <c r="Q21" s="32" t="n"/>
      <c r="R21" s="32" t="n"/>
      <c r="S21" s="32" t="n"/>
      <c r="T21" s="55" t="n"/>
      <c r="U21" s="54">
        <f>'S36'!T21</f>
        <v/>
      </c>
      <c r="V21" s="53">
        <f>T21-U21</f>
        <v/>
      </c>
      <c r="W21" s="53">
        <f>N21-T21</f>
        <v/>
      </c>
      <c r="X21" s="34" t="n"/>
    </row>
    <row r="22" ht="22" customHeight="1">
      <c r="B22" s="10" t="n">
        <v>18</v>
      </c>
      <c r="C22" s="6" t="inlineStr">
        <is>
          <t>Sidi Kacem</t>
        </is>
      </c>
      <c r="D22" s="10" t="inlineStr">
        <is>
          <t>HOUAFATE</t>
        </is>
      </c>
      <c r="E22" s="10" t="inlineStr">
        <is>
          <t>20-11</t>
        </is>
      </c>
      <c r="F22" s="10" t="inlineStr">
        <is>
          <t>Travaux de réhabilitation des équipements</t>
        </is>
      </c>
      <c r="G22" s="10" t="inlineStr"/>
      <c r="H22" s="10" t="inlineStr">
        <is>
          <t>Fourniture et de pose de canaux porté et accessoires du réseau T2S1 du secteur S13</t>
        </is>
      </c>
      <c r="I22" s="11" t="n">
        <v>207575</v>
      </c>
      <c r="J22" s="12" t="inlineStr">
        <is>
          <t>ml</t>
        </is>
      </c>
      <c r="K22" s="13" t="n">
        <v>69</v>
      </c>
      <c r="L22" s="51" t="n"/>
      <c r="M22" s="56">
        <f>'S36'!M22+L22</f>
        <v/>
      </c>
      <c r="N22" s="57">
        <f>IFERROR(M22/K22,0)</f>
        <v/>
      </c>
      <c r="O22" s="58">
        <f>'S36'!N22</f>
        <v/>
      </c>
      <c r="P22" s="57">
        <f>N22-O22</f>
        <v/>
      </c>
      <c r="Q22" s="32" t="n"/>
      <c r="R22" s="32" t="n"/>
      <c r="S22" s="32" t="n"/>
      <c r="T22" s="55" t="n"/>
      <c r="U22" s="58">
        <f>'S36'!T22</f>
        <v/>
      </c>
      <c r="V22" s="57">
        <f>T22-U22</f>
        <v/>
      </c>
      <c r="W22" s="57">
        <f>N22-T22</f>
        <v/>
      </c>
      <c r="X22" s="34" t="n"/>
    </row>
    <row r="23" ht="22" customHeight="1">
      <c r="B23" s="5" t="n">
        <v>19</v>
      </c>
      <c r="C23" s="6" t="inlineStr">
        <is>
          <t>Sidi Kacem</t>
        </is>
      </c>
      <c r="D23" s="5" t="inlineStr">
        <is>
          <t>HOUAFATE</t>
        </is>
      </c>
      <c r="E23" s="5" t="inlineStr">
        <is>
          <t>40-21</t>
        </is>
      </c>
      <c r="F23" s="5" t="inlineStr">
        <is>
          <t>Travaux de pistes</t>
        </is>
      </c>
      <c r="G23" s="5" t="inlineStr">
        <is>
          <t>Entretien des pistes agricoles</t>
        </is>
      </c>
      <c r="H23" s="5" t="inlineStr">
        <is>
          <t>Entretien des pistes agricoles</t>
        </is>
      </c>
      <c r="I23" s="7" t="n">
        <v>2200000</v>
      </c>
      <c r="J23" s="8" t="inlineStr">
        <is>
          <t>km</t>
        </is>
      </c>
      <c r="K23" s="9" t="n">
        <v>4</v>
      </c>
      <c r="L23" s="51" t="n"/>
      <c r="M23" s="52">
        <f>'S36'!M23+L23</f>
        <v/>
      </c>
      <c r="N23" s="53">
        <f>IFERROR(M23/K23,0)</f>
        <v/>
      </c>
      <c r="O23" s="54">
        <f>'S36'!N23</f>
        <v/>
      </c>
      <c r="P23" s="53">
        <f>N23-O23</f>
        <v/>
      </c>
      <c r="Q23" s="32" t="n"/>
      <c r="R23" s="32" t="n"/>
      <c r="S23" s="32" t="n"/>
      <c r="T23" s="55" t="n"/>
      <c r="U23" s="54">
        <f>'S36'!T23</f>
        <v/>
      </c>
      <c r="V23" s="53">
        <f>T23-U23</f>
        <v/>
      </c>
      <c r="W23" s="53">
        <f>N23-T23</f>
        <v/>
      </c>
      <c r="X23" s="34" t="n"/>
    </row>
    <row r="24" ht="22" customHeight="1">
      <c r="B24" s="10" t="n">
        <v>20</v>
      </c>
      <c r="C24" s="6" t="inlineStr">
        <is>
          <t>Sidi Kacem</t>
        </is>
      </c>
      <c r="D24" s="10" t="inlineStr">
        <is>
          <t>HOUAFATE</t>
        </is>
      </c>
      <c r="E24" s="10" t="inlineStr">
        <is>
          <t>50-23</t>
        </is>
      </c>
      <c r="F24" s="10" t="inlineStr">
        <is>
          <t>Entretien et réparation du réseau d'assainissement et de drainage</t>
        </is>
      </c>
      <c r="G24" s="10" t="inlineStr">
        <is>
          <t>Curage des prises sur l’oued, bâche d’aspiration et bassin de régulation.</t>
        </is>
      </c>
      <c r="H24" s="10" t="inlineStr">
        <is>
          <t>Curage des prises sur l’oued de la station de pompage S17 et S13.
Nettoyage des grilles de préfiltration des boues colmaté de la station de pompage S17 et S13.
Curage de la bâche d’aspiration de la station S17 et S13.</t>
        </is>
      </c>
      <c r="I24" s="11" t="n">
        <v>300000</v>
      </c>
      <c r="J24" s="12" t="inlineStr">
        <is>
          <t>ml</t>
        </is>
      </c>
      <c r="K24" s="13" t="n">
        <v>100</v>
      </c>
      <c r="L24" s="51" t="n"/>
      <c r="M24" s="56">
        <f>'S36'!M24+L24</f>
        <v/>
      </c>
      <c r="N24" s="57">
        <f>IFERROR(M24/K24,0)</f>
        <v/>
      </c>
      <c r="O24" s="58">
        <f>'S36'!N24</f>
        <v/>
      </c>
      <c r="P24" s="57">
        <f>N24-O24</f>
        <v/>
      </c>
      <c r="Q24" s="32" t="n"/>
      <c r="R24" s="32" t="n"/>
      <c r="S24" s="32" t="n"/>
      <c r="T24" s="55" t="n"/>
      <c r="U24" s="58">
        <f>'S36'!T24</f>
        <v/>
      </c>
      <c r="V24" s="57">
        <f>T24-U24</f>
        <v/>
      </c>
      <c r="W24" s="57">
        <f>N24-T24</f>
        <v/>
      </c>
      <c r="X24" s="34" t="n"/>
    </row>
    <row r="25" ht="22" customHeight="1">
      <c r="B25" s="5" t="n">
        <v>21</v>
      </c>
      <c r="C25" s="6" t="inlineStr">
        <is>
          <t>Sidi Kacem</t>
        </is>
      </c>
      <c r="D25" s="5" t="inlineStr">
        <is>
          <t>HOUAFATE</t>
        </is>
      </c>
      <c r="E25" s="5" t="inlineStr">
        <is>
          <t>50-21</t>
        </is>
      </c>
      <c r="F25" s="5" t="inlineStr">
        <is>
          <t>Entretien et réparation des stations de pompage</t>
        </is>
      </c>
      <c r="G25" s="5" t="inlineStr">
        <is>
          <t>Prestation de maintenance des débitmètres et leurs équipements annexes installés au niveau des station de pompage</t>
        </is>
      </c>
      <c r="H25" s="5" t="inlineStr">
        <is>
          <t>Changement trois débitmètre Ø 600mm inondés de la station de pompage S13.</t>
        </is>
      </c>
      <c r="I25" s="7" t="n">
        <v>250000</v>
      </c>
      <c r="J25" s="8" t="inlineStr">
        <is>
          <t>U</t>
        </is>
      </c>
      <c r="K25" s="9" t="n">
        <v>3</v>
      </c>
      <c r="L25" s="51" t="n"/>
      <c r="M25" s="52">
        <f>'S36'!M25+L25</f>
        <v/>
      </c>
      <c r="N25" s="53">
        <f>IFERROR(M25/K25,0)</f>
        <v/>
      </c>
      <c r="O25" s="54">
        <f>'S36'!N25</f>
        <v/>
      </c>
      <c r="P25" s="53">
        <f>N25-O25</f>
        <v/>
      </c>
      <c r="Q25" s="32" t="n"/>
      <c r="R25" s="32" t="n"/>
      <c r="S25" s="32" t="n"/>
      <c r="T25" s="55" t="n"/>
      <c r="U25" s="54">
        <f>'S36'!T25</f>
        <v/>
      </c>
      <c r="V25" s="53">
        <f>T25-U25</f>
        <v/>
      </c>
      <c r="W25" s="53">
        <f>N25-T25</f>
        <v/>
      </c>
      <c r="X25" s="34" t="n"/>
    </row>
    <row r="26" ht="22" customHeight="1">
      <c r="B26" s="10" t="n">
        <v>22</v>
      </c>
      <c r="C26" s="6" t="inlineStr">
        <is>
          <t>Sidi Kacem</t>
        </is>
      </c>
      <c r="D26" s="10" t="inlineStr">
        <is>
          <t>HOUAFATE</t>
        </is>
      </c>
      <c r="E26" s="10" t="inlineStr">
        <is>
          <t>50-21</t>
        </is>
      </c>
      <c r="F26" s="10" t="inlineStr">
        <is>
          <t>Entretien et réparation des stations de pompage</t>
        </is>
      </c>
      <c r="G26" s="10" t="inlineStr">
        <is>
          <t>Prestations de maintenance des moteurs électriques des stations de pompage.</t>
        </is>
      </c>
      <c r="H26" s="10" t="inlineStr">
        <is>
          <t>Révision des trois moteurs électriques 200 KW principaux de la station S13. 
Révision des deux moteurs électriques 5,5 KW groupes vide de la station S13.</t>
        </is>
      </c>
      <c r="I26" s="11" t="n">
        <v>25000</v>
      </c>
      <c r="J26" s="12" t="inlineStr">
        <is>
          <t>U</t>
        </is>
      </c>
      <c r="K26" s="13" t="n">
        <v>3</v>
      </c>
      <c r="L26" s="51" t="n"/>
      <c r="M26" s="56">
        <f>'S36'!M26+L26</f>
        <v/>
      </c>
      <c r="N26" s="57">
        <f>IFERROR(M26/K26,0)</f>
        <v/>
      </c>
      <c r="O26" s="58">
        <f>'S36'!N26</f>
        <v/>
      </c>
      <c r="P26" s="57">
        <f>N26-O26</f>
        <v/>
      </c>
      <c r="Q26" s="32" t="n"/>
      <c r="R26" s="32" t="n"/>
      <c r="S26" s="32" t="n"/>
      <c r="T26" s="55" t="n"/>
      <c r="U26" s="58">
        <f>'S36'!T26</f>
        <v/>
      </c>
      <c r="V26" s="57">
        <f>T26-U26</f>
        <v/>
      </c>
      <c r="W26" s="57">
        <f>N26-T26</f>
        <v/>
      </c>
      <c r="X26" s="34" t="n"/>
    </row>
    <row r="27" ht="22" customHeight="1">
      <c r="B27" s="5" t="n">
        <v>23</v>
      </c>
      <c r="C27" s="6" t="inlineStr">
        <is>
          <t>Sidi Kacem</t>
        </is>
      </c>
      <c r="D27" s="5" t="inlineStr">
        <is>
          <t>HOUAFATE</t>
        </is>
      </c>
      <c r="E27" s="5" t="inlineStr">
        <is>
          <t>50-21</t>
        </is>
      </c>
      <c r="F27" s="5" t="inlineStr">
        <is>
          <t>Entretien et réparation des stations de pompage</t>
        </is>
      </c>
      <c r="G27" s="5" t="inlineStr">
        <is>
          <t>Prestations de maintenance et de réparation mécanique des pompes et des groupes motopompes submersibles des stations de pompage.</t>
        </is>
      </c>
      <c r="H27" s="5" t="inlineStr">
        <is>
          <t>Démontage et expertise des roues des  pompes principaux et pompes a vide de la station S13.
Changement des roulements, tresses et organes d’effectués de la station S13.</t>
        </is>
      </c>
      <c r="I27" s="7" t="n">
        <v>38000</v>
      </c>
      <c r="J27" s="8" t="inlineStr">
        <is>
          <t>U</t>
        </is>
      </c>
      <c r="K27" s="9" t="n">
        <v>1</v>
      </c>
      <c r="L27" s="51" t="n"/>
      <c r="M27" s="52">
        <f>'S36'!M27+L27</f>
        <v/>
      </c>
      <c r="N27" s="53">
        <f>IFERROR(M27/K27,0)</f>
        <v/>
      </c>
      <c r="O27" s="54">
        <f>'S36'!N27</f>
        <v/>
      </c>
      <c r="P27" s="53">
        <f>N27-O27</f>
        <v/>
      </c>
      <c r="Q27" s="32" t="n"/>
      <c r="R27" s="32" t="n"/>
      <c r="S27" s="32" t="n"/>
      <c r="T27" s="55" t="n"/>
      <c r="U27" s="54">
        <f>'S36'!T27</f>
        <v/>
      </c>
      <c r="V27" s="53">
        <f>T27-U27</f>
        <v/>
      </c>
      <c r="W27" s="53">
        <f>N27-T27</f>
        <v/>
      </c>
      <c r="X27" s="34" t="n"/>
    </row>
    <row r="28" ht="22" customHeight="1">
      <c r="B28" s="10" t="n">
        <v>24</v>
      </c>
      <c r="C28" s="6" t="inlineStr">
        <is>
          <t>Sidi Kacem</t>
        </is>
      </c>
      <c r="D28" s="10" t="inlineStr">
        <is>
          <t>HOUAFATE</t>
        </is>
      </c>
      <c r="E28" s="10" t="inlineStr">
        <is>
          <t>50-21</t>
        </is>
      </c>
      <c r="F28" s="10" t="inlineStr">
        <is>
          <t>Entretien et réparation des stations de pompage</t>
        </is>
      </c>
      <c r="G28" s="10" t="inlineStr">
        <is>
          <t>Stabilisation Berge oued</t>
        </is>
      </c>
      <c r="H28" s="10" t="inlineStr">
        <is>
          <t>Pose de  gabions et recouvrement du talus par matelas Reno des stations de pompage S13.</t>
        </is>
      </c>
      <c r="I28" s="11" t="n">
        <v>10560000</v>
      </c>
      <c r="J28" s="12" t="inlineStr">
        <is>
          <t>m³</t>
        </is>
      </c>
      <c r="K28" s="13" t="n">
        <v>7040</v>
      </c>
      <c r="L28" s="51" t="n"/>
      <c r="M28" s="56">
        <f>'S36'!M28+L28</f>
        <v/>
      </c>
      <c r="N28" s="57">
        <f>IFERROR(M28/K28,0)</f>
        <v/>
      </c>
      <c r="O28" s="58">
        <f>'S36'!N28</f>
        <v/>
      </c>
      <c r="P28" s="57">
        <f>N28-O28</f>
        <v/>
      </c>
      <c r="Q28" s="32" t="n"/>
      <c r="R28" s="32" t="n"/>
      <c r="S28" s="32" t="n"/>
      <c r="T28" s="55" t="n"/>
      <c r="U28" s="58">
        <f>'S36'!T28</f>
        <v/>
      </c>
      <c r="V28" s="57">
        <f>T28-U28</f>
        <v/>
      </c>
      <c r="W28" s="57">
        <f>N28-T28</f>
        <v/>
      </c>
      <c r="X28" s="34" t="n"/>
    </row>
    <row r="29" ht="22" customHeight="1">
      <c r="B29" s="5" t="n">
        <v>25</v>
      </c>
      <c r="C29" s="6" t="inlineStr">
        <is>
          <t>Sidi Kacem</t>
        </is>
      </c>
      <c r="D29" s="5" t="inlineStr">
        <is>
          <t>HOUAFATE</t>
        </is>
      </c>
      <c r="E29" s="5" t="inlineStr">
        <is>
          <t>50-21</t>
        </is>
      </c>
      <c r="F29" s="5" t="inlineStr">
        <is>
          <t>Entretien et réparation des stations de pompage</t>
        </is>
      </c>
      <c r="G29" s="5" t="inlineStr">
        <is>
          <t>Mur clôture des stations de pompage.</t>
        </is>
      </c>
      <c r="H29" s="5" t="inlineStr">
        <is>
          <t>Stabilisation du sol et reconstruction des murs clôture (270m) cote oued de la station S17.</t>
        </is>
      </c>
      <c r="I29" s="7" t="n">
        <v>144000</v>
      </c>
      <c r="J29" s="8" t="inlineStr">
        <is>
          <t>ml</t>
        </is>
      </c>
      <c r="K29" s="9" t="n">
        <v>270</v>
      </c>
      <c r="L29" s="51" t="n"/>
      <c r="M29" s="52">
        <f>'S36'!M29+L29</f>
        <v/>
      </c>
      <c r="N29" s="53">
        <f>IFERROR(M29/K29,0)</f>
        <v/>
      </c>
      <c r="O29" s="54">
        <f>'S36'!N29</f>
        <v/>
      </c>
      <c r="P29" s="53">
        <f>N29-O29</f>
        <v/>
      </c>
      <c r="Q29" s="32" t="n"/>
      <c r="R29" s="32" t="n"/>
      <c r="S29" s="32" t="n"/>
      <c r="T29" s="55" t="n"/>
      <c r="U29" s="54">
        <f>'S36'!T29</f>
        <v/>
      </c>
      <c r="V29" s="53">
        <f>T29-U29</f>
        <v/>
      </c>
      <c r="W29" s="53">
        <f>N29-T29</f>
        <v/>
      </c>
      <c r="X29" s="34" t="n"/>
    </row>
    <row r="30" ht="22" customHeight="1">
      <c r="B30" s="10" t="n">
        <v>26</v>
      </c>
      <c r="C30" s="6" t="inlineStr">
        <is>
          <t>Sidi Kacem</t>
        </is>
      </c>
      <c r="D30" s="10" t="inlineStr">
        <is>
          <t>HOUAFATE</t>
        </is>
      </c>
      <c r="E30" s="10" t="inlineStr">
        <is>
          <t>50-21</t>
        </is>
      </c>
      <c r="F30" s="10" t="inlineStr">
        <is>
          <t>Entretien et réparation des stations de pompage</t>
        </is>
      </c>
      <c r="G30" s="10" t="inlineStr">
        <is>
          <t>Génie civile des locaux des stations de pompage.</t>
        </is>
      </c>
      <c r="H30" s="10" t="inlineStr">
        <is>
          <t>Expertise d’état et d’étanchéité des locaux pompes, commande, puissance des stations de pompage S17 et S13.
Renforcement d’étanchéité des locaux pompe sous niveau des oueds des stations de pompage S17 et S13.</t>
        </is>
      </c>
      <c r="I30" s="11" t="n">
        <v>800000</v>
      </c>
      <c r="J30" s="12" t="inlineStr">
        <is>
          <t>U</t>
        </is>
      </c>
      <c r="K30" s="13" t="n">
        <v>1</v>
      </c>
      <c r="L30" s="51" t="n"/>
      <c r="M30" s="56">
        <f>'S36'!M30+L30</f>
        <v/>
      </c>
      <c r="N30" s="57">
        <f>IFERROR(M30/K30,0)</f>
        <v/>
      </c>
      <c r="O30" s="58">
        <f>'S36'!N30</f>
        <v/>
      </c>
      <c r="P30" s="57">
        <f>N30-O30</f>
        <v/>
      </c>
      <c r="Q30" s="32" t="n"/>
      <c r="R30" s="32" t="n"/>
      <c r="S30" s="32" t="n"/>
      <c r="T30" s="55" t="n"/>
      <c r="U30" s="58">
        <f>'S36'!T30</f>
        <v/>
      </c>
      <c r="V30" s="57">
        <f>T30-U30</f>
        <v/>
      </c>
      <c r="W30" s="57">
        <f>N30-T30</f>
        <v/>
      </c>
      <c r="X30" s="34" t="n"/>
    </row>
    <row r="31" ht="22" customHeight="1">
      <c r="B31" s="5" t="n">
        <v>27</v>
      </c>
      <c r="C31" s="6" t="inlineStr">
        <is>
          <t>Sidi Kacem</t>
        </is>
      </c>
      <c r="D31" s="5" t="inlineStr">
        <is>
          <t>NOUIRAT</t>
        </is>
      </c>
      <c r="E31" s="5" t="inlineStr">
        <is>
          <t>50-23</t>
        </is>
      </c>
      <c r="F31" s="5" t="inlineStr">
        <is>
          <t>Entretien et réparation du réseau d'assainissement et de drainage</t>
        </is>
      </c>
      <c r="G31" s="5" t="inlineStr">
        <is>
          <t>Travaux de curage des canaux en terre</t>
        </is>
      </c>
      <c r="H31" s="5" t="inlineStr">
        <is>
          <t>Curage des collecteurs d'assainissement des secteurs EST1 et N5</t>
        </is>
      </c>
      <c r="I31" s="7" t="n">
        <v>1733306</v>
      </c>
      <c r="J31" s="8" t="inlineStr">
        <is>
          <t>ml</t>
        </is>
      </c>
      <c r="K31" s="9" t="n">
        <v>867</v>
      </c>
      <c r="L31" s="51" t="n"/>
      <c r="M31" s="52">
        <f>'S36'!M31+L31</f>
        <v/>
      </c>
      <c r="N31" s="53">
        <f>IFERROR(M31/K31,0)</f>
        <v/>
      </c>
      <c r="O31" s="54">
        <f>'S36'!N31</f>
        <v/>
      </c>
      <c r="P31" s="53">
        <f>N31-O31</f>
        <v/>
      </c>
      <c r="Q31" s="32" t="n"/>
      <c r="R31" s="32" t="n"/>
      <c r="S31" s="32" t="n"/>
      <c r="T31" s="55" t="n"/>
      <c r="U31" s="54">
        <f>'S36'!T31</f>
        <v/>
      </c>
      <c r="V31" s="53">
        <f>T31-U31</f>
        <v/>
      </c>
      <c r="W31" s="53">
        <f>N31-T31</f>
        <v/>
      </c>
      <c r="X31" s="34" t="n"/>
    </row>
    <row r="32" ht="22" customHeight="1">
      <c r="B32" s="10" t="n">
        <v>28</v>
      </c>
      <c r="C32" s="6" t="inlineStr">
        <is>
          <t>Sidi Kacem</t>
        </is>
      </c>
      <c r="D32" s="10" t="inlineStr">
        <is>
          <t>NOUIRAT</t>
        </is>
      </c>
      <c r="E32" s="10" t="inlineStr">
        <is>
          <t>40-21</t>
        </is>
      </c>
      <c r="F32" s="10" t="inlineStr">
        <is>
          <t>Travaux de pistes</t>
        </is>
      </c>
      <c r="G32" s="10" t="inlineStr">
        <is>
          <t>Entretien des pistes agricoles</t>
        </is>
      </c>
      <c r="H32" s="10" t="inlineStr">
        <is>
          <t>Entretien des pistes agricoles</t>
        </is>
      </c>
      <c r="I32" s="11" t="n">
        <v>670000</v>
      </c>
      <c r="J32" s="12" t="inlineStr">
        <is>
          <t>km</t>
        </is>
      </c>
      <c r="K32" s="13" t="n">
        <v>1</v>
      </c>
      <c r="L32" s="51" t="n"/>
      <c r="M32" s="56">
        <f>'S36'!M32+L32</f>
        <v/>
      </c>
      <c r="N32" s="57">
        <f>IFERROR(M32/K32,0)</f>
        <v/>
      </c>
      <c r="O32" s="58">
        <f>'S36'!N32</f>
        <v/>
      </c>
      <c r="P32" s="57">
        <f>N32-O32</f>
        <v/>
      </c>
      <c r="Q32" s="32" t="n"/>
      <c r="R32" s="32" t="n"/>
      <c r="S32" s="32" t="n"/>
      <c r="T32" s="55" t="n"/>
      <c r="U32" s="58">
        <f>'S36'!T32</f>
        <v/>
      </c>
      <c r="V32" s="57">
        <f>T32-U32</f>
        <v/>
      </c>
      <c r="W32" s="57">
        <f>N32-T32</f>
        <v/>
      </c>
      <c r="X32" s="34" t="n"/>
    </row>
    <row r="33" ht="22" customHeight="1">
      <c r="B33" s="5" t="n">
        <v>29</v>
      </c>
      <c r="C33" s="6" t="inlineStr">
        <is>
          <t>Sidi Kacem</t>
        </is>
      </c>
      <c r="D33" s="5" t="inlineStr">
        <is>
          <t>NOUIRAT</t>
        </is>
      </c>
      <c r="E33" s="5" t="inlineStr">
        <is>
          <t>20-11</t>
        </is>
      </c>
      <c r="F33" s="5" t="inlineStr">
        <is>
          <t>Travaux de réhabilitation des équipements</t>
        </is>
      </c>
      <c r="G33" s="5" t="inlineStr">
        <is>
          <t>Travaux de réhabilitation des ouvrages de génie civil</t>
        </is>
      </c>
      <c r="H33" s="5" t="inlineStr">
        <is>
          <t>Réhabilitation de l'ouvrage( genie civil ,gabiollannage,clapet anti retour et buse) de l'ouvrage de débouche SE1</t>
        </is>
      </c>
      <c r="I33" s="7" t="n">
        <v>2500000</v>
      </c>
      <c r="J33" s="8" t="inlineStr">
        <is>
          <t>U</t>
        </is>
      </c>
      <c r="K33" s="9" t="n">
        <v>5</v>
      </c>
      <c r="L33" s="51" t="n"/>
      <c r="M33" s="52">
        <f>'S36'!M33+L33</f>
        <v/>
      </c>
      <c r="N33" s="53">
        <f>IFERROR(M33/K33,0)</f>
        <v/>
      </c>
      <c r="O33" s="54">
        <f>'S36'!N33</f>
        <v/>
      </c>
      <c r="P33" s="53">
        <f>N33-O33</f>
        <v/>
      </c>
      <c r="Q33" s="32" t="n"/>
      <c r="R33" s="32" t="n"/>
      <c r="S33" s="32" t="n"/>
      <c r="T33" s="55" t="n"/>
      <c r="U33" s="54">
        <f>'S36'!T33</f>
        <v/>
      </c>
      <c r="V33" s="53">
        <f>T33-U33</f>
        <v/>
      </c>
      <c r="W33" s="53">
        <f>N33-T33</f>
        <v/>
      </c>
      <c r="X33" s="34" t="n"/>
    </row>
    <row r="34" ht="22" customHeight="1">
      <c r="B34" s="10" t="n">
        <v>30</v>
      </c>
      <c r="C34" s="6" t="inlineStr">
        <is>
          <t>Sidi Kacem</t>
        </is>
      </c>
      <c r="D34" s="10" t="inlineStr">
        <is>
          <t>NOUIRAT</t>
        </is>
      </c>
      <c r="E34" s="10" t="inlineStr">
        <is>
          <t>50-23</t>
        </is>
      </c>
      <c r="F34" s="10" t="inlineStr">
        <is>
          <t>Entretien et réparation du réseau d'assainissement et de drainage</t>
        </is>
      </c>
      <c r="G34" s="10" t="inlineStr">
        <is>
          <t>Curage des prises sur l’oued, bâche d’aspiration et bassin de régulation.</t>
        </is>
      </c>
      <c r="H34" s="10" t="inlineStr">
        <is>
          <t>Curage des prises sur l’oued de la station de pompage E1.
Nettoyage des grilles de préfiltration des boues colmaté de la station de pompage E1.
Curage de la bâche d’aspiration de la station E1.</t>
        </is>
      </c>
      <c r="I34" s="11" t="n">
        <v>800000</v>
      </c>
      <c r="J34" s="12" t="inlineStr">
        <is>
          <t>ml</t>
        </is>
      </c>
      <c r="K34" s="13" t="n">
        <v>267</v>
      </c>
      <c r="L34" s="51" t="n"/>
      <c r="M34" s="56">
        <f>'S36'!M34+L34</f>
        <v/>
      </c>
      <c r="N34" s="57">
        <f>IFERROR(M34/K34,0)</f>
        <v/>
      </c>
      <c r="O34" s="58">
        <f>'S36'!N34</f>
        <v/>
      </c>
      <c r="P34" s="57">
        <f>N34-O34</f>
        <v/>
      </c>
      <c r="Q34" s="32" t="n"/>
      <c r="R34" s="32" t="n"/>
      <c r="S34" s="32" t="n"/>
      <c r="T34" s="55" t="n"/>
      <c r="U34" s="58">
        <f>'S36'!T34</f>
        <v/>
      </c>
      <c r="V34" s="57">
        <f>T34-U34</f>
        <v/>
      </c>
      <c r="W34" s="57">
        <f>N34-T34</f>
        <v/>
      </c>
      <c r="X34" s="34" t="n"/>
    </row>
    <row r="35" ht="22" customHeight="1">
      <c r="B35" s="5" t="n">
        <v>31</v>
      </c>
      <c r="C35" s="6" t="inlineStr">
        <is>
          <t>Sidi Kacem</t>
        </is>
      </c>
      <c r="D35" s="5" t="inlineStr">
        <is>
          <t>NOUIRAT</t>
        </is>
      </c>
      <c r="E35" s="5" t="inlineStr">
        <is>
          <t>50-21</t>
        </is>
      </c>
      <c r="F35" s="5" t="inlineStr">
        <is>
          <t>Entretien et réparation des stations de pompage</t>
        </is>
      </c>
      <c r="G35" s="5" t="inlineStr">
        <is>
          <t>Prestation de maintenance des débitmètres et leurs équipements annexes installés au niveau des station de pompage</t>
        </is>
      </c>
      <c r="H35" s="5" t="inlineStr">
        <is>
          <t>Changement du débitmètre Ø 1200mm inondé de la station de pompage E1.</t>
        </is>
      </c>
      <c r="I35" s="7" t="n">
        <v>195000</v>
      </c>
      <c r="J35" s="8" t="inlineStr">
        <is>
          <t>U</t>
        </is>
      </c>
      <c r="K35" s="9" t="n">
        <v>2</v>
      </c>
      <c r="L35" s="51" t="n"/>
      <c r="M35" s="52">
        <f>'S36'!M35+L35</f>
        <v/>
      </c>
      <c r="N35" s="53">
        <f>IFERROR(M35/K35,0)</f>
        <v/>
      </c>
      <c r="O35" s="54">
        <f>'S36'!N35</f>
        <v/>
      </c>
      <c r="P35" s="53">
        <f>N35-O35</f>
        <v/>
      </c>
      <c r="Q35" s="32" t="n"/>
      <c r="R35" s="32" t="n"/>
      <c r="S35" s="32" t="n"/>
      <c r="T35" s="55" t="n"/>
      <c r="U35" s="54">
        <f>'S36'!T35</f>
        <v/>
      </c>
      <c r="V35" s="53">
        <f>T35-U35</f>
        <v/>
      </c>
      <c r="W35" s="53">
        <f>N35-T35</f>
        <v/>
      </c>
      <c r="X35" s="34" t="n"/>
    </row>
    <row r="36" ht="22" customHeight="1">
      <c r="B36" s="10" t="n">
        <v>32</v>
      </c>
      <c r="C36" s="6" t="inlineStr">
        <is>
          <t>Sidi Kacem</t>
        </is>
      </c>
      <c r="D36" s="10" t="inlineStr">
        <is>
          <t>NOUIRAT</t>
        </is>
      </c>
      <c r="E36" s="10" t="inlineStr">
        <is>
          <t>50-21</t>
        </is>
      </c>
      <c r="F36" s="10" t="inlineStr">
        <is>
          <t>Entretien et réparation des stations de pompage</t>
        </is>
      </c>
      <c r="G36" s="10" t="inlineStr">
        <is>
          <t>Prestations de maintenance des moteurs électriques des stations de pompage.</t>
        </is>
      </c>
      <c r="H36" s="10" t="inlineStr">
        <is>
          <t>Révision des deux moteurs électriques principaux de la station E1.</t>
        </is>
      </c>
      <c r="I36" s="11" t="n">
        <v>50000</v>
      </c>
      <c r="J36" s="12" t="inlineStr">
        <is>
          <t>U</t>
        </is>
      </c>
      <c r="K36" s="13" t="n">
        <v>2</v>
      </c>
      <c r="L36" s="51" t="n"/>
      <c r="M36" s="56">
        <f>'S36'!M36+L36</f>
        <v/>
      </c>
      <c r="N36" s="57">
        <f>IFERROR(M36/K36,0)</f>
        <v/>
      </c>
      <c r="O36" s="58">
        <f>'S36'!N36</f>
        <v/>
      </c>
      <c r="P36" s="57">
        <f>N36-O36</f>
        <v/>
      </c>
      <c r="Q36" s="32" t="n"/>
      <c r="R36" s="32" t="n"/>
      <c r="S36" s="32" t="n"/>
      <c r="T36" s="55" t="n"/>
      <c r="U36" s="58">
        <f>'S36'!T36</f>
        <v/>
      </c>
      <c r="V36" s="57">
        <f>T36-U36</f>
        <v/>
      </c>
      <c r="W36" s="57">
        <f>N36-T36</f>
        <v/>
      </c>
      <c r="X36" s="34" t="n"/>
    </row>
    <row r="37" ht="22" customHeight="1">
      <c r="B37" s="5" t="n">
        <v>33</v>
      </c>
      <c r="C37" s="6" t="inlineStr">
        <is>
          <t>Sidi Kacem</t>
        </is>
      </c>
      <c r="D37" s="5" t="inlineStr">
        <is>
          <t>NOUIRAT</t>
        </is>
      </c>
      <c r="E37" s="5" t="inlineStr">
        <is>
          <t>50-21</t>
        </is>
      </c>
      <c r="F37" s="5" t="inlineStr">
        <is>
          <t>Entretien et réparation des stations de pompage</t>
        </is>
      </c>
      <c r="G37" s="5" t="inlineStr">
        <is>
          <t>Prestations de maintenance et de réparation mécanique des pompes et des groupes motopompes submersibles des stations de pompage.</t>
        </is>
      </c>
      <c r="H37" s="5" t="inlineStr">
        <is>
          <t>Démontage et expertise des cinq pompes principaux et pompes a vide de la station E1.
Changement des roulements, tresses et organes d’effectués de la station E1.</t>
        </is>
      </c>
      <c r="I37" s="7" t="n">
        <v>245000</v>
      </c>
      <c r="J37" s="8" t="inlineStr">
        <is>
          <t>U</t>
        </is>
      </c>
      <c r="K37" s="9" t="n">
        <v>5</v>
      </c>
      <c r="L37" s="51" t="n"/>
      <c r="M37" s="52">
        <f>'S36'!M37+L37</f>
        <v/>
      </c>
      <c r="N37" s="53">
        <f>IFERROR(M37/K37,0)</f>
        <v/>
      </c>
      <c r="O37" s="54">
        <f>'S36'!N37</f>
        <v/>
      </c>
      <c r="P37" s="53">
        <f>N37-O37</f>
        <v/>
      </c>
      <c r="Q37" s="32" t="n"/>
      <c r="R37" s="32" t="n"/>
      <c r="S37" s="32" t="n"/>
      <c r="T37" s="55" t="n"/>
      <c r="U37" s="54">
        <f>'S36'!T37</f>
        <v/>
      </c>
      <c r="V37" s="53">
        <f>T37-U37</f>
        <v/>
      </c>
      <c r="W37" s="53">
        <f>N37-T37</f>
        <v/>
      </c>
      <c r="X37" s="34" t="n"/>
    </row>
    <row r="38" ht="22" customHeight="1">
      <c r="B38" s="10" t="n">
        <v>34</v>
      </c>
      <c r="C38" s="6" t="inlineStr">
        <is>
          <t>Sidi Kacem</t>
        </is>
      </c>
      <c r="D38" s="10" t="inlineStr">
        <is>
          <t>NOUIRAT</t>
        </is>
      </c>
      <c r="E38" s="10" t="inlineStr">
        <is>
          <t>50-21</t>
        </is>
      </c>
      <c r="F38" s="10" t="inlineStr">
        <is>
          <t>Entretien et réparation des stations de pompage</t>
        </is>
      </c>
      <c r="G38" s="10" t="inlineStr">
        <is>
          <t>Génie civile des locaux des stations de pompage.</t>
        </is>
      </c>
      <c r="H38" s="10" t="inlineStr">
        <is>
          <t>Expertise d’état et d’étanchéité des locaux pompes, commande, puissance de la station de pompage E1.
Renforcement d’étanchéité des locaux pompe sous niveau des oueds de la station de pompage E1.</t>
        </is>
      </c>
      <c r="I38" s="11" t="n">
        <v>1000000</v>
      </c>
      <c r="J38" s="12" t="inlineStr">
        <is>
          <t>U</t>
        </is>
      </c>
      <c r="K38" s="13" t="n">
        <v>1</v>
      </c>
      <c r="L38" s="51" t="n"/>
      <c r="M38" s="56">
        <f>'S36'!M38+L38</f>
        <v/>
      </c>
      <c r="N38" s="57">
        <f>IFERROR(M38/K38,0)</f>
        <v/>
      </c>
      <c r="O38" s="58">
        <f>'S36'!N38</f>
        <v/>
      </c>
      <c r="P38" s="57">
        <f>N38-O38</f>
        <v/>
      </c>
      <c r="Q38" s="32" t="n"/>
      <c r="R38" s="32" t="n"/>
      <c r="S38" s="32" t="n"/>
      <c r="T38" s="55" t="n"/>
      <c r="U38" s="58">
        <f>'S36'!T38</f>
        <v/>
      </c>
      <c r="V38" s="57">
        <f>T38-U38</f>
        <v/>
      </c>
      <c r="W38" s="57">
        <f>N38-T38</f>
        <v/>
      </c>
      <c r="X38" s="34" t="n"/>
    </row>
    <row r="39" ht="22" customHeight="1">
      <c r="B39" s="5" t="n">
        <v>35</v>
      </c>
      <c r="C39" s="6" t="inlineStr">
        <is>
          <t>Sidi Kacem</t>
        </is>
      </c>
      <c r="D39" s="5" t="inlineStr">
        <is>
          <t>RMILAT</t>
        </is>
      </c>
      <c r="E39" s="5" t="inlineStr">
        <is>
          <t>50-23</t>
        </is>
      </c>
      <c r="F39" s="5" t="inlineStr">
        <is>
          <t>Entretien et réparation du réseau d'assainissement et de drainage</t>
        </is>
      </c>
      <c r="G39" s="5" t="inlineStr">
        <is>
          <t>Travaux de curage des canaux en terre</t>
        </is>
      </c>
      <c r="H39" s="5" t="inlineStr">
        <is>
          <t>Curage des collecteurs d'assainissement des secteurs P7</t>
        </is>
      </c>
      <c r="I39" s="7" t="n">
        <v>5024032</v>
      </c>
      <c r="J39" s="8" t="inlineStr">
        <is>
          <t>ml</t>
        </is>
      </c>
      <c r="K39" s="9" t="n">
        <v>2512</v>
      </c>
      <c r="L39" s="51" t="n"/>
      <c r="M39" s="52">
        <f>'S36'!M39+L39</f>
        <v/>
      </c>
      <c r="N39" s="53">
        <f>IFERROR(M39/K39,0)</f>
        <v/>
      </c>
      <c r="O39" s="54">
        <f>'S36'!N39</f>
        <v/>
      </c>
      <c r="P39" s="53">
        <f>N39-O39</f>
        <v/>
      </c>
      <c r="Q39" s="32" t="n"/>
      <c r="R39" s="32" t="n"/>
      <c r="S39" s="32" t="n"/>
      <c r="T39" s="55" t="n"/>
      <c r="U39" s="54">
        <f>'S36'!T39</f>
        <v/>
      </c>
      <c r="V39" s="53">
        <f>T39-U39</f>
        <v/>
      </c>
      <c r="W39" s="53">
        <f>N39-T39</f>
        <v/>
      </c>
      <c r="X39" s="34" t="n"/>
    </row>
    <row r="40" ht="22" customHeight="1">
      <c r="B40" s="10" t="n">
        <v>36</v>
      </c>
      <c r="C40" s="6" t="inlineStr">
        <is>
          <t>Sidi Kacem</t>
        </is>
      </c>
      <c r="D40" s="10" t="inlineStr">
        <is>
          <t>RMILAT</t>
        </is>
      </c>
      <c r="E40" s="10" t="inlineStr">
        <is>
          <t>40-21</t>
        </is>
      </c>
      <c r="F40" s="10" t="inlineStr">
        <is>
          <t>Travaux de pistes</t>
        </is>
      </c>
      <c r="G40" s="10" t="inlineStr">
        <is>
          <t>Entretien des pistes agricoles</t>
        </is>
      </c>
      <c r="H40" s="10" t="inlineStr">
        <is>
          <t>Entretien des pistes agricoles</t>
        </is>
      </c>
      <c r="I40" s="11" t="n">
        <v>400000</v>
      </c>
      <c r="J40" s="12" t="inlineStr">
        <is>
          <t>km</t>
        </is>
      </c>
      <c r="K40" s="13" t="n">
        <v>1</v>
      </c>
      <c r="L40" s="51" t="n"/>
      <c r="M40" s="56">
        <f>'S36'!M40+L40</f>
        <v/>
      </c>
      <c r="N40" s="57">
        <f>IFERROR(M40/K40,0)</f>
        <v/>
      </c>
      <c r="O40" s="58">
        <f>'S36'!N40</f>
        <v/>
      </c>
      <c r="P40" s="57">
        <f>N40-O40</f>
        <v/>
      </c>
      <c r="Q40" s="32" t="n"/>
      <c r="R40" s="32" t="n"/>
      <c r="S40" s="32" t="n"/>
      <c r="T40" s="55" t="n"/>
      <c r="U40" s="58">
        <f>'S36'!T40</f>
        <v/>
      </c>
      <c r="V40" s="57">
        <f>T40-U40</f>
        <v/>
      </c>
      <c r="W40" s="57">
        <f>N40-T40</f>
        <v/>
      </c>
      <c r="X40" s="34" t="n"/>
    </row>
    <row r="41" ht="22" customHeight="1">
      <c r="B41" s="5" t="n">
        <v>37</v>
      </c>
      <c r="C41" s="6" t="inlineStr">
        <is>
          <t>Sidi Kacem</t>
        </is>
      </c>
      <c r="D41" s="5" t="inlineStr">
        <is>
          <t>SAFSAF</t>
        </is>
      </c>
      <c r="E41" s="5" t="inlineStr">
        <is>
          <t>50-23</t>
        </is>
      </c>
      <c r="F41" s="5" t="inlineStr">
        <is>
          <t>Entretien et réparation du réseau d'assainissement et de drainage</t>
        </is>
      </c>
      <c r="G41" s="5" t="inlineStr">
        <is>
          <t>Travaux de curage des canaux en terre</t>
        </is>
      </c>
      <c r="H41" s="5" t="inlineStr">
        <is>
          <t>Curage des collecteurs d'assainissement des secteurs S7, S9 et S11</t>
        </is>
      </c>
      <c r="I41" s="7" t="n">
        <v>6000000</v>
      </c>
      <c r="J41" s="8" t="inlineStr">
        <is>
          <t>ml</t>
        </is>
      </c>
      <c r="K41" s="9" t="n">
        <v>3000</v>
      </c>
      <c r="L41" s="51" t="n"/>
      <c r="M41" s="52">
        <f>'S36'!M41+L41</f>
        <v/>
      </c>
      <c r="N41" s="53">
        <f>IFERROR(M41/K41,0)</f>
        <v/>
      </c>
      <c r="O41" s="54">
        <f>'S36'!N41</f>
        <v/>
      </c>
      <c r="P41" s="53">
        <f>N41-O41</f>
        <v/>
      </c>
      <c r="Q41" s="32" t="n"/>
      <c r="R41" s="32" t="n"/>
      <c r="S41" s="32" t="n"/>
      <c r="T41" s="55" t="n"/>
      <c r="U41" s="54">
        <f>'S36'!T41</f>
        <v/>
      </c>
      <c r="V41" s="53">
        <f>T41-U41</f>
        <v/>
      </c>
      <c r="W41" s="53">
        <f>N41-T41</f>
        <v/>
      </c>
      <c r="X41" s="34" t="n"/>
    </row>
    <row r="42" ht="22" customHeight="1">
      <c r="B42" s="10" t="n">
        <v>38</v>
      </c>
      <c r="C42" s="6" t="inlineStr">
        <is>
          <t>Sidi Kacem</t>
        </is>
      </c>
      <c r="D42" s="10" t="inlineStr">
        <is>
          <t>SAFSAF</t>
        </is>
      </c>
      <c r="E42" s="10" t="inlineStr">
        <is>
          <t>20-11</t>
        </is>
      </c>
      <c r="F42" s="10" t="inlineStr">
        <is>
          <t>Travaux de réhabilitation des équipements</t>
        </is>
      </c>
      <c r="G42" s="10" t="inlineStr">
        <is>
          <t>Travaux de réhabilitation des canaux portés d'irrigation</t>
        </is>
      </c>
      <c r="H42" s="10" t="inlineStr">
        <is>
          <t>Fourniture et  pose de canaux porté et accessoires du réseau S4 du secteur S11</t>
        </is>
      </c>
      <c r="I42" s="11" t="n">
        <v>232266</v>
      </c>
      <c r="J42" s="12" t="inlineStr">
        <is>
          <t>ml</t>
        </is>
      </c>
      <c r="K42" s="13" t="n">
        <v>77</v>
      </c>
      <c r="L42" s="51" t="n"/>
      <c r="M42" s="56">
        <f>'S36'!M42+L42</f>
        <v/>
      </c>
      <c r="N42" s="57">
        <f>IFERROR(M42/K42,0)</f>
        <v/>
      </c>
      <c r="O42" s="58">
        <f>'S36'!N42</f>
        <v/>
      </c>
      <c r="P42" s="57">
        <f>N42-O42</f>
        <v/>
      </c>
      <c r="Q42" s="32" t="n"/>
      <c r="R42" s="32" t="n"/>
      <c r="S42" s="32" t="n"/>
      <c r="T42" s="55" t="n"/>
      <c r="U42" s="58">
        <f>'S36'!T42</f>
        <v/>
      </c>
      <c r="V42" s="57">
        <f>T42-U42</f>
        <v/>
      </c>
      <c r="W42" s="57">
        <f>N42-T42</f>
        <v/>
      </c>
      <c r="X42" s="34" t="n"/>
    </row>
    <row r="43" ht="22" customHeight="1">
      <c r="B43" s="5" t="n">
        <v>39</v>
      </c>
      <c r="C43" s="6" t="inlineStr">
        <is>
          <t>Sidi Kacem</t>
        </is>
      </c>
      <c r="D43" s="5" t="inlineStr">
        <is>
          <t>SAFSAF</t>
        </is>
      </c>
      <c r="E43" s="5" t="inlineStr">
        <is>
          <t>20-11</t>
        </is>
      </c>
      <c r="F43" s="5" t="inlineStr">
        <is>
          <t>Travaux de réhabilitation des équipements</t>
        </is>
      </c>
      <c r="G43" s="5" t="inlineStr"/>
      <c r="H43" s="5" t="inlineStr">
        <is>
          <t>Recalage des canaux portés du réseau T5S5 du secteur S9</t>
        </is>
      </c>
      <c r="I43" s="7" t="n">
        <v>1055025</v>
      </c>
      <c r="J43" s="8" t="inlineStr">
        <is>
          <t>ml</t>
        </is>
      </c>
      <c r="K43" s="9" t="n">
        <v>352</v>
      </c>
      <c r="L43" s="51" t="n"/>
      <c r="M43" s="52">
        <f>'S36'!M43+L43</f>
        <v/>
      </c>
      <c r="N43" s="53">
        <f>IFERROR(M43/K43,0)</f>
        <v/>
      </c>
      <c r="O43" s="54">
        <f>'S36'!N43</f>
        <v/>
      </c>
      <c r="P43" s="53">
        <f>N43-O43</f>
        <v/>
      </c>
      <c r="Q43" s="32" t="n"/>
      <c r="R43" s="32" t="n"/>
      <c r="S43" s="32" t="n"/>
      <c r="T43" s="55" t="n"/>
      <c r="U43" s="54">
        <f>'S36'!T43</f>
        <v/>
      </c>
      <c r="V43" s="53">
        <f>T43-U43</f>
        <v/>
      </c>
      <c r="W43" s="53">
        <f>N43-T43</f>
        <v/>
      </c>
      <c r="X43" s="34" t="n"/>
    </row>
    <row r="44" ht="22" customHeight="1">
      <c r="B44" s="10" t="n">
        <v>40</v>
      </c>
      <c r="C44" s="6" t="inlineStr">
        <is>
          <t>Sidi Kacem</t>
        </is>
      </c>
      <c r="D44" s="10" t="inlineStr">
        <is>
          <t>SAFSAF</t>
        </is>
      </c>
      <c r="E44" s="10" t="inlineStr">
        <is>
          <t>20-11</t>
        </is>
      </c>
      <c r="F44" s="10" t="inlineStr">
        <is>
          <t>Travaux de réhabilitation des équipements</t>
        </is>
      </c>
      <c r="G44" s="10" t="inlineStr"/>
      <c r="H44" s="10" t="inlineStr">
        <is>
          <t>Recalage des canaux portés du réseau T7S5 du secteur S9</t>
        </is>
      </c>
      <c r="I44" s="11" t="n">
        <v>1004535</v>
      </c>
      <c r="J44" s="12" t="inlineStr">
        <is>
          <t>ml</t>
        </is>
      </c>
      <c r="K44" s="13" t="n">
        <v>335</v>
      </c>
      <c r="L44" s="51" t="n"/>
      <c r="M44" s="56">
        <f>'S36'!M44+L44</f>
        <v/>
      </c>
      <c r="N44" s="57">
        <f>IFERROR(M44/K44,0)</f>
        <v/>
      </c>
      <c r="O44" s="58">
        <f>'S36'!N44</f>
        <v/>
      </c>
      <c r="P44" s="57">
        <f>N44-O44</f>
        <v/>
      </c>
      <c r="Q44" s="32" t="n"/>
      <c r="R44" s="32" t="n"/>
      <c r="S44" s="32" t="n"/>
      <c r="T44" s="55" t="n"/>
      <c r="U44" s="58">
        <f>'S36'!T44</f>
        <v/>
      </c>
      <c r="V44" s="57">
        <f>T44-U44</f>
        <v/>
      </c>
      <c r="W44" s="57">
        <f>N44-T44</f>
        <v/>
      </c>
      <c r="X44" s="34" t="n"/>
    </row>
    <row r="45" ht="22" customHeight="1">
      <c r="B45" s="5" t="n">
        <v>41</v>
      </c>
      <c r="C45" s="6" t="inlineStr">
        <is>
          <t>Sidi Kacem</t>
        </is>
      </c>
      <c r="D45" s="5" t="inlineStr">
        <is>
          <t>SAFSAF</t>
        </is>
      </c>
      <c r="E45" s="5" t="inlineStr">
        <is>
          <t>20-11</t>
        </is>
      </c>
      <c r="F45" s="5" t="inlineStr">
        <is>
          <t>Travaux de réhabilitation des équipements</t>
        </is>
      </c>
      <c r="G45" s="5" t="inlineStr"/>
      <c r="H45" s="5" t="inlineStr">
        <is>
          <t>Recalage des canaux portés du réseau T2S5 du secteur S9</t>
        </is>
      </c>
      <c r="I45" s="7" t="n">
        <v>793830</v>
      </c>
      <c r="J45" s="8" t="inlineStr">
        <is>
          <t>ml</t>
        </is>
      </c>
      <c r="K45" s="9" t="n">
        <v>265</v>
      </c>
      <c r="L45" s="51" t="n"/>
      <c r="M45" s="52">
        <f>'S36'!M45+L45</f>
        <v/>
      </c>
      <c r="N45" s="53">
        <f>IFERROR(M45/K45,0)</f>
        <v/>
      </c>
      <c r="O45" s="54">
        <f>'S36'!N45</f>
        <v/>
      </c>
      <c r="P45" s="53">
        <f>N45-O45</f>
        <v/>
      </c>
      <c r="Q45" s="32" t="n"/>
      <c r="R45" s="32" t="n"/>
      <c r="S45" s="32" t="n"/>
      <c r="T45" s="55" t="n"/>
      <c r="U45" s="54">
        <f>'S36'!T45</f>
        <v/>
      </c>
      <c r="V45" s="53">
        <f>T45-U45</f>
        <v/>
      </c>
      <c r="W45" s="53">
        <f>N45-T45</f>
        <v/>
      </c>
      <c r="X45" s="34" t="n"/>
    </row>
    <row r="46" ht="22" customHeight="1">
      <c r="B46" s="10" t="n">
        <v>42</v>
      </c>
      <c r="C46" s="6" t="inlineStr">
        <is>
          <t>Sidi Kacem</t>
        </is>
      </c>
      <c r="D46" s="10" t="inlineStr">
        <is>
          <t>SAFSAF</t>
        </is>
      </c>
      <c r="E46" s="10" t="inlineStr">
        <is>
          <t>40-21</t>
        </is>
      </c>
      <c r="F46" s="10" t="inlineStr">
        <is>
          <t>Travaux de pistes</t>
        </is>
      </c>
      <c r="G46" s="10" t="inlineStr">
        <is>
          <t>Entretien des pistes agricoles</t>
        </is>
      </c>
      <c r="H46" s="10" t="inlineStr">
        <is>
          <t>Entretien des pistes agricoles</t>
        </is>
      </c>
      <c r="I46" s="11" t="n">
        <v>2000000</v>
      </c>
      <c r="J46" s="12" t="inlineStr">
        <is>
          <t>km</t>
        </is>
      </c>
      <c r="K46" s="13" t="n">
        <v>4</v>
      </c>
      <c r="L46" s="51" t="n"/>
      <c r="M46" s="56">
        <f>'S36'!M46+L46</f>
        <v/>
      </c>
      <c r="N46" s="57">
        <f>IFERROR(M46/K46,0)</f>
        <v/>
      </c>
      <c r="O46" s="58">
        <f>'S36'!N46</f>
        <v/>
      </c>
      <c r="P46" s="57">
        <f>N46-O46</f>
        <v/>
      </c>
      <c r="Q46" s="32" t="n"/>
      <c r="R46" s="32" t="n"/>
      <c r="S46" s="32" t="n"/>
      <c r="T46" s="55" t="n"/>
      <c r="U46" s="58">
        <f>'S36'!T46</f>
        <v/>
      </c>
      <c r="V46" s="57">
        <f>T46-U46</f>
        <v/>
      </c>
      <c r="W46" s="57">
        <f>N46-T46</f>
        <v/>
      </c>
      <c r="X46" s="34" t="n"/>
    </row>
    <row r="47" ht="22" customHeight="1">
      <c r="B47" s="5" t="n">
        <v>43</v>
      </c>
      <c r="C47" s="6" t="inlineStr">
        <is>
          <t>Sidi Kacem</t>
        </is>
      </c>
      <c r="D47" s="5" t="inlineStr">
        <is>
          <t>SAFSAF</t>
        </is>
      </c>
      <c r="E47" s="5" t="inlineStr">
        <is>
          <t>50-23</t>
        </is>
      </c>
      <c r="F47" s="5" t="inlineStr">
        <is>
          <t>Entretien et réparation du réseau d'assainissement et de drainage</t>
        </is>
      </c>
      <c r="G47" s="5" t="inlineStr">
        <is>
          <t>Curage des prises sur l’oued, bâche d’aspiration et bassin de régulation.</t>
        </is>
      </c>
      <c r="H47" s="5" t="inlineStr">
        <is>
          <t>Curage des prises sur l’oued des stations de pompage S11, S9, 7D et 7B.
Nettoyage des grilles de préfiltration des boues colmaté des stations de pompage S11, S9, 7D et 7B.
Nettoyage des crépines des boues colmaté de station pompage 7D.
Curage des dalots et bâche d’aspiration des stations de pompage S11, S9, 7B.</t>
        </is>
      </c>
      <c r="I47" s="7" t="n">
        <v>200000</v>
      </c>
      <c r="J47" s="8" t="inlineStr">
        <is>
          <t>ml</t>
        </is>
      </c>
      <c r="K47" s="9" t="n">
        <v>67</v>
      </c>
      <c r="L47" s="51" t="n"/>
      <c r="M47" s="52">
        <f>'S36'!M47+L47</f>
        <v/>
      </c>
      <c r="N47" s="53">
        <f>IFERROR(M47/K47,0)</f>
        <v/>
      </c>
      <c r="O47" s="54">
        <f>'S36'!N47</f>
        <v/>
      </c>
      <c r="P47" s="53">
        <f>N47-O47</f>
        <v/>
      </c>
      <c r="Q47" s="32" t="n"/>
      <c r="R47" s="32" t="n"/>
      <c r="S47" s="32" t="n"/>
      <c r="T47" s="55" t="n"/>
      <c r="U47" s="54">
        <f>'S36'!T47</f>
        <v/>
      </c>
      <c r="V47" s="53">
        <f>T47-U47</f>
        <v/>
      </c>
      <c r="W47" s="53">
        <f>N47-T47</f>
        <v/>
      </c>
      <c r="X47" s="34" t="n"/>
    </row>
    <row r="48" ht="22" customHeight="1">
      <c r="B48" s="10" t="n">
        <v>44</v>
      </c>
      <c r="C48" s="6" t="inlineStr">
        <is>
          <t>Sidi Kacem</t>
        </is>
      </c>
      <c r="D48" s="10" t="inlineStr">
        <is>
          <t>SAFSAF</t>
        </is>
      </c>
      <c r="E48" s="10" t="inlineStr">
        <is>
          <t>50-21</t>
        </is>
      </c>
      <c r="F48" s="10" t="inlineStr">
        <is>
          <t>Entretien et réparation des stations de pompage</t>
        </is>
      </c>
      <c r="G48" s="10" t="inlineStr">
        <is>
          <t>Prestation de maintenance des débitmètres et leurs équipements annexes installés au niveau des station de pompage</t>
        </is>
      </c>
      <c r="H48" s="10" t="inlineStr">
        <is>
          <t>Changements Sept des débitmètres Ø 600mm inondé des deux stations de pompage S11 et S9.</t>
        </is>
      </c>
      <c r="I48" s="11" t="n">
        <v>580000</v>
      </c>
      <c r="J48" s="12" t="inlineStr">
        <is>
          <t>U</t>
        </is>
      </c>
      <c r="K48" s="13" t="n">
        <v>7</v>
      </c>
      <c r="L48" s="51" t="n"/>
      <c r="M48" s="56">
        <f>'S36'!M48+L48</f>
        <v/>
      </c>
      <c r="N48" s="57">
        <f>IFERROR(M48/K48,0)</f>
        <v/>
      </c>
      <c r="O48" s="58">
        <f>'S36'!N48</f>
        <v/>
      </c>
      <c r="P48" s="57">
        <f>N48-O48</f>
        <v/>
      </c>
      <c r="Q48" s="32" t="n"/>
      <c r="R48" s="32" t="n"/>
      <c r="S48" s="32" t="n"/>
      <c r="T48" s="55" t="n"/>
      <c r="U48" s="58">
        <f>'S36'!T48</f>
        <v/>
      </c>
      <c r="V48" s="57">
        <f>T48-U48</f>
        <v/>
      </c>
      <c r="W48" s="57">
        <f>N48-T48</f>
        <v/>
      </c>
      <c r="X48" s="34" t="n"/>
    </row>
    <row r="49" ht="22" customHeight="1">
      <c r="B49" s="5" t="n">
        <v>45</v>
      </c>
      <c r="C49" s="6" t="inlineStr">
        <is>
          <t>Sidi Kacem</t>
        </is>
      </c>
      <c r="D49" s="5" t="inlineStr">
        <is>
          <t>SAFSAF</t>
        </is>
      </c>
      <c r="E49" s="5" t="inlineStr">
        <is>
          <t>50-21</t>
        </is>
      </c>
      <c r="F49" s="5" t="inlineStr">
        <is>
          <t>Entretien et réparation des stations de pompage</t>
        </is>
      </c>
      <c r="G49" s="5" t="inlineStr">
        <is>
          <t>Stabilisation Berge oued</t>
        </is>
      </c>
      <c r="H49" s="5" t="inlineStr">
        <is>
          <t>Pose de murs en gabions et recouvrement du talus par matelas Reno des stations de pompage S11, S9, 7D et 7B .</t>
        </is>
      </c>
      <c r="I49" s="7" t="n">
        <v>4000000</v>
      </c>
      <c r="J49" s="8" t="inlineStr">
        <is>
          <t>m³</t>
        </is>
      </c>
      <c r="K49" s="9" t="n">
        <v>2667</v>
      </c>
      <c r="L49" s="51" t="n"/>
      <c r="M49" s="52">
        <f>'S36'!M49+L49</f>
        <v/>
      </c>
      <c r="N49" s="53">
        <f>IFERROR(M49/K49,0)</f>
        <v/>
      </c>
      <c r="O49" s="54">
        <f>'S36'!N49</f>
        <v/>
      </c>
      <c r="P49" s="53">
        <f>N49-O49</f>
        <v/>
      </c>
      <c r="Q49" s="32" t="n"/>
      <c r="R49" s="32" t="n"/>
      <c r="S49" s="32" t="n"/>
      <c r="T49" s="55" t="n"/>
      <c r="U49" s="54">
        <f>'S36'!T49</f>
        <v/>
      </c>
      <c r="V49" s="53">
        <f>T49-U49</f>
        <v/>
      </c>
      <c r="W49" s="53">
        <f>N49-T49</f>
        <v/>
      </c>
      <c r="X49" s="34" t="n"/>
    </row>
    <row r="50" ht="22" customHeight="1">
      <c r="B50" s="10" t="n">
        <v>46</v>
      </c>
      <c r="C50" s="6" t="inlineStr">
        <is>
          <t>Sidi Kacem</t>
        </is>
      </c>
      <c r="D50" s="10" t="inlineStr">
        <is>
          <t>SIDI AZZOUZ</t>
        </is>
      </c>
      <c r="E50" s="10" t="inlineStr">
        <is>
          <t>40-21</t>
        </is>
      </c>
      <c r="F50" s="10" t="inlineStr">
        <is>
          <t>Travaux de pistes</t>
        </is>
      </c>
      <c r="G50" s="10" t="inlineStr">
        <is>
          <t>Entretien des pistes agricoles</t>
        </is>
      </c>
      <c r="H50" s="10" t="inlineStr">
        <is>
          <t>Entretien des pistes agricoles</t>
        </is>
      </c>
      <c r="I50" s="11" t="n">
        <v>655000</v>
      </c>
      <c r="J50" s="12" t="inlineStr">
        <is>
          <t>km</t>
        </is>
      </c>
      <c r="K50" s="13" t="n">
        <v>1</v>
      </c>
      <c r="L50" s="51" t="n"/>
      <c r="M50" s="56">
        <f>'S36'!M50+L50</f>
        <v/>
      </c>
      <c r="N50" s="57">
        <f>IFERROR(M50/K50,0)</f>
        <v/>
      </c>
      <c r="O50" s="58">
        <f>'S36'!N50</f>
        <v/>
      </c>
      <c r="P50" s="57">
        <f>N50-O50</f>
        <v/>
      </c>
      <c r="Q50" s="32" t="n"/>
      <c r="R50" s="32" t="n"/>
      <c r="S50" s="32" t="n"/>
      <c r="T50" s="55" t="n"/>
      <c r="U50" s="58">
        <f>'S36'!T50</f>
        <v/>
      </c>
      <c r="V50" s="57">
        <f>T50-U50</f>
        <v/>
      </c>
      <c r="W50" s="57">
        <f>N50-T50</f>
        <v/>
      </c>
      <c r="X50" s="34" t="n"/>
    </row>
    <row r="51" ht="22" customHeight="1">
      <c r="B51" s="5" t="n">
        <v>47</v>
      </c>
      <c r="C51" s="6" t="inlineStr">
        <is>
          <t>Sidi Kacem</t>
        </is>
      </c>
      <c r="D51" s="5" t="inlineStr">
        <is>
          <t>SIDI EL KAMEL</t>
        </is>
      </c>
      <c r="E51" s="5" t="inlineStr">
        <is>
          <t>20-11</t>
        </is>
      </c>
      <c r="F51" s="5" t="inlineStr">
        <is>
          <t>Travaux de réhabilitation des équipements</t>
        </is>
      </c>
      <c r="G51" s="5" t="inlineStr">
        <is>
          <t>Travaux de réhabilitation des canaux portés d'irrigation</t>
        </is>
      </c>
      <c r="H51" s="5" t="inlineStr">
        <is>
          <t>Fourniture et de pose de canaux porté et accessoires du réseau SR4 du secteur S3R</t>
        </is>
      </c>
      <c r="I51" s="7" t="n">
        <v>5182920</v>
      </c>
      <c r="J51" s="8" t="inlineStr">
        <is>
          <t>ml</t>
        </is>
      </c>
      <c r="K51" s="9" t="n">
        <v>1728</v>
      </c>
      <c r="L51" s="51" t="n"/>
      <c r="M51" s="52">
        <f>'S36'!M51+L51</f>
        <v/>
      </c>
      <c r="N51" s="53">
        <f>IFERROR(M51/K51,0)</f>
        <v/>
      </c>
      <c r="O51" s="54">
        <f>'S36'!N51</f>
        <v/>
      </c>
      <c r="P51" s="53">
        <f>N51-O51</f>
        <v/>
      </c>
      <c r="Q51" s="32" t="n"/>
      <c r="R51" s="32" t="n"/>
      <c r="S51" s="32" t="n"/>
      <c r="T51" s="55" t="n"/>
      <c r="U51" s="54">
        <f>'S36'!T51</f>
        <v/>
      </c>
      <c r="V51" s="53">
        <f>T51-U51</f>
        <v/>
      </c>
      <c r="W51" s="53">
        <f>N51-T51</f>
        <v/>
      </c>
      <c r="X51" s="34" t="n"/>
    </row>
    <row r="52" ht="22" customHeight="1">
      <c r="B52" s="10" t="n">
        <v>48</v>
      </c>
      <c r="C52" s="6" t="inlineStr">
        <is>
          <t>Sidi Kacem</t>
        </is>
      </c>
      <c r="D52" s="10" t="inlineStr">
        <is>
          <t>SIDI EL KAMEL</t>
        </is>
      </c>
      <c r="E52" s="10" t="inlineStr">
        <is>
          <t>20-11</t>
        </is>
      </c>
      <c r="F52" s="10" t="inlineStr">
        <is>
          <t>Travaux de réhabilitation des équipements</t>
        </is>
      </c>
      <c r="G52" s="10" t="inlineStr"/>
      <c r="H52" s="10" t="inlineStr">
        <is>
          <t>Fourniture et de pose de canaux porté et accessoires du réseau SR6 du secteur S1RIZ</t>
        </is>
      </c>
      <c r="I52" s="11" t="n">
        <v>152818</v>
      </c>
      <c r="J52" s="12" t="inlineStr">
        <is>
          <t>ml</t>
        </is>
      </c>
      <c r="K52" s="13" t="n">
        <v>51</v>
      </c>
      <c r="L52" s="51" t="n"/>
      <c r="M52" s="56">
        <f>'S36'!M52+L52</f>
        <v/>
      </c>
      <c r="N52" s="57">
        <f>IFERROR(M52/K52,0)</f>
        <v/>
      </c>
      <c r="O52" s="58">
        <f>'S36'!N52</f>
        <v/>
      </c>
      <c r="P52" s="57">
        <f>N52-O52</f>
        <v/>
      </c>
      <c r="Q52" s="32" t="n"/>
      <c r="R52" s="32" t="n"/>
      <c r="S52" s="32" t="n"/>
      <c r="T52" s="55" t="n"/>
      <c r="U52" s="58">
        <f>'S36'!T52</f>
        <v/>
      </c>
      <c r="V52" s="57">
        <f>T52-U52</f>
        <v/>
      </c>
      <c r="W52" s="57">
        <f>N52-T52</f>
        <v/>
      </c>
      <c r="X52" s="34" t="n"/>
    </row>
    <row r="53" ht="22" customHeight="1">
      <c r="B53" s="5" t="n">
        <v>49</v>
      </c>
      <c r="C53" s="6" t="inlineStr">
        <is>
          <t>Sidi Kacem</t>
        </is>
      </c>
      <c r="D53" s="5" t="inlineStr">
        <is>
          <t>SIDI EL KAMEL</t>
        </is>
      </c>
      <c r="E53" s="5" t="inlineStr">
        <is>
          <t>20-11</t>
        </is>
      </c>
      <c r="F53" s="5" t="inlineStr">
        <is>
          <t>Travaux de réhabilitation des équipements</t>
        </is>
      </c>
      <c r="G53" s="5" t="inlineStr"/>
      <c r="H53" s="5" t="inlineStr">
        <is>
          <t>Recalage des canaux portés du réseau SR4 du secteur S3R</t>
        </is>
      </c>
      <c r="I53" s="7" t="n">
        <v>1418000</v>
      </c>
      <c r="J53" s="8" t="inlineStr">
        <is>
          <t>ml</t>
        </is>
      </c>
      <c r="K53" s="9" t="n">
        <v>473</v>
      </c>
      <c r="L53" s="51" t="n"/>
      <c r="M53" s="52">
        <f>'S36'!M53+L53</f>
        <v/>
      </c>
      <c r="N53" s="53">
        <f>IFERROR(M53/K53,0)</f>
        <v/>
      </c>
      <c r="O53" s="54">
        <f>'S36'!N53</f>
        <v/>
      </c>
      <c r="P53" s="53">
        <f>N53-O53</f>
        <v/>
      </c>
      <c r="Q53" s="32" t="n"/>
      <c r="R53" s="32" t="n"/>
      <c r="S53" s="32" t="n"/>
      <c r="T53" s="55" t="n"/>
      <c r="U53" s="54">
        <f>'S36'!T53</f>
        <v/>
      </c>
      <c r="V53" s="53">
        <f>T53-U53</f>
        <v/>
      </c>
      <c r="W53" s="53">
        <f>N53-T53</f>
        <v/>
      </c>
      <c r="X53" s="34" t="n"/>
    </row>
    <row r="54" ht="22" customHeight="1">
      <c r="B54" s="10" t="n">
        <v>50</v>
      </c>
      <c r="C54" s="6" t="inlineStr">
        <is>
          <t>Sidi Kacem</t>
        </is>
      </c>
      <c r="D54" s="10" t="inlineStr">
        <is>
          <t>SIDI EL KAMEL</t>
        </is>
      </c>
      <c r="E54" s="10" t="inlineStr">
        <is>
          <t>20-11</t>
        </is>
      </c>
      <c r="F54" s="10" t="inlineStr">
        <is>
          <t>Travaux de réhabilitation des équipements</t>
        </is>
      </c>
      <c r="G54" s="10" t="inlineStr">
        <is>
          <t>Travaux de réhabilitation des ouvrages de génie civil</t>
        </is>
      </c>
      <c r="H54" s="10" t="inlineStr">
        <is>
          <t>Réhabilitation des murs de soutènements des ouvrages de franchissements du canal d'assainissement CS3 secteur S3 et de l’ouvrage de franchissement du canal primaire d’irrigation du secteur S1R au niveau de la route provinciale P4234</t>
        </is>
      </c>
      <c r="I54" s="11" t="n">
        <v>800000</v>
      </c>
      <c r="J54" s="12" t="inlineStr">
        <is>
          <t>ml</t>
        </is>
      </c>
      <c r="K54" s="13" t="n">
        <v>400</v>
      </c>
      <c r="L54" s="51" t="n"/>
      <c r="M54" s="56">
        <f>'S36'!M54+L54</f>
        <v/>
      </c>
      <c r="N54" s="57">
        <f>IFERROR(M54/K54,0)</f>
        <v/>
      </c>
      <c r="O54" s="58">
        <f>'S36'!N54</f>
        <v/>
      </c>
      <c r="P54" s="57">
        <f>N54-O54</f>
        <v/>
      </c>
      <c r="Q54" s="32" t="n"/>
      <c r="R54" s="32" t="n"/>
      <c r="S54" s="32" t="n"/>
      <c r="T54" s="55" t="n"/>
      <c r="U54" s="58">
        <f>'S36'!T54</f>
        <v/>
      </c>
      <c r="V54" s="57">
        <f>T54-U54</f>
        <v/>
      </c>
      <c r="W54" s="57">
        <f>N54-T54</f>
        <v/>
      </c>
      <c r="X54" s="34" t="n"/>
    </row>
    <row r="55" ht="22" customHeight="1">
      <c r="B55" s="5" t="n">
        <v>51</v>
      </c>
      <c r="C55" s="6" t="inlineStr">
        <is>
          <t>Sidi Kacem</t>
        </is>
      </c>
      <c r="D55" s="5" t="inlineStr">
        <is>
          <t>SIDI EL KAMEL</t>
        </is>
      </c>
      <c r="E55" s="5" t="inlineStr">
        <is>
          <t>40-21</t>
        </is>
      </c>
      <c r="F55" s="5" t="inlineStr">
        <is>
          <t>Travaux de pistes</t>
        </is>
      </c>
      <c r="G55" s="5" t="inlineStr">
        <is>
          <t>Entretien des pistes agricoles</t>
        </is>
      </c>
      <c r="H55" s="5" t="inlineStr">
        <is>
          <t>Entretien des pistes agricoles</t>
        </is>
      </c>
      <c r="I55" s="7" t="n">
        <v>3700000</v>
      </c>
      <c r="J55" s="8" t="inlineStr">
        <is>
          <t>km</t>
        </is>
      </c>
      <c r="K55" s="9" t="n">
        <v>7</v>
      </c>
      <c r="L55" s="51" t="n"/>
      <c r="M55" s="52">
        <f>'S36'!M55+L55</f>
        <v/>
      </c>
      <c r="N55" s="53">
        <f>IFERROR(M55/K55,0)</f>
        <v/>
      </c>
      <c r="O55" s="54">
        <f>'S36'!N55</f>
        <v/>
      </c>
      <c r="P55" s="53">
        <f>N55-O55</f>
        <v/>
      </c>
      <c r="Q55" s="32" t="n"/>
      <c r="R55" s="32" t="n"/>
      <c r="S55" s="32" t="n"/>
      <c r="T55" s="55" t="n"/>
      <c r="U55" s="54">
        <f>'S36'!T55</f>
        <v/>
      </c>
      <c r="V55" s="53">
        <f>T55-U55</f>
        <v/>
      </c>
      <c r="W55" s="53">
        <f>N55-T55</f>
        <v/>
      </c>
      <c r="X55" s="34" t="n"/>
    </row>
    <row r="56" ht="22" customHeight="1">
      <c r="B56" s="10" t="n">
        <v>52</v>
      </c>
      <c r="C56" s="6" t="inlineStr">
        <is>
          <t>Sidi Kacem</t>
        </is>
      </c>
      <c r="D56" s="10" t="inlineStr">
        <is>
          <t>SIDI EL KAMEL</t>
        </is>
      </c>
      <c r="E56" s="10" t="inlineStr">
        <is>
          <t>50-21</t>
        </is>
      </c>
      <c r="F56" s="10" t="inlineStr">
        <is>
          <t>Entretien et réparation des stations de pompage</t>
        </is>
      </c>
      <c r="G56" s="10" t="inlineStr">
        <is>
          <t>Prestation de maintenance des débitmètres et leurs équipements annexes installés au niveau des station de pompage</t>
        </is>
      </c>
      <c r="H56" s="10" t="inlineStr">
        <is>
          <t>Changement de quatre débitmètres Ø 500mm et trois Ø 800mm inondé des stations de pompage 1R, 3R et 5R.</t>
        </is>
      </c>
      <c r="I56" s="11" t="n">
        <v>705000</v>
      </c>
      <c r="J56" s="12" t="inlineStr">
        <is>
          <t>U</t>
        </is>
      </c>
      <c r="K56" s="13" t="n">
        <v>3</v>
      </c>
      <c r="L56" s="51" t="n"/>
      <c r="M56" s="56">
        <f>'S36'!M56+L56</f>
        <v/>
      </c>
      <c r="N56" s="57">
        <f>IFERROR(M56/K56,0)</f>
        <v/>
      </c>
      <c r="O56" s="58">
        <f>'S36'!N56</f>
        <v/>
      </c>
      <c r="P56" s="57">
        <f>N56-O56</f>
        <v/>
      </c>
      <c r="Q56" s="32" t="n"/>
      <c r="R56" s="32" t="n"/>
      <c r="S56" s="32" t="n"/>
      <c r="T56" s="55" t="n"/>
      <c r="U56" s="58">
        <f>'S36'!T56</f>
        <v/>
      </c>
      <c r="V56" s="57">
        <f>T56-U56</f>
        <v/>
      </c>
      <c r="W56" s="57">
        <f>N56-T56</f>
        <v/>
      </c>
      <c r="X56" s="34" t="n"/>
    </row>
    <row r="57" ht="22" customHeight="1">
      <c r="B57" s="5" t="n">
        <v>53</v>
      </c>
      <c r="C57" s="6" t="inlineStr">
        <is>
          <t>Sidi Kacem</t>
        </is>
      </c>
      <c r="D57" s="5" t="inlineStr">
        <is>
          <t>SIDI EL KAMEL</t>
        </is>
      </c>
      <c r="E57" s="5" t="inlineStr">
        <is>
          <t>50-21</t>
        </is>
      </c>
      <c r="F57" s="5" t="inlineStr">
        <is>
          <t>Entretien et réparation des stations de pompage</t>
        </is>
      </c>
      <c r="G57" s="5" t="inlineStr">
        <is>
          <t>Mur clôture des stations de pompage.</t>
        </is>
      </c>
      <c r="H57" s="5" t="inlineStr">
        <is>
          <t>Stabilisation et reconstruction des murs clôture cote oued des stations de pompage 7A, 3R et 1R.</t>
        </is>
      </c>
      <c r="I57" s="7" t="n">
        <v>372000</v>
      </c>
      <c r="J57" s="8" t="inlineStr">
        <is>
          <t>ml</t>
        </is>
      </c>
      <c r="K57" s="9" t="n">
        <v>124</v>
      </c>
      <c r="L57" s="51" t="n"/>
      <c r="M57" s="52">
        <f>'S36'!M57+L57</f>
        <v/>
      </c>
      <c r="N57" s="53">
        <f>IFERROR(M57/K57,0)</f>
        <v/>
      </c>
      <c r="O57" s="54">
        <f>'S36'!N57</f>
        <v/>
      </c>
      <c r="P57" s="53">
        <f>N57-O57</f>
        <v/>
      </c>
      <c r="Q57" s="32" t="n"/>
      <c r="R57" s="32" t="n"/>
      <c r="S57" s="32" t="n"/>
      <c r="T57" s="55" t="n"/>
      <c r="U57" s="54">
        <f>'S36'!T57</f>
        <v/>
      </c>
      <c r="V57" s="53">
        <f>T57-U57</f>
        <v/>
      </c>
      <c r="W57" s="53">
        <f>N57-T57</f>
        <v/>
      </c>
      <c r="X57" s="34" t="n"/>
    </row>
    <row r="58" ht="22" customHeight="1">
      <c r="B58" s="10" t="n">
        <v>54</v>
      </c>
      <c r="C58" s="14" t="inlineStr">
        <is>
          <t>Kénitra</t>
        </is>
      </c>
      <c r="D58" s="10" t="inlineStr">
        <is>
          <t>Bni malek</t>
        </is>
      </c>
      <c r="E58" s="10" t="inlineStr">
        <is>
          <t>50-23</t>
        </is>
      </c>
      <c r="F58" s="10" t="inlineStr">
        <is>
          <t>Entretien et réparation du réseau d'assainissement et de drainage</t>
        </is>
      </c>
      <c r="G58" s="10" t="inlineStr">
        <is>
          <t>Travaux de curage des canaux en terre</t>
        </is>
      </c>
      <c r="H58" s="10" t="inlineStr">
        <is>
          <t>Curage des emissaires et colatures secondaire au niveau des secteurs MDA ET N9</t>
        </is>
      </c>
      <c r="I58" s="11" t="n">
        <v>10000000</v>
      </c>
      <c r="J58" s="12" t="inlineStr">
        <is>
          <t>ml</t>
        </is>
      </c>
      <c r="K58" s="13" t="n">
        <v>5000</v>
      </c>
      <c r="L58" s="51" t="n"/>
      <c r="M58" s="56">
        <f>'S36'!M58+L58</f>
        <v/>
      </c>
      <c r="N58" s="57">
        <f>IFERROR(M58/K58,0)</f>
        <v/>
      </c>
      <c r="O58" s="58">
        <f>'S36'!N58</f>
        <v/>
      </c>
      <c r="P58" s="57">
        <f>N58-O58</f>
        <v/>
      </c>
      <c r="Q58" s="32" t="n"/>
      <c r="R58" s="32" t="n"/>
      <c r="S58" s="32" t="n"/>
      <c r="T58" s="55" t="n"/>
      <c r="U58" s="58">
        <f>'S36'!T58</f>
        <v/>
      </c>
      <c r="V58" s="57">
        <f>T58-U58</f>
        <v/>
      </c>
      <c r="W58" s="57">
        <f>N58-T58</f>
        <v/>
      </c>
      <c r="X58" s="34" t="n"/>
    </row>
    <row r="59" ht="22" customHeight="1">
      <c r="B59" s="5" t="n">
        <v>55</v>
      </c>
      <c r="C59" s="14" t="inlineStr">
        <is>
          <t>Kénitra</t>
        </is>
      </c>
      <c r="D59" s="5" t="inlineStr">
        <is>
          <t>Bni malek</t>
        </is>
      </c>
      <c r="E59" s="5" t="inlineStr">
        <is>
          <t>40-21</t>
        </is>
      </c>
      <c r="F59" s="5" t="inlineStr">
        <is>
          <t>Travaux de pistes</t>
        </is>
      </c>
      <c r="G59" s="5" t="inlineStr">
        <is>
          <t>Travaux de réhabilitation des pistes agricoles</t>
        </is>
      </c>
      <c r="H59" s="5" t="inlineStr">
        <is>
          <t>Entretien des pistes agricoles des secteurs MDA et N3</t>
        </is>
      </c>
      <c r="I59" s="7" t="n">
        <v>2000000</v>
      </c>
      <c r="J59" s="8" t="inlineStr">
        <is>
          <t>km</t>
        </is>
      </c>
      <c r="K59" s="9" t="n">
        <v>4</v>
      </c>
      <c r="L59" s="51" t="n"/>
      <c r="M59" s="52">
        <f>'S36'!M59+L59</f>
        <v/>
      </c>
      <c r="N59" s="53">
        <f>IFERROR(M59/K59,0)</f>
        <v/>
      </c>
      <c r="O59" s="54">
        <f>'S36'!N59</f>
        <v/>
      </c>
      <c r="P59" s="53">
        <f>N59-O59</f>
        <v/>
      </c>
      <c r="Q59" s="32" t="n"/>
      <c r="R59" s="32" t="n"/>
      <c r="S59" s="32" t="n"/>
      <c r="T59" s="55" t="n"/>
      <c r="U59" s="54">
        <f>'S36'!T59</f>
        <v/>
      </c>
      <c r="V59" s="53">
        <f>T59-U59</f>
        <v/>
      </c>
      <c r="W59" s="53">
        <f>N59-T59</f>
        <v/>
      </c>
      <c r="X59" s="34" t="n"/>
    </row>
    <row r="60" ht="22" customHeight="1">
      <c r="B60" s="10" t="n">
        <v>56</v>
      </c>
      <c r="C60" s="14" t="inlineStr">
        <is>
          <t>Kénitra</t>
        </is>
      </c>
      <c r="D60" s="10" t="inlineStr">
        <is>
          <t>Bni malek</t>
        </is>
      </c>
      <c r="E60" s="10" t="inlineStr">
        <is>
          <t>50-21</t>
        </is>
      </c>
      <c r="F60" s="10" t="inlineStr">
        <is>
          <t>Entretien et réparation des stations de pompage</t>
        </is>
      </c>
      <c r="G60" s="10" t="inlineStr">
        <is>
          <t>Prestations de maintenance et de réparation mécanique des pompes et des groupes motopompes submersibles des stations de pompage.</t>
        </is>
      </c>
      <c r="H60" s="10" t="inlineStr">
        <is>
          <t>station de pompage MDA secteur MDA</t>
        </is>
      </c>
      <c r="I60" s="11" t="n">
        <v>300000</v>
      </c>
      <c r="J60" s="12" t="inlineStr">
        <is>
          <t>U</t>
        </is>
      </c>
      <c r="K60" s="13" t="n">
        <v>1</v>
      </c>
      <c r="L60" s="51" t="n"/>
      <c r="M60" s="56">
        <f>'S36'!M60+L60</f>
        <v/>
      </c>
      <c r="N60" s="57">
        <f>IFERROR(M60/K60,0)</f>
        <v/>
      </c>
      <c r="O60" s="58">
        <f>'S36'!N60</f>
        <v/>
      </c>
      <c r="P60" s="57">
        <f>N60-O60</f>
        <v/>
      </c>
      <c r="Q60" s="32" t="n"/>
      <c r="R60" s="32" t="n"/>
      <c r="S60" s="32" t="n"/>
      <c r="T60" s="55" t="n"/>
      <c r="U60" s="58">
        <f>'S36'!T60</f>
        <v/>
      </c>
      <c r="V60" s="57">
        <f>T60-U60</f>
        <v/>
      </c>
      <c r="W60" s="57">
        <f>N60-T60</f>
        <v/>
      </c>
      <c r="X60" s="34" t="n"/>
    </row>
    <row r="61" ht="22" customHeight="1">
      <c r="B61" s="5" t="n">
        <v>57</v>
      </c>
      <c r="C61" s="14" t="inlineStr">
        <is>
          <t>Kénitra</t>
        </is>
      </c>
      <c r="D61" s="5" t="inlineStr">
        <is>
          <t>Bni malek</t>
        </is>
      </c>
      <c r="E61" s="5" t="inlineStr">
        <is>
          <t>20-11</t>
        </is>
      </c>
      <c r="F61" s="5" t="inlineStr">
        <is>
          <t>Travaux de réhabilitation des équipements</t>
        </is>
      </c>
      <c r="G61" s="5" t="inlineStr">
        <is>
          <t>Travaux de réhabilitation des ouvrages de génie civil</t>
        </is>
      </c>
      <c r="H61" s="5" t="inlineStr">
        <is>
          <t>Rétablissement des bornes affaissées des secteurs N2 et N3</t>
        </is>
      </c>
      <c r="I61" s="7" t="n">
        <v>100000</v>
      </c>
      <c r="J61" s="8" t="inlineStr">
        <is>
          <t>U</t>
        </is>
      </c>
      <c r="K61" s="9" t="n">
        <v>200</v>
      </c>
      <c r="L61" s="51" t="n"/>
      <c r="M61" s="52">
        <f>'S36'!M61+L61</f>
        <v/>
      </c>
      <c r="N61" s="53">
        <f>IFERROR(M61/K61,0)</f>
        <v/>
      </c>
      <c r="O61" s="54">
        <f>'S36'!N61</f>
        <v/>
      </c>
      <c r="P61" s="53">
        <f>N61-O61</f>
        <v/>
      </c>
      <c r="Q61" s="32" t="n"/>
      <c r="R61" s="32" t="n"/>
      <c r="S61" s="32" t="n"/>
      <c r="T61" s="55" t="n"/>
      <c r="U61" s="54">
        <f>'S36'!T61</f>
        <v/>
      </c>
      <c r="V61" s="53">
        <f>T61-U61</f>
        <v/>
      </c>
      <c r="W61" s="53">
        <f>N61-T61</f>
        <v/>
      </c>
      <c r="X61" s="34" t="n"/>
    </row>
    <row r="62" ht="22" customHeight="1">
      <c r="B62" s="10" t="n">
        <v>58</v>
      </c>
      <c r="C62" s="14" t="inlineStr">
        <is>
          <t>Kénitra</t>
        </is>
      </c>
      <c r="D62" s="10" t="inlineStr">
        <is>
          <t>SOUK TLET</t>
        </is>
      </c>
      <c r="E62" s="10" t="inlineStr">
        <is>
          <t>50-23</t>
        </is>
      </c>
      <c r="F62" s="10" t="inlineStr">
        <is>
          <t>Entretien et réparation du réseau d'assainissement et de drainage</t>
        </is>
      </c>
      <c r="G62" s="10" t="inlineStr">
        <is>
          <t>Travaux de curage des canaux en terre</t>
        </is>
      </c>
      <c r="H62" s="10" t="inlineStr">
        <is>
          <t>curage des emissaires et colatures secondaire au niveau des secteurs N2,N3 ET N4,</t>
        </is>
      </c>
      <c r="I62" s="11" t="n">
        <v>3000000</v>
      </c>
      <c r="J62" s="12" t="inlineStr">
        <is>
          <t>ml</t>
        </is>
      </c>
      <c r="K62" s="13" t="n">
        <v>1500</v>
      </c>
      <c r="L62" s="51" t="n"/>
      <c r="M62" s="56">
        <f>'S36'!M62+L62</f>
        <v/>
      </c>
      <c r="N62" s="57">
        <f>IFERROR(M62/K62,0)</f>
        <v/>
      </c>
      <c r="O62" s="58">
        <f>'S36'!N62</f>
        <v/>
      </c>
      <c r="P62" s="57">
        <f>N62-O62</f>
        <v/>
      </c>
      <c r="Q62" s="32" t="n"/>
      <c r="R62" s="32" t="n"/>
      <c r="S62" s="32" t="n"/>
      <c r="T62" s="55" t="n"/>
      <c r="U62" s="58">
        <f>'S36'!T62</f>
        <v/>
      </c>
      <c r="V62" s="57">
        <f>T62-U62</f>
        <v/>
      </c>
      <c r="W62" s="57">
        <f>N62-T62</f>
        <v/>
      </c>
      <c r="X62" s="34" t="n"/>
    </row>
    <row r="63" ht="22" customHeight="1">
      <c r="B63" s="5" t="n">
        <v>59</v>
      </c>
      <c r="C63" s="14" t="inlineStr">
        <is>
          <t>Kénitra</t>
        </is>
      </c>
      <c r="D63" s="5" t="inlineStr">
        <is>
          <t>SOUK TLET</t>
        </is>
      </c>
      <c r="E63" s="5" t="inlineStr">
        <is>
          <t>40-21</t>
        </is>
      </c>
      <c r="F63" s="5" t="inlineStr">
        <is>
          <t>Travaux de pistes</t>
        </is>
      </c>
      <c r="G63" s="5" t="inlineStr">
        <is>
          <t>Travaux de réhabilitation des pistes agricoles</t>
        </is>
      </c>
      <c r="H63" s="5" t="inlineStr">
        <is>
          <t>Entretien des pistes des secteurs N2,N3,N4 et C4R,</t>
        </is>
      </c>
      <c r="I63" s="7" t="n">
        <v>5000000</v>
      </c>
      <c r="J63" s="8" t="inlineStr">
        <is>
          <t>U</t>
        </is>
      </c>
      <c r="K63" s="9" t="n">
        <v>1</v>
      </c>
      <c r="L63" s="51" t="n"/>
      <c r="M63" s="52">
        <f>'S36'!M63+L63</f>
        <v/>
      </c>
      <c r="N63" s="53">
        <f>IFERROR(M63/K63,0)</f>
        <v/>
      </c>
      <c r="O63" s="54">
        <f>'S36'!N63</f>
        <v/>
      </c>
      <c r="P63" s="53">
        <f>N63-O63</f>
        <v/>
      </c>
      <c r="Q63" s="32" t="n"/>
      <c r="R63" s="32" t="n"/>
      <c r="S63" s="32" t="n"/>
      <c r="T63" s="55" t="n"/>
      <c r="U63" s="54">
        <f>'S36'!T63</f>
        <v/>
      </c>
      <c r="V63" s="53">
        <f>T63-U63</f>
        <v/>
      </c>
      <c r="W63" s="53">
        <f>N63-T63</f>
        <v/>
      </c>
      <c r="X63" s="34" t="n"/>
    </row>
    <row r="64" ht="22" customHeight="1">
      <c r="B64" s="10" t="n">
        <v>60</v>
      </c>
      <c r="C64" s="14" t="inlineStr">
        <is>
          <t>Kénitra</t>
        </is>
      </c>
      <c r="D64" s="10" t="inlineStr">
        <is>
          <t>Sidi Med Lahmar</t>
        </is>
      </c>
      <c r="E64" s="10" t="inlineStr">
        <is>
          <t>50-23</t>
        </is>
      </c>
      <c r="F64" s="10" t="inlineStr">
        <is>
          <t>Entretien et réparation du réseau d'assainissement et de drainage</t>
        </is>
      </c>
      <c r="G64" s="10" t="inlineStr">
        <is>
          <t>Travaux de curage des canaux en terre</t>
        </is>
      </c>
      <c r="H64" s="10" t="inlineStr">
        <is>
          <t>Curage des emissaires et colatures secondaires secteurs N1</t>
        </is>
      </c>
      <c r="I64" s="11" t="n">
        <v>3000000</v>
      </c>
      <c r="J64" s="12" t="inlineStr">
        <is>
          <t>ml</t>
        </is>
      </c>
      <c r="K64" s="13" t="n">
        <v>1500</v>
      </c>
      <c r="L64" s="51" t="n"/>
      <c r="M64" s="56">
        <f>'S36'!M64+L64</f>
        <v/>
      </c>
      <c r="N64" s="57">
        <f>IFERROR(M64/K64,0)</f>
        <v/>
      </c>
      <c r="O64" s="58">
        <f>'S36'!N64</f>
        <v/>
      </c>
      <c r="P64" s="57">
        <f>N64-O64</f>
        <v/>
      </c>
      <c r="Q64" s="32" t="n"/>
      <c r="R64" s="32" t="n"/>
      <c r="S64" s="32" t="n"/>
      <c r="T64" s="55" t="n"/>
      <c r="U64" s="58">
        <f>'S36'!T64</f>
        <v/>
      </c>
      <c r="V64" s="57">
        <f>T64-U64</f>
        <v/>
      </c>
      <c r="W64" s="57">
        <f>N64-T64</f>
        <v/>
      </c>
      <c r="X64" s="34" t="n"/>
    </row>
    <row r="65" ht="22" customHeight="1">
      <c r="B65" s="5" t="n">
        <v>61</v>
      </c>
      <c r="C65" s="14" t="inlineStr">
        <is>
          <t>Kénitra</t>
        </is>
      </c>
      <c r="D65" s="5" t="inlineStr">
        <is>
          <t>Sidi Med Lahmar</t>
        </is>
      </c>
      <c r="E65" s="5" t="inlineStr">
        <is>
          <t>40-21</t>
        </is>
      </c>
      <c r="F65" s="5" t="inlineStr">
        <is>
          <t>Travaux de pistes</t>
        </is>
      </c>
      <c r="G65" s="5" t="inlineStr">
        <is>
          <t>Travaux de réhabilitation des pistes agricoles</t>
        </is>
      </c>
      <c r="H65" s="5" t="inlineStr">
        <is>
          <t>Entretien des pistes agricoles des secteurs N9 et N1</t>
        </is>
      </c>
      <c r="I65" s="7" t="n">
        <v>3000000</v>
      </c>
      <c r="J65" s="8" t="inlineStr">
        <is>
          <t>km</t>
        </is>
      </c>
      <c r="K65" s="9" t="n">
        <v>6</v>
      </c>
      <c r="L65" s="51" t="n"/>
      <c r="M65" s="52">
        <f>'S36'!M65+L65</f>
        <v/>
      </c>
      <c r="N65" s="53">
        <f>IFERROR(M65/K65,0)</f>
        <v/>
      </c>
      <c r="O65" s="54">
        <f>'S36'!N65</f>
        <v/>
      </c>
      <c r="P65" s="53">
        <f>N65-O65</f>
        <v/>
      </c>
      <c r="Q65" s="32" t="n"/>
      <c r="R65" s="32" t="n"/>
      <c r="S65" s="32" t="n"/>
      <c r="T65" s="55" t="n"/>
      <c r="U65" s="54">
        <f>'S36'!T65</f>
        <v/>
      </c>
      <c r="V65" s="53">
        <f>T65-U65</f>
        <v/>
      </c>
      <c r="W65" s="53">
        <f>N65-T65</f>
        <v/>
      </c>
      <c r="X65" s="34" t="n"/>
    </row>
    <row r="66" ht="22" customHeight="1">
      <c r="B66" s="10" t="n">
        <v>62</v>
      </c>
      <c r="C66" s="14" t="inlineStr">
        <is>
          <t>Kénitra</t>
        </is>
      </c>
      <c r="D66" s="10" t="inlineStr">
        <is>
          <t>Mograne</t>
        </is>
      </c>
      <c r="E66" s="10" t="inlineStr">
        <is>
          <t>50-23</t>
        </is>
      </c>
      <c r="F66" s="10" t="inlineStr">
        <is>
          <t>Entretien et réparation du réseau d'assainissement et de drainage</t>
        </is>
      </c>
      <c r="G66" s="10" t="inlineStr">
        <is>
          <t>Travaux de curage des canaux en terre</t>
        </is>
      </c>
      <c r="H66" s="10" t="inlineStr">
        <is>
          <t>Curage des canaux d'assainissement Hors secteur équipé ghoufera et laison beht sebou ,</t>
        </is>
      </c>
      <c r="I66" s="11" t="n">
        <v>6000000</v>
      </c>
      <c r="J66" s="12" t="inlineStr">
        <is>
          <t>ml</t>
        </is>
      </c>
      <c r="K66" s="13" t="n">
        <v>3000</v>
      </c>
      <c r="L66" s="51" t="n"/>
      <c r="M66" s="56">
        <f>'S36'!M66+L66</f>
        <v/>
      </c>
      <c r="N66" s="57">
        <f>IFERROR(M66/K66,0)</f>
        <v/>
      </c>
      <c r="O66" s="58">
        <f>'S36'!N66</f>
        <v/>
      </c>
      <c r="P66" s="57">
        <f>N66-O66</f>
        <v/>
      </c>
      <c r="Q66" s="32" t="n"/>
      <c r="R66" s="32" t="n"/>
      <c r="S66" s="32" t="n"/>
      <c r="T66" s="55" t="n"/>
      <c r="U66" s="58">
        <f>'S36'!T66</f>
        <v/>
      </c>
      <c r="V66" s="57">
        <f>T66-U66</f>
        <v/>
      </c>
      <c r="W66" s="57">
        <f>N66-T66</f>
        <v/>
      </c>
      <c r="X66" s="34" t="n"/>
    </row>
    <row r="67" ht="22" customHeight="1">
      <c r="B67" s="5" t="n">
        <v>63</v>
      </c>
      <c r="C67" s="14" t="inlineStr">
        <is>
          <t>Kénitra</t>
        </is>
      </c>
      <c r="D67" s="5" t="inlineStr">
        <is>
          <t>Mograne</t>
        </is>
      </c>
      <c r="E67" s="5" t="inlineStr">
        <is>
          <t>40-21</t>
        </is>
      </c>
      <c r="F67" s="5" t="inlineStr">
        <is>
          <t>Travaux de pistes</t>
        </is>
      </c>
      <c r="G67" s="5" t="inlineStr">
        <is>
          <t>Travaux de réhabilitation des pistes agricoles</t>
        </is>
      </c>
      <c r="H67" s="5" t="inlineStr">
        <is>
          <t>Entretien des pistes agricoles des secteurs SEBOU1,SEBOU2? BEHT3 et BEHT4</t>
        </is>
      </c>
      <c r="I67" s="7" t="n">
        <v>6000000</v>
      </c>
      <c r="J67" s="8" t="inlineStr">
        <is>
          <t>km</t>
        </is>
      </c>
      <c r="K67" s="9" t="n">
        <v>12</v>
      </c>
      <c r="L67" s="51" t="n"/>
      <c r="M67" s="52">
        <f>'S36'!M67+L67</f>
        <v/>
      </c>
      <c r="N67" s="53">
        <f>IFERROR(M67/K67,0)</f>
        <v/>
      </c>
      <c r="O67" s="54">
        <f>'S36'!N67</f>
        <v/>
      </c>
      <c r="P67" s="53">
        <f>N67-O67</f>
        <v/>
      </c>
      <c r="Q67" s="32" t="n"/>
      <c r="R67" s="32" t="n"/>
      <c r="S67" s="32" t="n"/>
      <c r="T67" s="55" t="n"/>
      <c r="U67" s="54">
        <f>'S36'!T67</f>
        <v/>
      </c>
      <c r="V67" s="53">
        <f>T67-U67</f>
        <v/>
      </c>
      <c r="W67" s="53">
        <f>N67-T67</f>
        <v/>
      </c>
      <c r="X67" s="34" t="n"/>
    </row>
    <row r="68" ht="22" customHeight="1">
      <c r="B68" s="10" t="n">
        <v>64</v>
      </c>
      <c r="C68" s="14" t="inlineStr">
        <is>
          <t>Kénitra</t>
        </is>
      </c>
      <c r="D68" s="10" t="inlineStr">
        <is>
          <t>Sidi allal tazi</t>
        </is>
      </c>
      <c r="E68" s="10" t="inlineStr">
        <is>
          <t>50-23</t>
        </is>
      </c>
      <c r="F68" s="10" t="inlineStr">
        <is>
          <t>Entretien et réparation du réseau d'assainissement et de drainage</t>
        </is>
      </c>
      <c r="G68" s="10" t="inlineStr">
        <is>
          <t>Travaux de curage des canaux en terre</t>
        </is>
      </c>
      <c r="H68" s="10" t="inlineStr">
        <is>
          <t>Curage du canaL d'assainissement CK,</t>
        </is>
      </c>
      <c r="I68" s="11" t="n">
        <v>3000000</v>
      </c>
      <c r="J68" s="12" t="inlineStr">
        <is>
          <t>ml</t>
        </is>
      </c>
      <c r="K68" s="13" t="n">
        <v>1500</v>
      </c>
      <c r="L68" s="51" t="n"/>
      <c r="M68" s="56">
        <f>'S36'!M68+L68</f>
        <v/>
      </c>
      <c r="N68" s="57">
        <f>IFERROR(M68/K68,0)</f>
        <v/>
      </c>
      <c r="O68" s="58">
        <f>'S36'!N68</f>
        <v/>
      </c>
      <c r="P68" s="57">
        <f>N68-O68</f>
        <v/>
      </c>
      <c r="Q68" s="32" t="n"/>
      <c r="R68" s="32" t="n"/>
      <c r="S68" s="32" t="n"/>
      <c r="T68" s="55" t="n"/>
      <c r="U68" s="58">
        <f>'S36'!T68</f>
        <v/>
      </c>
      <c r="V68" s="57">
        <f>T68-U68</f>
        <v/>
      </c>
      <c r="W68" s="57">
        <f>N68-T68</f>
        <v/>
      </c>
      <c r="X68" s="34" t="n"/>
    </row>
    <row r="69" ht="22" customHeight="1">
      <c r="B69" s="5" t="n">
        <v>65</v>
      </c>
      <c r="C69" s="14" t="inlineStr">
        <is>
          <t>Kénitra</t>
        </is>
      </c>
      <c r="D69" s="5" t="inlineStr">
        <is>
          <t>AMEUR SAFLIA</t>
        </is>
      </c>
      <c r="E69" s="5" t="inlineStr">
        <is>
          <t>50-23</t>
        </is>
      </c>
      <c r="F69" s="5" t="inlineStr">
        <is>
          <t>Entretien et réparation du réseau d'assainissement et de drainage</t>
        </is>
      </c>
      <c r="G69" s="5" t="inlineStr">
        <is>
          <t>Travaux de curage des canaux en terre</t>
        </is>
      </c>
      <c r="H69" s="5" t="inlineStr">
        <is>
          <t>Curage des canaux d'assainissement amontTtiflt Sebou,</t>
        </is>
      </c>
      <c r="I69" s="7" t="n">
        <v>1000000</v>
      </c>
      <c r="J69" s="8" t="inlineStr">
        <is>
          <t>ml</t>
        </is>
      </c>
      <c r="K69" s="9" t="n">
        <v>500</v>
      </c>
      <c r="L69" s="51" t="n"/>
      <c r="M69" s="52">
        <f>'S36'!M69+L69</f>
        <v/>
      </c>
      <c r="N69" s="53">
        <f>IFERROR(M69/K69,0)</f>
        <v/>
      </c>
      <c r="O69" s="54">
        <f>'S36'!N69</f>
        <v/>
      </c>
      <c r="P69" s="53">
        <f>N69-O69</f>
        <v/>
      </c>
      <c r="Q69" s="32" t="n"/>
      <c r="R69" s="32" t="n"/>
      <c r="S69" s="32" t="n"/>
      <c r="T69" s="55" t="n"/>
      <c r="U69" s="54">
        <f>'S36'!T69</f>
        <v/>
      </c>
      <c r="V69" s="53">
        <f>T69-U69</f>
        <v/>
      </c>
      <c r="W69" s="53">
        <f>N69-T69</f>
        <v/>
      </c>
      <c r="X69" s="34" t="n"/>
    </row>
    <row r="70" ht="22" customHeight="1">
      <c r="B70" s="10" t="n">
        <v>66</v>
      </c>
      <c r="C70" s="14" t="inlineStr">
        <is>
          <t>Kénitra</t>
        </is>
      </c>
      <c r="D70" s="10" t="inlineStr">
        <is>
          <t>Oulad SLAMA</t>
        </is>
      </c>
      <c r="E70" s="10" t="inlineStr">
        <is>
          <t>50-23</t>
        </is>
      </c>
      <c r="F70" s="10" t="inlineStr">
        <is>
          <t>Entretien et réparation du réseau d'assainissement et de drainage</t>
        </is>
      </c>
      <c r="G70" s="10" t="inlineStr">
        <is>
          <t>Travaux de curage des canaux en terre</t>
        </is>
      </c>
      <c r="H70" s="10" t="inlineStr">
        <is>
          <t>Curage des canaux d'assainissement debouche Tiflt aval,</t>
        </is>
      </c>
      <c r="I70" s="11" t="n">
        <v>1000000</v>
      </c>
      <c r="J70" s="12" t="inlineStr">
        <is>
          <t>ml</t>
        </is>
      </c>
      <c r="K70" s="13" t="n">
        <v>500</v>
      </c>
      <c r="L70" s="51" t="n"/>
      <c r="M70" s="56">
        <f>'S36'!M70+L70</f>
        <v/>
      </c>
      <c r="N70" s="57">
        <f>IFERROR(M70/K70,0)</f>
        <v/>
      </c>
      <c r="O70" s="58">
        <f>'S36'!N70</f>
        <v/>
      </c>
      <c r="P70" s="57">
        <f>N70-O70</f>
        <v/>
      </c>
      <c r="Q70" s="32" t="n"/>
      <c r="R70" s="32" t="n"/>
      <c r="S70" s="32" t="n"/>
      <c r="T70" s="55" t="n"/>
      <c r="U70" s="58">
        <f>'S36'!T70</f>
        <v/>
      </c>
      <c r="V70" s="57">
        <f>T70-U70</f>
        <v/>
      </c>
      <c r="W70" s="57">
        <f>N70-T70</f>
        <v/>
      </c>
      <c r="X70" s="34" t="n"/>
    </row>
    <row r="71" ht="22" customHeight="1">
      <c r="B71" s="5" t="n">
        <v>67</v>
      </c>
      <c r="C71" s="14" t="inlineStr">
        <is>
          <t>Kénitra</t>
        </is>
      </c>
      <c r="D71" s="5" t="inlineStr">
        <is>
          <t>BHARA Oulad AYAD</t>
        </is>
      </c>
      <c r="E71" s="5" t="inlineStr">
        <is>
          <t>50-23</t>
        </is>
      </c>
      <c r="F71" s="5" t="inlineStr">
        <is>
          <t>Entretien et réparation du réseau d'assainissement et de drainage</t>
        </is>
      </c>
      <c r="G71" s="5" t="inlineStr">
        <is>
          <t>Travaux de curage des canaux en terre</t>
        </is>
      </c>
      <c r="H71" s="5" t="inlineStr">
        <is>
          <t>Curage des canaux d'assainissement canal nador bas et haut segmet,</t>
        </is>
      </c>
      <c r="I71" s="7" t="n">
        <v>6600000</v>
      </c>
      <c r="J71" s="8" t="inlineStr">
        <is>
          <t>ml</t>
        </is>
      </c>
      <c r="K71" s="9" t="n">
        <v>3300</v>
      </c>
      <c r="L71" s="51" t="n"/>
      <c r="M71" s="52">
        <f>'S36'!M71+L71</f>
        <v/>
      </c>
      <c r="N71" s="53">
        <f>IFERROR(M71/K71,0)</f>
        <v/>
      </c>
      <c r="O71" s="54">
        <f>'S36'!N71</f>
        <v/>
      </c>
      <c r="P71" s="53">
        <f>N71-O71</f>
        <v/>
      </c>
      <c r="Q71" s="32" t="n"/>
      <c r="R71" s="32" t="n"/>
      <c r="S71" s="32" t="n"/>
      <c r="T71" s="55" t="n"/>
      <c r="U71" s="54">
        <f>'S36'!T71</f>
        <v/>
      </c>
      <c r="V71" s="53">
        <f>T71-U71</f>
        <v/>
      </c>
      <c r="W71" s="53">
        <f>N71-T71</f>
        <v/>
      </c>
      <c r="X71" s="34" t="n"/>
    </row>
    <row r="72" ht="22" customHeight="1">
      <c r="B72" s="10" t="n">
        <v>68</v>
      </c>
      <c r="C72" s="15" t="inlineStr">
        <is>
          <t>Sidi Slimane</t>
        </is>
      </c>
      <c r="D72" s="10" t="inlineStr">
        <is>
          <t>OULED HCEINE</t>
        </is>
      </c>
      <c r="E72" s="10" t="inlineStr">
        <is>
          <t>50-23</t>
        </is>
      </c>
      <c r="F72" s="10" t="inlineStr">
        <is>
          <t>Entretien et réparation du réseau d'assainissement et de drainage</t>
        </is>
      </c>
      <c r="G72" s="10" t="inlineStr">
        <is>
          <t>Travaux de curage des canaux en terre</t>
        </is>
      </c>
      <c r="H72" s="10" t="inlineStr">
        <is>
          <t>Curage des collecteurs d'assainissement du secteur EST4.</t>
        </is>
      </c>
      <c r="I72" s="11" t="n">
        <v>1805475</v>
      </c>
      <c r="J72" s="12" t="inlineStr">
        <is>
          <t>ml</t>
        </is>
      </c>
      <c r="K72" s="13" t="n">
        <v>903</v>
      </c>
      <c r="L72" s="51" t="n"/>
      <c r="M72" s="56">
        <f>'S36'!M72+L72</f>
        <v/>
      </c>
      <c r="N72" s="57">
        <f>IFERROR(M72/K72,0)</f>
        <v/>
      </c>
      <c r="O72" s="58">
        <f>'S36'!N72</f>
        <v/>
      </c>
      <c r="P72" s="57">
        <f>N72-O72</f>
        <v/>
      </c>
      <c r="Q72" s="32" t="n"/>
      <c r="R72" s="32" t="n"/>
      <c r="S72" s="32" t="n"/>
      <c r="T72" s="55" t="n"/>
      <c r="U72" s="58">
        <f>'S36'!T72</f>
        <v/>
      </c>
      <c r="V72" s="57">
        <f>T72-U72</f>
        <v/>
      </c>
      <c r="W72" s="57">
        <f>N72-T72</f>
        <v/>
      </c>
      <c r="X72" s="34" t="n"/>
    </row>
    <row r="73" ht="22" customHeight="1">
      <c r="B73" s="5" t="n">
        <v>69</v>
      </c>
      <c r="C73" s="15" t="inlineStr">
        <is>
          <t>Sidi Slimane</t>
        </is>
      </c>
      <c r="D73" s="5" t="inlineStr">
        <is>
          <t>OULED HCEINE</t>
        </is>
      </c>
      <c r="E73" s="5" t="inlineStr">
        <is>
          <t>50-23</t>
        </is>
      </c>
      <c r="F73" s="5" t="inlineStr">
        <is>
          <t>Entretien et réparation du réseau d'assainissement et de drainage</t>
        </is>
      </c>
      <c r="G73" s="5" t="inlineStr">
        <is>
          <t>Travaux de curage des canaux en terre</t>
        </is>
      </c>
      <c r="H73" s="5" t="inlineStr">
        <is>
          <t>Curage du canal d'assainissement Tihli central.</t>
        </is>
      </c>
      <c r="I73" s="7" t="n">
        <v>2587200</v>
      </c>
      <c r="J73" s="8" t="inlineStr">
        <is>
          <t>ml</t>
        </is>
      </c>
      <c r="K73" s="9" t="n">
        <v>1294</v>
      </c>
      <c r="L73" s="51" t="n"/>
      <c r="M73" s="52">
        <f>'S36'!M73+L73</f>
        <v/>
      </c>
      <c r="N73" s="53">
        <f>IFERROR(M73/K73,0)</f>
        <v/>
      </c>
      <c r="O73" s="54">
        <f>'S36'!N73</f>
        <v/>
      </c>
      <c r="P73" s="53">
        <f>N73-O73</f>
        <v/>
      </c>
      <c r="Q73" s="32" t="n"/>
      <c r="R73" s="32" t="n"/>
      <c r="S73" s="32" t="n"/>
      <c r="T73" s="55" t="n"/>
      <c r="U73" s="54">
        <f>'S36'!T73</f>
        <v/>
      </c>
      <c r="V73" s="53">
        <f>T73-U73</f>
        <v/>
      </c>
      <c r="W73" s="53">
        <f>N73-T73</f>
        <v/>
      </c>
      <c r="X73" s="34" t="n"/>
    </row>
    <row r="74" ht="22" customHeight="1">
      <c r="B74" s="10" t="n">
        <v>70</v>
      </c>
      <c r="C74" s="15" t="inlineStr">
        <is>
          <t>Sidi Slimane</t>
        </is>
      </c>
      <c r="D74" s="10" t="inlineStr">
        <is>
          <t>OULED HCEINE</t>
        </is>
      </c>
      <c r="E74" s="10" t="inlineStr">
        <is>
          <t>40-21</t>
        </is>
      </c>
      <c r="F74" s="10" t="inlineStr">
        <is>
          <t>Travaux de pistes</t>
        </is>
      </c>
      <c r="G74" s="10" t="inlineStr">
        <is>
          <t>Travaux de réhabilitation des pistes agricoles</t>
        </is>
      </c>
      <c r="H74" s="10" t="inlineStr">
        <is>
          <t>Entretien des pistes agricoles</t>
        </is>
      </c>
      <c r="I74" s="11" t="n">
        <v>3500000</v>
      </c>
      <c r="J74" s="12" t="inlineStr">
        <is>
          <t>km</t>
        </is>
      </c>
      <c r="K74" s="13" t="n">
        <v>7</v>
      </c>
      <c r="L74" s="51" t="n"/>
      <c r="M74" s="56">
        <f>'S36'!M74+L74</f>
        <v/>
      </c>
      <c r="N74" s="57">
        <f>IFERROR(M74/K74,0)</f>
        <v/>
      </c>
      <c r="O74" s="58">
        <f>'S36'!N74</f>
        <v/>
      </c>
      <c r="P74" s="57">
        <f>N74-O74</f>
        <v/>
      </c>
      <c r="Q74" s="32" t="n"/>
      <c r="R74" s="32" t="n"/>
      <c r="S74" s="32" t="n"/>
      <c r="T74" s="55" t="n"/>
      <c r="U74" s="58">
        <f>'S36'!T74</f>
        <v/>
      </c>
      <c r="V74" s="57">
        <f>T74-U74</f>
        <v/>
      </c>
      <c r="W74" s="57">
        <f>N74-T74</f>
        <v/>
      </c>
      <c r="X74" s="34" t="n"/>
    </row>
    <row r="75" ht="22" customHeight="1">
      <c r="B75" s="5" t="n">
        <v>71</v>
      </c>
      <c r="C75" s="15" t="inlineStr">
        <is>
          <t>Sidi Slimane</t>
        </is>
      </c>
      <c r="D75" s="5" t="inlineStr">
        <is>
          <t>OULED HCEINE</t>
        </is>
      </c>
      <c r="E75" s="5" t="inlineStr">
        <is>
          <t>50-21</t>
        </is>
      </c>
      <c r="F75" s="5" t="inlineStr">
        <is>
          <t>Entretien et réparation des stations de pompage</t>
        </is>
      </c>
      <c r="G75" s="5" t="inlineStr">
        <is>
          <t>Travaux de réparation des équipements hydromécaniques et éléctriques et entretien de la partie génie civil des stations de pompage.</t>
        </is>
      </c>
      <c r="H75" s="5" t="inlineStr">
        <is>
          <t>Démontage et expertise des roues des  pompes principaux et pompes a vide de la station EST4 et P11/2.
Changement des roulements, tresses et organes d’effectués de la station EST4 et P11/2
Changement deux débitmètre Ø 1200 mm de la station EST4 et un débimétre de la station P11/2.
Changement des capteurs de niveau inondés.
Révision et réparation des moteurs des vannes motorisées inondées.
changement de six contrôleurs de débits DW181 inondés.
Un capteur de débitmètre inondé nécessitent un diagnostic VEGASON  .
Entretien de l'éclairage du local de vide et bâche d’aspiration inondé de la station EST4 et la partie de l’éclairage du local des pompes inondées de la station P11/2.
Pose de gabions et recouvrement du talus par matelas Reno des stations de pompage P11/2</t>
        </is>
      </c>
      <c r="I75" s="7" t="n">
        <v>870000</v>
      </c>
      <c r="J75" s="8" t="inlineStr">
        <is>
          <t>U</t>
        </is>
      </c>
      <c r="K75" s="9" t="n">
        <v>4</v>
      </c>
      <c r="L75" s="51" t="n"/>
      <c r="M75" s="52">
        <f>'S36'!M75+L75</f>
        <v/>
      </c>
      <c r="N75" s="53">
        <f>IFERROR(M75/K75,0)</f>
        <v/>
      </c>
      <c r="O75" s="54">
        <f>'S36'!N75</f>
        <v/>
      </c>
      <c r="P75" s="53">
        <f>N75-O75</f>
        <v/>
      </c>
      <c r="Q75" s="32" t="n"/>
      <c r="R75" s="32" t="n"/>
      <c r="S75" s="32" t="n"/>
      <c r="T75" s="55" t="n"/>
      <c r="U75" s="54">
        <f>'S36'!T75</f>
        <v/>
      </c>
      <c r="V75" s="53">
        <f>T75-U75</f>
        <v/>
      </c>
      <c r="W75" s="53">
        <f>N75-T75</f>
        <v/>
      </c>
      <c r="X75" s="34" t="n"/>
    </row>
    <row r="76" ht="22" customHeight="1">
      <c r="B76" s="10" t="n">
        <v>72</v>
      </c>
      <c r="C76" s="15" t="inlineStr">
        <is>
          <t>Sidi Slimane</t>
        </is>
      </c>
      <c r="D76" s="10" t="inlineStr">
        <is>
          <t>OULED HCEINE</t>
        </is>
      </c>
      <c r="E76" s="10" t="inlineStr">
        <is>
          <t>50-23</t>
        </is>
      </c>
      <c r="F76" s="10" t="inlineStr">
        <is>
          <t>Entretien et réparation du réseau d'assainissement et de drainage</t>
        </is>
      </c>
      <c r="G76" s="10" t="inlineStr">
        <is>
          <t>Travaux de curage des prises des stations de pompage.</t>
        </is>
      </c>
      <c r="H76" s="10" t="inlineStr">
        <is>
          <t>Curage des siphones des station de pompage EST2 et P11/2.</t>
        </is>
      </c>
      <c r="I76" s="11" t="n">
        <v>500000</v>
      </c>
      <c r="J76" s="12" t="inlineStr">
        <is>
          <t>ml</t>
        </is>
      </c>
      <c r="K76" s="13" t="n">
        <v>167</v>
      </c>
      <c r="L76" s="51" t="n"/>
      <c r="M76" s="56">
        <f>'S36'!M76+L76</f>
        <v/>
      </c>
      <c r="N76" s="57">
        <f>IFERROR(M76/K76,0)</f>
        <v/>
      </c>
      <c r="O76" s="58">
        <f>'S36'!N76</f>
        <v/>
      </c>
      <c r="P76" s="57">
        <f>N76-O76</f>
        <v/>
      </c>
      <c r="Q76" s="32" t="n"/>
      <c r="R76" s="32" t="n"/>
      <c r="S76" s="32" t="n"/>
      <c r="T76" s="55" t="n"/>
      <c r="U76" s="58">
        <f>'S36'!T76</f>
        <v/>
      </c>
      <c r="V76" s="57">
        <f>T76-U76</f>
        <v/>
      </c>
      <c r="W76" s="57">
        <f>N76-T76</f>
        <v/>
      </c>
      <c r="X76" s="34" t="n"/>
    </row>
    <row r="77" ht="26" customHeight="1">
      <c r="B77" s="16" t="inlineStr">
        <is>
          <t>TOTAL</t>
        </is>
      </c>
      <c r="C77" s="16" t="n"/>
      <c r="D77" s="16" t="n"/>
      <c r="E77" s="16" t="n"/>
      <c r="F77" s="16" t="n"/>
      <c r="G77" s="16" t="n"/>
      <c r="H77" s="16" t="n"/>
      <c r="I77" s="17">
        <f>SUM(I5:I76)</f>
        <v/>
      </c>
      <c r="J77" s="16" t="n"/>
      <c r="K77" s="16" t="n"/>
      <c r="L77" s="59">
        <f>SUM(L5:L76)</f>
        <v/>
      </c>
      <c r="M77" s="59">
        <f>SUM(M5:M76)</f>
        <v/>
      </c>
      <c r="N77" s="60">
        <f>IFERROR(SUMPRODUCT(N5:N76,I5:I76)/I77,0)</f>
        <v/>
      </c>
      <c r="O77" s="60">
        <f>IFERROR(SUMPRODUCT(O5:O76,I5:I76)/I77,0)</f>
        <v/>
      </c>
      <c r="P77" s="60">
        <f>N77-O77</f>
        <v/>
      </c>
      <c r="Q77" s="17">
        <f>SUM(Q5:Q76)</f>
        <v/>
      </c>
      <c r="R77" s="17">
        <f>SUM(R5:R76)</f>
        <v/>
      </c>
      <c r="S77" s="17">
        <f>SUM(S5:S76)</f>
        <v/>
      </c>
      <c r="T77" s="60">
        <f>IFERROR(SUMPRODUCT(T5:T76,I5:I76)/I77,0)</f>
        <v/>
      </c>
      <c r="U77" s="60">
        <f>IFERROR(SUMPRODUCT(U5:U76,I5:I76)/I77,0)</f>
        <v/>
      </c>
      <c r="V77" s="60">
        <f>T77-U77</f>
        <v/>
      </c>
      <c r="W77" s="60">
        <f>N77-T77</f>
        <v/>
      </c>
      <c r="X77" s="16" t="n"/>
    </row>
  </sheetData>
  <sheetProtection selectLockedCells="0" selectUnlockedCells="0" sheet="1" objects="0" insertRows="1" insertHyperlinks="1" autoFilter="1" scenarios="0" formatColumns="1" deleteColumns="1" insertColumns="1" pivotTables="1" deleteRows="1" formatCells="1" formatRows="1" sort="1" password="CBBE"/>
  <mergeCells count="6">
    <mergeCell ref="E3:I3"/>
    <mergeCell ref="W3:X3"/>
    <mergeCell ref="J3:P3"/>
    <mergeCell ref="B2:X2"/>
    <mergeCell ref="C3:D3"/>
    <mergeCell ref="Q3:V3"/>
  </mergeCells>
  <conditionalFormatting sqref="P5:P76">
    <cfRule type="cellIs" priority="1" operator="greaterThan" dxfId="0">
      <formula>0</formula>
    </cfRule>
    <cfRule type="cellIs" priority="2" operator="lessThan" dxfId="1">
      <formula>0</formula>
    </cfRule>
  </conditionalFormatting>
  <conditionalFormatting sqref="V5:V76">
    <cfRule type="cellIs" priority="3" operator="greaterThan" dxfId="0">
      <formula>0</formula>
    </cfRule>
    <cfRule type="cellIs" priority="4" operator="lessThan" dxfId="1">
      <formula>0</formula>
    </cfRule>
  </conditionalFormatting>
  <conditionalFormatting sqref="W5:W76">
    <cfRule type="cellIs" priority="5" operator="greaterThan" dxfId="0">
      <formula>0.05</formula>
    </cfRule>
    <cfRule type="cellIs" priority="6" operator="lessThan" dxfId="1">
      <formula>-0.05</formula>
    </cfRule>
    <cfRule type="cellIs" priority="7" operator="between" dxfId="2">
      <formula>-0.05</formula>
      <formula>0.05</formula>
    </cfRule>
  </conditionalFormatting>
  <conditionalFormatting sqref="N5:N76">
    <cfRule type="dataBar" priority="8">
      <dataBar showValue="1">
        <cfvo type="num" val="0"/>
        <cfvo type="num" val="1"/>
        <color rgb="001B7D46"/>
      </dataBar>
    </cfRule>
  </conditionalFormatting>
  <conditionalFormatting sqref="T5:T76">
    <cfRule type="dataBar" priority="9">
      <dataBar showValue="1">
        <cfvo type="num" val="0"/>
        <cfvo type="num" val="1"/>
        <color rgb="00D4820A"/>
      </dataBar>
    </cfRule>
  </conditionalFormatting>
  <dataValidations count="2">
    <dataValidation sqref="T5:T76" showDropDown="0" showInputMessage="0" showErrorMessage="0" allowBlank="1" errorTitle="Invalide" error="Valeur entre 0% et 100%" promptTitle="Avancement %" prompt="Entrez 0.25 pour 25%" type="decimal" operator="between">
      <formula1>0</formula1>
      <formula2>1</formula2>
    </dataValidation>
    <dataValidation sqref="L5:L76" showDropDown="0" showInputMessage="0" showErrorMessage="0" allowBlank="1" errorTitle="Invalide" error="Quantité doit être &gt;= 0" promptTitle="Qté Réalisée" prompt="Entrez la quantité réalisée cette semaine" type="decimal" operator="greaterThanOrEqual">
      <formula1>0</formula1>
    </dataValidation>
  </dataValidations>
  <pageMargins left="0.75" right="0.75" top="1" bottom="1" header="0.5" footer="0.5"/>
</worksheet>
</file>

<file path=xl/worksheets/sheet18.xml><?xml version="1.0" encoding="utf-8"?>
<worksheet xmlns="http://schemas.openxmlformats.org/spreadsheetml/2006/main">
  <sheetPr>
    <tabColor rgb="00C00000"/>
    <outlinePr summaryBelow="1" summaryRight="1"/>
    <pageSetUpPr/>
  </sheetPr>
  <dimension ref="B2:X77"/>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5" customWidth="1" min="2" max="2"/>
    <col width="14" customWidth="1" min="3" max="3"/>
    <col width="18" customWidth="1" min="4" max="4"/>
    <col width="9" customWidth="1" min="5" max="5"/>
    <col width="32" customWidth="1" min="6" max="6"/>
    <col width="28" customWidth="1" min="7" max="7"/>
    <col width="34" customWidth="1" min="8" max="8"/>
    <col width="14" customWidth="1" min="9" max="9"/>
    <col width="8" customWidth="1" min="10" max="10"/>
    <col width="12" customWidth="1" min="11" max="11"/>
    <col width="14" customWidth="1" min="12" max="12"/>
    <col width="14" customWidth="1" min="13" max="13"/>
    <col width="14" customWidth="1" min="14" max="14"/>
    <col width="14" customWidth="1" min="15" max="15"/>
    <col width="14" customWidth="1" min="16" max="16"/>
    <col width="16" customWidth="1" min="17" max="17"/>
    <col width="16" customWidth="1" min="18" max="18"/>
    <col width="16" customWidth="1" min="19" max="19"/>
    <col width="14" customWidth="1" min="20" max="20"/>
    <col width="14" customWidth="1" min="21" max="21"/>
    <col width="14" customWidth="1" min="22" max="22"/>
    <col width="14" customWidth="1" min="23" max="23"/>
    <col width="24" customWidth="1" min="24" max="24"/>
  </cols>
  <sheetData>
    <row r="1" ht="15" customHeight="1"/>
    <row r="2" ht="32" customHeight="1">
      <c r="B2" s="1" t="inlineStr">
        <is>
          <t>Suivi Hebdomadaire - Semaine 38 (14/09 - 20/09) — Septembre 2026 - Exécution Physique et Financière</t>
        </is>
      </c>
    </row>
    <row r="3" ht="22" customHeight="1">
      <c r="B3" s="20" t="inlineStr">
        <is>
          <t>Date :</t>
        </is>
      </c>
      <c r="C3" s="49" t="n">
        <v>46279</v>
      </c>
      <c r="D3" s="50" t="n"/>
      <c r="E3" s="22" t="inlineStr">
        <is>
          <t>IDENTIFICATION</t>
        </is>
      </c>
      <c r="J3" s="23" t="inlineStr">
        <is>
          <t>INDICATEURS PHYSIQUES</t>
        </is>
      </c>
      <c r="Q3" s="24" t="inlineStr">
        <is>
          <t>INDICATEURS FINANCIERS</t>
        </is>
      </c>
      <c r="W3" s="25" t="inlineStr">
        <is>
          <t>SYNTHÈSE</t>
        </is>
      </c>
    </row>
    <row r="4" ht="28" customHeight="1">
      <c r="B4" s="4" t="inlineStr">
        <is>
          <t>N°</t>
        </is>
      </c>
      <c r="C4" s="4" t="inlineStr">
        <is>
          <t>Province</t>
        </is>
      </c>
      <c r="D4" s="4" t="inlineStr">
        <is>
          <t>Commune</t>
        </is>
      </c>
      <c r="E4" s="4" t="inlineStr">
        <is>
          <t>Rubrique</t>
        </is>
      </c>
      <c r="F4" s="4" t="inlineStr">
        <is>
          <t>Intitulé Rubrique</t>
        </is>
      </c>
      <c r="G4" s="4" t="inlineStr">
        <is>
          <t>Projet</t>
        </is>
      </c>
      <c r="H4" s="4" t="inlineStr">
        <is>
          <t>Consistance</t>
        </is>
      </c>
      <c r="I4" s="4" t="inlineStr">
        <is>
          <t>Coût Total (DH)</t>
        </is>
      </c>
      <c r="J4" s="26" t="inlineStr">
        <is>
          <t>Unité</t>
        </is>
      </c>
      <c r="K4" s="26" t="inlineStr">
        <is>
          <t>Qté Prévue</t>
        </is>
      </c>
      <c r="L4" s="26" t="inlineStr">
        <is>
          <t>Qté Réalisée Sem.</t>
        </is>
      </c>
      <c r="M4" s="26" t="inlineStr">
        <is>
          <t>Qté Réalisée Cumul</t>
        </is>
      </c>
      <c r="N4" s="26" t="inlineStr">
        <is>
          <t>Avancement Physique %</t>
        </is>
      </c>
      <c r="O4" s="26" t="inlineStr">
        <is>
          <t>% Phys. Sem. Préc.</t>
        </is>
      </c>
      <c r="P4" s="26" t="inlineStr">
        <is>
          <t>Accroissement Phys. %</t>
        </is>
      </c>
      <c r="Q4" s="27" t="inlineStr">
        <is>
          <t>Montant Décaissé (DH)</t>
        </is>
      </c>
      <c r="R4" s="27" t="inlineStr">
        <is>
          <t>Montant Payé (DH)</t>
        </is>
      </c>
      <c r="S4" s="27" t="inlineStr">
        <is>
          <t>Montant Ordonné (DH)</t>
        </is>
      </c>
      <c r="T4" s="27" t="inlineStr">
        <is>
          <t>Avancement Financier %</t>
        </is>
      </c>
      <c r="U4" s="27" t="inlineStr">
        <is>
          <t>% Fin. Sem. Préc.</t>
        </is>
      </c>
      <c r="V4" s="27" t="inlineStr">
        <is>
          <t>Accroissement Fin. %</t>
        </is>
      </c>
      <c r="W4" s="28" t="inlineStr">
        <is>
          <t>Écart Phys.-Fin.</t>
        </is>
      </c>
      <c r="X4" s="28" t="inlineStr">
        <is>
          <t>Observations</t>
        </is>
      </c>
    </row>
    <row r="5" ht="22" customHeight="1">
      <c r="B5" s="5" t="n">
        <v>1</v>
      </c>
      <c r="C5" s="6" t="inlineStr">
        <is>
          <t>Sidi Kacem</t>
        </is>
      </c>
      <c r="D5" s="5" t="inlineStr">
        <is>
          <t>KHENICHET</t>
        </is>
      </c>
      <c r="E5" s="5" t="inlineStr">
        <is>
          <t>50-23</t>
        </is>
      </c>
      <c r="F5" s="5" t="inlineStr">
        <is>
          <t>Entretien et réparation du réseau d'assainissement et de drainage</t>
        </is>
      </c>
      <c r="G5" s="5" t="inlineStr">
        <is>
          <t>Travaux de curage des canaux en terre</t>
        </is>
      </c>
      <c r="H5" s="5" t="inlineStr">
        <is>
          <t>Curage des collecteurs d'assainissement du secteur EST2</t>
        </is>
      </c>
      <c r="I5" s="7" t="n">
        <v>2091568</v>
      </c>
      <c r="J5" s="8" t="inlineStr">
        <is>
          <t>ml</t>
        </is>
      </c>
      <c r="K5" s="9" t="n">
        <v>1046</v>
      </c>
      <c r="L5" s="51" t="n"/>
      <c r="M5" s="52">
        <f>'S37'!M5+L5</f>
        <v/>
      </c>
      <c r="N5" s="53">
        <f>IFERROR(M5/K5,0)</f>
        <v/>
      </c>
      <c r="O5" s="54">
        <f>'S37'!N5</f>
        <v/>
      </c>
      <c r="P5" s="53">
        <f>N5-O5</f>
        <v/>
      </c>
      <c r="Q5" s="32" t="n"/>
      <c r="R5" s="32" t="n"/>
      <c r="S5" s="32" t="n"/>
      <c r="T5" s="55" t="n"/>
      <c r="U5" s="54">
        <f>'S37'!T5</f>
        <v/>
      </c>
      <c r="V5" s="53">
        <f>T5-U5</f>
        <v/>
      </c>
      <c r="W5" s="53">
        <f>N5-T5</f>
        <v/>
      </c>
      <c r="X5" s="34" t="n"/>
    </row>
    <row r="6" ht="22" customHeight="1">
      <c r="B6" s="10" t="n">
        <v>2</v>
      </c>
      <c r="C6" s="6" t="inlineStr">
        <is>
          <t>Sidi Kacem</t>
        </is>
      </c>
      <c r="D6" s="10" t="inlineStr">
        <is>
          <t>KHENICHET</t>
        </is>
      </c>
      <c r="E6" s="10" t="inlineStr">
        <is>
          <t>40-21</t>
        </is>
      </c>
      <c r="F6" s="10" t="inlineStr">
        <is>
          <t>Travaux de pistes</t>
        </is>
      </c>
      <c r="G6" s="10" t="inlineStr">
        <is>
          <t>Travaux de réhabilitation des pistes agricoles</t>
        </is>
      </c>
      <c r="H6" s="10" t="inlineStr">
        <is>
          <t>Entretien des pistes agricoles Douar Nouagra et Douar ouled Salem</t>
        </is>
      </c>
      <c r="I6" s="11" t="n">
        <v>78000</v>
      </c>
      <c r="J6" s="12" t="inlineStr">
        <is>
          <t>km</t>
        </is>
      </c>
      <c r="K6" s="13" t="n">
        <v>1</v>
      </c>
      <c r="L6" s="51" t="n"/>
      <c r="M6" s="56">
        <f>'S37'!M6+L6</f>
        <v/>
      </c>
      <c r="N6" s="57">
        <f>IFERROR(M6/K6,0)</f>
        <v/>
      </c>
      <c r="O6" s="58">
        <f>'S37'!N6</f>
        <v/>
      </c>
      <c r="P6" s="57">
        <f>N6-O6</f>
        <v/>
      </c>
      <c r="Q6" s="32" t="n"/>
      <c r="R6" s="32" t="n"/>
      <c r="S6" s="32" t="n"/>
      <c r="T6" s="55" t="n"/>
      <c r="U6" s="58">
        <f>'S37'!T6</f>
        <v/>
      </c>
      <c r="V6" s="57">
        <f>T6-U6</f>
        <v/>
      </c>
      <c r="W6" s="57">
        <f>N6-T6</f>
        <v/>
      </c>
      <c r="X6" s="34" t="n"/>
    </row>
    <row r="7" ht="22" customHeight="1">
      <c r="B7" s="5" t="n">
        <v>3</v>
      </c>
      <c r="C7" s="6" t="inlineStr">
        <is>
          <t>Sidi Kacem</t>
        </is>
      </c>
      <c r="D7" s="5" t="inlineStr">
        <is>
          <t>KHENICHET</t>
        </is>
      </c>
      <c r="E7" s="5" t="inlineStr">
        <is>
          <t>50-23</t>
        </is>
      </c>
      <c r="F7" s="5" t="inlineStr">
        <is>
          <t>Entretien et réparation du réseau d'assainissement et de drainage</t>
        </is>
      </c>
      <c r="G7" s="5" t="inlineStr">
        <is>
          <t>Curage des prises sur l’oued, bâche d’aspiration et bassin de régulation.</t>
        </is>
      </c>
      <c r="H7" s="5" t="inlineStr">
        <is>
          <t>Curage de la chambre des joints de démontage des siphonnes  de la station de pompage EST2.</t>
        </is>
      </c>
      <c r="I7" s="7" t="n">
        <v>126000</v>
      </c>
      <c r="J7" s="8" t="inlineStr">
        <is>
          <t>ml</t>
        </is>
      </c>
      <c r="K7" s="9" t="n">
        <v>42</v>
      </c>
      <c r="L7" s="51" t="n"/>
      <c r="M7" s="52">
        <f>'S37'!M7+L7</f>
        <v/>
      </c>
      <c r="N7" s="53">
        <f>IFERROR(M7/K7,0)</f>
        <v/>
      </c>
      <c r="O7" s="54">
        <f>'S37'!N7</f>
        <v/>
      </c>
      <c r="P7" s="53">
        <f>N7-O7</f>
        <v/>
      </c>
      <c r="Q7" s="32" t="n"/>
      <c r="R7" s="32" t="n"/>
      <c r="S7" s="32" t="n"/>
      <c r="T7" s="55" t="n"/>
      <c r="U7" s="54">
        <f>'S37'!T7</f>
        <v/>
      </c>
      <c r="V7" s="53">
        <f>T7-U7</f>
        <v/>
      </c>
      <c r="W7" s="53">
        <f>N7-T7</f>
        <v/>
      </c>
      <c r="X7" s="34" t="n"/>
    </row>
    <row r="8" ht="22" customHeight="1">
      <c r="B8" s="10" t="n">
        <v>4</v>
      </c>
      <c r="C8" s="6" t="inlineStr">
        <is>
          <t>Sidi Kacem</t>
        </is>
      </c>
      <c r="D8" s="10" t="inlineStr">
        <is>
          <t>KHENICHET</t>
        </is>
      </c>
      <c r="E8" s="10" t="inlineStr">
        <is>
          <t>50-21</t>
        </is>
      </c>
      <c r="F8" s="10" t="inlineStr">
        <is>
          <t>Entretien et réparation des stations de pompage</t>
        </is>
      </c>
      <c r="G8" s="10" t="inlineStr">
        <is>
          <t>Prestation de maintenance des débitmètres et leurs équipements annexes installés au niveau des station de pompage</t>
        </is>
      </c>
      <c r="H8" s="10" t="inlineStr">
        <is>
          <t>Changement trois débitmètre Ø 600mm inondés de la station de pompage EST 2 et deux capteurs VEGASON 62</t>
        </is>
      </c>
      <c r="I8" s="11" t="n">
        <v>165500</v>
      </c>
      <c r="J8" s="12" t="inlineStr">
        <is>
          <t>U</t>
        </is>
      </c>
      <c r="K8" s="13" t="n">
        <v>3</v>
      </c>
      <c r="L8" s="51" t="n"/>
      <c r="M8" s="56">
        <f>'S37'!M8+L8</f>
        <v/>
      </c>
      <c r="N8" s="57">
        <f>IFERROR(M8/K8,0)</f>
        <v/>
      </c>
      <c r="O8" s="58">
        <f>'S37'!N8</f>
        <v/>
      </c>
      <c r="P8" s="57">
        <f>N8-O8</f>
        <v/>
      </c>
      <c r="Q8" s="32" t="n"/>
      <c r="R8" s="32" t="n"/>
      <c r="S8" s="32" t="n"/>
      <c r="T8" s="55" t="n"/>
      <c r="U8" s="58">
        <f>'S37'!T8</f>
        <v/>
      </c>
      <c r="V8" s="57">
        <f>T8-U8</f>
        <v/>
      </c>
      <c r="W8" s="57">
        <f>N8-T8</f>
        <v/>
      </c>
      <c r="X8" s="34" t="n"/>
    </row>
    <row r="9" ht="22" customHeight="1">
      <c r="B9" s="5" t="n">
        <v>5</v>
      </c>
      <c r="C9" s="6" t="inlineStr">
        <is>
          <t>Sidi Kacem</t>
        </is>
      </c>
      <c r="D9" s="5" t="inlineStr">
        <is>
          <t>BIR TALEB</t>
        </is>
      </c>
      <c r="E9" s="5" t="inlineStr">
        <is>
          <t>50-23</t>
        </is>
      </c>
      <c r="F9" s="5" t="inlineStr">
        <is>
          <t>Entretien et réparation du réseau d'assainissement et de drainage</t>
        </is>
      </c>
      <c r="G9" s="5" t="inlineStr">
        <is>
          <t>Travaux de curage des canaux en terre</t>
        </is>
      </c>
      <c r="H9" s="5" t="inlineStr">
        <is>
          <t>Curage du canal d'assainisement Tihli Aval</t>
        </is>
      </c>
      <c r="I9" s="7" t="n">
        <v>1000000</v>
      </c>
      <c r="J9" s="8" t="inlineStr">
        <is>
          <t>ml</t>
        </is>
      </c>
      <c r="K9" s="9" t="n">
        <v>500</v>
      </c>
      <c r="L9" s="51" t="n"/>
      <c r="M9" s="52">
        <f>'S37'!M9+L9</f>
        <v/>
      </c>
      <c r="N9" s="53">
        <f>IFERROR(M9/K9,0)</f>
        <v/>
      </c>
      <c r="O9" s="54">
        <f>'S37'!N9</f>
        <v/>
      </c>
      <c r="P9" s="53">
        <f>N9-O9</f>
        <v/>
      </c>
      <c r="Q9" s="32" t="n"/>
      <c r="R9" s="32" t="n"/>
      <c r="S9" s="32" t="n"/>
      <c r="T9" s="55" t="n"/>
      <c r="U9" s="54">
        <f>'S37'!T9</f>
        <v/>
      </c>
      <c r="V9" s="53">
        <f>T9-U9</f>
        <v/>
      </c>
      <c r="W9" s="53">
        <f>N9-T9</f>
        <v/>
      </c>
      <c r="X9" s="34" t="n"/>
    </row>
    <row r="10" ht="22" customHeight="1">
      <c r="B10" s="10" t="n">
        <v>6</v>
      </c>
      <c r="C10" s="6" t="inlineStr">
        <is>
          <t>Sidi Kacem</t>
        </is>
      </c>
      <c r="D10" s="10" t="inlineStr">
        <is>
          <t>BIR TALEB</t>
        </is>
      </c>
      <c r="E10" s="10" t="inlineStr">
        <is>
          <t>50-23</t>
        </is>
      </c>
      <c r="F10" s="10" t="inlineStr">
        <is>
          <t>Entretien et réparation du réseau d'assainissement et de drainage</t>
        </is>
      </c>
      <c r="G10" s="10" t="inlineStr"/>
      <c r="H10" s="10" t="inlineStr">
        <is>
          <t>Curage des collecteurs d'assainissement du secteur P11/1</t>
        </is>
      </c>
      <c r="I10" s="11" t="n">
        <v>846731</v>
      </c>
      <c r="J10" s="12" t="inlineStr">
        <is>
          <t>ml</t>
        </is>
      </c>
      <c r="K10" s="13" t="n">
        <v>423</v>
      </c>
      <c r="L10" s="51" t="n"/>
      <c r="M10" s="56">
        <f>'S37'!M10+L10</f>
        <v/>
      </c>
      <c r="N10" s="57">
        <f>IFERROR(M10/K10,0)</f>
        <v/>
      </c>
      <c r="O10" s="58">
        <f>'S37'!N10</f>
        <v/>
      </c>
      <c r="P10" s="57">
        <f>N10-O10</f>
        <v/>
      </c>
      <c r="Q10" s="32" t="n"/>
      <c r="R10" s="32" t="n"/>
      <c r="S10" s="32" t="n"/>
      <c r="T10" s="55" t="n"/>
      <c r="U10" s="58">
        <f>'S37'!T10</f>
        <v/>
      </c>
      <c r="V10" s="57">
        <f>T10-U10</f>
        <v/>
      </c>
      <c r="W10" s="57">
        <f>N10-T10</f>
        <v/>
      </c>
      <c r="X10" s="34" t="n"/>
    </row>
    <row r="11" ht="22" customHeight="1">
      <c r="B11" s="5" t="n">
        <v>7</v>
      </c>
      <c r="C11" s="6" t="inlineStr">
        <is>
          <t>Sidi Kacem</t>
        </is>
      </c>
      <c r="D11" s="5" t="inlineStr">
        <is>
          <t>BIR TALEB</t>
        </is>
      </c>
      <c r="E11" s="5" t="inlineStr">
        <is>
          <t>50-23</t>
        </is>
      </c>
      <c r="F11" s="5" t="inlineStr">
        <is>
          <t>Entretien et réparation du réseau d'assainissement et de drainage</t>
        </is>
      </c>
      <c r="G11" s="5" t="inlineStr">
        <is>
          <t>Curage des prises sur l’oued, bâche d’aspiration et bassin de régulation.</t>
        </is>
      </c>
      <c r="H11" s="5" t="inlineStr">
        <is>
          <t>Curage des prises sur l’oued de la station de pompage P11/1.</t>
        </is>
      </c>
      <c r="I11" s="7" t="n">
        <v>200000</v>
      </c>
      <c r="J11" s="8" t="inlineStr">
        <is>
          <t>ml</t>
        </is>
      </c>
      <c r="K11" s="9" t="n">
        <v>67</v>
      </c>
      <c r="L11" s="51" t="n"/>
      <c r="M11" s="52">
        <f>'S37'!M11+L11</f>
        <v/>
      </c>
      <c r="N11" s="53">
        <f>IFERROR(M11/K11,0)</f>
        <v/>
      </c>
      <c r="O11" s="54">
        <f>'S37'!N11</f>
        <v/>
      </c>
      <c r="P11" s="53">
        <f>N11-O11</f>
        <v/>
      </c>
      <c r="Q11" s="32" t="n"/>
      <c r="R11" s="32" t="n"/>
      <c r="S11" s="32" t="n"/>
      <c r="T11" s="55" t="n"/>
      <c r="U11" s="54">
        <f>'S37'!T11</f>
        <v/>
      </c>
      <c r="V11" s="53">
        <f>T11-U11</f>
        <v/>
      </c>
      <c r="W11" s="53">
        <f>N11-T11</f>
        <v/>
      </c>
      <c r="X11" s="34" t="n"/>
    </row>
    <row r="12" ht="22" customHeight="1">
      <c r="B12" s="10" t="n">
        <v>8</v>
      </c>
      <c r="C12" s="6" t="inlineStr">
        <is>
          <t>Sidi Kacem</t>
        </is>
      </c>
      <c r="D12" s="10" t="inlineStr">
        <is>
          <t>BIR TALEB</t>
        </is>
      </c>
      <c r="E12" s="10" t="inlineStr">
        <is>
          <t>50-21</t>
        </is>
      </c>
      <c r="F12" s="10" t="inlineStr">
        <is>
          <t>Entretien et réparation des stations de pompage</t>
        </is>
      </c>
      <c r="G12" s="10" t="inlineStr">
        <is>
          <t>Prestation de maintenance des débitmètres et leurs équipements annexes installés au niveau des station de pompage</t>
        </is>
      </c>
      <c r="H12" s="10" t="inlineStr">
        <is>
          <t>Changement trois débitmètre Ø 400mm inondés de la station de pompage P11/1</t>
        </is>
      </c>
      <c r="I12" s="11" t="n">
        <v>141900</v>
      </c>
      <c r="J12" s="12" t="inlineStr">
        <is>
          <t>U</t>
        </is>
      </c>
      <c r="K12" s="13" t="n">
        <v>3</v>
      </c>
      <c r="L12" s="51" t="n"/>
      <c r="M12" s="56">
        <f>'S37'!M12+L12</f>
        <v/>
      </c>
      <c r="N12" s="57">
        <f>IFERROR(M12/K12,0)</f>
        <v/>
      </c>
      <c r="O12" s="58">
        <f>'S37'!N12</f>
        <v/>
      </c>
      <c r="P12" s="57">
        <f>N12-O12</f>
        <v/>
      </c>
      <c r="Q12" s="32" t="n"/>
      <c r="R12" s="32" t="n"/>
      <c r="S12" s="32" t="n"/>
      <c r="T12" s="55" t="n"/>
      <c r="U12" s="58">
        <f>'S37'!T12</f>
        <v/>
      </c>
      <c r="V12" s="57">
        <f>T12-U12</f>
        <v/>
      </c>
      <c r="W12" s="57">
        <f>N12-T12</f>
        <v/>
      </c>
      <c r="X12" s="34" t="n"/>
    </row>
    <row r="13" ht="22" customHeight="1">
      <c r="B13" s="5" t="n">
        <v>9</v>
      </c>
      <c r="C13" s="6" t="inlineStr">
        <is>
          <t>Sidi Kacem</t>
        </is>
      </c>
      <c r="D13" s="5" t="inlineStr">
        <is>
          <t>BIR TALEB</t>
        </is>
      </c>
      <c r="E13" s="5" t="inlineStr">
        <is>
          <t>50-21</t>
        </is>
      </c>
      <c r="F13" s="5" t="inlineStr">
        <is>
          <t>Entretien et réparation des stations de pompage</t>
        </is>
      </c>
      <c r="G13" s="5" t="inlineStr">
        <is>
          <t>Prestations de maintenance et de réparation mécanique des pompes et des groupes motopompes submersibles des stations de pompage.</t>
        </is>
      </c>
      <c r="H13" s="5" t="inlineStr">
        <is>
          <t>Démontage et expertise des roues des  pompes principaux et pompes a vide de la station P11/1
Changement des roulements, tresses et organes d’effectués de la station P11/1</t>
        </is>
      </c>
      <c r="I13" s="7" t="n">
        <v>26700</v>
      </c>
      <c r="J13" s="8" t="inlineStr">
        <is>
          <t>U</t>
        </is>
      </c>
      <c r="K13" s="9" t="n">
        <v>1</v>
      </c>
      <c r="L13" s="51" t="n"/>
      <c r="M13" s="52">
        <f>'S37'!M13+L13</f>
        <v/>
      </c>
      <c r="N13" s="53">
        <f>IFERROR(M13/K13,0)</f>
        <v/>
      </c>
      <c r="O13" s="54">
        <f>'S37'!N13</f>
        <v/>
      </c>
      <c r="P13" s="53">
        <f>N13-O13</f>
        <v/>
      </c>
      <c r="Q13" s="32" t="n"/>
      <c r="R13" s="32" t="n"/>
      <c r="S13" s="32" t="n"/>
      <c r="T13" s="55" t="n"/>
      <c r="U13" s="54">
        <f>'S37'!T13</f>
        <v/>
      </c>
      <c r="V13" s="53">
        <f>T13-U13</f>
        <v/>
      </c>
      <c r="W13" s="53">
        <f>N13-T13</f>
        <v/>
      </c>
      <c r="X13" s="34" t="n"/>
    </row>
    <row r="14" ht="22" customHeight="1">
      <c r="B14" s="10" t="n">
        <v>10</v>
      </c>
      <c r="C14" s="6" t="inlineStr">
        <is>
          <t>Sidi Kacem</t>
        </is>
      </c>
      <c r="D14" s="10" t="inlineStr">
        <is>
          <t>BIR TALEB</t>
        </is>
      </c>
      <c r="E14" s="10" t="inlineStr">
        <is>
          <t>50-21</t>
        </is>
      </c>
      <c r="F14" s="10" t="inlineStr">
        <is>
          <t>Entretien et réparation des stations de pompage</t>
        </is>
      </c>
      <c r="G14" s="10" t="inlineStr">
        <is>
          <t>Stabilisation Berge oued</t>
        </is>
      </c>
      <c r="H14" s="10" t="inlineStr">
        <is>
          <t>Pose de  gabions et recouvrement du talus par matelas Reno des stations de pompage P11/1.</t>
        </is>
      </c>
      <c r="I14" s="11" t="n">
        <v>480000</v>
      </c>
      <c r="J14" s="12" t="inlineStr">
        <is>
          <t>m³</t>
        </is>
      </c>
      <c r="K14" s="13" t="n">
        <v>320</v>
      </c>
      <c r="L14" s="51" t="n"/>
      <c r="M14" s="56">
        <f>'S37'!M14+L14</f>
        <v/>
      </c>
      <c r="N14" s="57">
        <f>IFERROR(M14/K14,0)</f>
        <v/>
      </c>
      <c r="O14" s="58">
        <f>'S37'!N14</f>
        <v/>
      </c>
      <c r="P14" s="57">
        <f>N14-O14</f>
        <v/>
      </c>
      <c r="Q14" s="32" t="n"/>
      <c r="R14" s="32" t="n"/>
      <c r="S14" s="32" t="n"/>
      <c r="T14" s="55" t="n"/>
      <c r="U14" s="58">
        <f>'S37'!T14</f>
        <v/>
      </c>
      <c r="V14" s="57">
        <f>T14-U14</f>
        <v/>
      </c>
      <c r="W14" s="57">
        <f>N14-T14</f>
        <v/>
      </c>
      <c r="X14" s="34" t="n"/>
    </row>
    <row r="15" ht="22" customHeight="1">
      <c r="B15" s="5" t="n">
        <v>11</v>
      </c>
      <c r="C15" s="6" t="inlineStr">
        <is>
          <t>Sidi Kacem</t>
        </is>
      </c>
      <c r="D15" s="5" t="inlineStr">
        <is>
          <t>BIR TALEB</t>
        </is>
      </c>
      <c r="E15" s="5" t="inlineStr">
        <is>
          <t>50-21</t>
        </is>
      </c>
      <c r="F15" s="5" t="inlineStr">
        <is>
          <t>Entretien et réparation des stations de pompage</t>
        </is>
      </c>
      <c r="G15" s="5" t="inlineStr">
        <is>
          <t>Génie civile des locaux des stations de pompage.</t>
        </is>
      </c>
      <c r="H15" s="5" t="inlineStr">
        <is>
          <t>Expertise d’état et d’étanchéité des locaux pompes.
Renforcement d’étanchéité des locaux pompe sous niveau des oueds des stations de pompage P11/1.
Entretien des supports en béton des conduites d’aspiration.</t>
        </is>
      </c>
      <c r="I15" s="7" t="n">
        <v>300000</v>
      </c>
      <c r="J15" s="8" t="inlineStr">
        <is>
          <t>U</t>
        </is>
      </c>
      <c r="K15" s="9" t="n">
        <v>1</v>
      </c>
      <c r="L15" s="51" t="n"/>
      <c r="M15" s="52">
        <f>'S37'!M15+L15</f>
        <v/>
      </c>
      <c r="N15" s="53">
        <f>IFERROR(M15/K15,0)</f>
        <v/>
      </c>
      <c r="O15" s="54">
        <f>'S37'!N15</f>
        <v/>
      </c>
      <c r="P15" s="53">
        <f>N15-O15</f>
        <v/>
      </c>
      <c r="Q15" s="32" t="n"/>
      <c r="R15" s="32" t="n"/>
      <c r="S15" s="32" t="n"/>
      <c r="T15" s="55" t="n"/>
      <c r="U15" s="54">
        <f>'S37'!T15</f>
        <v/>
      </c>
      <c r="V15" s="53">
        <f>T15-U15</f>
        <v/>
      </c>
      <c r="W15" s="53">
        <f>N15-T15</f>
        <v/>
      </c>
      <c r="X15" s="34" t="n"/>
    </row>
    <row r="16" ht="22" customHeight="1">
      <c r="B16" s="10" t="n">
        <v>12</v>
      </c>
      <c r="C16" s="6" t="inlineStr">
        <is>
          <t>Sidi Kacem</t>
        </is>
      </c>
      <c r="D16" s="10" t="inlineStr">
        <is>
          <t>CHEBANAT</t>
        </is>
      </c>
      <c r="E16" s="10" t="inlineStr">
        <is>
          <t>50-23</t>
        </is>
      </c>
      <c r="F16" s="10" t="inlineStr">
        <is>
          <t>Entretien et réparation du réseau d'assainissement et de drainage</t>
        </is>
      </c>
      <c r="G16" s="10" t="inlineStr">
        <is>
          <t>Travaux de curage des canaux en terre</t>
        </is>
      </c>
      <c r="H16" s="10" t="inlineStr">
        <is>
          <t>Curage des collecteurs d'assainissement des secteur SH5 et SH6.</t>
        </is>
      </c>
      <c r="I16" s="11" t="n">
        <v>1000000</v>
      </c>
      <c r="J16" s="12" t="inlineStr">
        <is>
          <t>ml</t>
        </is>
      </c>
      <c r="K16" s="13" t="n">
        <v>500</v>
      </c>
      <c r="L16" s="51" t="n"/>
      <c r="M16" s="56">
        <f>'S37'!M16+L16</f>
        <v/>
      </c>
      <c r="N16" s="57">
        <f>IFERROR(M16/K16,0)</f>
        <v/>
      </c>
      <c r="O16" s="58">
        <f>'S37'!N16</f>
        <v/>
      </c>
      <c r="P16" s="57">
        <f>N16-O16</f>
        <v/>
      </c>
      <c r="Q16" s="32" t="n"/>
      <c r="R16" s="32" t="n"/>
      <c r="S16" s="32" t="n"/>
      <c r="T16" s="55" t="n"/>
      <c r="U16" s="58">
        <f>'S37'!T16</f>
        <v/>
      </c>
      <c r="V16" s="57">
        <f>T16-U16</f>
        <v/>
      </c>
      <c r="W16" s="57">
        <f>N16-T16</f>
        <v/>
      </c>
      <c r="X16" s="34" t="n"/>
    </row>
    <row r="17" ht="22" customHeight="1">
      <c r="B17" s="5" t="n">
        <v>13</v>
      </c>
      <c r="C17" s="6" t="inlineStr">
        <is>
          <t>Sidi Kacem</t>
        </is>
      </c>
      <c r="D17" s="5" t="inlineStr">
        <is>
          <t>CHEBANAT</t>
        </is>
      </c>
      <c r="E17" s="5" t="inlineStr">
        <is>
          <t>50-23</t>
        </is>
      </c>
      <c r="F17" s="5" t="inlineStr">
        <is>
          <t>Entretien et réparation du réseau d'assainissement et de drainage</t>
        </is>
      </c>
      <c r="G17" s="5" t="inlineStr">
        <is>
          <t>Travaux de curage des canaux révetus</t>
        </is>
      </c>
      <c r="H17" s="5" t="inlineStr">
        <is>
          <t>Curage du canal principal d'irrigation beht partie aval 1.</t>
        </is>
      </c>
      <c r="I17" s="7" t="n">
        <v>739200</v>
      </c>
      <c r="J17" s="8" t="inlineStr">
        <is>
          <t>ml</t>
        </is>
      </c>
      <c r="K17" s="9" t="n">
        <v>370</v>
      </c>
      <c r="L17" s="51" t="n"/>
      <c r="M17" s="52">
        <f>'S37'!M17+L17</f>
        <v/>
      </c>
      <c r="N17" s="53">
        <f>IFERROR(M17/K17,0)</f>
        <v/>
      </c>
      <c r="O17" s="54">
        <f>'S37'!N17</f>
        <v/>
      </c>
      <c r="P17" s="53">
        <f>N17-O17</f>
        <v/>
      </c>
      <c r="Q17" s="32" t="n"/>
      <c r="R17" s="32" t="n"/>
      <c r="S17" s="32" t="n"/>
      <c r="T17" s="55" t="n"/>
      <c r="U17" s="54">
        <f>'S37'!T17</f>
        <v/>
      </c>
      <c r="V17" s="53">
        <f>T17-U17</f>
        <v/>
      </c>
      <c r="W17" s="53">
        <f>N17-T17</f>
        <v/>
      </c>
      <c r="X17" s="34" t="n"/>
    </row>
    <row r="18" ht="22" customHeight="1">
      <c r="B18" s="10" t="n">
        <v>14</v>
      </c>
      <c r="C18" s="6" t="inlineStr">
        <is>
          <t>Sidi Kacem</t>
        </is>
      </c>
      <c r="D18" s="10" t="inlineStr">
        <is>
          <t>ZIRARA</t>
        </is>
      </c>
      <c r="E18" s="10" t="inlineStr">
        <is>
          <t>50-23</t>
        </is>
      </c>
      <c r="F18" s="10" t="inlineStr">
        <is>
          <t>Entretien et réparation du réseau d'assainissement et de drainage</t>
        </is>
      </c>
      <c r="G18" s="10" t="inlineStr">
        <is>
          <t>Travaux de curage des canaux révetus</t>
        </is>
      </c>
      <c r="H18" s="10" t="inlineStr">
        <is>
          <t>Curage du canal principal d'irrigation beht partie aval 2.</t>
        </is>
      </c>
      <c r="I18" s="11" t="n">
        <v>1276800</v>
      </c>
      <c r="J18" s="12" t="inlineStr">
        <is>
          <t>ml</t>
        </is>
      </c>
      <c r="K18" s="13" t="n">
        <v>638</v>
      </c>
      <c r="L18" s="51" t="n"/>
      <c r="M18" s="56">
        <f>'S37'!M18+L18</f>
        <v/>
      </c>
      <c r="N18" s="57">
        <f>IFERROR(M18/K18,0)</f>
        <v/>
      </c>
      <c r="O18" s="58">
        <f>'S37'!N18</f>
        <v/>
      </c>
      <c r="P18" s="57">
        <f>N18-O18</f>
        <v/>
      </c>
      <c r="Q18" s="32" t="n"/>
      <c r="R18" s="32" t="n"/>
      <c r="S18" s="32" t="n"/>
      <c r="T18" s="55" t="n"/>
      <c r="U18" s="58">
        <f>'S37'!T18</f>
        <v/>
      </c>
      <c r="V18" s="57">
        <f>T18-U18</f>
        <v/>
      </c>
      <c r="W18" s="57">
        <f>N18-T18</f>
        <v/>
      </c>
      <c r="X18" s="34" t="n"/>
    </row>
    <row r="19" ht="22" customHeight="1">
      <c r="B19" s="5" t="n">
        <v>15</v>
      </c>
      <c r="C19" s="6" t="inlineStr">
        <is>
          <t>Sidi Kacem</t>
        </is>
      </c>
      <c r="D19" s="5" t="inlineStr">
        <is>
          <t>DAR LAASLOUJI</t>
        </is>
      </c>
      <c r="E19" s="5" t="inlineStr">
        <is>
          <t>50-23</t>
        </is>
      </c>
      <c r="F19" s="5" t="inlineStr">
        <is>
          <t>Entretien et réparation du réseau d'assainissement et de drainage</t>
        </is>
      </c>
      <c r="G19" s="5" t="inlineStr">
        <is>
          <t>Travaux de curage des canaux en terre</t>
        </is>
      </c>
      <c r="H19" s="5" t="inlineStr">
        <is>
          <t>Curage des collecteurs d'assainissement des secteurs P8-1 et P8-2</t>
        </is>
      </c>
      <c r="I19" s="7" t="n">
        <v>5796360</v>
      </c>
      <c r="J19" s="8" t="inlineStr">
        <is>
          <t>ml</t>
        </is>
      </c>
      <c r="K19" s="9" t="n">
        <v>2898</v>
      </c>
      <c r="L19" s="51" t="n"/>
      <c r="M19" s="52">
        <f>'S37'!M19+L19</f>
        <v/>
      </c>
      <c r="N19" s="53">
        <f>IFERROR(M19/K19,0)</f>
        <v/>
      </c>
      <c r="O19" s="54">
        <f>'S37'!N19</f>
        <v/>
      </c>
      <c r="P19" s="53">
        <f>N19-O19</f>
        <v/>
      </c>
      <c r="Q19" s="32" t="n"/>
      <c r="R19" s="32" t="n"/>
      <c r="S19" s="32" t="n"/>
      <c r="T19" s="55" t="n"/>
      <c r="U19" s="54">
        <f>'S37'!T19</f>
        <v/>
      </c>
      <c r="V19" s="53">
        <f>T19-U19</f>
        <v/>
      </c>
      <c r="W19" s="53">
        <f>N19-T19</f>
        <v/>
      </c>
      <c r="X19" s="34" t="n"/>
    </row>
    <row r="20" ht="22" customHeight="1">
      <c r="B20" s="10" t="n">
        <v>16</v>
      </c>
      <c r="C20" s="6" t="inlineStr">
        <is>
          <t>Sidi Kacem</t>
        </is>
      </c>
      <c r="D20" s="10" t="inlineStr">
        <is>
          <t>DAR LAASLOUJI</t>
        </is>
      </c>
      <c r="E20" s="10" t="inlineStr">
        <is>
          <t>40-21</t>
        </is>
      </c>
      <c r="F20" s="10" t="inlineStr">
        <is>
          <t>Travaux de pistes</t>
        </is>
      </c>
      <c r="G20" s="10" t="inlineStr">
        <is>
          <t>Entretien des pistes agricoles</t>
        </is>
      </c>
      <c r="H20" s="10" t="inlineStr">
        <is>
          <t>Entretien des pistes agricoles</t>
        </is>
      </c>
      <c r="I20" s="11" t="n">
        <v>340000</v>
      </c>
      <c r="J20" s="12" t="inlineStr">
        <is>
          <t>km</t>
        </is>
      </c>
      <c r="K20" s="13" t="n">
        <v>1</v>
      </c>
      <c r="L20" s="51" t="n"/>
      <c r="M20" s="56">
        <f>'S37'!M20+L20</f>
        <v/>
      </c>
      <c r="N20" s="57">
        <f>IFERROR(M20/K20,0)</f>
        <v/>
      </c>
      <c r="O20" s="58">
        <f>'S37'!N20</f>
        <v/>
      </c>
      <c r="P20" s="57">
        <f>N20-O20</f>
        <v/>
      </c>
      <c r="Q20" s="32" t="n"/>
      <c r="R20" s="32" t="n"/>
      <c r="S20" s="32" t="n"/>
      <c r="T20" s="55" t="n"/>
      <c r="U20" s="58">
        <f>'S37'!T20</f>
        <v/>
      </c>
      <c r="V20" s="57">
        <f>T20-U20</f>
        <v/>
      </c>
      <c r="W20" s="57">
        <f>N20-T20</f>
        <v/>
      </c>
      <c r="X20" s="34" t="n"/>
    </row>
    <row r="21" ht="22" customHeight="1">
      <c r="B21" s="5" t="n">
        <v>17</v>
      </c>
      <c r="C21" s="6" t="inlineStr">
        <is>
          <t>Sidi Kacem</t>
        </is>
      </c>
      <c r="D21" s="5" t="inlineStr">
        <is>
          <t>HOUAFATE</t>
        </is>
      </c>
      <c r="E21" s="5" t="inlineStr">
        <is>
          <t>20-11</t>
        </is>
      </c>
      <c r="F21" s="5" t="inlineStr">
        <is>
          <t>Travaux de réhabilitation des équipements</t>
        </is>
      </c>
      <c r="G21" s="5" t="inlineStr">
        <is>
          <t>Travaux de réhabilitation des canaux portés d'irrigation</t>
        </is>
      </c>
      <c r="H21" s="5" t="inlineStr">
        <is>
          <t>Fourniture et de pose de canaux porté et accessoires du réseau S3 du secteur S13</t>
        </is>
      </c>
      <c r="I21" s="7" t="n">
        <v>397934</v>
      </c>
      <c r="J21" s="8" t="inlineStr">
        <is>
          <t>ml</t>
        </is>
      </c>
      <c r="K21" s="9" t="n">
        <v>133</v>
      </c>
      <c r="L21" s="51" t="n"/>
      <c r="M21" s="52">
        <f>'S37'!M21+L21</f>
        <v/>
      </c>
      <c r="N21" s="53">
        <f>IFERROR(M21/K21,0)</f>
        <v/>
      </c>
      <c r="O21" s="54">
        <f>'S37'!N21</f>
        <v/>
      </c>
      <c r="P21" s="53">
        <f>N21-O21</f>
        <v/>
      </c>
      <c r="Q21" s="32" t="n"/>
      <c r="R21" s="32" t="n"/>
      <c r="S21" s="32" t="n"/>
      <c r="T21" s="55" t="n"/>
      <c r="U21" s="54">
        <f>'S37'!T21</f>
        <v/>
      </c>
      <c r="V21" s="53">
        <f>T21-U21</f>
        <v/>
      </c>
      <c r="W21" s="53">
        <f>N21-T21</f>
        <v/>
      </c>
      <c r="X21" s="34" t="n"/>
    </row>
    <row r="22" ht="22" customHeight="1">
      <c r="B22" s="10" t="n">
        <v>18</v>
      </c>
      <c r="C22" s="6" t="inlineStr">
        <is>
          <t>Sidi Kacem</t>
        </is>
      </c>
      <c r="D22" s="10" t="inlineStr">
        <is>
          <t>HOUAFATE</t>
        </is>
      </c>
      <c r="E22" s="10" t="inlineStr">
        <is>
          <t>20-11</t>
        </is>
      </c>
      <c r="F22" s="10" t="inlineStr">
        <is>
          <t>Travaux de réhabilitation des équipements</t>
        </is>
      </c>
      <c r="G22" s="10" t="inlineStr"/>
      <c r="H22" s="10" t="inlineStr">
        <is>
          <t>Fourniture et de pose de canaux porté et accessoires du réseau T2S1 du secteur S13</t>
        </is>
      </c>
      <c r="I22" s="11" t="n">
        <v>207575</v>
      </c>
      <c r="J22" s="12" t="inlineStr">
        <is>
          <t>ml</t>
        </is>
      </c>
      <c r="K22" s="13" t="n">
        <v>69</v>
      </c>
      <c r="L22" s="51" t="n"/>
      <c r="M22" s="56">
        <f>'S37'!M22+L22</f>
        <v/>
      </c>
      <c r="N22" s="57">
        <f>IFERROR(M22/K22,0)</f>
        <v/>
      </c>
      <c r="O22" s="58">
        <f>'S37'!N22</f>
        <v/>
      </c>
      <c r="P22" s="57">
        <f>N22-O22</f>
        <v/>
      </c>
      <c r="Q22" s="32" t="n"/>
      <c r="R22" s="32" t="n"/>
      <c r="S22" s="32" t="n"/>
      <c r="T22" s="55" t="n"/>
      <c r="U22" s="58">
        <f>'S37'!T22</f>
        <v/>
      </c>
      <c r="V22" s="57">
        <f>T22-U22</f>
        <v/>
      </c>
      <c r="W22" s="57">
        <f>N22-T22</f>
        <v/>
      </c>
      <c r="X22" s="34" t="n"/>
    </row>
    <row r="23" ht="22" customHeight="1">
      <c r="B23" s="5" t="n">
        <v>19</v>
      </c>
      <c r="C23" s="6" t="inlineStr">
        <is>
          <t>Sidi Kacem</t>
        </is>
      </c>
      <c r="D23" s="5" t="inlineStr">
        <is>
          <t>HOUAFATE</t>
        </is>
      </c>
      <c r="E23" s="5" t="inlineStr">
        <is>
          <t>40-21</t>
        </is>
      </c>
      <c r="F23" s="5" t="inlineStr">
        <is>
          <t>Travaux de pistes</t>
        </is>
      </c>
      <c r="G23" s="5" t="inlineStr">
        <is>
          <t>Entretien des pistes agricoles</t>
        </is>
      </c>
      <c r="H23" s="5" t="inlineStr">
        <is>
          <t>Entretien des pistes agricoles</t>
        </is>
      </c>
      <c r="I23" s="7" t="n">
        <v>2200000</v>
      </c>
      <c r="J23" s="8" t="inlineStr">
        <is>
          <t>km</t>
        </is>
      </c>
      <c r="K23" s="9" t="n">
        <v>4</v>
      </c>
      <c r="L23" s="51" t="n"/>
      <c r="M23" s="52">
        <f>'S37'!M23+L23</f>
        <v/>
      </c>
      <c r="N23" s="53">
        <f>IFERROR(M23/K23,0)</f>
        <v/>
      </c>
      <c r="O23" s="54">
        <f>'S37'!N23</f>
        <v/>
      </c>
      <c r="P23" s="53">
        <f>N23-O23</f>
        <v/>
      </c>
      <c r="Q23" s="32" t="n"/>
      <c r="R23" s="32" t="n"/>
      <c r="S23" s="32" t="n"/>
      <c r="T23" s="55" t="n"/>
      <c r="U23" s="54">
        <f>'S37'!T23</f>
        <v/>
      </c>
      <c r="V23" s="53">
        <f>T23-U23</f>
        <v/>
      </c>
      <c r="W23" s="53">
        <f>N23-T23</f>
        <v/>
      </c>
      <c r="X23" s="34" t="n"/>
    </row>
    <row r="24" ht="22" customHeight="1">
      <c r="B24" s="10" t="n">
        <v>20</v>
      </c>
      <c r="C24" s="6" t="inlineStr">
        <is>
          <t>Sidi Kacem</t>
        </is>
      </c>
      <c r="D24" s="10" t="inlineStr">
        <is>
          <t>HOUAFATE</t>
        </is>
      </c>
      <c r="E24" s="10" t="inlineStr">
        <is>
          <t>50-23</t>
        </is>
      </c>
      <c r="F24" s="10" t="inlineStr">
        <is>
          <t>Entretien et réparation du réseau d'assainissement et de drainage</t>
        </is>
      </c>
      <c r="G24" s="10" t="inlineStr">
        <is>
          <t>Curage des prises sur l’oued, bâche d’aspiration et bassin de régulation.</t>
        </is>
      </c>
      <c r="H24" s="10" t="inlineStr">
        <is>
          <t>Curage des prises sur l’oued de la station de pompage S17 et S13.
Nettoyage des grilles de préfiltration des boues colmaté de la station de pompage S17 et S13.
Curage de la bâche d’aspiration de la station S17 et S13.</t>
        </is>
      </c>
      <c r="I24" s="11" t="n">
        <v>300000</v>
      </c>
      <c r="J24" s="12" t="inlineStr">
        <is>
          <t>ml</t>
        </is>
      </c>
      <c r="K24" s="13" t="n">
        <v>100</v>
      </c>
      <c r="L24" s="51" t="n"/>
      <c r="M24" s="56">
        <f>'S37'!M24+L24</f>
        <v/>
      </c>
      <c r="N24" s="57">
        <f>IFERROR(M24/K24,0)</f>
        <v/>
      </c>
      <c r="O24" s="58">
        <f>'S37'!N24</f>
        <v/>
      </c>
      <c r="P24" s="57">
        <f>N24-O24</f>
        <v/>
      </c>
      <c r="Q24" s="32" t="n"/>
      <c r="R24" s="32" t="n"/>
      <c r="S24" s="32" t="n"/>
      <c r="T24" s="55" t="n"/>
      <c r="U24" s="58">
        <f>'S37'!T24</f>
        <v/>
      </c>
      <c r="V24" s="57">
        <f>T24-U24</f>
        <v/>
      </c>
      <c r="W24" s="57">
        <f>N24-T24</f>
        <v/>
      </c>
      <c r="X24" s="34" t="n"/>
    </row>
    <row r="25" ht="22" customHeight="1">
      <c r="B25" s="5" t="n">
        <v>21</v>
      </c>
      <c r="C25" s="6" t="inlineStr">
        <is>
          <t>Sidi Kacem</t>
        </is>
      </c>
      <c r="D25" s="5" t="inlineStr">
        <is>
          <t>HOUAFATE</t>
        </is>
      </c>
      <c r="E25" s="5" t="inlineStr">
        <is>
          <t>50-21</t>
        </is>
      </c>
      <c r="F25" s="5" t="inlineStr">
        <is>
          <t>Entretien et réparation des stations de pompage</t>
        </is>
      </c>
      <c r="G25" s="5" t="inlineStr">
        <is>
          <t>Prestation de maintenance des débitmètres et leurs équipements annexes installés au niveau des station de pompage</t>
        </is>
      </c>
      <c r="H25" s="5" t="inlineStr">
        <is>
          <t>Changement trois débitmètre Ø 600mm inondés de la station de pompage S13.</t>
        </is>
      </c>
      <c r="I25" s="7" t="n">
        <v>250000</v>
      </c>
      <c r="J25" s="8" t="inlineStr">
        <is>
          <t>U</t>
        </is>
      </c>
      <c r="K25" s="9" t="n">
        <v>3</v>
      </c>
      <c r="L25" s="51" t="n"/>
      <c r="M25" s="52">
        <f>'S37'!M25+L25</f>
        <v/>
      </c>
      <c r="N25" s="53">
        <f>IFERROR(M25/K25,0)</f>
        <v/>
      </c>
      <c r="O25" s="54">
        <f>'S37'!N25</f>
        <v/>
      </c>
      <c r="P25" s="53">
        <f>N25-O25</f>
        <v/>
      </c>
      <c r="Q25" s="32" t="n"/>
      <c r="R25" s="32" t="n"/>
      <c r="S25" s="32" t="n"/>
      <c r="T25" s="55" t="n"/>
      <c r="U25" s="54">
        <f>'S37'!T25</f>
        <v/>
      </c>
      <c r="V25" s="53">
        <f>T25-U25</f>
        <v/>
      </c>
      <c r="W25" s="53">
        <f>N25-T25</f>
        <v/>
      </c>
      <c r="X25" s="34" t="n"/>
    </row>
    <row r="26" ht="22" customHeight="1">
      <c r="B26" s="10" t="n">
        <v>22</v>
      </c>
      <c r="C26" s="6" t="inlineStr">
        <is>
          <t>Sidi Kacem</t>
        </is>
      </c>
      <c r="D26" s="10" t="inlineStr">
        <is>
          <t>HOUAFATE</t>
        </is>
      </c>
      <c r="E26" s="10" t="inlineStr">
        <is>
          <t>50-21</t>
        </is>
      </c>
      <c r="F26" s="10" t="inlineStr">
        <is>
          <t>Entretien et réparation des stations de pompage</t>
        </is>
      </c>
      <c r="G26" s="10" t="inlineStr">
        <is>
          <t>Prestations de maintenance des moteurs électriques des stations de pompage.</t>
        </is>
      </c>
      <c r="H26" s="10" t="inlineStr">
        <is>
          <t>Révision des trois moteurs électriques 200 KW principaux de la station S13. 
Révision des deux moteurs électriques 5,5 KW groupes vide de la station S13.</t>
        </is>
      </c>
      <c r="I26" s="11" t="n">
        <v>25000</v>
      </c>
      <c r="J26" s="12" t="inlineStr">
        <is>
          <t>U</t>
        </is>
      </c>
      <c r="K26" s="13" t="n">
        <v>3</v>
      </c>
      <c r="L26" s="51" t="n"/>
      <c r="M26" s="56">
        <f>'S37'!M26+L26</f>
        <v/>
      </c>
      <c r="N26" s="57">
        <f>IFERROR(M26/K26,0)</f>
        <v/>
      </c>
      <c r="O26" s="58">
        <f>'S37'!N26</f>
        <v/>
      </c>
      <c r="P26" s="57">
        <f>N26-O26</f>
        <v/>
      </c>
      <c r="Q26" s="32" t="n"/>
      <c r="R26" s="32" t="n"/>
      <c r="S26" s="32" t="n"/>
      <c r="T26" s="55" t="n"/>
      <c r="U26" s="58">
        <f>'S37'!T26</f>
        <v/>
      </c>
      <c r="V26" s="57">
        <f>T26-U26</f>
        <v/>
      </c>
      <c r="W26" s="57">
        <f>N26-T26</f>
        <v/>
      </c>
      <c r="X26" s="34" t="n"/>
    </row>
    <row r="27" ht="22" customHeight="1">
      <c r="B27" s="5" t="n">
        <v>23</v>
      </c>
      <c r="C27" s="6" t="inlineStr">
        <is>
          <t>Sidi Kacem</t>
        </is>
      </c>
      <c r="D27" s="5" t="inlineStr">
        <is>
          <t>HOUAFATE</t>
        </is>
      </c>
      <c r="E27" s="5" t="inlineStr">
        <is>
          <t>50-21</t>
        </is>
      </c>
      <c r="F27" s="5" t="inlineStr">
        <is>
          <t>Entretien et réparation des stations de pompage</t>
        </is>
      </c>
      <c r="G27" s="5" t="inlineStr">
        <is>
          <t>Prestations de maintenance et de réparation mécanique des pompes et des groupes motopompes submersibles des stations de pompage.</t>
        </is>
      </c>
      <c r="H27" s="5" t="inlineStr">
        <is>
          <t>Démontage et expertise des roues des  pompes principaux et pompes a vide de la station S13.
Changement des roulements, tresses et organes d’effectués de la station S13.</t>
        </is>
      </c>
      <c r="I27" s="7" t="n">
        <v>38000</v>
      </c>
      <c r="J27" s="8" t="inlineStr">
        <is>
          <t>U</t>
        </is>
      </c>
      <c r="K27" s="9" t="n">
        <v>1</v>
      </c>
      <c r="L27" s="51" t="n"/>
      <c r="M27" s="52">
        <f>'S37'!M27+L27</f>
        <v/>
      </c>
      <c r="N27" s="53">
        <f>IFERROR(M27/K27,0)</f>
        <v/>
      </c>
      <c r="O27" s="54">
        <f>'S37'!N27</f>
        <v/>
      </c>
      <c r="P27" s="53">
        <f>N27-O27</f>
        <v/>
      </c>
      <c r="Q27" s="32" t="n"/>
      <c r="R27" s="32" t="n"/>
      <c r="S27" s="32" t="n"/>
      <c r="T27" s="55" t="n"/>
      <c r="U27" s="54">
        <f>'S37'!T27</f>
        <v/>
      </c>
      <c r="V27" s="53">
        <f>T27-U27</f>
        <v/>
      </c>
      <c r="W27" s="53">
        <f>N27-T27</f>
        <v/>
      </c>
      <c r="X27" s="34" t="n"/>
    </row>
    <row r="28" ht="22" customHeight="1">
      <c r="B28" s="10" t="n">
        <v>24</v>
      </c>
      <c r="C28" s="6" t="inlineStr">
        <is>
          <t>Sidi Kacem</t>
        </is>
      </c>
      <c r="D28" s="10" t="inlineStr">
        <is>
          <t>HOUAFATE</t>
        </is>
      </c>
      <c r="E28" s="10" t="inlineStr">
        <is>
          <t>50-21</t>
        </is>
      </c>
      <c r="F28" s="10" t="inlineStr">
        <is>
          <t>Entretien et réparation des stations de pompage</t>
        </is>
      </c>
      <c r="G28" s="10" t="inlineStr">
        <is>
          <t>Stabilisation Berge oued</t>
        </is>
      </c>
      <c r="H28" s="10" t="inlineStr">
        <is>
          <t>Pose de  gabions et recouvrement du talus par matelas Reno des stations de pompage S13.</t>
        </is>
      </c>
      <c r="I28" s="11" t="n">
        <v>10560000</v>
      </c>
      <c r="J28" s="12" t="inlineStr">
        <is>
          <t>m³</t>
        </is>
      </c>
      <c r="K28" s="13" t="n">
        <v>7040</v>
      </c>
      <c r="L28" s="51" t="n"/>
      <c r="M28" s="56">
        <f>'S37'!M28+L28</f>
        <v/>
      </c>
      <c r="N28" s="57">
        <f>IFERROR(M28/K28,0)</f>
        <v/>
      </c>
      <c r="O28" s="58">
        <f>'S37'!N28</f>
        <v/>
      </c>
      <c r="P28" s="57">
        <f>N28-O28</f>
        <v/>
      </c>
      <c r="Q28" s="32" t="n"/>
      <c r="R28" s="32" t="n"/>
      <c r="S28" s="32" t="n"/>
      <c r="T28" s="55" t="n"/>
      <c r="U28" s="58">
        <f>'S37'!T28</f>
        <v/>
      </c>
      <c r="V28" s="57">
        <f>T28-U28</f>
        <v/>
      </c>
      <c r="W28" s="57">
        <f>N28-T28</f>
        <v/>
      </c>
      <c r="X28" s="34" t="n"/>
    </row>
    <row r="29" ht="22" customHeight="1">
      <c r="B29" s="5" t="n">
        <v>25</v>
      </c>
      <c r="C29" s="6" t="inlineStr">
        <is>
          <t>Sidi Kacem</t>
        </is>
      </c>
      <c r="D29" s="5" t="inlineStr">
        <is>
          <t>HOUAFATE</t>
        </is>
      </c>
      <c r="E29" s="5" t="inlineStr">
        <is>
          <t>50-21</t>
        </is>
      </c>
      <c r="F29" s="5" t="inlineStr">
        <is>
          <t>Entretien et réparation des stations de pompage</t>
        </is>
      </c>
      <c r="G29" s="5" t="inlineStr">
        <is>
          <t>Mur clôture des stations de pompage.</t>
        </is>
      </c>
      <c r="H29" s="5" t="inlineStr">
        <is>
          <t>Stabilisation du sol et reconstruction des murs clôture (270m) cote oued de la station S17.</t>
        </is>
      </c>
      <c r="I29" s="7" t="n">
        <v>144000</v>
      </c>
      <c r="J29" s="8" t="inlineStr">
        <is>
          <t>ml</t>
        </is>
      </c>
      <c r="K29" s="9" t="n">
        <v>270</v>
      </c>
      <c r="L29" s="51" t="n"/>
      <c r="M29" s="52">
        <f>'S37'!M29+L29</f>
        <v/>
      </c>
      <c r="N29" s="53">
        <f>IFERROR(M29/K29,0)</f>
        <v/>
      </c>
      <c r="O29" s="54">
        <f>'S37'!N29</f>
        <v/>
      </c>
      <c r="P29" s="53">
        <f>N29-O29</f>
        <v/>
      </c>
      <c r="Q29" s="32" t="n"/>
      <c r="R29" s="32" t="n"/>
      <c r="S29" s="32" t="n"/>
      <c r="T29" s="55" t="n"/>
      <c r="U29" s="54">
        <f>'S37'!T29</f>
        <v/>
      </c>
      <c r="V29" s="53">
        <f>T29-U29</f>
        <v/>
      </c>
      <c r="W29" s="53">
        <f>N29-T29</f>
        <v/>
      </c>
      <c r="X29" s="34" t="n"/>
    </row>
    <row r="30" ht="22" customHeight="1">
      <c r="B30" s="10" t="n">
        <v>26</v>
      </c>
      <c r="C30" s="6" t="inlineStr">
        <is>
          <t>Sidi Kacem</t>
        </is>
      </c>
      <c r="D30" s="10" t="inlineStr">
        <is>
          <t>HOUAFATE</t>
        </is>
      </c>
      <c r="E30" s="10" t="inlineStr">
        <is>
          <t>50-21</t>
        </is>
      </c>
      <c r="F30" s="10" t="inlineStr">
        <is>
          <t>Entretien et réparation des stations de pompage</t>
        </is>
      </c>
      <c r="G30" s="10" t="inlineStr">
        <is>
          <t>Génie civile des locaux des stations de pompage.</t>
        </is>
      </c>
      <c r="H30" s="10" t="inlineStr">
        <is>
          <t>Expertise d’état et d’étanchéité des locaux pompes, commande, puissance des stations de pompage S17 et S13.
Renforcement d’étanchéité des locaux pompe sous niveau des oueds des stations de pompage S17 et S13.</t>
        </is>
      </c>
      <c r="I30" s="11" t="n">
        <v>800000</v>
      </c>
      <c r="J30" s="12" t="inlineStr">
        <is>
          <t>U</t>
        </is>
      </c>
      <c r="K30" s="13" t="n">
        <v>1</v>
      </c>
      <c r="L30" s="51" t="n"/>
      <c r="M30" s="56">
        <f>'S37'!M30+L30</f>
        <v/>
      </c>
      <c r="N30" s="57">
        <f>IFERROR(M30/K30,0)</f>
        <v/>
      </c>
      <c r="O30" s="58">
        <f>'S37'!N30</f>
        <v/>
      </c>
      <c r="P30" s="57">
        <f>N30-O30</f>
        <v/>
      </c>
      <c r="Q30" s="32" t="n"/>
      <c r="R30" s="32" t="n"/>
      <c r="S30" s="32" t="n"/>
      <c r="T30" s="55" t="n"/>
      <c r="U30" s="58">
        <f>'S37'!T30</f>
        <v/>
      </c>
      <c r="V30" s="57">
        <f>T30-U30</f>
        <v/>
      </c>
      <c r="W30" s="57">
        <f>N30-T30</f>
        <v/>
      </c>
      <c r="X30" s="34" t="n"/>
    </row>
    <row r="31" ht="22" customHeight="1">
      <c r="B31" s="5" t="n">
        <v>27</v>
      </c>
      <c r="C31" s="6" t="inlineStr">
        <is>
          <t>Sidi Kacem</t>
        </is>
      </c>
      <c r="D31" s="5" t="inlineStr">
        <is>
          <t>NOUIRAT</t>
        </is>
      </c>
      <c r="E31" s="5" t="inlineStr">
        <is>
          <t>50-23</t>
        </is>
      </c>
      <c r="F31" s="5" t="inlineStr">
        <is>
          <t>Entretien et réparation du réseau d'assainissement et de drainage</t>
        </is>
      </c>
      <c r="G31" s="5" t="inlineStr">
        <is>
          <t>Travaux de curage des canaux en terre</t>
        </is>
      </c>
      <c r="H31" s="5" t="inlineStr">
        <is>
          <t>Curage des collecteurs d'assainissement des secteurs EST1 et N5</t>
        </is>
      </c>
      <c r="I31" s="7" t="n">
        <v>1733306</v>
      </c>
      <c r="J31" s="8" t="inlineStr">
        <is>
          <t>ml</t>
        </is>
      </c>
      <c r="K31" s="9" t="n">
        <v>867</v>
      </c>
      <c r="L31" s="51" t="n"/>
      <c r="M31" s="52">
        <f>'S37'!M31+L31</f>
        <v/>
      </c>
      <c r="N31" s="53">
        <f>IFERROR(M31/K31,0)</f>
        <v/>
      </c>
      <c r="O31" s="54">
        <f>'S37'!N31</f>
        <v/>
      </c>
      <c r="P31" s="53">
        <f>N31-O31</f>
        <v/>
      </c>
      <c r="Q31" s="32" t="n"/>
      <c r="R31" s="32" t="n"/>
      <c r="S31" s="32" t="n"/>
      <c r="T31" s="55" t="n"/>
      <c r="U31" s="54">
        <f>'S37'!T31</f>
        <v/>
      </c>
      <c r="V31" s="53">
        <f>T31-U31</f>
        <v/>
      </c>
      <c r="W31" s="53">
        <f>N31-T31</f>
        <v/>
      </c>
      <c r="X31" s="34" t="n"/>
    </row>
    <row r="32" ht="22" customHeight="1">
      <c r="B32" s="10" t="n">
        <v>28</v>
      </c>
      <c r="C32" s="6" t="inlineStr">
        <is>
          <t>Sidi Kacem</t>
        </is>
      </c>
      <c r="D32" s="10" t="inlineStr">
        <is>
          <t>NOUIRAT</t>
        </is>
      </c>
      <c r="E32" s="10" t="inlineStr">
        <is>
          <t>40-21</t>
        </is>
      </c>
      <c r="F32" s="10" t="inlineStr">
        <is>
          <t>Travaux de pistes</t>
        </is>
      </c>
      <c r="G32" s="10" t="inlineStr">
        <is>
          <t>Entretien des pistes agricoles</t>
        </is>
      </c>
      <c r="H32" s="10" t="inlineStr">
        <is>
          <t>Entretien des pistes agricoles</t>
        </is>
      </c>
      <c r="I32" s="11" t="n">
        <v>670000</v>
      </c>
      <c r="J32" s="12" t="inlineStr">
        <is>
          <t>km</t>
        </is>
      </c>
      <c r="K32" s="13" t="n">
        <v>1</v>
      </c>
      <c r="L32" s="51" t="n"/>
      <c r="M32" s="56">
        <f>'S37'!M32+L32</f>
        <v/>
      </c>
      <c r="N32" s="57">
        <f>IFERROR(M32/K32,0)</f>
        <v/>
      </c>
      <c r="O32" s="58">
        <f>'S37'!N32</f>
        <v/>
      </c>
      <c r="P32" s="57">
        <f>N32-O32</f>
        <v/>
      </c>
      <c r="Q32" s="32" t="n"/>
      <c r="R32" s="32" t="n"/>
      <c r="S32" s="32" t="n"/>
      <c r="T32" s="55" t="n"/>
      <c r="U32" s="58">
        <f>'S37'!T32</f>
        <v/>
      </c>
      <c r="V32" s="57">
        <f>T32-U32</f>
        <v/>
      </c>
      <c r="W32" s="57">
        <f>N32-T32</f>
        <v/>
      </c>
      <c r="X32" s="34" t="n"/>
    </row>
    <row r="33" ht="22" customHeight="1">
      <c r="B33" s="5" t="n">
        <v>29</v>
      </c>
      <c r="C33" s="6" t="inlineStr">
        <is>
          <t>Sidi Kacem</t>
        </is>
      </c>
      <c r="D33" s="5" t="inlineStr">
        <is>
          <t>NOUIRAT</t>
        </is>
      </c>
      <c r="E33" s="5" t="inlineStr">
        <is>
          <t>20-11</t>
        </is>
      </c>
      <c r="F33" s="5" t="inlineStr">
        <is>
          <t>Travaux de réhabilitation des équipements</t>
        </is>
      </c>
      <c r="G33" s="5" t="inlineStr">
        <is>
          <t>Travaux de réhabilitation des ouvrages de génie civil</t>
        </is>
      </c>
      <c r="H33" s="5" t="inlineStr">
        <is>
          <t>Réhabilitation de l'ouvrage( genie civil ,gabiollannage,clapet anti retour et buse) de l'ouvrage de débouche SE1</t>
        </is>
      </c>
      <c r="I33" s="7" t="n">
        <v>2500000</v>
      </c>
      <c r="J33" s="8" t="inlineStr">
        <is>
          <t>U</t>
        </is>
      </c>
      <c r="K33" s="9" t="n">
        <v>5</v>
      </c>
      <c r="L33" s="51" t="n"/>
      <c r="M33" s="52">
        <f>'S37'!M33+L33</f>
        <v/>
      </c>
      <c r="N33" s="53">
        <f>IFERROR(M33/K33,0)</f>
        <v/>
      </c>
      <c r="O33" s="54">
        <f>'S37'!N33</f>
        <v/>
      </c>
      <c r="P33" s="53">
        <f>N33-O33</f>
        <v/>
      </c>
      <c r="Q33" s="32" t="n"/>
      <c r="R33" s="32" t="n"/>
      <c r="S33" s="32" t="n"/>
      <c r="T33" s="55" t="n"/>
      <c r="U33" s="54">
        <f>'S37'!T33</f>
        <v/>
      </c>
      <c r="V33" s="53">
        <f>T33-U33</f>
        <v/>
      </c>
      <c r="W33" s="53">
        <f>N33-T33</f>
        <v/>
      </c>
      <c r="X33" s="34" t="n"/>
    </row>
    <row r="34" ht="22" customHeight="1">
      <c r="B34" s="10" t="n">
        <v>30</v>
      </c>
      <c r="C34" s="6" t="inlineStr">
        <is>
          <t>Sidi Kacem</t>
        </is>
      </c>
      <c r="D34" s="10" t="inlineStr">
        <is>
          <t>NOUIRAT</t>
        </is>
      </c>
      <c r="E34" s="10" t="inlineStr">
        <is>
          <t>50-23</t>
        </is>
      </c>
      <c r="F34" s="10" t="inlineStr">
        <is>
          <t>Entretien et réparation du réseau d'assainissement et de drainage</t>
        </is>
      </c>
      <c r="G34" s="10" t="inlineStr">
        <is>
          <t>Curage des prises sur l’oued, bâche d’aspiration et bassin de régulation.</t>
        </is>
      </c>
      <c r="H34" s="10" t="inlineStr">
        <is>
          <t>Curage des prises sur l’oued de la station de pompage E1.
Nettoyage des grilles de préfiltration des boues colmaté de la station de pompage E1.
Curage de la bâche d’aspiration de la station E1.</t>
        </is>
      </c>
      <c r="I34" s="11" t="n">
        <v>800000</v>
      </c>
      <c r="J34" s="12" t="inlineStr">
        <is>
          <t>ml</t>
        </is>
      </c>
      <c r="K34" s="13" t="n">
        <v>267</v>
      </c>
      <c r="L34" s="51" t="n"/>
      <c r="M34" s="56">
        <f>'S37'!M34+L34</f>
        <v/>
      </c>
      <c r="N34" s="57">
        <f>IFERROR(M34/K34,0)</f>
        <v/>
      </c>
      <c r="O34" s="58">
        <f>'S37'!N34</f>
        <v/>
      </c>
      <c r="P34" s="57">
        <f>N34-O34</f>
        <v/>
      </c>
      <c r="Q34" s="32" t="n"/>
      <c r="R34" s="32" t="n"/>
      <c r="S34" s="32" t="n"/>
      <c r="T34" s="55" t="n"/>
      <c r="U34" s="58">
        <f>'S37'!T34</f>
        <v/>
      </c>
      <c r="V34" s="57">
        <f>T34-U34</f>
        <v/>
      </c>
      <c r="W34" s="57">
        <f>N34-T34</f>
        <v/>
      </c>
      <c r="X34" s="34" t="n"/>
    </row>
    <row r="35" ht="22" customHeight="1">
      <c r="B35" s="5" t="n">
        <v>31</v>
      </c>
      <c r="C35" s="6" t="inlineStr">
        <is>
          <t>Sidi Kacem</t>
        </is>
      </c>
      <c r="D35" s="5" t="inlineStr">
        <is>
          <t>NOUIRAT</t>
        </is>
      </c>
      <c r="E35" s="5" t="inlineStr">
        <is>
          <t>50-21</t>
        </is>
      </c>
      <c r="F35" s="5" t="inlineStr">
        <is>
          <t>Entretien et réparation des stations de pompage</t>
        </is>
      </c>
      <c r="G35" s="5" t="inlineStr">
        <is>
          <t>Prestation de maintenance des débitmètres et leurs équipements annexes installés au niveau des station de pompage</t>
        </is>
      </c>
      <c r="H35" s="5" t="inlineStr">
        <is>
          <t>Changement du débitmètre Ø 1200mm inondé de la station de pompage E1.</t>
        </is>
      </c>
      <c r="I35" s="7" t="n">
        <v>195000</v>
      </c>
      <c r="J35" s="8" t="inlineStr">
        <is>
          <t>U</t>
        </is>
      </c>
      <c r="K35" s="9" t="n">
        <v>2</v>
      </c>
      <c r="L35" s="51" t="n"/>
      <c r="M35" s="52">
        <f>'S37'!M35+L35</f>
        <v/>
      </c>
      <c r="N35" s="53">
        <f>IFERROR(M35/K35,0)</f>
        <v/>
      </c>
      <c r="O35" s="54">
        <f>'S37'!N35</f>
        <v/>
      </c>
      <c r="P35" s="53">
        <f>N35-O35</f>
        <v/>
      </c>
      <c r="Q35" s="32" t="n"/>
      <c r="R35" s="32" t="n"/>
      <c r="S35" s="32" t="n"/>
      <c r="T35" s="55" t="n"/>
      <c r="U35" s="54">
        <f>'S37'!T35</f>
        <v/>
      </c>
      <c r="V35" s="53">
        <f>T35-U35</f>
        <v/>
      </c>
      <c r="W35" s="53">
        <f>N35-T35</f>
        <v/>
      </c>
      <c r="X35" s="34" t="n"/>
    </row>
    <row r="36" ht="22" customHeight="1">
      <c r="B36" s="10" t="n">
        <v>32</v>
      </c>
      <c r="C36" s="6" t="inlineStr">
        <is>
          <t>Sidi Kacem</t>
        </is>
      </c>
      <c r="D36" s="10" t="inlineStr">
        <is>
          <t>NOUIRAT</t>
        </is>
      </c>
      <c r="E36" s="10" t="inlineStr">
        <is>
          <t>50-21</t>
        </is>
      </c>
      <c r="F36" s="10" t="inlineStr">
        <is>
          <t>Entretien et réparation des stations de pompage</t>
        </is>
      </c>
      <c r="G36" s="10" t="inlineStr">
        <is>
          <t>Prestations de maintenance des moteurs électriques des stations de pompage.</t>
        </is>
      </c>
      <c r="H36" s="10" t="inlineStr">
        <is>
          <t>Révision des deux moteurs électriques principaux de la station E1.</t>
        </is>
      </c>
      <c r="I36" s="11" t="n">
        <v>50000</v>
      </c>
      <c r="J36" s="12" t="inlineStr">
        <is>
          <t>U</t>
        </is>
      </c>
      <c r="K36" s="13" t="n">
        <v>2</v>
      </c>
      <c r="L36" s="51" t="n"/>
      <c r="M36" s="56">
        <f>'S37'!M36+L36</f>
        <v/>
      </c>
      <c r="N36" s="57">
        <f>IFERROR(M36/K36,0)</f>
        <v/>
      </c>
      <c r="O36" s="58">
        <f>'S37'!N36</f>
        <v/>
      </c>
      <c r="P36" s="57">
        <f>N36-O36</f>
        <v/>
      </c>
      <c r="Q36" s="32" t="n"/>
      <c r="R36" s="32" t="n"/>
      <c r="S36" s="32" t="n"/>
      <c r="T36" s="55" t="n"/>
      <c r="U36" s="58">
        <f>'S37'!T36</f>
        <v/>
      </c>
      <c r="V36" s="57">
        <f>T36-U36</f>
        <v/>
      </c>
      <c r="W36" s="57">
        <f>N36-T36</f>
        <v/>
      </c>
      <c r="X36" s="34" t="n"/>
    </row>
    <row r="37" ht="22" customHeight="1">
      <c r="B37" s="5" t="n">
        <v>33</v>
      </c>
      <c r="C37" s="6" t="inlineStr">
        <is>
          <t>Sidi Kacem</t>
        </is>
      </c>
      <c r="D37" s="5" t="inlineStr">
        <is>
          <t>NOUIRAT</t>
        </is>
      </c>
      <c r="E37" s="5" t="inlineStr">
        <is>
          <t>50-21</t>
        </is>
      </c>
      <c r="F37" s="5" t="inlineStr">
        <is>
          <t>Entretien et réparation des stations de pompage</t>
        </is>
      </c>
      <c r="G37" s="5" t="inlineStr">
        <is>
          <t>Prestations de maintenance et de réparation mécanique des pompes et des groupes motopompes submersibles des stations de pompage.</t>
        </is>
      </c>
      <c r="H37" s="5" t="inlineStr">
        <is>
          <t>Démontage et expertise des cinq pompes principaux et pompes a vide de la station E1.
Changement des roulements, tresses et organes d’effectués de la station E1.</t>
        </is>
      </c>
      <c r="I37" s="7" t="n">
        <v>245000</v>
      </c>
      <c r="J37" s="8" t="inlineStr">
        <is>
          <t>U</t>
        </is>
      </c>
      <c r="K37" s="9" t="n">
        <v>5</v>
      </c>
      <c r="L37" s="51" t="n"/>
      <c r="M37" s="52">
        <f>'S37'!M37+L37</f>
        <v/>
      </c>
      <c r="N37" s="53">
        <f>IFERROR(M37/K37,0)</f>
        <v/>
      </c>
      <c r="O37" s="54">
        <f>'S37'!N37</f>
        <v/>
      </c>
      <c r="P37" s="53">
        <f>N37-O37</f>
        <v/>
      </c>
      <c r="Q37" s="32" t="n"/>
      <c r="R37" s="32" t="n"/>
      <c r="S37" s="32" t="n"/>
      <c r="T37" s="55" t="n"/>
      <c r="U37" s="54">
        <f>'S37'!T37</f>
        <v/>
      </c>
      <c r="V37" s="53">
        <f>T37-U37</f>
        <v/>
      </c>
      <c r="W37" s="53">
        <f>N37-T37</f>
        <v/>
      </c>
      <c r="X37" s="34" t="n"/>
    </row>
    <row r="38" ht="22" customHeight="1">
      <c r="B38" s="10" t="n">
        <v>34</v>
      </c>
      <c r="C38" s="6" t="inlineStr">
        <is>
          <t>Sidi Kacem</t>
        </is>
      </c>
      <c r="D38" s="10" t="inlineStr">
        <is>
          <t>NOUIRAT</t>
        </is>
      </c>
      <c r="E38" s="10" t="inlineStr">
        <is>
          <t>50-21</t>
        </is>
      </c>
      <c r="F38" s="10" t="inlineStr">
        <is>
          <t>Entretien et réparation des stations de pompage</t>
        </is>
      </c>
      <c r="G38" s="10" t="inlineStr">
        <is>
          <t>Génie civile des locaux des stations de pompage.</t>
        </is>
      </c>
      <c r="H38" s="10" t="inlineStr">
        <is>
          <t>Expertise d’état et d’étanchéité des locaux pompes, commande, puissance de la station de pompage E1.
Renforcement d’étanchéité des locaux pompe sous niveau des oueds de la station de pompage E1.</t>
        </is>
      </c>
      <c r="I38" s="11" t="n">
        <v>1000000</v>
      </c>
      <c r="J38" s="12" t="inlineStr">
        <is>
          <t>U</t>
        </is>
      </c>
      <c r="K38" s="13" t="n">
        <v>1</v>
      </c>
      <c r="L38" s="51" t="n"/>
      <c r="M38" s="56">
        <f>'S37'!M38+L38</f>
        <v/>
      </c>
      <c r="N38" s="57">
        <f>IFERROR(M38/K38,0)</f>
        <v/>
      </c>
      <c r="O38" s="58">
        <f>'S37'!N38</f>
        <v/>
      </c>
      <c r="P38" s="57">
        <f>N38-O38</f>
        <v/>
      </c>
      <c r="Q38" s="32" t="n"/>
      <c r="R38" s="32" t="n"/>
      <c r="S38" s="32" t="n"/>
      <c r="T38" s="55" t="n"/>
      <c r="U38" s="58">
        <f>'S37'!T38</f>
        <v/>
      </c>
      <c r="V38" s="57">
        <f>T38-U38</f>
        <v/>
      </c>
      <c r="W38" s="57">
        <f>N38-T38</f>
        <v/>
      </c>
      <c r="X38" s="34" t="n"/>
    </row>
    <row r="39" ht="22" customHeight="1">
      <c r="B39" s="5" t="n">
        <v>35</v>
      </c>
      <c r="C39" s="6" t="inlineStr">
        <is>
          <t>Sidi Kacem</t>
        </is>
      </c>
      <c r="D39" s="5" t="inlineStr">
        <is>
          <t>RMILAT</t>
        </is>
      </c>
      <c r="E39" s="5" t="inlineStr">
        <is>
          <t>50-23</t>
        </is>
      </c>
      <c r="F39" s="5" t="inlineStr">
        <is>
          <t>Entretien et réparation du réseau d'assainissement et de drainage</t>
        </is>
      </c>
      <c r="G39" s="5" t="inlineStr">
        <is>
          <t>Travaux de curage des canaux en terre</t>
        </is>
      </c>
      <c r="H39" s="5" t="inlineStr">
        <is>
          <t>Curage des collecteurs d'assainissement des secteurs P7</t>
        </is>
      </c>
      <c r="I39" s="7" t="n">
        <v>5024032</v>
      </c>
      <c r="J39" s="8" t="inlineStr">
        <is>
          <t>ml</t>
        </is>
      </c>
      <c r="K39" s="9" t="n">
        <v>2512</v>
      </c>
      <c r="L39" s="51" t="n"/>
      <c r="M39" s="52">
        <f>'S37'!M39+L39</f>
        <v/>
      </c>
      <c r="N39" s="53">
        <f>IFERROR(M39/K39,0)</f>
        <v/>
      </c>
      <c r="O39" s="54">
        <f>'S37'!N39</f>
        <v/>
      </c>
      <c r="P39" s="53">
        <f>N39-O39</f>
        <v/>
      </c>
      <c r="Q39" s="32" t="n"/>
      <c r="R39" s="32" t="n"/>
      <c r="S39" s="32" t="n"/>
      <c r="T39" s="55" t="n"/>
      <c r="U39" s="54">
        <f>'S37'!T39</f>
        <v/>
      </c>
      <c r="V39" s="53">
        <f>T39-U39</f>
        <v/>
      </c>
      <c r="W39" s="53">
        <f>N39-T39</f>
        <v/>
      </c>
      <c r="X39" s="34" t="n"/>
    </row>
    <row r="40" ht="22" customHeight="1">
      <c r="B40" s="10" t="n">
        <v>36</v>
      </c>
      <c r="C40" s="6" t="inlineStr">
        <is>
          <t>Sidi Kacem</t>
        </is>
      </c>
      <c r="D40" s="10" t="inlineStr">
        <is>
          <t>RMILAT</t>
        </is>
      </c>
      <c r="E40" s="10" t="inlineStr">
        <is>
          <t>40-21</t>
        </is>
      </c>
      <c r="F40" s="10" t="inlineStr">
        <is>
          <t>Travaux de pistes</t>
        </is>
      </c>
      <c r="G40" s="10" t="inlineStr">
        <is>
          <t>Entretien des pistes agricoles</t>
        </is>
      </c>
      <c r="H40" s="10" t="inlineStr">
        <is>
          <t>Entretien des pistes agricoles</t>
        </is>
      </c>
      <c r="I40" s="11" t="n">
        <v>400000</v>
      </c>
      <c r="J40" s="12" t="inlineStr">
        <is>
          <t>km</t>
        </is>
      </c>
      <c r="K40" s="13" t="n">
        <v>1</v>
      </c>
      <c r="L40" s="51" t="n"/>
      <c r="M40" s="56">
        <f>'S37'!M40+L40</f>
        <v/>
      </c>
      <c r="N40" s="57">
        <f>IFERROR(M40/K40,0)</f>
        <v/>
      </c>
      <c r="O40" s="58">
        <f>'S37'!N40</f>
        <v/>
      </c>
      <c r="P40" s="57">
        <f>N40-O40</f>
        <v/>
      </c>
      <c r="Q40" s="32" t="n"/>
      <c r="R40" s="32" t="n"/>
      <c r="S40" s="32" t="n"/>
      <c r="T40" s="55" t="n"/>
      <c r="U40" s="58">
        <f>'S37'!T40</f>
        <v/>
      </c>
      <c r="V40" s="57">
        <f>T40-U40</f>
        <v/>
      </c>
      <c r="W40" s="57">
        <f>N40-T40</f>
        <v/>
      </c>
      <c r="X40" s="34" t="n"/>
    </row>
    <row r="41" ht="22" customHeight="1">
      <c r="B41" s="5" t="n">
        <v>37</v>
      </c>
      <c r="C41" s="6" t="inlineStr">
        <is>
          <t>Sidi Kacem</t>
        </is>
      </c>
      <c r="D41" s="5" t="inlineStr">
        <is>
          <t>SAFSAF</t>
        </is>
      </c>
      <c r="E41" s="5" t="inlineStr">
        <is>
          <t>50-23</t>
        </is>
      </c>
      <c r="F41" s="5" t="inlineStr">
        <is>
          <t>Entretien et réparation du réseau d'assainissement et de drainage</t>
        </is>
      </c>
      <c r="G41" s="5" t="inlineStr">
        <is>
          <t>Travaux de curage des canaux en terre</t>
        </is>
      </c>
      <c r="H41" s="5" t="inlineStr">
        <is>
          <t>Curage des collecteurs d'assainissement des secteurs S7, S9 et S11</t>
        </is>
      </c>
      <c r="I41" s="7" t="n">
        <v>6000000</v>
      </c>
      <c r="J41" s="8" t="inlineStr">
        <is>
          <t>ml</t>
        </is>
      </c>
      <c r="K41" s="9" t="n">
        <v>3000</v>
      </c>
      <c r="L41" s="51" t="n"/>
      <c r="M41" s="52">
        <f>'S37'!M41+L41</f>
        <v/>
      </c>
      <c r="N41" s="53">
        <f>IFERROR(M41/K41,0)</f>
        <v/>
      </c>
      <c r="O41" s="54">
        <f>'S37'!N41</f>
        <v/>
      </c>
      <c r="P41" s="53">
        <f>N41-O41</f>
        <v/>
      </c>
      <c r="Q41" s="32" t="n"/>
      <c r="R41" s="32" t="n"/>
      <c r="S41" s="32" t="n"/>
      <c r="T41" s="55" t="n"/>
      <c r="U41" s="54">
        <f>'S37'!T41</f>
        <v/>
      </c>
      <c r="V41" s="53">
        <f>T41-U41</f>
        <v/>
      </c>
      <c r="W41" s="53">
        <f>N41-T41</f>
        <v/>
      </c>
      <c r="X41" s="34" t="n"/>
    </row>
    <row r="42" ht="22" customHeight="1">
      <c r="B42" s="10" t="n">
        <v>38</v>
      </c>
      <c r="C42" s="6" t="inlineStr">
        <is>
          <t>Sidi Kacem</t>
        </is>
      </c>
      <c r="D42" s="10" t="inlineStr">
        <is>
          <t>SAFSAF</t>
        </is>
      </c>
      <c r="E42" s="10" t="inlineStr">
        <is>
          <t>20-11</t>
        </is>
      </c>
      <c r="F42" s="10" t="inlineStr">
        <is>
          <t>Travaux de réhabilitation des équipements</t>
        </is>
      </c>
      <c r="G42" s="10" t="inlineStr">
        <is>
          <t>Travaux de réhabilitation des canaux portés d'irrigation</t>
        </is>
      </c>
      <c r="H42" s="10" t="inlineStr">
        <is>
          <t>Fourniture et  pose de canaux porté et accessoires du réseau S4 du secteur S11</t>
        </is>
      </c>
      <c r="I42" s="11" t="n">
        <v>232266</v>
      </c>
      <c r="J42" s="12" t="inlineStr">
        <is>
          <t>ml</t>
        </is>
      </c>
      <c r="K42" s="13" t="n">
        <v>77</v>
      </c>
      <c r="L42" s="51" t="n"/>
      <c r="M42" s="56">
        <f>'S37'!M42+L42</f>
        <v/>
      </c>
      <c r="N42" s="57">
        <f>IFERROR(M42/K42,0)</f>
        <v/>
      </c>
      <c r="O42" s="58">
        <f>'S37'!N42</f>
        <v/>
      </c>
      <c r="P42" s="57">
        <f>N42-O42</f>
        <v/>
      </c>
      <c r="Q42" s="32" t="n"/>
      <c r="R42" s="32" t="n"/>
      <c r="S42" s="32" t="n"/>
      <c r="T42" s="55" t="n"/>
      <c r="U42" s="58">
        <f>'S37'!T42</f>
        <v/>
      </c>
      <c r="V42" s="57">
        <f>T42-U42</f>
        <v/>
      </c>
      <c r="W42" s="57">
        <f>N42-T42</f>
        <v/>
      </c>
      <c r="X42" s="34" t="n"/>
    </row>
    <row r="43" ht="22" customHeight="1">
      <c r="B43" s="5" t="n">
        <v>39</v>
      </c>
      <c r="C43" s="6" t="inlineStr">
        <is>
          <t>Sidi Kacem</t>
        </is>
      </c>
      <c r="D43" s="5" t="inlineStr">
        <is>
          <t>SAFSAF</t>
        </is>
      </c>
      <c r="E43" s="5" t="inlineStr">
        <is>
          <t>20-11</t>
        </is>
      </c>
      <c r="F43" s="5" t="inlineStr">
        <is>
          <t>Travaux de réhabilitation des équipements</t>
        </is>
      </c>
      <c r="G43" s="5" t="inlineStr"/>
      <c r="H43" s="5" t="inlineStr">
        <is>
          <t>Recalage des canaux portés du réseau T5S5 du secteur S9</t>
        </is>
      </c>
      <c r="I43" s="7" t="n">
        <v>1055025</v>
      </c>
      <c r="J43" s="8" t="inlineStr">
        <is>
          <t>ml</t>
        </is>
      </c>
      <c r="K43" s="9" t="n">
        <v>352</v>
      </c>
      <c r="L43" s="51" t="n"/>
      <c r="M43" s="52">
        <f>'S37'!M43+L43</f>
        <v/>
      </c>
      <c r="N43" s="53">
        <f>IFERROR(M43/K43,0)</f>
        <v/>
      </c>
      <c r="O43" s="54">
        <f>'S37'!N43</f>
        <v/>
      </c>
      <c r="P43" s="53">
        <f>N43-O43</f>
        <v/>
      </c>
      <c r="Q43" s="32" t="n"/>
      <c r="R43" s="32" t="n"/>
      <c r="S43" s="32" t="n"/>
      <c r="T43" s="55" t="n"/>
      <c r="U43" s="54">
        <f>'S37'!T43</f>
        <v/>
      </c>
      <c r="V43" s="53">
        <f>T43-U43</f>
        <v/>
      </c>
      <c r="W43" s="53">
        <f>N43-T43</f>
        <v/>
      </c>
      <c r="X43" s="34" t="n"/>
    </row>
    <row r="44" ht="22" customHeight="1">
      <c r="B44" s="10" t="n">
        <v>40</v>
      </c>
      <c r="C44" s="6" t="inlineStr">
        <is>
          <t>Sidi Kacem</t>
        </is>
      </c>
      <c r="D44" s="10" t="inlineStr">
        <is>
          <t>SAFSAF</t>
        </is>
      </c>
      <c r="E44" s="10" t="inlineStr">
        <is>
          <t>20-11</t>
        </is>
      </c>
      <c r="F44" s="10" t="inlineStr">
        <is>
          <t>Travaux de réhabilitation des équipements</t>
        </is>
      </c>
      <c r="G44" s="10" t="inlineStr"/>
      <c r="H44" s="10" t="inlineStr">
        <is>
          <t>Recalage des canaux portés du réseau T7S5 du secteur S9</t>
        </is>
      </c>
      <c r="I44" s="11" t="n">
        <v>1004535</v>
      </c>
      <c r="J44" s="12" t="inlineStr">
        <is>
          <t>ml</t>
        </is>
      </c>
      <c r="K44" s="13" t="n">
        <v>335</v>
      </c>
      <c r="L44" s="51" t="n"/>
      <c r="M44" s="56">
        <f>'S37'!M44+L44</f>
        <v/>
      </c>
      <c r="N44" s="57">
        <f>IFERROR(M44/K44,0)</f>
        <v/>
      </c>
      <c r="O44" s="58">
        <f>'S37'!N44</f>
        <v/>
      </c>
      <c r="P44" s="57">
        <f>N44-O44</f>
        <v/>
      </c>
      <c r="Q44" s="32" t="n"/>
      <c r="R44" s="32" t="n"/>
      <c r="S44" s="32" t="n"/>
      <c r="T44" s="55" t="n"/>
      <c r="U44" s="58">
        <f>'S37'!T44</f>
        <v/>
      </c>
      <c r="V44" s="57">
        <f>T44-U44</f>
        <v/>
      </c>
      <c r="W44" s="57">
        <f>N44-T44</f>
        <v/>
      </c>
      <c r="X44" s="34" t="n"/>
    </row>
    <row r="45" ht="22" customHeight="1">
      <c r="B45" s="5" t="n">
        <v>41</v>
      </c>
      <c r="C45" s="6" t="inlineStr">
        <is>
          <t>Sidi Kacem</t>
        </is>
      </c>
      <c r="D45" s="5" t="inlineStr">
        <is>
          <t>SAFSAF</t>
        </is>
      </c>
      <c r="E45" s="5" t="inlineStr">
        <is>
          <t>20-11</t>
        </is>
      </c>
      <c r="F45" s="5" t="inlineStr">
        <is>
          <t>Travaux de réhabilitation des équipements</t>
        </is>
      </c>
      <c r="G45" s="5" t="inlineStr"/>
      <c r="H45" s="5" t="inlineStr">
        <is>
          <t>Recalage des canaux portés du réseau T2S5 du secteur S9</t>
        </is>
      </c>
      <c r="I45" s="7" t="n">
        <v>793830</v>
      </c>
      <c r="J45" s="8" t="inlineStr">
        <is>
          <t>ml</t>
        </is>
      </c>
      <c r="K45" s="9" t="n">
        <v>265</v>
      </c>
      <c r="L45" s="51" t="n"/>
      <c r="M45" s="52">
        <f>'S37'!M45+L45</f>
        <v/>
      </c>
      <c r="N45" s="53">
        <f>IFERROR(M45/K45,0)</f>
        <v/>
      </c>
      <c r="O45" s="54">
        <f>'S37'!N45</f>
        <v/>
      </c>
      <c r="P45" s="53">
        <f>N45-O45</f>
        <v/>
      </c>
      <c r="Q45" s="32" t="n"/>
      <c r="R45" s="32" t="n"/>
      <c r="S45" s="32" t="n"/>
      <c r="T45" s="55" t="n"/>
      <c r="U45" s="54">
        <f>'S37'!T45</f>
        <v/>
      </c>
      <c r="V45" s="53">
        <f>T45-U45</f>
        <v/>
      </c>
      <c r="W45" s="53">
        <f>N45-T45</f>
        <v/>
      </c>
      <c r="X45" s="34" t="n"/>
    </row>
    <row r="46" ht="22" customHeight="1">
      <c r="B46" s="10" t="n">
        <v>42</v>
      </c>
      <c r="C46" s="6" t="inlineStr">
        <is>
          <t>Sidi Kacem</t>
        </is>
      </c>
      <c r="D46" s="10" t="inlineStr">
        <is>
          <t>SAFSAF</t>
        </is>
      </c>
      <c r="E46" s="10" t="inlineStr">
        <is>
          <t>40-21</t>
        </is>
      </c>
      <c r="F46" s="10" t="inlineStr">
        <is>
          <t>Travaux de pistes</t>
        </is>
      </c>
      <c r="G46" s="10" t="inlineStr">
        <is>
          <t>Entretien des pistes agricoles</t>
        </is>
      </c>
      <c r="H46" s="10" t="inlineStr">
        <is>
          <t>Entretien des pistes agricoles</t>
        </is>
      </c>
      <c r="I46" s="11" t="n">
        <v>2000000</v>
      </c>
      <c r="J46" s="12" t="inlineStr">
        <is>
          <t>km</t>
        </is>
      </c>
      <c r="K46" s="13" t="n">
        <v>4</v>
      </c>
      <c r="L46" s="51" t="n"/>
      <c r="M46" s="56">
        <f>'S37'!M46+L46</f>
        <v/>
      </c>
      <c r="N46" s="57">
        <f>IFERROR(M46/K46,0)</f>
        <v/>
      </c>
      <c r="O46" s="58">
        <f>'S37'!N46</f>
        <v/>
      </c>
      <c r="P46" s="57">
        <f>N46-O46</f>
        <v/>
      </c>
      <c r="Q46" s="32" t="n"/>
      <c r="R46" s="32" t="n"/>
      <c r="S46" s="32" t="n"/>
      <c r="T46" s="55" t="n"/>
      <c r="U46" s="58">
        <f>'S37'!T46</f>
        <v/>
      </c>
      <c r="V46" s="57">
        <f>T46-U46</f>
        <v/>
      </c>
      <c r="W46" s="57">
        <f>N46-T46</f>
        <v/>
      </c>
      <c r="X46" s="34" t="n"/>
    </row>
    <row r="47" ht="22" customHeight="1">
      <c r="B47" s="5" t="n">
        <v>43</v>
      </c>
      <c r="C47" s="6" t="inlineStr">
        <is>
          <t>Sidi Kacem</t>
        </is>
      </c>
      <c r="D47" s="5" t="inlineStr">
        <is>
          <t>SAFSAF</t>
        </is>
      </c>
      <c r="E47" s="5" t="inlineStr">
        <is>
          <t>50-23</t>
        </is>
      </c>
      <c r="F47" s="5" t="inlineStr">
        <is>
          <t>Entretien et réparation du réseau d'assainissement et de drainage</t>
        </is>
      </c>
      <c r="G47" s="5" t="inlineStr">
        <is>
          <t>Curage des prises sur l’oued, bâche d’aspiration et bassin de régulation.</t>
        </is>
      </c>
      <c r="H47" s="5" t="inlineStr">
        <is>
          <t>Curage des prises sur l’oued des stations de pompage S11, S9, 7D et 7B.
Nettoyage des grilles de préfiltration des boues colmaté des stations de pompage S11, S9, 7D et 7B.
Nettoyage des crépines des boues colmaté de station pompage 7D.
Curage des dalots et bâche d’aspiration des stations de pompage S11, S9, 7B.</t>
        </is>
      </c>
      <c r="I47" s="7" t="n">
        <v>200000</v>
      </c>
      <c r="J47" s="8" t="inlineStr">
        <is>
          <t>ml</t>
        </is>
      </c>
      <c r="K47" s="9" t="n">
        <v>67</v>
      </c>
      <c r="L47" s="51" t="n"/>
      <c r="M47" s="52">
        <f>'S37'!M47+L47</f>
        <v/>
      </c>
      <c r="N47" s="53">
        <f>IFERROR(M47/K47,0)</f>
        <v/>
      </c>
      <c r="O47" s="54">
        <f>'S37'!N47</f>
        <v/>
      </c>
      <c r="P47" s="53">
        <f>N47-O47</f>
        <v/>
      </c>
      <c r="Q47" s="32" t="n"/>
      <c r="R47" s="32" t="n"/>
      <c r="S47" s="32" t="n"/>
      <c r="T47" s="55" t="n"/>
      <c r="U47" s="54">
        <f>'S37'!T47</f>
        <v/>
      </c>
      <c r="V47" s="53">
        <f>T47-U47</f>
        <v/>
      </c>
      <c r="W47" s="53">
        <f>N47-T47</f>
        <v/>
      </c>
      <c r="X47" s="34" t="n"/>
    </row>
    <row r="48" ht="22" customHeight="1">
      <c r="B48" s="10" t="n">
        <v>44</v>
      </c>
      <c r="C48" s="6" t="inlineStr">
        <is>
          <t>Sidi Kacem</t>
        </is>
      </c>
      <c r="D48" s="10" t="inlineStr">
        <is>
          <t>SAFSAF</t>
        </is>
      </c>
      <c r="E48" s="10" t="inlineStr">
        <is>
          <t>50-21</t>
        </is>
      </c>
      <c r="F48" s="10" t="inlineStr">
        <is>
          <t>Entretien et réparation des stations de pompage</t>
        </is>
      </c>
      <c r="G48" s="10" t="inlineStr">
        <is>
          <t>Prestation de maintenance des débitmètres et leurs équipements annexes installés au niveau des station de pompage</t>
        </is>
      </c>
      <c r="H48" s="10" t="inlineStr">
        <is>
          <t>Changements Sept des débitmètres Ø 600mm inondé des deux stations de pompage S11 et S9.</t>
        </is>
      </c>
      <c r="I48" s="11" t="n">
        <v>580000</v>
      </c>
      <c r="J48" s="12" t="inlineStr">
        <is>
          <t>U</t>
        </is>
      </c>
      <c r="K48" s="13" t="n">
        <v>7</v>
      </c>
      <c r="L48" s="51" t="n"/>
      <c r="M48" s="56">
        <f>'S37'!M48+L48</f>
        <v/>
      </c>
      <c r="N48" s="57">
        <f>IFERROR(M48/K48,0)</f>
        <v/>
      </c>
      <c r="O48" s="58">
        <f>'S37'!N48</f>
        <v/>
      </c>
      <c r="P48" s="57">
        <f>N48-O48</f>
        <v/>
      </c>
      <c r="Q48" s="32" t="n"/>
      <c r="R48" s="32" t="n"/>
      <c r="S48" s="32" t="n"/>
      <c r="T48" s="55" t="n"/>
      <c r="U48" s="58">
        <f>'S37'!T48</f>
        <v/>
      </c>
      <c r="V48" s="57">
        <f>T48-U48</f>
        <v/>
      </c>
      <c r="W48" s="57">
        <f>N48-T48</f>
        <v/>
      </c>
      <c r="X48" s="34" t="n"/>
    </row>
    <row r="49" ht="22" customHeight="1">
      <c r="B49" s="5" t="n">
        <v>45</v>
      </c>
      <c r="C49" s="6" t="inlineStr">
        <is>
          <t>Sidi Kacem</t>
        </is>
      </c>
      <c r="D49" s="5" t="inlineStr">
        <is>
          <t>SAFSAF</t>
        </is>
      </c>
      <c r="E49" s="5" t="inlineStr">
        <is>
          <t>50-21</t>
        </is>
      </c>
      <c r="F49" s="5" t="inlineStr">
        <is>
          <t>Entretien et réparation des stations de pompage</t>
        </is>
      </c>
      <c r="G49" s="5" t="inlineStr">
        <is>
          <t>Stabilisation Berge oued</t>
        </is>
      </c>
      <c r="H49" s="5" t="inlineStr">
        <is>
          <t>Pose de murs en gabions et recouvrement du talus par matelas Reno des stations de pompage S11, S9, 7D et 7B .</t>
        </is>
      </c>
      <c r="I49" s="7" t="n">
        <v>4000000</v>
      </c>
      <c r="J49" s="8" t="inlineStr">
        <is>
          <t>m³</t>
        </is>
      </c>
      <c r="K49" s="9" t="n">
        <v>2667</v>
      </c>
      <c r="L49" s="51" t="n"/>
      <c r="M49" s="52">
        <f>'S37'!M49+L49</f>
        <v/>
      </c>
      <c r="N49" s="53">
        <f>IFERROR(M49/K49,0)</f>
        <v/>
      </c>
      <c r="O49" s="54">
        <f>'S37'!N49</f>
        <v/>
      </c>
      <c r="P49" s="53">
        <f>N49-O49</f>
        <v/>
      </c>
      <c r="Q49" s="32" t="n"/>
      <c r="R49" s="32" t="n"/>
      <c r="S49" s="32" t="n"/>
      <c r="T49" s="55" t="n"/>
      <c r="U49" s="54">
        <f>'S37'!T49</f>
        <v/>
      </c>
      <c r="V49" s="53">
        <f>T49-U49</f>
        <v/>
      </c>
      <c r="W49" s="53">
        <f>N49-T49</f>
        <v/>
      </c>
      <c r="X49" s="34" t="n"/>
    </row>
    <row r="50" ht="22" customHeight="1">
      <c r="B50" s="10" t="n">
        <v>46</v>
      </c>
      <c r="C50" s="6" t="inlineStr">
        <is>
          <t>Sidi Kacem</t>
        </is>
      </c>
      <c r="D50" s="10" t="inlineStr">
        <is>
          <t>SIDI AZZOUZ</t>
        </is>
      </c>
      <c r="E50" s="10" t="inlineStr">
        <is>
          <t>40-21</t>
        </is>
      </c>
      <c r="F50" s="10" t="inlineStr">
        <is>
          <t>Travaux de pistes</t>
        </is>
      </c>
      <c r="G50" s="10" t="inlineStr">
        <is>
          <t>Entretien des pistes agricoles</t>
        </is>
      </c>
      <c r="H50" s="10" t="inlineStr">
        <is>
          <t>Entretien des pistes agricoles</t>
        </is>
      </c>
      <c r="I50" s="11" t="n">
        <v>655000</v>
      </c>
      <c r="J50" s="12" t="inlineStr">
        <is>
          <t>km</t>
        </is>
      </c>
      <c r="K50" s="13" t="n">
        <v>1</v>
      </c>
      <c r="L50" s="51" t="n"/>
      <c r="M50" s="56">
        <f>'S37'!M50+L50</f>
        <v/>
      </c>
      <c r="N50" s="57">
        <f>IFERROR(M50/K50,0)</f>
        <v/>
      </c>
      <c r="O50" s="58">
        <f>'S37'!N50</f>
        <v/>
      </c>
      <c r="P50" s="57">
        <f>N50-O50</f>
        <v/>
      </c>
      <c r="Q50" s="32" t="n"/>
      <c r="R50" s="32" t="n"/>
      <c r="S50" s="32" t="n"/>
      <c r="T50" s="55" t="n"/>
      <c r="U50" s="58">
        <f>'S37'!T50</f>
        <v/>
      </c>
      <c r="V50" s="57">
        <f>T50-U50</f>
        <v/>
      </c>
      <c r="W50" s="57">
        <f>N50-T50</f>
        <v/>
      </c>
      <c r="X50" s="34" t="n"/>
    </row>
    <row r="51" ht="22" customHeight="1">
      <c r="B51" s="5" t="n">
        <v>47</v>
      </c>
      <c r="C51" s="6" t="inlineStr">
        <is>
          <t>Sidi Kacem</t>
        </is>
      </c>
      <c r="D51" s="5" t="inlineStr">
        <is>
          <t>SIDI EL KAMEL</t>
        </is>
      </c>
      <c r="E51" s="5" t="inlineStr">
        <is>
          <t>20-11</t>
        </is>
      </c>
      <c r="F51" s="5" t="inlineStr">
        <is>
          <t>Travaux de réhabilitation des équipements</t>
        </is>
      </c>
      <c r="G51" s="5" t="inlineStr">
        <is>
          <t>Travaux de réhabilitation des canaux portés d'irrigation</t>
        </is>
      </c>
      <c r="H51" s="5" t="inlineStr">
        <is>
          <t>Fourniture et de pose de canaux porté et accessoires du réseau SR4 du secteur S3R</t>
        </is>
      </c>
      <c r="I51" s="7" t="n">
        <v>5182920</v>
      </c>
      <c r="J51" s="8" t="inlineStr">
        <is>
          <t>ml</t>
        </is>
      </c>
      <c r="K51" s="9" t="n">
        <v>1728</v>
      </c>
      <c r="L51" s="51" t="n"/>
      <c r="M51" s="52">
        <f>'S37'!M51+L51</f>
        <v/>
      </c>
      <c r="N51" s="53">
        <f>IFERROR(M51/K51,0)</f>
        <v/>
      </c>
      <c r="O51" s="54">
        <f>'S37'!N51</f>
        <v/>
      </c>
      <c r="P51" s="53">
        <f>N51-O51</f>
        <v/>
      </c>
      <c r="Q51" s="32" t="n"/>
      <c r="R51" s="32" t="n"/>
      <c r="S51" s="32" t="n"/>
      <c r="T51" s="55" t="n"/>
      <c r="U51" s="54">
        <f>'S37'!T51</f>
        <v/>
      </c>
      <c r="V51" s="53">
        <f>T51-U51</f>
        <v/>
      </c>
      <c r="W51" s="53">
        <f>N51-T51</f>
        <v/>
      </c>
      <c r="X51" s="34" t="n"/>
    </row>
    <row r="52" ht="22" customHeight="1">
      <c r="B52" s="10" t="n">
        <v>48</v>
      </c>
      <c r="C52" s="6" t="inlineStr">
        <is>
          <t>Sidi Kacem</t>
        </is>
      </c>
      <c r="D52" s="10" t="inlineStr">
        <is>
          <t>SIDI EL KAMEL</t>
        </is>
      </c>
      <c r="E52" s="10" t="inlineStr">
        <is>
          <t>20-11</t>
        </is>
      </c>
      <c r="F52" s="10" t="inlineStr">
        <is>
          <t>Travaux de réhabilitation des équipements</t>
        </is>
      </c>
      <c r="G52" s="10" t="inlineStr"/>
      <c r="H52" s="10" t="inlineStr">
        <is>
          <t>Fourniture et de pose de canaux porté et accessoires du réseau SR6 du secteur S1RIZ</t>
        </is>
      </c>
      <c r="I52" s="11" t="n">
        <v>152818</v>
      </c>
      <c r="J52" s="12" t="inlineStr">
        <is>
          <t>ml</t>
        </is>
      </c>
      <c r="K52" s="13" t="n">
        <v>51</v>
      </c>
      <c r="L52" s="51" t="n"/>
      <c r="M52" s="56">
        <f>'S37'!M52+L52</f>
        <v/>
      </c>
      <c r="N52" s="57">
        <f>IFERROR(M52/K52,0)</f>
        <v/>
      </c>
      <c r="O52" s="58">
        <f>'S37'!N52</f>
        <v/>
      </c>
      <c r="P52" s="57">
        <f>N52-O52</f>
        <v/>
      </c>
      <c r="Q52" s="32" t="n"/>
      <c r="R52" s="32" t="n"/>
      <c r="S52" s="32" t="n"/>
      <c r="T52" s="55" t="n"/>
      <c r="U52" s="58">
        <f>'S37'!T52</f>
        <v/>
      </c>
      <c r="V52" s="57">
        <f>T52-U52</f>
        <v/>
      </c>
      <c r="W52" s="57">
        <f>N52-T52</f>
        <v/>
      </c>
      <c r="X52" s="34" t="n"/>
    </row>
    <row r="53" ht="22" customHeight="1">
      <c r="B53" s="5" t="n">
        <v>49</v>
      </c>
      <c r="C53" s="6" t="inlineStr">
        <is>
          <t>Sidi Kacem</t>
        </is>
      </c>
      <c r="D53" s="5" t="inlineStr">
        <is>
          <t>SIDI EL KAMEL</t>
        </is>
      </c>
      <c r="E53" s="5" t="inlineStr">
        <is>
          <t>20-11</t>
        </is>
      </c>
      <c r="F53" s="5" t="inlineStr">
        <is>
          <t>Travaux de réhabilitation des équipements</t>
        </is>
      </c>
      <c r="G53" s="5" t="inlineStr"/>
      <c r="H53" s="5" t="inlineStr">
        <is>
          <t>Recalage des canaux portés du réseau SR4 du secteur S3R</t>
        </is>
      </c>
      <c r="I53" s="7" t="n">
        <v>1418000</v>
      </c>
      <c r="J53" s="8" t="inlineStr">
        <is>
          <t>ml</t>
        </is>
      </c>
      <c r="K53" s="9" t="n">
        <v>473</v>
      </c>
      <c r="L53" s="51" t="n"/>
      <c r="M53" s="52">
        <f>'S37'!M53+L53</f>
        <v/>
      </c>
      <c r="N53" s="53">
        <f>IFERROR(M53/K53,0)</f>
        <v/>
      </c>
      <c r="O53" s="54">
        <f>'S37'!N53</f>
        <v/>
      </c>
      <c r="P53" s="53">
        <f>N53-O53</f>
        <v/>
      </c>
      <c r="Q53" s="32" t="n"/>
      <c r="R53" s="32" t="n"/>
      <c r="S53" s="32" t="n"/>
      <c r="T53" s="55" t="n"/>
      <c r="U53" s="54">
        <f>'S37'!T53</f>
        <v/>
      </c>
      <c r="V53" s="53">
        <f>T53-U53</f>
        <v/>
      </c>
      <c r="W53" s="53">
        <f>N53-T53</f>
        <v/>
      </c>
      <c r="X53" s="34" t="n"/>
    </row>
    <row r="54" ht="22" customHeight="1">
      <c r="B54" s="10" t="n">
        <v>50</v>
      </c>
      <c r="C54" s="6" t="inlineStr">
        <is>
          <t>Sidi Kacem</t>
        </is>
      </c>
      <c r="D54" s="10" t="inlineStr">
        <is>
          <t>SIDI EL KAMEL</t>
        </is>
      </c>
      <c r="E54" s="10" t="inlineStr">
        <is>
          <t>20-11</t>
        </is>
      </c>
      <c r="F54" s="10" t="inlineStr">
        <is>
          <t>Travaux de réhabilitation des équipements</t>
        </is>
      </c>
      <c r="G54" s="10" t="inlineStr">
        <is>
          <t>Travaux de réhabilitation des ouvrages de génie civil</t>
        </is>
      </c>
      <c r="H54" s="10" t="inlineStr">
        <is>
          <t>Réhabilitation des murs de soutènements des ouvrages de franchissements du canal d'assainissement CS3 secteur S3 et de l’ouvrage de franchissement du canal primaire d’irrigation du secteur S1R au niveau de la route provinciale P4234</t>
        </is>
      </c>
      <c r="I54" s="11" t="n">
        <v>800000</v>
      </c>
      <c r="J54" s="12" t="inlineStr">
        <is>
          <t>ml</t>
        </is>
      </c>
      <c r="K54" s="13" t="n">
        <v>400</v>
      </c>
      <c r="L54" s="51" t="n"/>
      <c r="M54" s="56">
        <f>'S37'!M54+L54</f>
        <v/>
      </c>
      <c r="N54" s="57">
        <f>IFERROR(M54/K54,0)</f>
        <v/>
      </c>
      <c r="O54" s="58">
        <f>'S37'!N54</f>
        <v/>
      </c>
      <c r="P54" s="57">
        <f>N54-O54</f>
        <v/>
      </c>
      <c r="Q54" s="32" t="n"/>
      <c r="R54" s="32" t="n"/>
      <c r="S54" s="32" t="n"/>
      <c r="T54" s="55" t="n"/>
      <c r="U54" s="58">
        <f>'S37'!T54</f>
        <v/>
      </c>
      <c r="V54" s="57">
        <f>T54-U54</f>
        <v/>
      </c>
      <c r="W54" s="57">
        <f>N54-T54</f>
        <v/>
      </c>
      <c r="X54" s="34" t="n"/>
    </row>
    <row r="55" ht="22" customHeight="1">
      <c r="B55" s="5" t="n">
        <v>51</v>
      </c>
      <c r="C55" s="6" t="inlineStr">
        <is>
          <t>Sidi Kacem</t>
        </is>
      </c>
      <c r="D55" s="5" t="inlineStr">
        <is>
          <t>SIDI EL KAMEL</t>
        </is>
      </c>
      <c r="E55" s="5" t="inlineStr">
        <is>
          <t>40-21</t>
        </is>
      </c>
      <c r="F55" s="5" t="inlineStr">
        <is>
          <t>Travaux de pistes</t>
        </is>
      </c>
      <c r="G55" s="5" t="inlineStr">
        <is>
          <t>Entretien des pistes agricoles</t>
        </is>
      </c>
      <c r="H55" s="5" t="inlineStr">
        <is>
          <t>Entretien des pistes agricoles</t>
        </is>
      </c>
      <c r="I55" s="7" t="n">
        <v>3700000</v>
      </c>
      <c r="J55" s="8" t="inlineStr">
        <is>
          <t>km</t>
        </is>
      </c>
      <c r="K55" s="9" t="n">
        <v>7</v>
      </c>
      <c r="L55" s="51" t="n"/>
      <c r="M55" s="52">
        <f>'S37'!M55+L55</f>
        <v/>
      </c>
      <c r="N55" s="53">
        <f>IFERROR(M55/K55,0)</f>
        <v/>
      </c>
      <c r="O55" s="54">
        <f>'S37'!N55</f>
        <v/>
      </c>
      <c r="P55" s="53">
        <f>N55-O55</f>
        <v/>
      </c>
      <c r="Q55" s="32" t="n"/>
      <c r="R55" s="32" t="n"/>
      <c r="S55" s="32" t="n"/>
      <c r="T55" s="55" t="n"/>
      <c r="U55" s="54">
        <f>'S37'!T55</f>
        <v/>
      </c>
      <c r="V55" s="53">
        <f>T55-U55</f>
        <v/>
      </c>
      <c r="W55" s="53">
        <f>N55-T55</f>
        <v/>
      </c>
      <c r="X55" s="34" t="n"/>
    </row>
    <row r="56" ht="22" customHeight="1">
      <c r="B56" s="10" t="n">
        <v>52</v>
      </c>
      <c r="C56" s="6" t="inlineStr">
        <is>
          <t>Sidi Kacem</t>
        </is>
      </c>
      <c r="D56" s="10" t="inlineStr">
        <is>
          <t>SIDI EL KAMEL</t>
        </is>
      </c>
      <c r="E56" s="10" t="inlineStr">
        <is>
          <t>50-21</t>
        </is>
      </c>
      <c r="F56" s="10" t="inlineStr">
        <is>
          <t>Entretien et réparation des stations de pompage</t>
        </is>
      </c>
      <c r="G56" s="10" t="inlineStr">
        <is>
          <t>Prestation de maintenance des débitmètres et leurs équipements annexes installés au niveau des station de pompage</t>
        </is>
      </c>
      <c r="H56" s="10" t="inlineStr">
        <is>
          <t>Changement de quatre débitmètres Ø 500mm et trois Ø 800mm inondé des stations de pompage 1R, 3R et 5R.</t>
        </is>
      </c>
      <c r="I56" s="11" t="n">
        <v>705000</v>
      </c>
      <c r="J56" s="12" t="inlineStr">
        <is>
          <t>U</t>
        </is>
      </c>
      <c r="K56" s="13" t="n">
        <v>3</v>
      </c>
      <c r="L56" s="51" t="n"/>
      <c r="M56" s="56">
        <f>'S37'!M56+L56</f>
        <v/>
      </c>
      <c r="N56" s="57">
        <f>IFERROR(M56/K56,0)</f>
        <v/>
      </c>
      <c r="O56" s="58">
        <f>'S37'!N56</f>
        <v/>
      </c>
      <c r="P56" s="57">
        <f>N56-O56</f>
        <v/>
      </c>
      <c r="Q56" s="32" t="n"/>
      <c r="R56" s="32" t="n"/>
      <c r="S56" s="32" t="n"/>
      <c r="T56" s="55" t="n"/>
      <c r="U56" s="58">
        <f>'S37'!T56</f>
        <v/>
      </c>
      <c r="V56" s="57">
        <f>T56-U56</f>
        <v/>
      </c>
      <c r="W56" s="57">
        <f>N56-T56</f>
        <v/>
      </c>
      <c r="X56" s="34" t="n"/>
    </row>
    <row r="57" ht="22" customHeight="1">
      <c r="B57" s="5" t="n">
        <v>53</v>
      </c>
      <c r="C57" s="6" t="inlineStr">
        <is>
          <t>Sidi Kacem</t>
        </is>
      </c>
      <c r="D57" s="5" t="inlineStr">
        <is>
          <t>SIDI EL KAMEL</t>
        </is>
      </c>
      <c r="E57" s="5" t="inlineStr">
        <is>
          <t>50-21</t>
        </is>
      </c>
      <c r="F57" s="5" t="inlineStr">
        <is>
          <t>Entretien et réparation des stations de pompage</t>
        </is>
      </c>
      <c r="G57" s="5" t="inlineStr">
        <is>
          <t>Mur clôture des stations de pompage.</t>
        </is>
      </c>
      <c r="H57" s="5" t="inlineStr">
        <is>
          <t>Stabilisation et reconstruction des murs clôture cote oued des stations de pompage 7A, 3R et 1R.</t>
        </is>
      </c>
      <c r="I57" s="7" t="n">
        <v>372000</v>
      </c>
      <c r="J57" s="8" t="inlineStr">
        <is>
          <t>ml</t>
        </is>
      </c>
      <c r="K57" s="9" t="n">
        <v>124</v>
      </c>
      <c r="L57" s="51" t="n"/>
      <c r="M57" s="52">
        <f>'S37'!M57+L57</f>
        <v/>
      </c>
      <c r="N57" s="53">
        <f>IFERROR(M57/K57,0)</f>
        <v/>
      </c>
      <c r="O57" s="54">
        <f>'S37'!N57</f>
        <v/>
      </c>
      <c r="P57" s="53">
        <f>N57-O57</f>
        <v/>
      </c>
      <c r="Q57" s="32" t="n"/>
      <c r="R57" s="32" t="n"/>
      <c r="S57" s="32" t="n"/>
      <c r="T57" s="55" t="n"/>
      <c r="U57" s="54">
        <f>'S37'!T57</f>
        <v/>
      </c>
      <c r="V57" s="53">
        <f>T57-U57</f>
        <v/>
      </c>
      <c r="W57" s="53">
        <f>N57-T57</f>
        <v/>
      </c>
      <c r="X57" s="34" t="n"/>
    </row>
    <row r="58" ht="22" customHeight="1">
      <c r="B58" s="10" t="n">
        <v>54</v>
      </c>
      <c r="C58" s="14" t="inlineStr">
        <is>
          <t>Kénitra</t>
        </is>
      </c>
      <c r="D58" s="10" t="inlineStr">
        <is>
          <t>Bni malek</t>
        </is>
      </c>
      <c r="E58" s="10" t="inlineStr">
        <is>
          <t>50-23</t>
        </is>
      </c>
      <c r="F58" s="10" t="inlineStr">
        <is>
          <t>Entretien et réparation du réseau d'assainissement et de drainage</t>
        </is>
      </c>
      <c r="G58" s="10" t="inlineStr">
        <is>
          <t>Travaux de curage des canaux en terre</t>
        </is>
      </c>
      <c r="H58" s="10" t="inlineStr">
        <is>
          <t>Curage des emissaires et colatures secondaire au niveau des secteurs MDA ET N9</t>
        </is>
      </c>
      <c r="I58" s="11" t="n">
        <v>10000000</v>
      </c>
      <c r="J58" s="12" t="inlineStr">
        <is>
          <t>ml</t>
        </is>
      </c>
      <c r="K58" s="13" t="n">
        <v>5000</v>
      </c>
      <c r="L58" s="51" t="n"/>
      <c r="M58" s="56">
        <f>'S37'!M58+L58</f>
        <v/>
      </c>
      <c r="N58" s="57">
        <f>IFERROR(M58/K58,0)</f>
        <v/>
      </c>
      <c r="O58" s="58">
        <f>'S37'!N58</f>
        <v/>
      </c>
      <c r="P58" s="57">
        <f>N58-O58</f>
        <v/>
      </c>
      <c r="Q58" s="32" t="n"/>
      <c r="R58" s="32" t="n"/>
      <c r="S58" s="32" t="n"/>
      <c r="T58" s="55" t="n"/>
      <c r="U58" s="58">
        <f>'S37'!T58</f>
        <v/>
      </c>
      <c r="V58" s="57">
        <f>T58-U58</f>
        <v/>
      </c>
      <c r="W58" s="57">
        <f>N58-T58</f>
        <v/>
      </c>
      <c r="X58" s="34" t="n"/>
    </row>
    <row r="59" ht="22" customHeight="1">
      <c r="B59" s="5" t="n">
        <v>55</v>
      </c>
      <c r="C59" s="14" t="inlineStr">
        <is>
          <t>Kénitra</t>
        </is>
      </c>
      <c r="D59" s="5" t="inlineStr">
        <is>
          <t>Bni malek</t>
        </is>
      </c>
      <c r="E59" s="5" t="inlineStr">
        <is>
          <t>40-21</t>
        </is>
      </c>
      <c r="F59" s="5" t="inlineStr">
        <is>
          <t>Travaux de pistes</t>
        </is>
      </c>
      <c r="G59" s="5" t="inlineStr">
        <is>
          <t>Travaux de réhabilitation des pistes agricoles</t>
        </is>
      </c>
      <c r="H59" s="5" t="inlineStr">
        <is>
          <t>Entretien des pistes agricoles des secteurs MDA et N3</t>
        </is>
      </c>
      <c r="I59" s="7" t="n">
        <v>2000000</v>
      </c>
      <c r="J59" s="8" t="inlineStr">
        <is>
          <t>km</t>
        </is>
      </c>
      <c r="K59" s="9" t="n">
        <v>4</v>
      </c>
      <c r="L59" s="51" t="n"/>
      <c r="M59" s="52">
        <f>'S37'!M59+L59</f>
        <v/>
      </c>
      <c r="N59" s="53">
        <f>IFERROR(M59/K59,0)</f>
        <v/>
      </c>
      <c r="O59" s="54">
        <f>'S37'!N59</f>
        <v/>
      </c>
      <c r="P59" s="53">
        <f>N59-O59</f>
        <v/>
      </c>
      <c r="Q59" s="32" t="n"/>
      <c r="R59" s="32" t="n"/>
      <c r="S59" s="32" t="n"/>
      <c r="T59" s="55" t="n"/>
      <c r="U59" s="54">
        <f>'S37'!T59</f>
        <v/>
      </c>
      <c r="V59" s="53">
        <f>T59-U59</f>
        <v/>
      </c>
      <c r="W59" s="53">
        <f>N59-T59</f>
        <v/>
      </c>
      <c r="X59" s="34" t="n"/>
    </row>
    <row r="60" ht="22" customHeight="1">
      <c r="B60" s="10" t="n">
        <v>56</v>
      </c>
      <c r="C60" s="14" t="inlineStr">
        <is>
          <t>Kénitra</t>
        </is>
      </c>
      <c r="D60" s="10" t="inlineStr">
        <is>
          <t>Bni malek</t>
        </is>
      </c>
      <c r="E60" s="10" t="inlineStr">
        <is>
          <t>50-21</t>
        </is>
      </c>
      <c r="F60" s="10" t="inlineStr">
        <is>
          <t>Entretien et réparation des stations de pompage</t>
        </is>
      </c>
      <c r="G60" s="10" t="inlineStr">
        <is>
          <t>Prestations de maintenance et de réparation mécanique des pompes et des groupes motopompes submersibles des stations de pompage.</t>
        </is>
      </c>
      <c r="H60" s="10" t="inlineStr">
        <is>
          <t>station de pompage MDA secteur MDA</t>
        </is>
      </c>
      <c r="I60" s="11" t="n">
        <v>300000</v>
      </c>
      <c r="J60" s="12" t="inlineStr">
        <is>
          <t>U</t>
        </is>
      </c>
      <c r="K60" s="13" t="n">
        <v>1</v>
      </c>
      <c r="L60" s="51" t="n"/>
      <c r="M60" s="56">
        <f>'S37'!M60+L60</f>
        <v/>
      </c>
      <c r="N60" s="57">
        <f>IFERROR(M60/K60,0)</f>
        <v/>
      </c>
      <c r="O60" s="58">
        <f>'S37'!N60</f>
        <v/>
      </c>
      <c r="P60" s="57">
        <f>N60-O60</f>
        <v/>
      </c>
      <c r="Q60" s="32" t="n"/>
      <c r="R60" s="32" t="n"/>
      <c r="S60" s="32" t="n"/>
      <c r="T60" s="55" t="n"/>
      <c r="U60" s="58">
        <f>'S37'!T60</f>
        <v/>
      </c>
      <c r="V60" s="57">
        <f>T60-U60</f>
        <v/>
      </c>
      <c r="W60" s="57">
        <f>N60-T60</f>
        <v/>
      </c>
      <c r="X60" s="34" t="n"/>
    </row>
    <row r="61" ht="22" customHeight="1">
      <c r="B61" s="5" t="n">
        <v>57</v>
      </c>
      <c r="C61" s="14" t="inlineStr">
        <is>
          <t>Kénitra</t>
        </is>
      </c>
      <c r="D61" s="5" t="inlineStr">
        <is>
          <t>Bni malek</t>
        </is>
      </c>
      <c r="E61" s="5" t="inlineStr">
        <is>
          <t>20-11</t>
        </is>
      </c>
      <c r="F61" s="5" t="inlineStr">
        <is>
          <t>Travaux de réhabilitation des équipements</t>
        </is>
      </c>
      <c r="G61" s="5" t="inlineStr">
        <is>
          <t>Travaux de réhabilitation des ouvrages de génie civil</t>
        </is>
      </c>
      <c r="H61" s="5" t="inlineStr">
        <is>
          <t>Rétablissement des bornes affaissées des secteurs N2 et N3</t>
        </is>
      </c>
      <c r="I61" s="7" t="n">
        <v>100000</v>
      </c>
      <c r="J61" s="8" t="inlineStr">
        <is>
          <t>U</t>
        </is>
      </c>
      <c r="K61" s="9" t="n">
        <v>200</v>
      </c>
      <c r="L61" s="51" t="n"/>
      <c r="M61" s="52">
        <f>'S37'!M61+L61</f>
        <v/>
      </c>
      <c r="N61" s="53">
        <f>IFERROR(M61/K61,0)</f>
        <v/>
      </c>
      <c r="O61" s="54">
        <f>'S37'!N61</f>
        <v/>
      </c>
      <c r="P61" s="53">
        <f>N61-O61</f>
        <v/>
      </c>
      <c r="Q61" s="32" t="n"/>
      <c r="R61" s="32" t="n"/>
      <c r="S61" s="32" t="n"/>
      <c r="T61" s="55" t="n"/>
      <c r="U61" s="54">
        <f>'S37'!T61</f>
        <v/>
      </c>
      <c r="V61" s="53">
        <f>T61-U61</f>
        <v/>
      </c>
      <c r="W61" s="53">
        <f>N61-T61</f>
        <v/>
      </c>
      <c r="X61" s="34" t="n"/>
    </row>
    <row r="62" ht="22" customHeight="1">
      <c r="B62" s="10" t="n">
        <v>58</v>
      </c>
      <c r="C62" s="14" t="inlineStr">
        <is>
          <t>Kénitra</t>
        </is>
      </c>
      <c r="D62" s="10" t="inlineStr">
        <is>
          <t>SOUK TLET</t>
        </is>
      </c>
      <c r="E62" s="10" t="inlineStr">
        <is>
          <t>50-23</t>
        </is>
      </c>
      <c r="F62" s="10" t="inlineStr">
        <is>
          <t>Entretien et réparation du réseau d'assainissement et de drainage</t>
        </is>
      </c>
      <c r="G62" s="10" t="inlineStr">
        <is>
          <t>Travaux de curage des canaux en terre</t>
        </is>
      </c>
      <c r="H62" s="10" t="inlineStr">
        <is>
          <t>curage des emissaires et colatures secondaire au niveau des secteurs N2,N3 ET N4,</t>
        </is>
      </c>
      <c r="I62" s="11" t="n">
        <v>3000000</v>
      </c>
      <c r="J62" s="12" t="inlineStr">
        <is>
          <t>ml</t>
        </is>
      </c>
      <c r="K62" s="13" t="n">
        <v>1500</v>
      </c>
      <c r="L62" s="51" t="n"/>
      <c r="M62" s="56">
        <f>'S37'!M62+L62</f>
        <v/>
      </c>
      <c r="N62" s="57">
        <f>IFERROR(M62/K62,0)</f>
        <v/>
      </c>
      <c r="O62" s="58">
        <f>'S37'!N62</f>
        <v/>
      </c>
      <c r="P62" s="57">
        <f>N62-O62</f>
        <v/>
      </c>
      <c r="Q62" s="32" t="n"/>
      <c r="R62" s="32" t="n"/>
      <c r="S62" s="32" t="n"/>
      <c r="T62" s="55" t="n"/>
      <c r="U62" s="58">
        <f>'S37'!T62</f>
        <v/>
      </c>
      <c r="V62" s="57">
        <f>T62-U62</f>
        <v/>
      </c>
      <c r="W62" s="57">
        <f>N62-T62</f>
        <v/>
      </c>
      <c r="X62" s="34" t="n"/>
    </row>
    <row r="63" ht="22" customHeight="1">
      <c r="B63" s="5" t="n">
        <v>59</v>
      </c>
      <c r="C63" s="14" t="inlineStr">
        <is>
          <t>Kénitra</t>
        </is>
      </c>
      <c r="D63" s="5" t="inlineStr">
        <is>
          <t>SOUK TLET</t>
        </is>
      </c>
      <c r="E63" s="5" t="inlineStr">
        <is>
          <t>40-21</t>
        </is>
      </c>
      <c r="F63" s="5" t="inlineStr">
        <is>
          <t>Travaux de pistes</t>
        </is>
      </c>
      <c r="G63" s="5" t="inlineStr">
        <is>
          <t>Travaux de réhabilitation des pistes agricoles</t>
        </is>
      </c>
      <c r="H63" s="5" t="inlineStr">
        <is>
          <t>Entretien des pistes des secteurs N2,N3,N4 et C4R,</t>
        </is>
      </c>
      <c r="I63" s="7" t="n">
        <v>5000000</v>
      </c>
      <c r="J63" s="8" t="inlineStr">
        <is>
          <t>U</t>
        </is>
      </c>
      <c r="K63" s="9" t="n">
        <v>1</v>
      </c>
      <c r="L63" s="51" t="n"/>
      <c r="M63" s="52">
        <f>'S37'!M63+L63</f>
        <v/>
      </c>
      <c r="N63" s="53">
        <f>IFERROR(M63/K63,0)</f>
        <v/>
      </c>
      <c r="O63" s="54">
        <f>'S37'!N63</f>
        <v/>
      </c>
      <c r="P63" s="53">
        <f>N63-O63</f>
        <v/>
      </c>
      <c r="Q63" s="32" t="n"/>
      <c r="R63" s="32" t="n"/>
      <c r="S63" s="32" t="n"/>
      <c r="T63" s="55" t="n"/>
      <c r="U63" s="54">
        <f>'S37'!T63</f>
        <v/>
      </c>
      <c r="V63" s="53">
        <f>T63-U63</f>
        <v/>
      </c>
      <c r="W63" s="53">
        <f>N63-T63</f>
        <v/>
      </c>
      <c r="X63" s="34" t="n"/>
    </row>
    <row r="64" ht="22" customHeight="1">
      <c r="B64" s="10" t="n">
        <v>60</v>
      </c>
      <c r="C64" s="14" t="inlineStr">
        <is>
          <t>Kénitra</t>
        </is>
      </c>
      <c r="D64" s="10" t="inlineStr">
        <is>
          <t>Sidi Med Lahmar</t>
        </is>
      </c>
      <c r="E64" s="10" t="inlineStr">
        <is>
          <t>50-23</t>
        </is>
      </c>
      <c r="F64" s="10" t="inlineStr">
        <is>
          <t>Entretien et réparation du réseau d'assainissement et de drainage</t>
        </is>
      </c>
      <c r="G64" s="10" t="inlineStr">
        <is>
          <t>Travaux de curage des canaux en terre</t>
        </is>
      </c>
      <c r="H64" s="10" t="inlineStr">
        <is>
          <t>Curage des emissaires et colatures secondaires secteurs N1</t>
        </is>
      </c>
      <c r="I64" s="11" t="n">
        <v>3000000</v>
      </c>
      <c r="J64" s="12" t="inlineStr">
        <is>
          <t>ml</t>
        </is>
      </c>
      <c r="K64" s="13" t="n">
        <v>1500</v>
      </c>
      <c r="L64" s="51" t="n"/>
      <c r="M64" s="56">
        <f>'S37'!M64+L64</f>
        <v/>
      </c>
      <c r="N64" s="57">
        <f>IFERROR(M64/K64,0)</f>
        <v/>
      </c>
      <c r="O64" s="58">
        <f>'S37'!N64</f>
        <v/>
      </c>
      <c r="P64" s="57">
        <f>N64-O64</f>
        <v/>
      </c>
      <c r="Q64" s="32" t="n"/>
      <c r="R64" s="32" t="n"/>
      <c r="S64" s="32" t="n"/>
      <c r="T64" s="55" t="n"/>
      <c r="U64" s="58">
        <f>'S37'!T64</f>
        <v/>
      </c>
      <c r="V64" s="57">
        <f>T64-U64</f>
        <v/>
      </c>
      <c r="W64" s="57">
        <f>N64-T64</f>
        <v/>
      </c>
      <c r="X64" s="34" t="n"/>
    </row>
    <row r="65" ht="22" customHeight="1">
      <c r="B65" s="5" t="n">
        <v>61</v>
      </c>
      <c r="C65" s="14" t="inlineStr">
        <is>
          <t>Kénitra</t>
        </is>
      </c>
      <c r="D65" s="5" t="inlineStr">
        <is>
          <t>Sidi Med Lahmar</t>
        </is>
      </c>
      <c r="E65" s="5" t="inlineStr">
        <is>
          <t>40-21</t>
        </is>
      </c>
      <c r="F65" s="5" t="inlineStr">
        <is>
          <t>Travaux de pistes</t>
        </is>
      </c>
      <c r="G65" s="5" t="inlineStr">
        <is>
          <t>Travaux de réhabilitation des pistes agricoles</t>
        </is>
      </c>
      <c r="H65" s="5" t="inlineStr">
        <is>
          <t>Entretien des pistes agricoles des secteurs N9 et N1</t>
        </is>
      </c>
      <c r="I65" s="7" t="n">
        <v>3000000</v>
      </c>
      <c r="J65" s="8" t="inlineStr">
        <is>
          <t>km</t>
        </is>
      </c>
      <c r="K65" s="9" t="n">
        <v>6</v>
      </c>
      <c r="L65" s="51" t="n"/>
      <c r="M65" s="52">
        <f>'S37'!M65+L65</f>
        <v/>
      </c>
      <c r="N65" s="53">
        <f>IFERROR(M65/K65,0)</f>
        <v/>
      </c>
      <c r="O65" s="54">
        <f>'S37'!N65</f>
        <v/>
      </c>
      <c r="P65" s="53">
        <f>N65-O65</f>
        <v/>
      </c>
      <c r="Q65" s="32" t="n"/>
      <c r="R65" s="32" t="n"/>
      <c r="S65" s="32" t="n"/>
      <c r="T65" s="55" t="n"/>
      <c r="U65" s="54">
        <f>'S37'!T65</f>
        <v/>
      </c>
      <c r="V65" s="53">
        <f>T65-U65</f>
        <v/>
      </c>
      <c r="W65" s="53">
        <f>N65-T65</f>
        <v/>
      </c>
      <c r="X65" s="34" t="n"/>
    </row>
    <row r="66" ht="22" customHeight="1">
      <c r="B66" s="10" t="n">
        <v>62</v>
      </c>
      <c r="C66" s="14" t="inlineStr">
        <is>
          <t>Kénitra</t>
        </is>
      </c>
      <c r="D66" s="10" t="inlineStr">
        <is>
          <t>Mograne</t>
        </is>
      </c>
      <c r="E66" s="10" t="inlineStr">
        <is>
          <t>50-23</t>
        </is>
      </c>
      <c r="F66" s="10" t="inlineStr">
        <is>
          <t>Entretien et réparation du réseau d'assainissement et de drainage</t>
        </is>
      </c>
      <c r="G66" s="10" t="inlineStr">
        <is>
          <t>Travaux de curage des canaux en terre</t>
        </is>
      </c>
      <c r="H66" s="10" t="inlineStr">
        <is>
          <t>Curage des canaux d'assainissement Hors secteur équipé ghoufera et laison beht sebou ,</t>
        </is>
      </c>
      <c r="I66" s="11" t="n">
        <v>6000000</v>
      </c>
      <c r="J66" s="12" t="inlineStr">
        <is>
          <t>ml</t>
        </is>
      </c>
      <c r="K66" s="13" t="n">
        <v>3000</v>
      </c>
      <c r="L66" s="51" t="n"/>
      <c r="M66" s="56">
        <f>'S37'!M66+L66</f>
        <v/>
      </c>
      <c r="N66" s="57">
        <f>IFERROR(M66/K66,0)</f>
        <v/>
      </c>
      <c r="O66" s="58">
        <f>'S37'!N66</f>
        <v/>
      </c>
      <c r="P66" s="57">
        <f>N66-O66</f>
        <v/>
      </c>
      <c r="Q66" s="32" t="n"/>
      <c r="R66" s="32" t="n"/>
      <c r="S66" s="32" t="n"/>
      <c r="T66" s="55" t="n"/>
      <c r="U66" s="58">
        <f>'S37'!T66</f>
        <v/>
      </c>
      <c r="V66" s="57">
        <f>T66-U66</f>
        <v/>
      </c>
      <c r="W66" s="57">
        <f>N66-T66</f>
        <v/>
      </c>
      <c r="X66" s="34" t="n"/>
    </row>
    <row r="67" ht="22" customHeight="1">
      <c r="B67" s="5" t="n">
        <v>63</v>
      </c>
      <c r="C67" s="14" t="inlineStr">
        <is>
          <t>Kénitra</t>
        </is>
      </c>
      <c r="D67" s="5" t="inlineStr">
        <is>
          <t>Mograne</t>
        </is>
      </c>
      <c r="E67" s="5" t="inlineStr">
        <is>
          <t>40-21</t>
        </is>
      </c>
      <c r="F67" s="5" t="inlineStr">
        <is>
          <t>Travaux de pistes</t>
        </is>
      </c>
      <c r="G67" s="5" t="inlineStr">
        <is>
          <t>Travaux de réhabilitation des pistes agricoles</t>
        </is>
      </c>
      <c r="H67" s="5" t="inlineStr">
        <is>
          <t>Entretien des pistes agricoles des secteurs SEBOU1,SEBOU2? BEHT3 et BEHT4</t>
        </is>
      </c>
      <c r="I67" s="7" t="n">
        <v>6000000</v>
      </c>
      <c r="J67" s="8" t="inlineStr">
        <is>
          <t>km</t>
        </is>
      </c>
      <c r="K67" s="9" t="n">
        <v>12</v>
      </c>
      <c r="L67" s="51" t="n"/>
      <c r="M67" s="52">
        <f>'S37'!M67+L67</f>
        <v/>
      </c>
      <c r="N67" s="53">
        <f>IFERROR(M67/K67,0)</f>
        <v/>
      </c>
      <c r="O67" s="54">
        <f>'S37'!N67</f>
        <v/>
      </c>
      <c r="P67" s="53">
        <f>N67-O67</f>
        <v/>
      </c>
      <c r="Q67" s="32" t="n"/>
      <c r="R67" s="32" t="n"/>
      <c r="S67" s="32" t="n"/>
      <c r="T67" s="55" t="n"/>
      <c r="U67" s="54">
        <f>'S37'!T67</f>
        <v/>
      </c>
      <c r="V67" s="53">
        <f>T67-U67</f>
        <v/>
      </c>
      <c r="W67" s="53">
        <f>N67-T67</f>
        <v/>
      </c>
      <c r="X67" s="34" t="n"/>
    </row>
    <row r="68" ht="22" customHeight="1">
      <c r="B68" s="10" t="n">
        <v>64</v>
      </c>
      <c r="C68" s="14" t="inlineStr">
        <is>
          <t>Kénitra</t>
        </is>
      </c>
      <c r="D68" s="10" t="inlineStr">
        <is>
          <t>Sidi allal tazi</t>
        </is>
      </c>
      <c r="E68" s="10" t="inlineStr">
        <is>
          <t>50-23</t>
        </is>
      </c>
      <c r="F68" s="10" t="inlineStr">
        <is>
          <t>Entretien et réparation du réseau d'assainissement et de drainage</t>
        </is>
      </c>
      <c r="G68" s="10" t="inlineStr">
        <is>
          <t>Travaux de curage des canaux en terre</t>
        </is>
      </c>
      <c r="H68" s="10" t="inlineStr">
        <is>
          <t>Curage du canaL d'assainissement CK,</t>
        </is>
      </c>
      <c r="I68" s="11" t="n">
        <v>3000000</v>
      </c>
      <c r="J68" s="12" t="inlineStr">
        <is>
          <t>ml</t>
        </is>
      </c>
      <c r="K68" s="13" t="n">
        <v>1500</v>
      </c>
      <c r="L68" s="51" t="n"/>
      <c r="M68" s="56">
        <f>'S37'!M68+L68</f>
        <v/>
      </c>
      <c r="N68" s="57">
        <f>IFERROR(M68/K68,0)</f>
        <v/>
      </c>
      <c r="O68" s="58">
        <f>'S37'!N68</f>
        <v/>
      </c>
      <c r="P68" s="57">
        <f>N68-O68</f>
        <v/>
      </c>
      <c r="Q68" s="32" t="n"/>
      <c r="R68" s="32" t="n"/>
      <c r="S68" s="32" t="n"/>
      <c r="T68" s="55" t="n"/>
      <c r="U68" s="58">
        <f>'S37'!T68</f>
        <v/>
      </c>
      <c r="V68" s="57">
        <f>T68-U68</f>
        <v/>
      </c>
      <c r="W68" s="57">
        <f>N68-T68</f>
        <v/>
      </c>
      <c r="X68" s="34" t="n"/>
    </row>
    <row r="69" ht="22" customHeight="1">
      <c r="B69" s="5" t="n">
        <v>65</v>
      </c>
      <c r="C69" s="14" t="inlineStr">
        <is>
          <t>Kénitra</t>
        </is>
      </c>
      <c r="D69" s="5" t="inlineStr">
        <is>
          <t>AMEUR SAFLIA</t>
        </is>
      </c>
      <c r="E69" s="5" t="inlineStr">
        <is>
          <t>50-23</t>
        </is>
      </c>
      <c r="F69" s="5" t="inlineStr">
        <is>
          <t>Entretien et réparation du réseau d'assainissement et de drainage</t>
        </is>
      </c>
      <c r="G69" s="5" t="inlineStr">
        <is>
          <t>Travaux de curage des canaux en terre</t>
        </is>
      </c>
      <c r="H69" s="5" t="inlineStr">
        <is>
          <t>Curage des canaux d'assainissement amontTtiflt Sebou,</t>
        </is>
      </c>
      <c r="I69" s="7" t="n">
        <v>1000000</v>
      </c>
      <c r="J69" s="8" t="inlineStr">
        <is>
          <t>ml</t>
        </is>
      </c>
      <c r="K69" s="9" t="n">
        <v>500</v>
      </c>
      <c r="L69" s="51" t="n"/>
      <c r="M69" s="52">
        <f>'S37'!M69+L69</f>
        <v/>
      </c>
      <c r="N69" s="53">
        <f>IFERROR(M69/K69,0)</f>
        <v/>
      </c>
      <c r="O69" s="54">
        <f>'S37'!N69</f>
        <v/>
      </c>
      <c r="P69" s="53">
        <f>N69-O69</f>
        <v/>
      </c>
      <c r="Q69" s="32" t="n"/>
      <c r="R69" s="32" t="n"/>
      <c r="S69" s="32" t="n"/>
      <c r="T69" s="55" t="n"/>
      <c r="U69" s="54">
        <f>'S37'!T69</f>
        <v/>
      </c>
      <c r="V69" s="53">
        <f>T69-U69</f>
        <v/>
      </c>
      <c r="W69" s="53">
        <f>N69-T69</f>
        <v/>
      </c>
      <c r="X69" s="34" t="n"/>
    </row>
    <row r="70" ht="22" customHeight="1">
      <c r="B70" s="10" t="n">
        <v>66</v>
      </c>
      <c r="C70" s="14" t="inlineStr">
        <is>
          <t>Kénitra</t>
        </is>
      </c>
      <c r="D70" s="10" t="inlineStr">
        <is>
          <t>Oulad SLAMA</t>
        </is>
      </c>
      <c r="E70" s="10" t="inlineStr">
        <is>
          <t>50-23</t>
        </is>
      </c>
      <c r="F70" s="10" t="inlineStr">
        <is>
          <t>Entretien et réparation du réseau d'assainissement et de drainage</t>
        </is>
      </c>
      <c r="G70" s="10" t="inlineStr">
        <is>
          <t>Travaux de curage des canaux en terre</t>
        </is>
      </c>
      <c r="H70" s="10" t="inlineStr">
        <is>
          <t>Curage des canaux d'assainissement debouche Tiflt aval,</t>
        </is>
      </c>
      <c r="I70" s="11" t="n">
        <v>1000000</v>
      </c>
      <c r="J70" s="12" t="inlineStr">
        <is>
          <t>ml</t>
        </is>
      </c>
      <c r="K70" s="13" t="n">
        <v>500</v>
      </c>
      <c r="L70" s="51" t="n"/>
      <c r="M70" s="56">
        <f>'S37'!M70+L70</f>
        <v/>
      </c>
      <c r="N70" s="57">
        <f>IFERROR(M70/K70,0)</f>
        <v/>
      </c>
      <c r="O70" s="58">
        <f>'S37'!N70</f>
        <v/>
      </c>
      <c r="P70" s="57">
        <f>N70-O70</f>
        <v/>
      </c>
      <c r="Q70" s="32" t="n"/>
      <c r="R70" s="32" t="n"/>
      <c r="S70" s="32" t="n"/>
      <c r="T70" s="55" t="n"/>
      <c r="U70" s="58">
        <f>'S37'!T70</f>
        <v/>
      </c>
      <c r="V70" s="57">
        <f>T70-U70</f>
        <v/>
      </c>
      <c r="W70" s="57">
        <f>N70-T70</f>
        <v/>
      </c>
      <c r="X70" s="34" t="n"/>
    </row>
    <row r="71" ht="22" customHeight="1">
      <c r="B71" s="5" t="n">
        <v>67</v>
      </c>
      <c r="C71" s="14" t="inlineStr">
        <is>
          <t>Kénitra</t>
        </is>
      </c>
      <c r="D71" s="5" t="inlineStr">
        <is>
          <t>BHARA Oulad AYAD</t>
        </is>
      </c>
      <c r="E71" s="5" t="inlineStr">
        <is>
          <t>50-23</t>
        </is>
      </c>
      <c r="F71" s="5" t="inlineStr">
        <is>
          <t>Entretien et réparation du réseau d'assainissement et de drainage</t>
        </is>
      </c>
      <c r="G71" s="5" t="inlineStr">
        <is>
          <t>Travaux de curage des canaux en terre</t>
        </is>
      </c>
      <c r="H71" s="5" t="inlineStr">
        <is>
          <t>Curage des canaux d'assainissement canal nador bas et haut segmet,</t>
        </is>
      </c>
      <c r="I71" s="7" t="n">
        <v>6600000</v>
      </c>
      <c r="J71" s="8" t="inlineStr">
        <is>
          <t>ml</t>
        </is>
      </c>
      <c r="K71" s="9" t="n">
        <v>3300</v>
      </c>
      <c r="L71" s="51" t="n"/>
      <c r="M71" s="52">
        <f>'S37'!M71+L71</f>
        <v/>
      </c>
      <c r="N71" s="53">
        <f>IFERROR(M71/K71,0)</f>
        <v/>
      </c>
      <c r="O71" s="54">
        <f>'S37'!N71</f>
        <v/>
      </c>
      <c r="P71" s="53">
        <f>N71-O71</f>
        <v/>
      </c>
      <c r="Q71" s="32" t="n"/>
      <c r="R71" s="32" t="n"/>
      <c r="S71" s="32" t="n"/>
      <c r="T71" s="55" t="n"/>
      <c r="U71" s="54">
        <f>'S37'!T71</f>
        <v/>
      </c>
      <c r="V71" s="53">
        <f>T71-U71</f>
        <v/>
      </c>
      <c r="W71" s="53">
        <f>N71-T71</f>
        <v/>
      </c>
      <c r="X71" s="34" t="n"/>
    </row>
    <row r="72" ht="22" customHeight="1">
      <c r="B72" s="10" t="n">
        <v>68</v>
      </c>
      <c r="C72" s="15" t="inlineStr">
        <is>
          <t>Sidi Slimane</t>
        </is>
      </c>
      <c r="D72" s="10" t="inlineStr">
        <is>
          <t>OULED HCEINE</t>
        </is>
      </c>
      <c r="E72" s="10" t="inlineStr">
        <is>
          <t>50-23</t>
        </is>
      </c>
      <c r="F72" s="10" t="inlineStr">
        <is>
          <t>Entretien et réparation du réseau d'assainissement et de drainage</t>
        </is>
      </c>
      <c r="G72" s="10" t="inlineStr">
        <is>
          <t>Travaux de curage des canaux en terre</t>
        </is>
      </c>
      <c r="H72" s="10" t="inlineStr">
        <is>
          <t>Curage des collecteurs d'assainissement du secteur EST4.</t>
        </is>
      </c>
      <c r="I72" s="11" t="n">
        <v>1805475</v>
      </c>
      <c r="J72" s="12" t="inlineStr">
        <is>
          <t>ml</t>
        </is>
      </c>
      <c r="K72" s="13" t="n">
        <v>903</v>
      </c>
      <c r="L72" s="51" t="n"/>
      <c r="M72" s="56">
        <f>'S37'!M72+L72</f>
        <v/>
      </c>
      <c r="N72" s="57">
        <f>IFERROR(M72/K72,0)</f>
        <v/>
      </c>
      <c r="O72" s="58">
        <f>'S37'!N72</f>
        <v/>
      </c>
      <c r="P72" s="57">
        <f>N72-O72</f>
        <v/>
      </c>
      <c r="Q72" s="32" t="n"/>
      <c r="R72" s="32" t="n"/>
      <c r="S72" s="32" t="n"/>
      <c r="T72" s="55" t="n"/>
      <c r="U72" s="58">
        <f>'S37'!T72</f>
        <v/>
      </c>
      <c r="V72" s="57">
        <f>T72-U72</f>
        <v/>
      </c>
      <c r="W72" s="57">
        <f>N72-T72</f>
        <v/>
      </c>
      <c r="X72" s="34" t="n"/>
    </row>
    <row r="73" ht="22" customHeight="1">
      <c r="B73" s="5" t="n">
        <v>69</v>
      </c>
      <c r="C73" s="15" t="inlineStr">
        <is>
          <t>Sidi Slimane</t>
        </is>
      </c>
      <c r="D73" s="5" t="inlineStr">
        <is>
          <t>OULED HCEINE</t>
        </is>
      </c>
      <c r="E73" s="5" t="inlineStr">
        <is>
          <t>50-23</t>
        </is>
      </c>
      <c r="F73" s="5" t="inlineStr">
        <is>
          <t>Entretien et réparation du réseau d'assainissement et de drainage</t>
        </is>
      </c>
      <c r="G73" s="5" t="inlineStr">
        <is>
          <t>Travaux de curage des canaux en terre</t>
        </is>
      </c>
      <c r="H73" s="5" t="inlineStr">
        <is>
          <t>Curage du canal d'assainissement Tihli central.</t>
        </is>
      </c>
      <c r="I73" s="7" t="n">
        <v>2587200</v>
      </c>
      <c r="J73" s="8" t="inlineStr">
        <is>
          <t>ml</t>
        </is>
      </c>
      <c r="K73" s="9" t="n">
        <v>1294</v>
      </c>
      <c r="L73" s="51" t="n"/>
      <c r="M73" s="52">
        <f>'S37'!M73+L73</f>
        <v/>
      </c>
      <c r="N73" s="53">
        <f>IFERROR(M73/K73,0)</f>
        <v/>
      </c>
      <c r="O73" s="54">
        <f>'S37'!N73</f>
        <v/>
      </c>
      <c r="P73" s="53">
        <f>N73-O73</f>
        <v/>
      </c>
      <c r="Q73" s="32" t="n"/>
      <c r="R73" s="32" t="n"/>
      <c r="S73" s="32" t="n"/>
      <c r="T73" s="55" t="n"/>
      <c r="U73" s="54">
        <f>'S37'!T73</f>
        <v/>
      </c>
      <c r="V73" s="53">
        <f>T73-U73</f>
        <v/>
      </c>
      <c r="W73" s="53">
        <f>N73-T73</f>
        <v/>
      </c>
      <c r="X73" s="34" t="n"/>
    </row>
    <row r="74" ht="22" customHeight="1">
      <c r="B74" s="10" t="n">
        <v>70</v>
      </c>
      <c r="C74" s="15" t="inlineStr">
        <is>
          <t>Sidi Slimane</t>
        </is>
      </c>
      <c r="D74" s="10" t="inlineStr">
        <is>
          <t>OULED HCEINE</t>
        </is>
      </c>
      <c r="E74" s="10" t="inlineStr">
        <is>
          <t>40-21</t>
        </is>
      </c>
      <c r="F74" s="10" t="inlineStr">
        <is>
          <t>Travaux de pistes</t>
        </is>
      </c>
      <c r="G74" s="10" t="inlineStr">
        <is>
          <t>Travaux de réhabilitation des pistes agricoles</t>
        </is>
      </c>
      <c r="H74" s="10" t="inlineStr">
        <is>
          <t>Entretien des pistes agricoles</t>
        </is>
      </c>
      <c r="I74" s="11" t="n">
        <v>3500000</v>
      </c>
      <c r="J74" s="12" t="inlineStr">
        <is>
          <t>km</t>
        </is>
      </c>
      <c r="K74" s="13" t="n">
        <v>7</v>
      </c>
      <c r="L74" s="51" t="n"/>
      <c r="M74" s="56">
        <f>'S37'!M74+L74</f>
        <v/>
      </c>
      <c r="N74" s="57">
        <f>IFERROR(M74/K74,0)</f>
        <v/>
      </c>
      <c r="O74" s="58">
        <f>'S37'!N74</f>
        <v/>
      </c>
      <c r="P74" s="57">
        <f>N74-O74</f>
        <v/>
      </c>
      <c r="Q74" s="32" t="n"/>
      <c r="R74" s="32" t="n"/>
      <c r="S74" s="32" t="n"/>
      <c r="T74" s="55" t="n"/>
      <c r="U74" s="58">
        <f>'S37'!T74</f>
        <v/>
      </c>
      <c r="V74" s="57">
        <f>T74-U74</f>
        <v/>
      </c>
      <c r="W74" s="57">
        <f>N74-T74</f>
        <v/>
      </c>
      <c r="X74" s="34" t="n"/>
    </row>
    <row r="75" ht="22" customHeight="1">
      <c r="B75" s="5" t="n">
        <v>71</v>
      </c>
      <c r="C75" s="15" t="inlineStr">
        <is>
          <t>Sidi Slimane</t>
        </is>
      </c>
      <c r="D75" s="5" t="inlineStr">
        <is>
          <t>OULED HCEINE</t>
        </is>
      </c>
      <c r="E75" s="5" t="inlineStr">
        <is>
          <t>50-21</t>
        </is>
      </c>
      <c r="F75" s="5" t="inlineStr">
        <is>
          <t>Entretien et réparation des stations de pompage</t>
        </is>
      </c>
      <c r="G75" s="5" t="inlineStr">
        <is>
          <t>Travaux de réparation des équipements hydromécaniques et éléctriques et entretien de la partie génie civil des stations de pompage.</t>
        </is>
      </c>
      <c r="H75" s="5" t="inlineStr">
        <is>
          <t>Démontage et expertise des roues des  pompes principaux et pompes a vide de la station EST4 et P11/2.
Changement des roulements, tresses et organes d’effectués de la station EST4 et P11/2
Changement deux débitmètre Ø 1200 mm de la station EST4 et un débimétre de la station P11/2.
Changement des capteurs de niveau inondés.
Révision et réparation des moteurs des vannes motorisées inondées.
changement de six contrôleurs de débits DW181 inondés.
Un capteur de débitmètre inondé nécessitent un diagnostic VEGASON  .
Entretien de l'éclairage du local de vide et bâche d’aspiration inondé de la station EST4 et la partie de l’éclairage du local des pompes inondées de la station P11/2.
Pose de gabions et recouvrement du talus par matelas Reno des stations de pompage P11/2</t>
        </is>
      </c>
      <c r="I75" s="7" t="n">
        <v>870000</v>
      </c>
      <c r="J75" s="8" t="inlineStr">
        <is>
          <t>U</t>
        </is>
      </c>
      <c r="K75" s="9" t="n">
        <v>4</v>
      </c>
      <c r="L75" s="51" t="n"/>
      <c r="M75" s="52">
        <f>'S37'!M75+L75</f>
        <v/>
      </c>
      <c r="N75" s="53">
        <f>IFERROR(M75/K75,0)</f>
        <v/>
      </c>
      <c r="O75" s="54">
        <f>'S37'!N75</f>
        <v/>
      </c>
      <c r="P75" s="53">
        <f>N75-O75</f>
        <v/>
      </c>
      <c r="Q75" s="32" t="n"/>
      <c r="R75" s="32" t="n"/>
      <c r="S75" s="32" t="n"/>
      <c r="T75" s="55" t="n"/>
      <c r="U75" s="54">
        <f>'S37'!T75</f>
        <v/>
      </c>
      <c r="V75" s="53">
        <f>T75-U75</f>
        <v/>
      </c>
      <c r="W75" s="53">
        <f>N75-T75</f>
        <v/>
      </c>
      <c r="X75" s="34" t="n"/>
    </row>
    <row r="76" ht="22" customHeight="1">
      <c r="B76" s="10" t="n">
        <v>72</v>
      </c>
      <c r="C76" s="15" t="inlineStr">
        <is>
          <t>Sidi Slimane</t>
        </is>
      </c>
      <c r="D76" s="10" t="inlineStr">
        <is>
          <t>OULED HCEINE</t>
        </is>
      </c>
      <c r="E76" s="10" t="inlineStr">
        <is>
          <t>50-23</t>
        </is>
      </c>
      <c r="F76" s="10" t="inlineStr">
        <is>
          <t>Entretien et réparation du réseau d'assainissement et de drainage</t>
        </is>
      </c>
      <c r="G76" s="10" t="inlineStr">
        <is>
          <t>Travaux de curage des prises des stations de pompage.</t>
        </is>
      </c>
      <c r="H76" s="10" t="inlineStr">
        <is>
          <t>Curage des siphones des station de pompage EST2 et P11/2.</t>
        </is>
      </c>
      <c r="I76" s="11" t="n">
        <v>500000</v>
      </c>
      <c r="J76" s="12" t="inlineStr">
        <is>
          <t>ml</t>
        </is>
      </c>
      <c r="K76" s="13" t="n">
        <v>167</v>
      </c>
      <c r="L76" s="51" t="n"/>
      <c r="M76" s="56">
        <f>'S37'!M76+L76</f>
        <v/>
      </c>
      <c r="N76" s="57">
        <f>IFERROR(M76/K76,0)</f>
        <v/>
      </c>
      <c r="O76" s="58">
        <f>'S37'!N76</f>
        <v/>
      </c>
      <c r="P76" s="57">
        <f>N76-O76</f>
        <v/>
      </c>
      <c r="Q76" s="32" t="n"/>
      <c r="R76" s="32" t="n"/>
      <c r="S76" s="32" t="n"/>
      <c r="T76" s="55" t="n"/>
      <c r="U76" s="58">
        <f>'S37'!T76</f>
        <v/>
      </c>
      <c r="V76" s="57">
        <f>T76-U76</f>
        <v/>
      </c>
      <c r="W76" s="57">
        <f>N76-T76</f>
        <v/>
      </c>
      <c r="X76" s="34" t="n"/>
    </row>
    <row r="77" ht="26" customHeight="1">
      <c r="B77" s="16" t="inlineStr">
        <is>
          <t>TOTAL</t>
        </is>
      </c>
      <c r="C77" s="16" t="n"/>
      <c r="D77" s="16" t="n"/>
      <c r="E77" s="16" t="n"/>
      <c r="F77" s="16" t="n"/>
      <c r="G77" s="16" t="n"/>
      <c r="H77" s="16" t="n"/>
      <c r="I77" s="17">
        <f>SUM(I5:I76)</f>
        <v/>
      </c>
      <c r="J77" s="16" t="n"/>
      <c r="K77" s="16" t="n"/>
      <c r="L77" s="59">
        <f>SUM(L5:L76)</f>
        <v/>
      </c>
      <c r="M77" s="59">
        <f>SUM(M5:M76)</f>
        <v/>
      </c>
      <c r="N77" s="60">
        <f>IFERROR(SUMPRODUCT(N5:N76,I5:I76)/I77,0)</f>
        <v/>
      </c>
      <c r="O77" s="60">
        <f>IFERROR(SUMPRODUCT(O5:O76,I5:I76)/I77,0)</f>
        <v/>
      </c>
      <c r="P77" s="60">
        <f>N77-O77</f>
        <v/>
      </c>
      <c r="Q77" s="17">
        <f>SUM(Q5:Q76)</f>
        <v/>
      </c>
      <c r="R77" s="17">
        <f>SUM(R5:R76)</f>
        <v/>
      </c>
      <c r="S77" s="17">
        <f>SUM(S5:S76)</f>
        <v/>
      </c>
      <c r="T77" s="60">
        <f>IFERROR(SUMPRODUCT(T5:T76,I5:I76)/I77,0)</f>
        <v/>
      </c>
      <c r="U77" s="60">
        <f>IFERROR(SUMPRODUCT(U5:U76,I5:I76)/I77,0)</f>
        <v/>
      </c>
      <c r="V77" s="60">
        <f>T77-U77</f>
        <v/>
      </c>
      <c r="W77" s="60">
        <f>N77-T77</f>
        <v/>
      </c>
      <c r="X77" s="16" t="n"/>
    </row>
  </sheetData>
  <sheetProtection selectLockedCells="0" selectUnlockedCells="0" sheet="1" objects="0" insertRows="1" insertHyperlinks="1" autoFilter="1" scenarios="0" formatColumns="1" deleteColumns="1" insertColumns="1" pivotTables="1" deleteRows="1" formatCells="1" formatRows="1" sort="1" password="CBBE"/>
  <mergeCells count="6">
    <mergeCell ref="E3:I3"/>
    <mergeCell ref="W3:X3"/>
    <mergeCell ref="J3:P3"/>
    <mergeCell ref="B2:X2"/>
    <mergeCell ref="C3:D3"/>
    <mergeCell ref="Q3:V3"/>
  </mergeCells>
  <conditionalFormatting sqref="P5:P76">
    <cfRule type="cellIs" priority="1" operator="greaterThan" dxfId="0">
      <formula>0</formula>
    </cfRule>
    <cfRule type="cellIs" priority="2" operator="lessThan" dxfId="1">
      <formula>0</formula>
    </cfRule>
  </conditionalFormatting>
  <conditionalFormatting sqref="V5:V76">
    <cfRule type="cellIs" priority="3" operator="greaterThan" dxfId="0">
      <formula>0</formula>
    </cfRule>
    <cfRule type="cellIs" priority="4" operator="lessThan" dxfId="1">
      <formula>0</formula>
    </cfRule>
  </conditionalFormatting>
  <conditionalFormatting sqref="W5:W76">
    <cfRule type="cellIs" priority="5" operator="greaterThan" dxfId="0">
      <formula>0.05</formula>
    </cfRule>
    <cfRule type="cellIs" priority="6" operator="lessThan" dxfId="1">
      <formula>-0.05</formula>
    </cfRule>
    <cfRule type="cellIs" priority="7" operator="between" dxfId="2">
      <formula>-0.05</formula>
      <formula>0.05</formula>
    </cfRule>
  </conditionalFormatting>
  <conditionalFormatting sqref="N5:N76">
    <cfRule type="dataBar" priority="8">
      <dataBar showValue="1">
        <cfvo type="num" val="0"/>
        <cfvo type="num" val="1"/>
        <color rgb="001B7D46"/>
      </dataBar>
    </cfRule>
  </conditionalFormatting>
  <conditionalFormatting sqref="T5:T76">
    <cfRule type="dataBar" priority="9">
      <dataBar showValue="1">
        <cfvo type="num" val="0"/>
        <cfvo type="num" val="1"/>
        <color rgb="00D4820A"/>
      </dataBar>
    </cfRule>
  </conditionalFormatting>
  <dataValidations count="2">
    <dataValidation sqref="T5:T76" showDropDown="0" showInputMessage="0" showErrorMessage="0" allowBlank="1" errorTitle="Invalide" error="Valeur entre 0% et 100%" promptTitle="Avancement %" prompt="Entrez 0.25 pour 25%" type="decimal" operator="between">
      <formula1>0</formula1>
      <formula2>1</formula2>
    </dataValidation>
    <dataValidation sqref="L5:L76" showDropDown="0" showInputMessage="0" showErrorMessage="0" allowBlank="1" errorTitle="Invalide" error="Quantité doit être &gt;= 0" promptTitle="Qté Réalisée" prompt="Entrez la quantité réalisée cette semaine" type="decimal" operator="greaterThanOrEqual">
      <formula1>0</formula1>
    </dataValidation>
  </dataValidations>
  <pageMargins left="0.75" right="0.75" top="1" bottom="1" header="0.5" footer="0.5"/>
</worksheet>
</file>

<file path=xl/worksheets/sheet19.xml><?xml version="1.0" encoding="utf-8"?>
<worksheet xmlns="http://schemas.openxmlformats.org/spreadsheetml/2006/main">
  <sheetPr>
    <tabColor rgb="00C00000"/>
    <outlinePr summaryBelow="1" summaryRight="1"/>
    <pageSetUpPr/>
  </sheetPr>
  <dimension ref="B2:X77"/>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5" customWidth="1" min="2" max="2"/>
    <col width="14" customWidth="1" min="3" max="3"/>
    <col width="18" customWidth="1" min="4" max="4"/>
    <col width="9" customWidth="1" min="5" max="5"/>
    <col width="32" customWidth="1" min="6" max="6"/>
    <col width="28" customWidth="1" min="7" max="7"/>
    <col width="34" customWidth="1" min="8" max="8"/>
    <col width="14" customWidth="1" min="9" max="9"/>
    <col width="8" customWidth="1" min="10" max="10"/>
    <col width="12" customWidth="1" min="11" max="11"/>
    <col width="14" customWidth="1" min="12" max="12"/>
    <col width="14" customWidth="1" min="13" max="13"/>
    <col width="14" customWidth="1" min="14" max="14"/>
    <col width="14" customWidth="1" min="15" max="15"/>
    <col width="14" customWidth="1" min="16" max="16"/>
    <col width="16" customWidth="1" min="17" max="17"/>
    <col width="16" customWidth="1" min="18" max="18"/>
    <col width="16" customWidth="1" min="19" max="19"/>
    <col width="14" customWidth="1" min="20" max="20"/>
    <col width="14" customWidth="1" min="21" max="21"/>
    <col width="14" customWidth="1" min="22" max="22"/>
    <col width="14" customWidth="1" min="23" max="23"/>
    <col width="24" customWidth="1" min="24" max="24"/>
  </cols>
  <sheetData>
    <row r="1" ht="15" customHeight="1"/>
    <row r="2" ht="32" customHeight="1">
      <c r="B2" s="1" t="inlineStr">
        <is>
          <t>Suivi Hebdomadaire - Semaine 39 (21/09 - 27/09) — Septembre 2026 - Exécution Physique et Financière</t>
        </is>
      </c>
    </row>
    <row r="3" ht="22" customHeight="1">
      <c r="B3" s="20" t="inlineStr">
        <is>
          <t>Date :</t>
        </is>
      </c>
      <c r="C3" s="49" t="n">
        <v>46286</v>
      </c>
      <c r="D3" s="50" t="n"/>
      <c r="E3" s="22" t="inlineStr">
        <is>
          <t>IDENTIFICATION</t>
        </is>
      </c>
      <c r="J3" s="23" t="inlineStr">
        <is>
          <t>INDICATEURS PHYSIQUES</t>
        </is>
      </c>
      <c r="Q3" s="24" t="inlineStr">
        <is>
          <t>INDICATEURS FINANCIERS</t>
        </is>
      </c>
      <c r="W3" s="25" t="inlineStr">
        <is>
          <t>SYNTHÈSE</t>
        </is>
      </c>
    </row>
    <row r="4" ht="28" customHeight="1">
      <c r="B4" s="4" t="inlineStr">
        <is>
          <t>N°</t>
        </is>
      </c>
      <c r="C4" s="4" t="inlineStr">
        <is>
          <t>Province</t>
        </is>
      </c>
      <c r="D4" s="4" t="inlineStr">
        <is>
          <t>Commune</t>
        </is>
      </c>
      <c r="E4" s="4" t="inlineStr">
        <is>
          <t>Rubrique</t>
        </is>
      </c>
      <c r="F4" s="4" t="inlineStr">
        <is>
          <t>Intitulé Rubrique</t>
        </is>
      </c>
      <c r="G4" s="4" t="inlineStr">
        <is>
          <t>Projet</t>
        </is>
      </c>
      <c r="H4" s="4" t="inlineStr">
        <is>
          <t>Consistance</t>
        </is>
      </c>
      <c r="I4" s="4" t="inlineStr">
        <is>
          <t>Coût Total (DH)</t>
        </is>
      </c>
      <c r="J4" s="26" t="inlineStr">
        <is>
          <t>Unité</t>
        </is>
      </c>
      <c r="K4" s="26" t="inlineStr">
        <is>
          <t>Qté Prévue</t>
        </is>
      </c>
      <c r="L4" s="26" t="inlineStr">
        <is>
          <t>Qté Réalisée Sem.</t>
        </is>
      </c>
      <c r="M4" s="26" t="inlineStr">
        <is>
          <t>Qté Réalisée Cumul</t>
        </is>
      </c>
      <c r="N4" s="26" t="inlineStr">
        <is>
          <t>Avancement Physique %</t>
        </is>
      </c>
      <c r="O4" s="26" t="inlineStr">
        <is>
          <t>% Phys. Sem. Préc.</t>
        </is>
      </c>
      <c r="P4" s="26" t="inlineStr">
        <is>
          <t>Accroissement Phys. %</t>
        </is>
      </c>
      <c r="Q4" s="27" t="inlineStr">
        <is>
          <t>Montant Décaissé (DH)</t>
        </is>
      </c>
      <c r="R4" s="27" t="inlineStr">
        <is>
          <t>Montant Payé (DH)</t>
        </is>
      </c>
      <c r="S4" s="27" t="inlineStr">
        <is>
          <t>Montant Ordonné (DH)</t>
        </is>
      </c>
      <c r="T4" s="27" t="inlineStr">
        <is>
          <t>Avancement Financier %</t>
        </is>
      </c>
      <c r="U4" s="27" t="inlineStr">
        <is>
          <t>% Fin. Sem. Préc.</t>
        </is>
      </c>
      <c r="V4" s="27" t="inlineStr">
        <is>
          <t>Accroissement Fin. %</t>
        </is>
      </c>
      <c r="W4" s="28" t="inlineStr">
        <is>
          <t>Écart Phys.-Fin.</t>
        </is>
      </c>
      <c r="X4" s="28" t="inlineStr">
        <is>
          <t>Observations</t>
        </is>
      </c>
    </row>
    <row r="5" ht="22" customHeight="1">
      <c r="B5" s="5" t="n">
        <v>1</v>
      </c>
      <c r="C5" s="6" t="inlineStr">
        <is>
          <t>Sidi Kacem</t>
        </is>
      </c>
      <c r="D5" s="5" t="inlineStr">
        <is>
          <t>KHENICHET</t>
        </is>
      </c>
      <c r="E5" s="5" t="inlineStr">
        <is>
          <t>50-23</t>
        </is>
      </c>
      <c r="F5" s="5" t="inlineStr">
        <is>
          <t>Entretien et réparation du réseau d'assainissement et de drainage</t>
        </is>
      </c>
      <c r="G5" s="5" t="inlineStr">
        <is>
          <t>Travaux de curage des canaux en terre</t>
        </is>
      </c>
      <c r="H5" s="5" t="inlineStr">
        <is>
          <t>Curage des collecteurs d'assainissement du secteur EST2</t>
        </is>
      </c>
      <c r="I5" s="7" t="n">
        <v>2091568</v>
      </c>
      <c r="J5" s="8" t="inlineStr">
        <is>
          <t>ml</t>
        </is>
      </c>
      <c r="K5" s="9" t="n">
        <v>1046</v>
      </c>
      <c r="L5" s="51" t="n"/>
      <c r="M5" s="52">
        <f>'S38'!M5+L5</f>
        <v/>
      </c>
      <c r="N5" s="53">
        <f>IFERROR(M5/K5,0)</f>
        <v/>
      </c>
      <c r="O5" s="54">
        <f>'S38'!N5</f>
        <v/>
      </c>
      <c r="P5" s="53">
        <f>N5-O5</f>
        <v/>
      </c>
      <c r="Q5" s="32" t="n"/>
      <c r="R5" s="32" t="n"/>
      <c r="S5" s="32" t="n"/>
      <c r="T5" s="55" t="n"/>
      <c r="U5" s="54">
        <f>'S38'!T5</f>
        <v/>
      </c>
      <c r="V5" s="53">
        <f>T5-U5</f>
        <v/>
      </c>
      <c r="W5" s="53">
        <f>N5-T5</f>
        <v/>
      </c>
      <c r="X5" s="34" t="n"/>
    </row>
    <row r="6" ht="22" customHeight="1">
      <c r="B6" s="10" t="n">
        <v>2</v>
      </c>
      <c r="C6" s="6" t="inlineStr">
        <is>
          <t>Sidi Kacem</t>
        </is>
      </c>
      <c r="D6" s="10" t="inlineStr">
        <is>
          <t>KHENICHET</t>
        </is>
      </c>
      <c r="E6" s="10" t="inlineStr">
        <is>
          <t>40-21</t>
        </is>
      </c>
      <c r="F6" s="10" t="inlineStr">
        <is>
          <t>Travaux de pistes</t>
        </is>
      </c>
      <c r="G6" s="10" t="inlineStr">
        <is>
          <t>Travaux de réhabilitation des pistes agricoles</t>
        </is>
      </c>
      <c r="H6" s="10" t="inlineStr">
        <is>
          <t>Entretien des pistes agricoles Douar Nouagra et Douar ouled Salem</t>
        </is>
      </c>
      <c r="I6" s="11" t="n">
        <v>78000</v>
      </c>
      <c r="J6" s="12" t="inlineStr">
        <is>
          <t>km</t>
        </is>
      </c>
      <c r="K6" s="13" t="n">
        <v>1</v>
      </c>
      <c r="L6" s="51" t="n"/>
      <c r="M6" s="56">
        <f>'S38'!M6+L6</f>
        <v/>
      </c>
      <c r="N6" s="57">
        <f>IFERROR(M6/K6,0)</f>
        <v/>
      </c>
      <c r="O6" s="58">
        <f>'S38'!N6</f>
        <v/>
      </c>
      <c r="P6" s="57">
        <f>N6-O6</f>
        <v/>
      </c>
      <c r="Q6" s="32" t="n"/>
      <c r="R6" s="32" t="n"/>
      <c r="S6" s="32" t="n"/>
      <c r="T6" s="55" t="n"/>
      <c r="U6" s="58">
        <f>'S38'!T6</f>
        <v/>
      </c>
      <c r="V6" s="57">
        <f>T6-U6</f>
        <v/>
      </c>
      <c r="W6" s="57">
        <f>N6-T6</f>
        <v/>
      </c>
      <c r="X6" s="34" t="n"/>
    </row>
    <row r="7" ht="22" customHeight="1">
      <c r="B7" s="5" t="n">
        <v>3</v>
      </c>
      <c r="C7" s="6" t="inlineStr">
        <is>
          <t>Sidi Kacem</t>
        </is>
      </c>
      <c r="D7" s="5" t="inlineStr">
        <is>
          <t>KHENICHET</t>
        </is>
      </c>
      <c r="E7" s="5" t="inlineStr">
        <is>
          <t>50-23</t>
        </is>
      </c>
      <c r="F7" s="5" t="inlineStr">
        <is>
          <t>Entretien et réparation du réseau d'assainissement et de drainage</t>
        </is>
      </c>
      <c r="G7" s="5" t="inlineStr">
        <is>
          <t>Curage des prises sur l’oued, bâche d’aspiration et bassin de régulation.</t>
        </is>
      </c>
      <c r="H7" s="5" t="inlineStr">
        <is>
          <t>Curage de la chambre des joints de démontage des siphonnes  de la station de pompage EST2.</t>
        </is>
      </c>
      <c r="I7" s="7" t="n">
        <v>126000</v>
      </c>
      <c r="J7" s="8" t="inlineStr">
        <is>
          <t>ml</t>
        </is>
      </c>
      <c r="K7" s="9" t="n">
        <v>42</v>
      </c>
      <c r="L7" s="51" t="n"/>
      <c r="M7" s="52">
        <f>'S38'!M7+L7</f>
        <v/>
      </c>
      <c r="N7" s="53">
        <f>IFERROR(M7/K7,0)</f>
        <v/>
      </c>
      <c r="O7" s="54">
        <f>'S38'!N7</f>
        <v/>
      </c>
      <c r="P7" s="53">
        <f>N7-O7</f>
        <v/>
      </c>
      <c r="Q7" s="32" t="n"/>
      <c r="R7" s="32" t="n"/>
      <c r="S7" s="32" t="n"/>
      <c r="T7" s="55" t="n"/>
      <c r="U7" s="54">
        <f>'S38'!T7</f>
        <v/>
      </c>
      <c r="V7" s="53">
        <f>T7-U7</f>
        <v/>
      </c>
      <c r="W7" s="53">
        <f>N7-T7</f>
        <v/>
      </c>
      <c r="X7" s="34" t="n"/>
    </row>
    <row r="8" ht="22" customHeight="1">
      <c r="B8" s="10" t="n">
        <v>4</v>
      </c>
      <c r="C8" s="6" t="inlineStr">
        <is>
          <t>Sidi Kacem</t>
        </is>
      </c>
      <c r="D8" s="10" t="inlineStr">
        <is>
          <t>KHENICHET</t>
        </is>
      </c>
      <c r="E8" s="10" t="inlineStr">
        <is>
          <t>50-21</t>
        </is>
      </c>
      <c r="F8" s="10" t="inlineStr">
        <is>
          <t>Entretien et réparation des stations de pompage</t>
        </is>
      </c>
      <c r="G8" s="10" t="inlineStr">
        <is>
          <t>Prestation de maintenance des débitmètres et leurs équipements annexes installés au niveau des station de pompage</t>
        </is>
      </c>
      <c r="H8" s="10" t="inlineStr">
        <is>
          <t>Changement trois débitmètre Ø 600mm inondés de la station de pompage EST 2 et deux capteurs VEGASON 62</t>
        </is>
      </c>
      <c r="I8" s="11" t="n">
        <v>165500</v>
      </c>
      <c r="J8" s="12" t="inlineStr">
        <is>
          <t>U</t>
        </is>
      </c>
      <c r="K8" s="13" t="n">
        <v>3</v>
      </c>
      <c r="L8" s="51" t="n"/>
      <c r="M8" s="56">
        <f>'S38'!M8+L8</f>
        <v/>
      </c>
      <c r="N8" s="57">
        <f>IFERROR(M8/K8,0)</f>
        <v/>
      </c>
      <c r="O8" s="58">
        <f>'S38'!N8</f>
        <v/>
      </c>
      <c r="P8" s="57">
        <f>N8-O8</f>
        <v/>
      </c>
      <c r="Q8" s="32" t="n"/>
      <c r="R8" s="32" t="n"/>
      <c r="S8" s="32" t="n"/>
      <c r="T8" s="55" t="n"/>
      <c r="U8" s="58">
        <f>'S38'!T8</f>
        <v/>
      </c>
      <c r="V8" s="57">
        <f>T8-U8</f>
        <v/>
      </c>
      <c r="W8" s="57">
        <f>N8-T8</f>
        <v/>
      </c>
      <c r="X8" s="34" t="n"/>
    </row>
    <row r="9" ht="22" customHeight="1">
      <c r="B9" s="5" t="n">
        <v>5</v>
      </c>
      <c r="C9" s="6" t="inlineStr">
        <is>
          <t>Sidi Kacem</t>
        </is>
      </c>
      <c r="D9" s="5" t="inlineStr">
        <is>
          <t>BIR TALEB</t>
        </is>
      </c>
      <c r="E9" s="5" t="inlineStr">
        <is>
          <t>50-23</t>
        </is>
      </c>
      <c r="F9" s="5" t="inlineStr">
        <is>
          <t>Entretien et réparation du réseau d'assainissement et de drainage</t>
        </is>
      </c>
      <c r="G9" s="5" t="inlineStr">
        <is>
          <t>Travaux de curage des canaux en terre</t>
        </is>
      </c>
      <c r="H9" s="5" t="inlineStr">
        <is>
          <t>Curage du canal d'assainisement Tihli Aval</t>
        </is>
      </c>
      <c r="I9" s="7" t="n">
        <v>1000000</v>
      </c>
      <c r="J9" s="8" t="inlineStr">
        <is>
          <t>ml</t>
        </is>
      </c>
      <c r="K9" s="9" t="n">
        <v>500</v>
      </c>
      <c r="L9" s="51" t="n"/>
      <c r="M9" s="52">
        <f>'S38'!M9+L9</f>
        <v/>
      </c>
      <c r="N9" s="53">
        <f>IFERROR(M9/K9,0)</f>
        <v/>
      </c>
      <c r="O9" s="54">
        <f>'S38'!N9</f>
        <v/>
      </c>
      <c r="P9" s="53">
        <f>N9-O9</f>
        <v/>
      </c>
      <c r="Q9" s="32" t="n"/>
      <c r="R9" s="32" t="n"/>
      <c r="S9" s="32" t="n"/>
      <c r="T9" s="55" t="n"/>
      <c r="U9" s="54">
        <f>'S38'!T9</f>
        <v/>
      </c>
      <c r="V9" s="53">
        <f>T9-U9</f>
        <v/>
      </c>
      <c r="W9" s="53">
        <f>N9-T9</f>
        <v/>
      </c>
      <c r="X9" s="34" t="n"/>
    </row>
    <row r="10" ht="22" customHeight="1">
      <c r="B10" s="10" t="n">
        <v>6</v>
      </c>
      <c r="C10" s="6" t="inlineStr">
        <is>
          <t>Sidi Kacem</t>
        </is>
      </c>
      <c r="D10" s="10" t="inlineStr">
        <is>
          <t>BIR TALEB</t>
        </is>
      </c>
      <c r="E10" s="10" t="inlineStr">
        <is>
          <t>50-23</t>
        </is>
      </c>
      <c r="F10" s="10" t="inlineStr">
        <is>
          <t>Entretien et réparation du réseau d'assainissement et de drainage</t>
        </is>
      </c>
      <c r="G10" s="10" t="inlineStr"/>
      <c r="H10" s="10" t="inlineStr">
        <is>
          <t>Curage des collecteurs d'assainissement du secteur P11/1</t>
        </is>
      </c>
      <c r="I10" s="11" t="n">
        <v>846731</v>
      </c>
      <c r="J10" s="12" t="inlineStr">
        <is>
          <t>ml</t>
        </is>
      </c>
      <c r="K10" s="13" t="n">
        <v>423</v>
      </c>
      <c r="L10" s="51" t="n"/>
      <c r="M10" s="56">
        <f>'S38'!M10+L10</f>
        <v/>
      </c>
      <c r="N10" s="57">
        <f>IFERROR(M10/K10,0)</f>
        <v/>
      </c>
      <c r="O10" s="58">
        <f>'S38'!N10</f>
        <v/>
      </c>
      <c r="P10" s="57">
        <f>N10-O10</f>
        <v/>
      </c>
      <c r="Q10" s="32" t="n"/>
      <c r="R10" s="32" t="n"/>
      <c r="S10" s="32" t="n"/>
      <c r="T10" s="55" t="n"/>
      <c r="U10" s="58">
        <f>'S38'!T10</f>
        <v/>
      </c>
      <c r="V10" s="57">
        <f>T10-U10</f>
        <v/>
      </c>
      <c r="W10" s="57">
        <f>N10-T10</f>
        <v/>
      </c>
      <c r="X10" s="34" t="n"/>
    </row>
    <row r="11" ht="22" customHeight="1">
      <c r="B11" s="5" t="n">
        <v>7</v>
      </c>
      <c r="C11" s="6" t="inlineStr">
        <is>
          <t>Sidi Kacem</t>
        </is>
      </c>
      <c r="D11" s="5" t="inlineStr">
        <is>
          <t>BIR TALEB</t>
        </is>
      </c>
      <c r="E11" s="5" t="inlineStr">
        <is>
          <t>50-23</t>
        </is>
      </c>
      <c r="F11" s="5" t="inlineStr">
        <is>
          <t>Entretien et réparation du réseau d'assainissement et de drainage</t>
        </is>
      </c>
      <c r="G11" s="5" t="inlineStr">
        <is>
          <t>Curage des prises sur l’oued, bâche d’aspiration et bassin de régulation.</t>
        </is>
      </c>
      <c r="H11" s="5" t="inlineStr">
        <is>
          <t>Curage des prises sur l’oued de la station de pompage P11/1.</t>
        </is>
      </c>
      <c r="I11" s="7" t="n">
        <v>200000</v>
      </c>
      <c r="J11" s="8" t="inlineStr">
        <is>
          <t>ml</t>
        </is>
      </c>
      <c r="K11" s="9" t="n">
        <v>67</v>
      </c>
      <c r="L11" s="51" t="n"/>
      <c r="M11" s="52">
        <f>'S38'!M11+L11</f>
        <v/>
      </c>
      <c r="N11" s="53">
        <f>IFERROR(M11/K11,0)</f>
        <v/>
      </c>
      <c r="O11" s="54">
        <f>'S38'!N11</f>
        <v/>
      </c>
      <c r="P11" s="53">
        <f>N11-O11</f>
        <v/>
      </c>
      <c r="Q11" s="32" t="n"/>
      <c r="R11" s="32" t="n"/>
      <c r="S11" s="32" t="n"/>
      <c r="T11" s="55" t="n"/>
      <c r="U11" s="54">
        <f>'S38'!T11</f>
        <v/>
      </c>
      <c r="V11" s="53">
        <f>T11-U11</f>
        <v/>
      </c>
      <c r="W11" s="53">
        <f>N11-T11</f>
        <v/>
      </c>
      <c r="X11" s="34" t="n"/>
    </row>
    <row r="12" ht="22" customHeight="1">
      <c r="B12" s="10" t="n">
        <v>8</v>
      </c>
      <c r="C12" s="6" t="inlineStr">
        <is>
          <t>Sidi Kacem</t>
        </is>
      </c>
      <c r="D12" s="10" t="inlineStr">
        <is>
          <t>BIR TALEB</t>
        </is>
      </c>
      <c r="E12" s="10" t="inlineStr">
        <is>
          <t>50-21</t>
        </is>
      </c>
      <c r="F12" s="10" t="inlineStr">
        <is>
          <t>Entretien et réparation des stations de pompage</t>
        </is>
      </c>
      <c r="G12" s="10" t="inlineStr">
        <is>
          <t>Prestation de maintenance des débitmètres et leurs équipements annexes installés au niveau des station de pompage</t>
        </is>
      </c>
      <c r="H12" s="10" t="inlineStr">
        <is>
          <t>Changement trois débitmètre Ø 400mm inondés de la station de pompage P11/1</t>
        </is>
      </c>
      <c r="I12" s="11" t="n">
        <v>141900</v>
      </c>
      <c r="J12" s="12" t="inlineStr">
        <is>
          <t>U</t>
        </is>
      </c>
      <c r="K12" s="13" t="n">
        <v>3</v>
      </c>
      <c r="L12" s="51" t="n"/>
      <c r="M12" s="56">
        <f>'S38'!M12+L12</f>
        <v/>
      </c>
      <c r="N12" s="57">
        <f>IFERROR(M12/K12,0)</f>
        <v/>
      </c>
      <c r="O12" s="58">
        <f>'S38'!N12</f>
        <v/>
      </c>
      <c r="P12" s="57">
        <f>N12-O12</f>
        <v/>
      </c>
      <c r="Q12" s="32" t="n"/>
      <c r="R12" s="32" t="n"/>
      <c r="S12" s="32" t="n"/>
      <c r="T12" s="55" t="n"/>
      <c r="U12" s="58">
        <f>'S38'!T12</f>
        <v/>
      </c>
      <c r="V12" s="57">
        <f>T12-U12</f>
        <v/>
      </c>
      <c r="W12" s="57">
        <f>N12-T12</f>
        <v/>
      </c>
      <c r="X12" s="34" t="n"/>
    </row>
    <row r="13" ht="22" customHeight="1">
      <c r="B13" s="5" t="n">
        <v>9</v>
      </c>
      <c r="C13" s="6" t="inlineStr">
        <is>
          <t>Sidi Kacem</t>
        </is>
      </c>
      <c r="D13" s="5" t="inlineStr">
        <is>
          <t>BIR TALEB</t>
        </is>
      </c>
      <c r="E13" s="5" t="inlineStr">
        <is>
          <t>50-21</t>
        </is>
      </c>
      <c r="F13" s="5" t="inlineStr">
        <is>
          <t>Entretien et réparation des stations de pompage</t>
        </is>
      </c>
      <c r="G13" s="5" t="inlineStr">
        <is>
          <t>Prestations de maintenance et de réparation mécanique des pompes et des groupes motopompes submersibles des stations de pompage.</t>
        </is>
      </c>
      <c r="H13" s="5" t="inlineStr">
        <is>
          <t>Démontage et expertise des roues des  pompes principaux et pompes a vide de la station P11/1
Changement des roulements, tresses et organes d’effectués de la station P11/1</t>
        </is>
      </c>
      <c r="I13" s="7" t="n">
        <v>26700</v>
      </c>
      <c r="J13" s="8" t="inlineStr">
        <is>
          <t>U</t>
        </is>
      </c>
      <c r="K13" s="9" t="n">
        <v>1</v>
      </c>
      <c r="L13" s="51" t="n"/>
      <c r="M13" s="52">
        <f>'S38'!M13+L13</f>
        <v/>
      </c>
      <c r="N13" s="53">
        <f>IFERROR(M13/K13,0)</f>
        <v/>
      </c>
      <c r="O13" s="54">
        <f>'S38'!N13</f>
        <v/>
      </c>
      <c r="P13" s="53">
        <f>N13-O13</f>
        <v/>
      </c>
      <c r="Q13" s="32" t="n"/>
      <c r="R13" s="32" t="n"/>
      <c r="S13" s="32" t="n"/>
      <c r="T13" s="55" t="n"/>
      <c r="U13" s="54">
        <f>'S38'!T13</f>
        <v/>
      </c>
      <c r="V13" s="53">
        <f>T13-U13</f>
        <v/>
      </c>
      <c r="W13" s="53">
        <f>N13-T13</f>
        <v/>
      </c>
      <c r="X13" s="34" t="n"/>
    </row>
    <row r="14" ht="22" customHeight="1">
      <c r="B14" s="10" t="n">
        <v>10</v>
      </c>
      <c r="C14" s="6" t="inlineStr">
        <is>
          <t>Sidi Kacem</t>
        </is>
      </c>
      <c r="D14" s="10" t="inlineStr">
        <is>
          <t>BIR TALEB</t>
        </is>
      </c>
      <c r="E14" s="10" t="inlineStr">
        <is>
          <t>50-21</t>
        </is>
      </c>
      <c r="F14" s="10" t="inlineStr">
        <is>
          <t>Entretien et réparation des stations de pompage</t>
        </is>
      </c>
      <c r="G14" s="10" t="inlineStr">
        <is>
          <t>Stabilisation Berge oued</t>
        </is>
      </c>
      <c r="H14" s="10" t="inlineStr">
        <is>
          <t>Pose de  gabions et recouvrement du talus par matelas Reno des stations de pompage P11/1.</t>
        </is>
      </c>
      <c r="I14" s="11" t="n">
        <v>480000</v>
      </c>
      <c r="J14" s="12" t="inlineStr">
        <is>
          <t>m³</t>
        </is>
      </c>
      <c r="K14" s="13" t="n">
        <v>320</v>
      </c>
      <c r="L14" s="51" t="n"/>
      <c r="M14" s="56">
        <f>'S38'!M14+L14</f>
        <v/>
      </c>
      <c r="N14" s="57">
        <f>IFERROR(M14/K14,0)</f>
        <v/>
      </c>
      <c r="O14" s="58">
        <f>'S38'!N14</f>
        <v/>
      </c>
      <c r="P14" s="57">
        <f>N14-O14</f>
        <v/>
      </c>
      <c r="Q14" s="32" t="n"/>
      <c r="R14" s="32" t="n"/>
      <c r="S14" s="32" t="n"/>
      <c r="T14" s="55" t="n"/>
      <c r="U14" s="58">
        <f>'S38'!T14</f>
        <v/>
      </c>
      <c r="V14" s="57">
        <f>T14-U14</f>
        <v/>
      </c>
      <c r="W14" s="57">
        <f>N14-T14</f>
        <v/>
      </c>
      <c r="X14" s="34" t="n"/>
    </row>
    <row r="15" ht="22" customHeight="1">
      <c r="B15" s="5" t="n">
        <v>11</v>
      </c>
      <c r="C15" s="6" t="inlineStr">
        <is>
          <t>Sidi Kacem</t>
        </is>
      </c>
      <c r="D15" s="5" t="inlineStr">
        <is>
          <t>BIR TALEB</t>
        </is>
      </c>
      <c r="E15" s="5" t="inlineStr">
        <is>
          <t>50-21</t>
        </is>
      </c>
      <c r="F15" s="5" t="inlineStr">
        <is>
          <t>Entretien et réparation des stations de pompage</t>
        </is>
      </c>
      <c r="G15" s="5" t="inlineStr">
        <is>
          <t>Génie civile des locaux des stations de pompage.</t>
        </is>
      </c>
      <c r="H15" s="5" t="inlineStr">
        <is>
          <t>Expertise d’état et d’étanchéité des locaux pompes.
Renforcement d’étanchéité des locaux pompe sous niveau des oueds des stations de pompage P11/1.
Entretien des supports en béton des conduites d’aspiration.</t>
        </is>
      </c>
      <c r="I15" s="7" t="n">
        <v>300000</v>
      </c>
      <c r="J15" s="8" t="inlineStr">
        <is>
          <t>U</t>
        </is>
      </c>
      <c r="K15" s="9" t="n">
        <v>1</v>
      </c>
      <c r="L15" s="51" t="n"/>
      <c r="M15" s="52">
        <f>'S38'!M15+L15</f>
        <v/>
      </c>
      <c r="N15" s="53">
        <f>IFERROR(M15/K15,0)</f>
        <v/>
      </c>
      <c r="O15" s="54">
        <f>'S38'!N15</f>
        <v/>
      </c>
      <c r="P15" s="53">
        <f>N15-O15</f>
        <v/>
      </c>
      <c r="Q15" s="32" t="n"/>
      <c r="R15" s="32" t="n"/>
      <c r="S15" s="32" t="n"/>
      <c r="T15" s="55" t="n"/>
      <c r="U15" s="54">
        <f>'S38'!T15</f>
        <v/>
      </c>
      <c r="V15" s="53">
        <f>T15-U15</f>
        <v/>
      </c>
      <c r="W15" s="53">
        <f>N15-T15</f>
        <v/>
      </c>
      <c r="X15" s="34" t="n"/>
    </row>
    <row r="16" ht="22" customHeight="1">
      <c r="B16" s="10" t="n">
        <v>12</v>
      </c>
      <c r="C16" s="6" t="inlineStr">
        <is>
          <t>Sidi Kacem</t>
        </is>
      </c>
      <c r="D16" s="10" t="inlineStr">
        <is>
          <t>CHEBANAT</t>
        </is>
      </c>
      <c r="E16" s="10" t="inlineStr">
        <is>
          <t>50-23</t>
        </is>
      </c>
      <c r="F16" s="10" t="inlineStr">
        <is>
          <t>Entretien et réparation du réseau d'assainissement et de drainage</t>
        </is>
      </c>
      <c r="G16" s="10" t="inlineStr">
        <is>
          <t>Travaux de curage des canaux en terre</t>
        </is>
      </c>
      <c r="H16" s="10" t="inlineStr">
        <is>
          <t>Curage des collecteurs d'assainissement des secteur SH5 et SH6.</t>
        </is>
      </c>
      <c r="I16" s="11" t="n">
        <v>1000000</v>
      </c>
      <c r="J16" s="12" t="inlineStr">
        <is>
          <t>ml</t>
        </is>
      </c>
      <c r="K16" s="13" t="n">
        <v>500</v>
      </c>
      <c r="L16" s="51" t="n"/>
      <c r="M16" s="56">
        <f>'S38'!M16+L16</f>
        <v/>
      </c>
      <c r="N16" s="57">
        <f>IFERROR(M16/K16,0)</f>
        <v/>
      </c>
      <c r="O16" s="58">
        <f>'S38'!N16</f>
        <v/>
      </c>
      <c r="P16" s="57">
        <f>N16-O16</f>
        <v/>
      </c>
      <c r="Q16" s="32" t="n"/>
      <c r="R16" s="32" t="n"/>
      <c r="S16" s="32" t="n"/>
      <c r="T16" s="55" t="n"/>
      <c r="U16" s="58">
        <f>'S38'!T16</f>
        <v/>
      </c>
      <c r="V16" s="57">
        <f>T16-U16</f>
        <v/>
      </c>
      <c r="W16" s="57">
        <f>N16-T16</f>
        <v/>
      </c>
      <c r="X16" s="34" t="n"/>
    </row>
    <row r="17" ht="22" customHeight="1">
      <c r="B17" s="5" t="n">
        <v>13</v>
      </c>
      <c r="C17" s="6" t="inlineStr">
        <is>
          <t>Sidi Kacem</t>
        </is>
      </c>
      <c r="D17" s="5" t="inlineStr">
        <is>
          <t>CHEBANAT</t>
        </is>
      </c>
      <c r="E17" s="5" t="inlineStr">
        <is>
          <t>50-23</t>
        </is>
      </c>
      <c r="F17" s="5" t="inlineStr">
        <is>
          <t>Entretien et réparation du réseau d'assainissement et de drainage</t>
        </is>
      </c>
      <c r="G17" s="5" t="inlineStr">
        <is>
          <t>Travaux de curage des canaux révetus</t>
        </is>
      </c>
      <c r="H17" s="5" t="inlineStr">
        <is>
          <t>Curage du canal principal d'irrigation beht partie aval 1.</t>
        </is>
      </c>
      <c r="I17" s="7" t="n">
        <v>739200</v>
      </c>
      <c r="J17" s="8" t="inlineStr">
        <is>
          <t>ml</t>
        </is>
      </c>
      <c r="K17" s="9" t="n">
        <v>370</v>
      </c>
      <c r="L17" s="51" t="n"/>
      <c r="M17" s="52">
        <f>'S38'!M17+L17</f>
        <v/>
      </c>
      <c r="N17" s="53">
        <f>IFERROR(M17/K17,0)</f>
        <v/>
      </c>
      <c r="O17" s="54">
        <f>'S38'!N17</f>
        <v/>
      </c>
      <c r="P17" s="53">
        <f>N17-O17</f>
        <v/>
      </c>
      <c r="Q17" s="32" t="n"/>
      <c r="R17" s="32" t="n"/>
      <c r="S17" s="32" t="n"/>
      <c r="T17" s="55" t="n"/>
      <c r="U17" s="54">
        <f>'S38'!T17</f>
        <v/>
      </c>
      <c r="V17" s="53">
        <f>T17-U17</f>
        <v/>
      </c>
      <c r="W17" s="53">
        <f>N17-T17</f>
        <v/>
      </c>
      <c r="X17" s="34" t="n"/>
    </row>
    <row r="18" ht="22" customHeight="1">
      <c r="B18" s="10" t="n">
        <v>14</v>
      </c>
      <c r="C18" s="6" t="inlineStr">
        <is>
          <t>Sidi Kacem</t>
        </is>
      </c>
      <c r="D18" s="10" t="inlineStr">
        <is>
          <t>ZIRARA</t>
        </is>
      </c>
      <c r="E18" s="10" t="inlineStr">
        <is>
          <t>50-23</t>
        </is>
      </c>
      <c r="F18" s="10" t="inlineStr">
        <is>
          <t>Entretien et réparation du réseau d'assainissement et de drainage</t>
        </is>
      </c>
      <c r="G18" s="10" t="inlineStr">
        <is>
          <t>Travaux de curage des canaux révetus</t>
        </is>
      </c>
      <c r="H18" s="10" t="inlineStr">
        <is>
          <t>Curage du canal principal d'irrigation beht partie aval 2.</t>
        </is>
      </c>
      <c r="I18" s="11" t="n">
        <v>1276800</v>
      </c>
      <c r="J18" s="12" t="inlineStr">
        <is>
          <t>ml</t>
        </is>
      </c>
      <c r="K18" s="13" t="n">
        <v>638</v>
      </c>
      <c r="L18" s="51" t="n"/>
      <c r="M18" s="56">
        <f>'S38'!M18+L18</f>
        <v/>
      </c>
      <c r="N18" s="57">
        <f>IFERROR(M18/K18,0)</f>
        <v/>
      </c>
      <c r="O18" s="58">
        <f>'S38'!N18</f>
        <v/>
      </c>
      <c r="P18" s="57">
        <f>N18-O18</f>
        <v/>
      </c>
      <c r="Q18" s="32" t="n"/>
      <c r="R18" s="32" t="n"/>
      <c r="S18" s="32" t="n"/>
      <c r="T18" s="55" t="n"/>
      <c r="U18" s="58">
        <f>'S38'!T18</f>
        <v/>
      </c>
      <c r="V18" s="57">
        <f>T18-U18</f>
        <v/>
      </c>
      <c r="W18" s="57">
        <f>N18-T18</f>
        <v/>
      </c>
      <c r="X18" s="34" t="n"/>
    </row>
    <row r="19" ht="22" customHeight="1">
      <c r="B19" s="5" t="n">
        <v>15</v>
      </c>
      <c r="C19" s="6" t="inlineStr">
        <is>
          <t>Sidi Kacem</t>
        </is>
      </c>
      <c r="D19" s="5" t="inlineStr">
        <is>
          <t>DAR LAASLOUJI</t>
        </is>
      </c>
      <c r="E19" s="5" t="inlineStr">
        <is>
          <t>50-23</t>
        </is>
      </c>
      <c r="F19" s="5" t="inlineStr">
        <is>
          <t>Entretien et réparation du réseau d'assainissement et de drainage</t>
        </is>
      </c>
      <c r="G19" s="5" t="inlineStr">
        <is>
          <t>Travaux de curage des canaux en terre</t>
        </is>
      </c>
      <c r="H19" s="5" t="inlineStr">
        <is>
          <t>Curage des collecteurs d'assainissement des secteurs P8-1 et P8-2</t>
        </is>
      </c>
      <c r="I19" s="7" t="n">
        <v>5796360</v>
      </c>
      <c r="J19" s="8" t="inlineStr">
        <is>
          <t>ml</t>
        </is>
      </c>
      <c r="K19" s="9" t="n">
        <v>2898</v>
      </c>
      <c r="L19" s="51" t="n"/>
      <c r="M19" s="52">
        <f>'S38'!M19+L19</f>
        <v/>
      </c>
      <c r="N19" s="53">
        <f>IFERROR(M19/K19,0)</f>
        <v/>
      </c>
      <c r="O19" s="54">
        <f>'S38'!N19</f>
        <v/>
      </c>
      <c r="P19" s="53">
        <f>N19-O19</f>
        <v/>
      </c>
      <c r="Q19" s="32" t="n"/>
      <c r="R19" s="32" t="n"/>
      <c r="S19" s="32" t="n"/>
      <c r="T19" s="55" t="n"/>
      <c r="U19" s="54">
        <f>'S38'!T19</f>
        <v/>
      </c>
      <c r="V19" s="53">
        <f>T19-U19</f>
        <v/>
      </c>
      <c r="W19" s="53">
        <f>N19-T19</f>
        <v/>
      </c>
      <c r="X19" s="34" t="n"/>
    </row>
    <row r="20" ht="22" customHeight="1">
      <c r="B20" s="10" t="n">
        <v>16</v>
      </c>
      <c r="C20" s="6" t="inlineStr">
        <is>
          <t>Sidi Kacem</t>
        </is>
      </c>
      <c r="D20" s="10" t="inlineStr">
        <is>
          <t>DAR LAASLOUJI</t>
        </is>
      </c>
      <c r="E20" s="10" t="inlineStr">
        <is>
          <t>40-21</t>
        </is>
      </c>
      <c r="F20" s="10" t="inlineStr">
        <is>
          <t>Travaux de pistes</t>
        </is>
      </c>
      <c r="G20" s="10" t="inlineStr">
        <is>
          <t>Entretien des pistes agricoles</t>
        </is>
      </c>
      <c r="H20" s="10" t="inlineStr">
        <is>
          <t>Entretien des pistes agricoles</t>
        </is>
      </c>
      <c r="I20" s="11" t="n">
        <v>340000</v>
      </c>
      <c r="J20" s="12" t="inlineStr">
        <is>
          <t>km</t>
        </is>
      </c>
      <c r="K20" s="13" t="n">
        <v>1</v>
      </c>
      <c r="L20" s="51" t="n"/>
      <c r="M20" s="56">
        <f>'S38'!M20+L20</f>
        <v/>
      </c>
      <c r="N20" s="57">
        <f>IFERROR(M20/K20,0)</f>
        <v/>
      </c>
      <c r="O20" s="58">
        <f>'S38'!N20</f>
        <v/>
      </c>
      <c r="P20" s="57">
        <f>N20-O20</f>
        <v/>
      </c>
      <c r="Q20" s="32" t="n"/>
      <c r="R20" s="32" t="n"/>
      <c r="S20" s="32" t="n"/>
      <c r="T20" s="55" t="n"/>
      <c r="U20" s="58">
        <f>'S38'!T20</f>
        <v/>
      </c>
      <c r="V20" s="57">
        <f>T20-U20</f>
        <v/>
      </c>
      <c r="W20" s="57">
        <f>N20-T20</f>
        <v/>
      </c>
      <c r="X20" s="34" t="n"/>
    </row>
    <row r="21" ht="22" customHeight="1">
      <c r="B21" s="5" t="n">
        <v>17</v>
      </c>
      <c r="C21" s="6" t="inlineStr">
        <is>
          <t>Sidi Kacem</t>
        </is>
      </c>
      <c r="D21" s="5" t="inlineStr">
        <is>
          <t>HOUAFATE</t>
        </is>
      </c>
      <c r="E21" s="5" t="inlineStr">
        <is>
          <t>20-11</t>
        </is>
      </c>
      <c r="F21" s="5" t="inlineStr">
        <is>
          <t>Travaux de réhabilitation des équipements</t>
        </is>
      </c>
      <c r="G21" s="5" t="inlineStr">
        <is>
          <t>Travaux de réhabilitation des canaux portés d'irrigation</t>
        </is>
      </c>
      <c r="H21" s="5" t="inlineStr">
        <is>
          <t>Fourniture et de pose de canaux porté et accessoires du réseau S3 du secteur S13</t>
        </is>
      </c>
      <c r="I21" s="7" t="n">
        <v>397934</v>
      </c>
      <c r="J21" s="8" t="inlineStr">
        <is>
          <t>ml</t>
        </is>
      </c>
      <c r="K21" s="9" t="n">
        <v>133</v>
      </c>
      <c r="L21" s="51" t="n"/>
      <c r="M21" s="52">
        <f>'S38'!M21+L21</f>
        <v/>
      </c>
      <c r="N21" s="53">
        <f>IFERROR(M21/K21,0)</f>
        <v/>
      </c>
      <c r="O21" s="54">
        <f>'S38'!N21</f>
        <v/>
      </c>
      <c r="P21" s="53">
        <f>N21-O21</f>
        <v/>
      </c>
      <c r="Q21" s="32" t="n"/>
      <c r="R21" s="32" t="n"/>
      <c r="S21" s="32" t="n"/>
      <c r="T21" s="55" t="n"/>
      <c r="U21" s="54">
        <f>'S38'!T21</f>
        <v/>
      </c>
      <c r="V21" s="53">
        <f>T21-U21</f>
        <v/>
      </c>
      <c r="W21" s="53">
        <f>N21-T21</f>
        <v/>
      </c>
      <c r="X21" s="34" t="n"/>
    </row>
    <row r="22" ht="22" customHeight="1">
      <c r="B22" s="10" t="n">
        <v>18</v>
      </c>
      <c r="C22" s="6" t="inlineStr">
        <is>
          <t>Sidi Kacem</t>
        </is>
      </c>
      <c r="D22" s="10" t="inlineStr">
        <is>
          <t>HOUAFATE</t>
        </is>
      </c>
      <c r="E22" s="10" t="inlineStr">
        <is>
          <t>20-11</t>
        </is>
      </c>
      <c r="F22" s="10" t="inlineStr">
        <is>
          <t>Travaux de réhabilitation des équipements</t>
        </is>
      </c>
      <c r="G22" s="10" t="inlineStr"/>
      <c r="H22" s="10" t="inlineStr">
        <is>
          <t>Fourniture et de pose de canaux porté et accessoires du réseau T2S1 du secteur S13</t>
        </is>
      </c>
      <c r="I22" s="11" t="n">
        <v>207575</v>
      </c>
      <c r="J22" s="12" t="inlineStr">
        <is>
          <t>ml</t>
        </is>
      </c>
      <c r="K22" s="13" t="n">
        <v>69</v>
      </c>
      <c r="L22" s="51" t="n"/>
      <c r="M22" s="56">
        <f>'S38'!M22+L22</f>
        <v/>
      </c>
      <c r="N22" s="57">
        <f>IFERROR(M22/K22,0)</f>
        <v/>
      </c>
      <c r="O22" s="58">
        <f>'S38'!N22</f>
        <v/>
      </c>
      <c r="P22" s="57">
        <f>N22-O22</f>
        <v/>
      </c>
      <c r="Q22" s="32" t="n"/>
      <c r="R22" s="32" t="n"/>
      <c r="S22" s="32" t="n"/>
      <c r="T22" s="55" t="n"/>
      <c r="U22" s="58">
        <f>'S38'!T22</f>
        <v/>
      </c>
      <c r="V22" s="57">
        <f>T22-U22</f>
        <v/>
      </c>
      <c r="W22" s="57">
        <f>N22-T22</f>
        <v/>
      </c>
      <c r="X22" s="34" t="n"/>
    </row>
    <row r="23" ht="22" customHeight="1">
      <c r="B23" s="5" t="n">
        <v>19</v>
      </c>
      <c r="C23" s="6" t="inlineStr">
        <is>
          <t>Sidi Kacem</t>
        </is>
      </c>
      <c r="D23" s="5" t="inlineStr">
        <is>
          <t>HOUAFATE</t>
        </is>
      </c>
      <c r="E23" s="5" t="inlineStr">
        <is>
          <t>40-21</t>
        </is>
      </c>
      <c r="F23" s="5" t="inlineStr">
        <is>
          <t>Travaux de pistes</t>
        </is>
      </c>
      <c r="G23" s="5" t="inlineStr">
        <is>
          <t>Entretien des pistes agricoles</t>
        </is>
      </c>
      <c r="H23" s="5" t="inlineStr">
        <is>
          <t>Entretien des pistes agricoles</t>
        </is>
      </c>
      <c r="I23" s="7" t="n">
        <v>2200000</v>
      </c>
      <c r="J23" s="8" t="inlineStr">
        <is>
          <t>km</t>
        </is>
      </c>
      <c r="K23" s="9" t="n">
        <v>4</v>
      </c>
      <c r="L23" s="51" t="n"/>
      <c r="M23" s="52">
        <f>'S38'!M23+L23</f>
        <v/>
      </c>
      <c r="N23" s="53">
        <f>IFERROR(M23/K23,0)</f>
        <v/>
      </c>
      <c r="O23" s="54">
        <f>'S38'!N23</f>
        <v/>
      </c>
      <c r="P23" s="53">
        <f>N23-O23</f>
        <v/>
      </c>
      <c r="Q23" s="32" t="n"/>
      <c r="R23" s="32" t="n"/>
      <c r="S23" s="32" t="n"/>
      <c r="T23" s="55" t="n"/>
      <c r="U23" s="54">
        <f>'S38'!T23</f>
        <v/>
      </c>
      <c r="V23" s="53">
        <f>T23-U23</f>
        <v/>
      </c>
      <c r="W23" s="53">
        <f>N23-T23</f>
        <v/>
      </c>
      <c r="X23" s="34" t="n"/>
    </row>
    <row r="24" ht="22" customHeight="1">
      <c r="B24" s="10" t="n">
        <v>20</v>
      </c>
      <c r="C24" s="6" t="inlineStr">
        <is>
          <t>Sidi Kacem</t>
        </is>
      </c>
      <c r="D24" s="10" t="inlineStr">
        <is>
          <t>HOUAFATE</t>
        </is>
      </c>
      <c r="E24" s="10" t="inlineStr">
        <is>
          <t>50-23</t>
        </is>
      </c>
      <c r="F24" s="10" t="inlineStr">
        <is>
          <t>Entretien et réparation du réseau d'assainissement et de drainage</t>
        </is>
      </c>
      <c r="G24" s="10" t="inlineStr">
        <is>
          <t>Curage des prises sur l’oued, bâche d’aspiration et bassin de régulation.</t>
        </is>
      </c>
      <c r="H24" s="10" t="inlineStr">
        <is>
          <t>Curage des prises sur l’oued de la station de pompage S17 et S13.
Nettoyage des grilles de préfiltration des boues colmaté de la station de pompage S17 et S13.
Curage de la bâche d’aspiration de la station S17 et S13.</t>
        </is>
      </c>
      <c r="I24" s="11" t="n">
        <v>300000</v>
      </c>
      <c r="J24" s="12" t="inlineStr">
        <is>
          <t>ml</t>
        </is>
      </c>
      <c r="K24" s="13" t="n">
        <v>100</v>
      </c>
      <c r="L24" s="51" t="n"/>
      <c r="M24" s="56">
        <f>'S38'!M24+L24</f>
        <v/>
      </c>
      <c r="N24" s="57">
        <f>IFERROR(M24/K24,0)</f>
        <v/>
      </c>
      <c r="O24" s="58">
        <f>'S38'!N24</f>
        <v/>
      </c>
      <c r="P24" s="57">
        <f>N24-O24</f>
        <v/>
      </c>
      <c r="Q24" s="32" t="n"/>
      <c r="R24" s="32" t="n"/>
      <c r="S24" s="32" t="n"/>
      <c r="T24" s="55" t="n"/>
      <c r="U24" s="58">
        <f>'S38'!T24</f>
        <v/>
      </c>
      <c r="V24" s="57">
        <f>T24-U24</f>
        <v/>
      </c>
      <c r="W24" s="57">
        <f>N24-T24</f>
        <v/>
      </c>
      <c r="X24" s="34" t="n"/>
    </row>
    <row r="25" ht="22" customHeight="1">
      <c r="B25" s="5" t="n">
        <v>21</v>
      </c>
      <c r="C25" s="6" t="inlineStr">
        <is>
          <t>Sidi Kacem</t>
        </is>
      </c>
      <c r="D25" s="5" t="inlineStr">
        <is>
          <t>HOUAFATE</t>
        </is>
      </c>
      <c r="E25" s="5" t="inlineStr">
        <is>
          <t>50-21</t>
        </is>
      </c>
      <c r="F25" s="5" t="inlineStr">
        <is>
          <t>Entretien et réparation des stations de pompage</t>
        </is>
      </c>
      <c r="G25" s="5" t="inlineStr">
        <is>
          <t>Prestation de maintenance des débitmètres et leurs équipements annexes installés au niveau des station de pompage</t>
        </is>
      </c>
      <c r="H25" s="5" t="inlineStr">
        <is>
          <t>Changement trois débitmètre Ø 600mm inondés de la station de pompage S13.</t>
        </is>
      </c>
      <c r="I25" s="7" t="n">
        <v>250000</v>
      </c>
      <c r="J25" s="8" t="inlineStr">
        <is>
          <t>U</t>
        </is>
      </c>
      <c r="K25" s="9" t="n">
        <v>3</v>
      </c>
      <c r="L25" s="51" t="n"/>
      <c r="M25" s="52">
        <f>'S38'!M25+L25</f>
        <v/>
      </c>
      <c r="N25" s="53">
        <f>IFERROR(M25/K25,0)</f>
        <v/>
      </c>
      <c r="O25" s="54">
        <f>'S38'!N25</f>
        <v/>
      </c>
      <c r="P25" s="53">
        <f>N25-O25</f>
        <v/>
      </c>
      <c r="Q25" s="32" t="n"/>
      <c r="R25" s="32" t="n"/>
      <c r="S25" s="32" t="n"/>
      <c r="T25" s="55" t="n"/>
      <c r="U25" s="54">
        <f>'S38'!T25</f>
        <v/>
      </c>
      <c r="V25" s="53">
        <f>T25-U25</f>
        <v/>
      </c>
      <c r="W25" s="53">
        <f>N25-T25</f>
        <v/>
      </c>
      <c r="X25" s="34" t="n"/>
    </row>
    <row r="26" ht="22" customHeight="1">
      <c r="B26" s="10" t="n">
        <v>22</v>
      </c>
      <c r="C26" s="6" t="inlineStr">
        <is>
          <t>Sidi Kacem</t>
        </is>
      </c>
      <c r="D26" s="10" t="inlineStr">
        <is>
          <t>HOUAFATE</t>
        </is>
      </c>
      <c r="E26" s="10" t="inlineStr">
        <is>
          <t>50-21</t>
        </is>
      </c>
      <c r="F26" s="10" t="inlineStr">
        <is>
          <t>Entretien et réparation des stations de pompage</t>
        </is>
      </c>
      <c r="G26" s="10" t="inlineStr">
        <is>
          <t>Prestations de maintenance des moteurs électriques des stations de pompage.</t>
        </is>
      </c>
      <c r="H26" s="10" t="inlineStr">
        <is>
          <t>Révision des trois moteurs électriques 200 KW principaux de la station S13. 
Révision des deux moteurs électriques 5,5 KW groupes vide de la station S13.</t>
        </is>
      </c>
      <c r="I26" s="11" t="n">
        <v>25000</v>
      </c>
      <c r="J26" s="12" t="inlineStr">
        <is>
          <t>U</t>
        </is>
      </c>
      <c r="K26" s="13" t="n">
        <v>3</v>
      </c>
      <c r="L26" s="51" t="n"/>
      <c r="M26" s="56">
        <f>'S38'!M26+L26</f>
        <v/>
      </c>
      <c r="N26" s="57">
        <f>IFERROR(M26/K26,0)</f>
        <v/>
      </c>
      <c r="O26" s="58">
        <f>'S38'!N26</f>
        <v/>
      </c>
      <c r="P26" s="57">
        <f>N26-O26</f>
        <v/>
      </c>
      <c r="Q26" s="32" t="n"/>
      <c r="R26" s="32" t="n"/>
      <c r="S26" s="32" t="n"/>
      <c r="T26" s="55" t="n"/>
      <c r="U26" s="58">
        <f>'S38'!T26</f>
        <v/>
      </c>
      <c r="V26" s="57">
        <f>T26-U26</f>
        <v/>
      </c>
      <c r="W26" s="57">
        <f>N26-T26</f>
        <v/>
      </c>
      <c r="X26" s="34" t="n"/>
    </row>
    <row r="27" ht="22" customHeight="1">
      <c r="B27" s="5" t="n">
        <v>23</v>
      </c>
      <c r="C27" s="6" t="inlineStr">
        <is>
          <t>Sidi Kacem</t>
        </is>
      </c>
      <c r="D27" s="5" t="inlineStr">
        <is>
          <t>HOUAFATE</t>
        </is>
      </c>
      <c r="E27" s="5" t="inlineStr">
        <is>
          <t>50-21</t>
        </is>
      </c>
      <c r="F27" s="5" t="inlineStr">
        <is>
          <t>Entretien et réparation des stations de pompage</t>
        </is>
      </c>
      <c r="G27" s="5" t="inlineStr">
        <is>
          <t>Prestations de maintenance et de réparation mécanique des pompes et des groupes motopompes submersibles des stations de pompage.</t>
        </is>
      </c>
      <c r="H27" s="5" t="inlineStr">
        <is>
          <t>Démontage et expertise des roues des  pompes principaux et pompes a vide de la station S13.
Changement des roulements, tresses et organes d’effectués de la station S13.</t>
        </is>
      </c>
      <c r="I27" s="7" t="n">
        <v>38000</v>
      </c>
      <c r="J27" s="8" t="inlineStr">
        <is>
          <t>U</t>
        </is>
      </c>
      <c r="K27" s="9" t="n">
        <v>1</v>
      </c>
      <c r="L27" s="51" t="n"/>
      <c r="M27" s="52">
        <f>'S38'!M27+L27</f>
        <v/>
      </c>
      <c r="N27" s="53">
        <f>IFERROR(M27/K27,0)</f>
        <v/>
      </c>
      <c r="O27" s="54">
        <f>'S38'!N27</f>
        <v/>
      </c>
      <c r="P27" s="53">
        <f>N27-O27</f>
        <v/>
      </c>
      <c r="Q27" s="32" t="n"/>
      <c r="R27" s="32" t="n"/>
      <c r="S27" s="32" t="n"/>
      <c r="T27" s="55" t="n"/>
      <c r="U27" s="54">
        <f>'S38'!T27</f>
        <v/>
      </c>
      <c r="V27" s="53">
        <f>T27-U27</f>
        <v/>
      </c>
      <c r="W27" s="53">
        <f>N27-T27</f>
        <v/>
      </c>
      <c r="X27" s="34" t="n"/>
    </row>
    <row r="28" ht="22" customHeight="1">
      <c r="B28" s="10" t="n">
        <v>24</v>
      </c>
      <c r="C28" s="6" t="inlineStr">
        <is>
          <t>Sidi Kacem</t>
        </is>
      </c>
      <c r="D28" s="10" t="inlineStr">
        <is>
          <t>HOUAFATE</t>
        </is>
      </c>
      <c r="E28" s="10" t="inlineStr">
        <is>
          <t>50-21</t>
        </is>
      </c>
      <c r="F28" s="10" t="inlineStr">
        <is>
          <t>Entretien et réparation des stations de pompage</t>
        </is>
      </c>
      <c r="G28" s="10" t="inlineStr">
        <is>
          <t>Stabilisation Berge oued</t>
        </is>
      </c>
      <c r="H28" s="10" t="inlineStr">
        <is>
          <t>Pose de  gabions et recouvrement du talus par matelas Reno des stations de pompage S13.</t>
        </is>
      </c>
      <c r="I28" s="11" t="n">
        <v>10560000</v>
      </c>
      <c r="J28" s="12" t="inlineStr">
        <is>
          <t>m³</t>
        </is>
      </c>
      <c r="K28" s="13" t="n">
        <v>7040</v>
      </c>
      <c r="L28" s="51" t="n"/>
      <c r="M28" s="56">
        <f>'S38'!M28+L28</f>
        <v/>
      </c>
      <c r="N28" s="57">
        <f>IFERROR(M28/K28,0)</f>
        <v/>
      </c>
      <c r="O28" s="58">
        <f>'S38'!N28</f>
        <v/>
      </c>
      <c r="P28" s="57">
        <f>N28-O28</f>
        <v/>
      </c>
      <c r="Q28" s="32" t="n"/>
      <c r="R28" s="32" t="n"/>
      <c r="S28" s="32" t="n"/>
      <c r="T28" s="55" t="n"/>
      <c r="U28" s="58">
        <f>'S38'!T28</f>
        <v/>
      </c>
      <c r="V28" s="57">
        <f>T28-U28</f>
        <v/>
      </c>
      <c r="W28" s="57">
        <f>N28-T28</f>
        <v/>
      </c>
      <c r="X28" s="34" t="n"/>
    </row>
    <row r="29" ht="22" customHeight="1">
      <c r="B29" s="5" t="n">
        <v>25</v>
      </c>
      <c r="C29" s="6" t="inlineStr">
        <is>
          <t>Sidi Kacem</t>
        </is>
      </c>
      <c r="D29" s="5" t="inlineStr">
        <is>
          <t>HOUAFATE</t>
        </is>
      </c>
      <c r="E29" s="5" t="inlineStr">
        <is>
          <t>50-21</t>
        </is>
      </c>
      <c r="F29" s="5" t="inlineStr">
        <is>
          <t>Entretien et réparation des stations de pompage</t>
        </is>
      </c>
      <c r="G29" s="5" t="inlineStr">
        <is>
          <t>Mur clôture des stations de pompage.</t>
        </is>
      </c>
      <c r="H29" s="5" t="inlineStr">
        <is>
          <t>Stabilisation du sol et reconstruction des murs clôture (270m) cote oued de la station S17.</t>
        </is>
      </c>
      <c r="I29" s="7" t="n">
        <v>144000</v>
      </c>
      <c r="J29" s="8" t="inlineStr">
        <is>
          <t>ml</t>
        </is>
      </c>
      <c r="K29" s="9" t="n">
        <v>270</v>
      </c>
      <c r="L29" s="51" t="n"/>
      <c r="M29" s="52">
        <f>'S38'!M29+L29</f>
        <v/>
      </c>
      <c r="N29" s="53">
        <f>IFERROR(M29/K29,0)</f>
        <v/>
      </c>
      <c r="O29" s="54">
        <f>'S38'!N29</f>
        <v/>
      </c>
      <c r="P29" s="53">
        <f>N29-O29</f>
        <v/>
      </c>
      <c r="Q29" s="32" t="n"/>
      <c r="R29" s="32" t="n"/>
      <c r="S29" s="32" t="n"/>
      <c r="T29" s="55" t="n"/>
      <c r="U29" s="54">
        <f>'S38'!T29</f>
        <v/>
      </c>
      <c r="V29" s="53">
        <f>T29-U29</f>
        <v/>
      </c>
      <c r="W29" s="53">
        <f>N29-T29</f>
        <v/>
      </c>
      <c r="X29" s="34" t="n"/>
    </row>
    <row r="30" ht="22" customHeight="1">
      <c r="B30" s="10" t="n">
        <v>26</v>
      </c>
      <c r="C30" s="6" t="inlineStr">
        <is>
          <t>Sidi Kacem</t>
        </is>
      </c>
      <c r="D30" s="10" t="inlineStr">
        <is>
          <t>HOUAFATE</t>
        </is>
      </c>
      <c r="E30" s="10" t="inlineStr">
        <is>
          <t>50-21</t>
        </is>
      </c>
      <c r="F30" s="10" t="inlineStr">
        <is>
          <t>Entretien et réparation des stations de pompage</t>
        </is>
      </c>
      <c r="G30" s="10" t="inlineStr">
        <is>
          <t>Génie civile des locaux des stations de pompage.</t>
        </is>
      </c>
      <c r="H30" s="10" t="inlineStr">
        <is>
          <t>Expertise d’état et d’étanchéité des locaux pompes, commande, puissance des stations de pompage S17 et S13.
Renforcement d’étanchéité des locaux pompe sous niveau des oueds des stations de pompage S17 et S13.</t>
        </is>
      </c>
      <c r="I30" s="11" t="n">
        <v>800000</v>
      </c>
      <c r="J30" s="12" t="inlineStr">
        <is>
          <t>U</t>
        </is>
      </c>
      <c r="K30" s="13" t="n">
        <v>1</v>
      </c>
      <c r="L30" s="51" t="n"/>
      <c r="M30" s="56">
        <f>'S38'!M30+L30</f>
        <v/>
      </c>
      <c r="N30" s="57">
        <f>IFERROR(M30/K30,0)</f>
        <v/>
      </c>
      <c r="O30" s="58">
        <f>'S38'!N30</f>
        <v/>
      </c>
      <c r="P30" s="57">
        <f>N30-O30</f>
        <v/>
      </c>
      <c r="Q30" s="32" t="n"/>
      <c r="R30" s="32" t="n"/>
      <c r="S30" s="32" t="n"/>
      <c r="T30" s="55" t="n"/>
      <c r="U30" s="58">
        <f>'S38'!T30</f>
        <v/>
      </c>
      <c r="V30" s="57">
        <f>T30-U30</f>
        <v/>
      </c>
      <c r="W30" s="57">
        <f>N30-T30</f>
        <v/>
      </c>
      <c r="X30" s="34" t="n"/>
    </row>
    <row r="31" ht="22" customHeight="1">
      <c r="B31" s="5" t="n">
        <v>27</v>
      </c>
      <c r="C31" s="6" t="inlineStr">
        <is>
          <t>Sidi Kacem</t>
        </is>
      </c>
      <c r="D31" s="5" t="inlineStr">
        <is>
          <t>NOUIRAT</t>
        </is>
      </c>
      <c r="E31" s="5" t="inlineStr">
        <is>
          <t>50-23</t>
        </is>
      </c>
      <c r="F31" s="5" t="inlineStr">
        <is>
          <t>Entretien et réparation du réseau d'assainissement et de drainage</t>
        </is>
      </c>
      <c r="G31" s="5" t="inlineStr">
        <is>
          <t>Travaux de curage des canaux en terre</t>
        </is>
      </c>
      <c r="H31" s="5" t="inlineStr">
        <is>
          <t>Curage des collecteurs d'assainissement des secteurs EST1 et N5</t>
        </is>
      </c>
      <c r="I31" s="7" t="n">
        <v>1733306</v>
      </c>
      <c r="J31" s="8" t="inlineStr">
        <is>
          <t>ml</t>
        </is>
      </c>
      <c r="K31" s="9" t="n">
        <v>867</v>
      </c>
      <c r="L31" s="51" t="n"/>
      <c r="M31" s="52">
        <f>'S38'!M31+L31</f>
        <v/>
      </c>
      <c r="N31" s="53">
        <f>IFERROR(M31/K31,0)</f>
        <v/>
      </c>
      <c r="O31" s="54">
        <f>'S38'!N31</f>
        <v/>
      </c>
      <c r="P31" s="53">
        <f>N31-O31</f>
        <v/>
      </c>
      <c r="Q31" s="32" t="n"/>
      <c r="R31" s="32" t="n"/>
      <c r="S31" s="32" t="n"/>
      <c r="T31" s="55" t="n"/>
      <c r="U31" s="54">
        <f>'S38'!T31</f>
        <v/>
      </c>
      <c r="V31" s="53">
        <f>T31-U31</f>
        <v/>
      </c>
      <c r="W31" s="53">
        <f>N31-T31</f>
        <v/>
      </c>
      <c r="X31" s="34" t="n"/>
    </row>
    <row r="32" ht="22" customHeight="1">
      <c r="B32" s="10" t="n">
        <v>28</v>
      </c>
      <c r="C32" s="6" t="inlineStr">
        <is>
          <t>Sidi Kacem</t>
        </is>
      </c>
      <c r="D32" s="10" t="inlineStr">
        <is>
          <t>NOUIRAT</t>
        </is>
      </c>
      <c r="E32" s="10" t="inlineStr">
        <is>
          <t>40-21</t>
        </is>
      </c>
      <c r="F32" s="10" t="inlineStr">
        <is>
          <t>Travaux de pistes</t>
        </is>
      </c>
      <c r="G32" s="10" t="inlineStr">
        <is>
          <t>Entretien des pistes agricoles</t>
        </is>
      </c>
      <c r="H32" s="10" t="inlineStr">
        <is>
          <t>Entretien des pistes agricoles</t>
        </is>
      </c>
      <c r="I32" s="11" t="n">
        <v>670000</v>
      </c>
      <c r="J32" s="12" t="inlineStr">
        <is>
          <t>km</t>
        </is>
      </c>
      <c r="K32" s="13" t="n">
        <v>1</v>
      </c>
      <c r="L32" s="51" t="n"/>
      <c r="M32" s="56">
        <f>'S38'!M32+L32</f>
        <v/>
      </c>
      <c r="N32" s="57">
        <f>IFERROR(M32/K32,0)</f>
        <v/>
      </c>
      <c r="O32" s="58">
        <f>'S38'!N32</f>
        <v/>
      </c>
      <c r="P32" s="57">
        <f>N32-O32</f>
        <v/>
      </c>
      <c r="Q32" s="32" t="n"/>
      <c r="R32" s="32" t="n"/>
      <c r="S32" s="32" t="n"/>
      <c r="T32" s="55" t="n"/>
      <c r="U32" s="58">
        <f>'S38'!T32</f>
        <v/>
      </c>
      <c r="V32" s="57">
        <f>T32-U32</f>
        <v/>
      </c>
      <c r="W32" s="57">
        <f>N32-T32</f>
        <v/>
      </c>
      <c r="X32" s="34" t="n"/>
    </row>
    <row r="33" ht="22" customHeight="1">
      <c r="B33" s="5" t="n">
        <v>29</v>
      </c>
      <c r="C33" s="6" t="inlineStr">
        <is>
          <t>Sidi Kacem</t>
        </is>
      </c>
      <c r="D33" s="5" t="inlineStr">
        <is>
          <t>NOUIRAT</t>
        </is>
      </c>
      <c r="E33" s="5" t="inlineStr">
        <is>
          <t>20-11</t>
        </is>
      </c>
      <c r="F33" s="5" t="inlineStr">
        <is>
          <t>Travaux de réhabilitation des équipements</t>
        </is>
      </c>
      <c r="G33" s="5" t="inlineStr">
        <is>
          <t>Travaux de réhabilitation des ouvrages de génie civil</t>
        </is>
      </c>
      <c r="H33" s="5" t="inlineStr">
        <is>
          <t>Réhabilitation de l'ouvrage( genie civil ,gabiollannage,clapet anti retour et buse) de l'ouvrage de débouche SE1</t>
        </is>
      </c>
      <c r="I33" s="7" t="n">
        <v>2500000</v>
      </c>
      <c r="J33" s="8" t="inlineStr">
        <is>
          <t>U</t>
        </is>
      </c>
      <c r="K33" s="9" t="n">
        <v>5</v>
      </c>
      <c r="L33" s="51" t="n"/>
      <c r="M33" s="52">
        <f>'S38'!M33+L33</f>
        <v/>
      </c>
      <c r="N33" s="53">
        <f>IFERROR(M33/K33,0)</f>
        <v/>
      </c>
      <c r="O33" s="54">
        <f>'S38'!N33</f>
        <v/>
      </c>
      <c r="P33" s="53">
        <f>N33-O33</f>
        <v/>
      </c>
      <c r="Q33" s="32" t="n"/>
      <c r="R33" s="32" t="n"/>
      <c r="S33" s="32" t="n"/>
      <c r="T33" s="55" t="n"/>
      <c r="U33" s="54">
        <f>'S38'!T33</f>
        <v/>
      </c>
      <c r="V33" s="53">
        <f>T33-U33</f>
        <v/>
      </c>
      <c r="W33" s="53">
        <f>N33-T33</f>
        <v/>
      </c>
      <c r="X33" s="34" t="n"/>
    </row>
    <row r="34" ht="22" customHeight="1">
      <c r="B34" s="10" t="n">
        <v>30</v>
      </c>
      <c r="C34" s="6" t="inlineStr">
        <is>
          <t>Sidi Kacem</t>
        </is>
      </c>
      <c r="D34" s="10" t="inlineStr">
        <is>
          <t>NOUIRAT</t>
        </is>
      </c>
      <c r="E34" s="10" t="inlineStr">
        <is>
          <t>50-23</t>
        </is>
      </c>
      <c r="F34" s="10" t="inlineStr">
        <is>
          <t>Entretien et réparation du réseau d'assainissement et de drainage</t>
        </is>
      </c>
      <c r="G34" s="10" t="inlineStr">
        <is>
          <t>Curage des prises sur l’oued, bâche d’aspiration et bassin de régulation.</t>
        </is>
      </c>
      <c r="H34" s="10" t="inlineStr">
        <is>
          <t>Curage des prises sur l’oued de la station de pompage E1.
Nettoyage des grilles de préfiltration des boues colmaté de la station de pompage E1.
Curage de la bâche d’aspiration de la station E1.</t>
        </is>
      </c>
      <c r="I34" s="11" t="n">
        <v>800000</v>
      </c>
      <c r="J34" s="12" t="inlineStr">
        <is>
          <t>ml</t>
        </is>
      </c>
      <c r="K34" s="13" t="n">
        <v>267</v>
      </c>
      <c r="L34" s="51" t="n"/>
      <c r="M34" s="56">
        <f>'S38'!M34+L34</f>
        <v/>
      </c>
      <c r="N34" s="57">
        <f>IFERROR(M34/K34,0)</f>
        <v/>
      </c>
      <c r="O34" s="58">
        <f>'S38'!N34</f>
        <v/>
      </c>
      <c r="P34" s="57">
        <f>N34-O34</f>
        <v/>
      </c>
      <c r="Q34" s="32" t="n"/>
      <c r="R34" s="32" t="n"/>
      <c r="S34" s="32" t="n"/>
      <c r="T34" s="55" t="n"/>
      <c r="U34" s="58">
        <f>'S38'!T34</f>
        <v/>
      </c>
      <c r="V34" s="57">
        <f>T34-U34</f>
        <v/>
      </c>
      <c r="W34" s="57">
        <f>N34-T34</f>
        <v/>
      </c>
      <c r="X34" s="34" t="n"/>
    </row>
    <row r="35" ht="22" customHeight="1">
      <c r="B35" s="5" t="n">
        <v>31</v>
      </c>
      <c r="C35" s="6" t="inlineStr">
        <is>
          <t>Sidi Kacem</t>
        </is>
      </c>
      <c r="D35" s="5" t="inlineStr">
        <is>
          <t>NOUIRAT</t>
        </is>
      </c>
      <c r="E35" s="5" t="inlineStr">
        <is>
          <t>50-21</t>
        </is>
      </c>
      <c r="F35" s="5" t="inlineStr">
        <is>
          <t>Entretien et réparation des stations de pompage</t>
        </is>
      </c>
      <c r="G35" s="5" t="inlineStr">
        <is>
          <t>Prestation de maintenance des débitmètres et leurs équipements annexes installés au niveau des station de pompage</t>
        </is>
      </c>
      <c r="H35" s="5" t="inlineStr">
        <is>
          <t>Changement du débitmètre Ø 1200mm inondé de la station de pompage E1.</t>
        </is>
      </c>
      <c r="I35" s="7" t="n">
        <v>195000</v>
      </c>
      <c r="J35" s="8" t="inlineStr">
        <is>
          <t>U</t>
        </is>
      </c>
      <c r="K35" s="9" t="n">
        <v>2</v>
      </c>
      <c r="L35" s="51" t="n"/>
      <c r="M35" s="52">
        <f>'S38'!M35+L35</f>
        <v/>
      </c>
      <c r="N35" s="53">
        <f>IFERROR(M35/K35,0)</f>
        <v/>
      </c>
      <c r="O35" s="54">
        <f>'S38'!N35</f>
        <v/>
      </c>
      <c r="P35" s="53">
        <f>N35-O35</f>
        <v/>
      </c>
      <c r="Q35" s="32" t="n"/>
      <c r="R35" s="32" t="n"/>
      <c r="S35" s="32" t="n"/>
      <c r="T35" s="55" t="n"/>
      <c r="U35" s="54">
        <f>'S38'!T35</f>
        <v/>
      </c>
      <c r="V35" s="53">
        <f>T35-U35</f>
        <v/>
      </c>
      <c r="W35" s="53">
        <f>N35-T35</f>
        <v/>
      </c>
      <c r="X35" s="34" t="n"/>
    </row>
    <row r="36" ht="22" customHeight="1">
      <c r="B36" s="10" t="n">
        <v>32</v>
      </c>
      <c r="C36" s="6" t="inlineStr">
        <is>
          <t>Sidi Kacem</t>
        </is>
      </c>
      <c r="D36" s="10" t="inlineStr">
        <is>
          <t>NOUIRAT</t>
        </is>
      </c>
      <c r="E36" s="10" t="inlineStr">
        <is>
          <t>50-21</t>
        </is>
      </c>
      <c r="F36" s="10" t="inlineStr">
        <is>
          <t>Entretien et réparation des stations de pompage</t>
        </is>
      </c>
      <c r="G36" s="10" t="inlineStr">
        <is>
          <t>Prestations de maintenance des moteurs électriques des stations de pompage.</t>
        </is>
      </c>
      <c r="H36" s="10" t="inlineStr">
        <is>
          <t>Révision des deux moteurs électriques principaux de la station E1.</t>
        </is>
      </c>
      <c r="I36" s="11" t="n">
        <v>50000</v>
      </c>
      <c r="J36" s="12" t="inlineStr">
        <is>
          <t>U</t>
        </is>
      </c>
      <c r="K36" s="13" t="n">
        <v>2</v>
      </c>
      <c r="L36" s="51" t="n"/>
      <c r="M36" s="56">
        <f>'S38'!M36+L36</f>
        <v/>
      </c>
      <c r="N36" s="57">
        <f>IFERROR(M36/K36,0)</f>
        <v/>
      </c>
      <c r="O36" s="58">
        <f>'S38'!N36</f>
        <v/>
      </c>
      <c r="P36" s="57">
        <f>N36-O36</f>
        <v/>
      </c>
      <c r="Q36" s="32" t="n"/>
      <c r="R36" s="32" t="n"/>
      <c r="S36" s="32" t="n"/>
      <c r="T36" s="55" t="n"/>
      <c r="U36" s="58">
        <f>'S38'!T36</f>
        <v/>
      </c>
      <c r="V36" s="57">
        <f>T36-U36</f>
        <v/>
      </c>
      <c r="W36" s="57">
        <f>N36-T36</f>
        <v/>
      </c>
      <c r="X36" s="34" t="n"/>
    </row>
    <row r="37" ht="22" customHeight="1">
      <c r="B37" s="5" t="n">
        <v>33</v>
      </c>
      <c r="C37" s="6" t="inlineStr">
        <is>
          <t>Sidi Kacem</t>
        </is>
      </c>
      <c r="D37" s="5" t="inlineStr">
        <is>
          <t>NOUIRAT</t>
        </is>
      </c>
      <c r="E37" s="5" t="inlineStr">
        <is>
          <t>50-21</t>
        </is>
      </c>
      <c r="F37" s="5" t="inlineStr">
        <is>
          <t>Entretien et réparation des stations de pompage</t>
        </is>
      </c>
      <c r="G37" s="5" t="inlineStr">
        <is>
          <t>Prestations de maintenance et de réparation mécanique des pompes et des groupes motopompes submersibles des stations de pompage.</t>
        </is>
      </c>
      <c r="H37" s="5" t="inlineStr">
        <is>
          <t>Démontage et expertise des cinq pompes principaux et pompes a vide de la station E1.
Changement des roulements, tresses et organes d’effectués de la station E1.</t>
        </is>
      </c>
      <c r="I37" s="7" t="n">
        <v>245000</v>
      </c>
      <c r="J37" s="8" t="inlineStr">
        <is>
          <t>U</t>
        </is>
      </c>
      <c r="K37" s="9" t="n">
        <v>5</v>
      </c>
      <c r="L37" s="51" t="n"/>
      <c r="M37" s="52">
        <f>'S38'!M37+L37</f>
        <v/>
      </c>
      <c r="N37" s="53">
        <f>IFERROR(M37/K37,0)</f>
        <v/>
      </c>
      <c r="O37" s="54">
        <f>'S38'!N37</f>
        <v/>
      </c>
      <c r="P37" s="53">
        <f>N37-O37</f>
        <v/>
      </c>
      <c r="Q37" s="32" t="n"/>
      <c r="R37" s="32" t="n"/>
      <c r="S37" s="32" t="n"/>
      <c r="T37" s="55" t="n"/>
      <c r="U37" s="54">
        <f>'S38'!T37</f>
        <v/>
      </c>
      <c r="V37" s="53">
        <f>T37-U37</f>
        <v/>
      </c>
      <c r="W37" s="53">
        <f>N37-T37</f>
        <v/>
      </c>
      <c r="X37" s="34" t="n"/>
    </row>
    <row r="38" ht="22" customHeight="1">
      <c r="B38" s="10" t="n">
        <v>34</v>
      </c>
      <c r="C38" s="6" t="inlineStr">
        <is>
          <t>Sidi Kacem</t>
        </is>
      </c>
      <c r="D38" s="10" t="inlineStr">
        <is>
          <t>NOUIRAT</t>
        </is>
      </c>
      <c r="E38" s="10" t="inlineStr">
        <is>
          <t>50-21</t>
        </is>
      </c>
      <c r="F38" s="10" t="inlineStr">
        <is>
          <t>Entretien et réparation des stations de pompage</t>
        </is>
      </c>
      <c r="G38" s="10" t="inlineStr">
        <is>
          <t>Génie civile des locaux des stations de pompage.</t>
        </is>
      </c>
      <c r="H38" s="10" t="inlineStr">
        <is>
          <t>Expertise d’état et d’étanchéité des locaux pompes, commande, puissance de la station de pompage E1.
Renforcement d’étanchéité des locaux pompe sous niveau des oueds de la station de pompage E1.</t>
        </is>
      </c>
      <c r="I38" s="11" t="n">
        <v>1000000</v>
      </c>
      <c r="J38" s="12" t="inlineStr">
        <is>
          <t>U</t>
        </is>
      </c>
      <c r="K38" s="13" t="n">
        <v>1</v>
      </c>
      <c r="L38" s="51" t="n"/>
      <c r="M38" s="56">
        <f>'S38'!M38+L38</f>
        <v/>
      </c>
      <c r="N38" s="57">
        <f>IFERROR(M38/K38,0)</f>
        <v/>
      </c>
      <c r="O38" s="58">
        <f>'S38'!N38</f>
        <v/>
      </c>
      <c r="P38" s="57">
        <f>N38-O38</f>
        <v/>
      </c>
      <c r="Q38" s="32" t="n"/>
      <c r="R38" s="32" t="n"/>
      <c r="S38" s="32" t="n"/>
      <c r="T38" s="55" t="n"/>
      <c r="U38" s="58">
        <f>'S38'!T38</f>
        <v/>
      </c>
      <c r="V38" s="57">
        <f>T38-U38</f>
        <v/>
      </c>
      <c r="W38" s="57">
        <f>N38-T38</f>
        <v/>
      </c>
      <c r="X38" s="34" t="n"/>
    </row>
    <row r="39" ht="22" customHeight="1">
      <c r="B39" s="5" t="n">
        <v>35</v>
      </c>
      <c r="C39" s="6" t="inlineStr">
        <is>
          <t>Sidi Kacem</t>
        </is>
      </c>
      <c r="D39" s="5" t="inlineStr">
        <is>
          <t>RMILAT</t>
        </is>
      </c>
      <c r="E39" s="5" t="inlineStr">
        <is>
          <t>50-23</t>
        </is>
      </c>
      <c r="F39" s="5" t="inlineStr">
        <is>
          <t>Entretien et réparation du réseau d'assainissement et de drainage</t>
        </is>
      </c>
      <c r="G39" s="5" t="inlineStr">
        <is>
          <t>Travaux de curage des canaux en terre</t>
        </is>
      </c>
      <c r="H39" s="5" t="inlineStr">
        <is>
          <t>Curage des collecteurs d'assainissement des secteurs P7</t>
        </is>
      </c>
      <c r="I39" s="7" t="n">
        <v>5024032</v>
      </c>
      <c r="J39" s="8" t="inlineStr">
        <is>
          <t>ml</t>
        </is>
      </c>
      <c r="K39" s="9" t="n">
        <v>2512</v>
      </c>
      <c r="L39" s="51" t="n"/>
      <c r="M39" s="52">
        <f>'S38'!M39+L39</f>
        <v/>
      </c>
      <c r="N39" s="53">
        <f>IFERROR(M39/K39,0)</f>
        <v/>
      </c>
      <c r="O39" s="54">
        <f>'S38'!N39</f>
        <v/>
      </c>
      <c r="P39" s="53">
        <f>N39-O39</f>
        <v/>
      </c>
      <c r="Q39" s="32" t="n"/>
      <c r="R39" s="32" t="n"/>
      <c r="S39" s="32" t="n"/>
      <c r="T39" s="55" t="n"/>
      <c r="U39" s="54">
        <f>'S38'!T39</f>
        <v/>
      </c>
      <c r="V39" s="53">
        <f>T39-U39</f>
        <v/>
      </c>
      <c r="W39" s="53">
        <f>N39-T39</f>
        <v/>
      </c>
      <c r="X39" s="34" t="n"/>
    </row>
    <row r="40" ht="22" customHeight="1">
      <c r="B40" s="10" t="n">
        <v>36</v>
      </c>
      <c r="C40" s="6" t="inlineStr">
        <is>
          <t>Sidi Kacem</t>
        </is>
      </c>
      <c r="D40" s="10" t="inlineStr">
        <is>
          <t>RMILAT</t>
        </is>
      </c>
      <c r="E40" s="10" t="inlineStr">
        <is>
          <t>40-21</t>
        </is>
      </c>
      <c r="F40" s="10" t="inlineStr">
        <is>
          <t>Travaux de pistes</t>
        </is>
      </c>
      <c r="G40" s="10" t="inlineStr">
        <is>
          <t>Entretien des pistes agricoles</t>
        </is>
      </c>
      <c r="H40" s="10" t="inlineStr">
        <is>
          <t>Entretien des pistes agricoles</t>
        </is>
      </c>
      <c r="I40" s="11" t="n">
        <v>400000</v>
      </c>
      <c r="J40" s="12" t="inlineStr">
        <is>
          <t>km</t>
        </is>
      </c>
      <c r="K40" s="13" t="n">
        <v>1</v>
      </c>
      <c r="L40" s="51" t="n"/>
      <c r="M40" s="56">
        <f>'S38'!M40+L40</f>
        <v/>
      </c>
      <c r="N40" s="57">
        <f>IFERROR(M40/K40,0)</f>
        <v/>
      </c>
      <c r="O40" s="58">
        <f>'S38'!N40</f>
        <v/>
      </c>
      <c r="P40" s="57">
        <f>N40-O40</f>
        <v/>
      </c>
      <c r="Q40" s="32" t="n"/>
      <c r="R40" s="32" t="n"/>
      <c r="S40" s="32" t="n"/>
      <c r="T40" s="55" t="n"/>
      <c r="U40" s="58">
        <f>'S38'!T40</f>
        <v/>
      </c>
      <c r="V40" s="57">
        <f>T40-U40</f>
        <v/>
      </c>
      <c r="W40" s="57">
        <f>N40-T40</f>
        <v/>
      </c>
      <c r="X40" s="34" t="n"/>
    </row>
    <row r="41" ht="22" customHeight="1">
      <c r="B41" s="5" t="n">
        <v>37</v>
      </c>
      <c r="C41" s="6" t="inlineStr">
        <is>
          <t>Sidi Kacem</t>
        </is>
      </c>
      <c r="D41" s="5" t="inlineStr">
        <is>
          <t>SAFSAF</t>
        </is>
      </c>
      <c r="E41" s="5" t="inlineStr">
        <is>
          <t>50-23</t>
        </is>
      </c>
      <c r="F41" s="5" t="inlineStr">
        <is>
          <t>Entretien et réparation du réseau d'assainissement et de drainage</t>
        </is>
      </c>
      <c r="G41" s="5" t="inlineStr">
        <is>
          <t>Travaux de curage des canaux en terre</t>
        </is>
      </c>
      <c r="H41" s="5" t="inlineStr">
        <is>
          <t>Curage des collecteurs d'assainissement des secteurs S7, S9 et S11</t>
        </is>
      </c>
      <c r="I41" s="7" t="n">
        <v>6000000</v>
      </c>
      <c r="J41" s="8" t="inlineStr">
        <is>
          <t>ml</t>
        </is>
      </c>
      <c r="K41" s="9" t="n">
        <v>3000</v>
      </c>
      <c r="L41" s="51" t="n"/>
      <c r="M41" s="52">
        <f>'S38'!M41+L41</f>
        <v/>
      </c>
      <c r="N41" s="53">
        <f>IFERROR(M41/K41,0)</f>
        <v/>
      </c>
      <c r="O41" s="54">
        <f>'S38'!N41</f>
        <v/>
      </c>
      <c r="P41" s="53">
        <f>N41-O41</f>
        <v/>
      </c>
      <c r="Q41" s="32" t="n"/>
      <c r="R41" s="32" t="n"/>
      <c r="S41" s="32" t="n"/>
      <c r="T41" s="55" t="n"/>
      <c r="U41" s="54">
        <f>'S38'!T41</f>
        <v/>
      </c>
      <c r="V41" s="53">
        <f>T41-U41</f>
        <v/>
      </c>
      <c r="W41" s="53">
        <f>N41-T41</f>
        <v/>
      </c>
      <c r="X41" s="34" t="n"/>
    </row>
    <row r="42" ht="22" customHeight="1">
      <c r="B42" s="10" t="n">
        <v>38</v>
      </c>
      <c r="C42" s="6" t="inlineStr">
        <is>
          <t>Sidi Kacem</t>
        </is>
      </c>
      <c r="D42" s="10" t="inlineStr">
        <is>
          <t>SAFSAF</t>
        </is>
      </c>
      <c r="E42" s="10" t="inlineStr">
        <is>
          <t>20-11</t>
        </is>
      </c>
      <c r="F42" s="10" t="inlineStr">
        <is>
          <t>Travaux de réhabilitation des équipements</t>
        </is>
      </c>
      <c r="G42" s="10" t="inlineStr">
        <is>
          <t>Travaux de réhabilitation des canaux portés d'irrigation</t>
        </is>
      </c>
      <c r="H42" s="10" t="inlineStr">
        <is>
          <t>Fourniture et  pose de canaux porté et accessoires du réseau S4 du secteur S11</t>
        </is>
      </c>
      <c r="I42" s="11" t="n">
        <v>232266</v>
      </c>
      <c r="J42" s="12" t="inlineStr">
        <is>
          <t>ml</t>
        </is>
      </c>
      <c r="K42" s="13" t="n">
        <v>77</v>
      </c>
      <c r="L42" s="51" t="n"/>
      <c r="M42" s="56">
        <f>'S38'!M42+L42</f>
        <v/>
      </c>
      <c r="N42" s="57">
        <f>IFERROR(M42/K42,0)</f>
        <v/>
      </c>
      <c r="O42" s="58">
        <f>'S38'!N42</f>
        <v/>
      </c>
      <c r="P42" s="57">
        <f>N42-O42</f>
        <v/>
      </c>
      <c r="Q42" s="32" t="n"/>
      <c r="R42" s="32" t="n"/>
      <c r="S42" s="32" t="n"/>
      <c r="T42" s="55" t="n"/>
      <c r="U42" s="58">
        <f>'S38'!T42</f>
        <v/>
      </c>
      <c r="V42" s="57">
        <f>T42-U42</f>
        <v/>
      </c>
      <c r="W42" s="57">
        <f>N42-T42</f>
        <v/>
      </c>
      <c r="X42" s="34" t="n"/>
    </row>
    <row r="43" ht="22" customHeight="1">
      <c r="B43" s="5" t="n">
        <v>39</v>
      </c>
      <c r="C43" s="6" t="inlineStr">
        <is>
          <t>Sidi Kacem</t>
        </is>
      </c>
      <c r="D43" s="5" t="inlineStr">
        <is>
          <t>SAFSAF</t>
        </is>
      </c>
      <c r="E43" s="5" t="inlineStr">
        <is>
          <t>20-11</t>
        </is>
      </c>
      <c r="F43" s="5" t="inlineStr">
        <is>
          <t>Travaux de réhabilitation des équipements</t>
        </is>
      </c>
      <c r="G43" s="5" t="inlineStr"/>
      <c r="H43" s="5" t="inlineStr">
        <is>
          <t>Recalage des canaux portés du réseau T5S5 du secteur S9</t>
        </is>
      </c>
      <c r="I43" s="7" t="n">
        <v>1055025</v>
      </c>
      <c r="J43" s="8" t="inlineStr">
        <is>
          <t>ml</t>
        </is>
      </c>
      <c r="K43" s="9" t="n">
        <v>352</v>
      </c>
      <c r="L43" s="51" t="n"/>
      <c r="M43" s="52">
        <f>'S38'!M43+L43</f>
        <v/>
      </c>
      <c r="N43" s="53">
        <f>IFERROR(M43/K43,0)</f>
        <v/>
      </c>
      <c r="O43" s="54">
        <f>'S38'!N43</f>
        <v/>
      </c>
      <c r="P43" s="53">
        <f>N43-O43</f>
        <v/>
      </c>
      <c r="Q43" s="32" t="n"/>
      <c r="R43" s="32" t="n"/>
      <c r="S43" s="32" t="n"/>
      <c r="T43" s="55" t="n"/>
      <c r="U43" s="54">
        <f>'S38'!T43</f>
        <v/>
      </c>
      <c r="V43" s="53">
        <f>T43-U43</f>
        <v/>
      </c>
      <c r="W43" s="53">
        <f>N43-T43</f>
        <v/>
      </c>
      <c r="X43" s="34" t="n"/>
    </row>
    <row r="44" ht="22" customHeight="1">
      <c r="B44" s="10" t="n">
        <v>40</v>
      </c>
      <c r="C44" s="6" t="inlineStr">
        <is>
          <t>Sidi Kacem</t>
        </is>
      </c>
      <c r="D44" s="10" t="inlineStr">
        <is>
          <t>SAFSAF</t>
        </is>
      </c>
      <c r="E44" s="10" t="inlineStr">
        <is>
          <t>20-11</t>
        </is>
      </c>
      <c r="F44" s="10" t="inlineStr">
        <is>
          <t>Travaux de réhabilitation des équipements</t>
        </is>
      </c>
      <c r="G44" s="10" t="inlineStr"/>
      <c r="H44" s="10" t="inlineStr">
        <is>
          <t>Recalage des canaux portés du réseau T7S5 du secteur S9</t>
        </is>
      </c>
      <c r="I44" s="11" t="n">
        <v>1004535</v>
      </c>
      <c r="J44" s="12" t="inlineStr">
        <is>
          <t>ml</t>
        </is>
      </c>
      <c r="K44" s="13" t="n">
        <v>335</v>
      </c>
      <c r="L44" s="51" t="n"/>
      <c r="M44" s="56">
        <f>'S38'!M44+L44</f>
        <v/>
      </c>
      <c r="N44" s="57">
        <f>IFERROR(M44/K44,0)</f>
        <v/>
      </c>
      <c r="O44" s="58">
        <f>'S38'!N44</f>
        <v/>
      </c>
      <c r="P44" s="57">
        <f>N44-O44</f>
        <v/>
      </c>
      <c r="Q44" s="32" t="n"/>
      <c r="R44" s="32" t="n"/>
      <c r="S44" s="32" t="n"/>
      <c r="T44" s="55" t="n"/>
      <c r="U44" s="58">
        <f>'S38'!T44</f>
        <v/>
      </c>
      <c r="V44" s="57">
        <f>T44-U44</f>
        <v/>
      </c>
      <c r="W44" s="57">
        <f>N44-T44</f>
        <v/>
      </c>
      <c r="X44" s="34" t="n"/>
    </row>
    <row r="45" ht="22" customHeight="1">
      <c r="B45" s="5" t="n">
        <v>41</v>
      </c>
      <c r="C45" s="6" t="inlineStr">
        <is>
          <t>Sidi Kacem</t>
        </is>
      </c>
      <c r="D45" s="5" t="inlineStr">
        <is>
          <t>SAFSAF</t>
        </is>
      </c>
      <c r="E45" s="5" t="inlineStr">
        <is>
          <t>20-11</t>
        </is>
      </c>
      <c r="F45" s="5" t="inlineStr">
        <is>
          <t>Travaux de réhabilitation des équipements</t>
        </is>
      </c>
      <c r="G45" s="5" t="inlineStr"/>
      <c r="H45" s="5" t="inlineStr">
        <is>
          <t>Recalage des canaux portés du réseau T2S5 du secteur S9</t>
        </is>
      </c>
      <c r="I45" s="7" t="n">
        <v>793830</v>
      </c>
      <c r="J45" s="8" t="inlineStr">
        <is>
          <t>ml</t>
        </is>
      </c>
      <c r="K45" s="9" t="n">
        <v>265</v>
      </c>
      <c r="L45" s="51" t="n"/>
      <c r="M45" s="52">
        <f>'S38'!M45+L45</f>
        <v/>
      </c>
      <c r="N45" s="53">
        <f>IFERROR(M45/K45,0)</f>
        <v/>
      </c>
      <c r="O45" s="54">
        <f>'S38'!N45</f>
        <v/>
      </c>
      <c r="P45" s="53">
        <f>N45-O45</f>
        <v/>
      </c>
      <c r="Q45" s="32" t="n"/>
      <c r="R45" s="32" t="n"/>
      <c r="S45" s="32" t="n"/>
      <c r="T45" s="55" t="n"/>
      <c r="U45" s="54">
        <f>'S38'!T45</f>
        <v/>
      </c>
      <c r="V45" s="53">
        <f>T45-U45</f>
        <v/>
      </c>
      <c r="W45" s="53">
        <f>N45-T45</f>
        <v/>
      </c>
      <c r="X45" s="34" t="n"/>
    </row>
    <row r="46" ht="22" customHeight="1">
      <c r="B46" s="10" t="n">
        <v>42</v>
      </c>
      <c r="C46" s="6" t="inlineStr">
        <is>
          <t>Sidi Kacem</t>
        </is>
      </c>
      <c r="D46" s="10" t="inlineStr">
        <is>
          <t>SAFSAF</t>
        </is>
      </c>
      <c r="E46" s="10" t="inlineStr">
        <is>
          <t>40-21</t>
        </is>
      </c>
      <c r="F46" s="10" t="inlineStr">
        <is>
          <t>Travaux de pistes</t>
        </is>
      </c>
      <c r="G46" s="10" t="inlineStr">
        <is>
          <t>Entretien des pistes agricoles</t>
        </is>
      </c>
      <c r="H46" s="10" t="inlineStr">
        <is>
          <t>Entretien des pistes agricoles</t>
        </is>
      </c>
      <c r="I46" s="11" t="n">
        <v>2000000</v>
      </c>
      <c r="J46" s="12" t="inlineStr">
        <is>
          <t>km</t>
        </is>
      </c>
      <c r="K46" s="13" t="n">
        <v>4</v>
      </c>
      <c r="L46" s="51" t="n"/>
      <c r="M46" s="56">
        <f>'S38'!M46+L46</f>
        <v/>
      </c>
      <c r="N46" s="57">
        <f>IFERROR(M46/K46,0)</f>
        <v/>
      </c>
      <c r="O46" s="58">
        <f>'S38'!N46</f>
        <v/>
      </c>
      <c r="P46" s="57">
        <f>N46-O46</f>
        <v/>
      </c>
      <c r="Q46" s="32" t="n"/>
      <c r="R46" s="32" t="n"/>
      <c r="S46" s="32" t="n"/>
      <c r="T46" s="55" t="n"/>
      <c r="U46" s="58">
        <f>'S38'!T46</f>
        <v/>
      </c>
      <c r="V46" s="57">
        <f>T46-U46</f>
        <v/>
      </c>
      <c r="W46" s="57">
        <f>N46-T46</f>
        <v/>
      </c>
      <c r="X46" s="34" t="n"/>
    </row>
    <row r="47" ht="22" customHeight="1">
      <c r="B47" s="5" t="n">
        <v>43</v>
      </c>
      <c r="C47" s="6" t="inlineStr">
        <is>
          <t>Sidi Kacem</t>
        </is>
      </c>
      <c r="D47" s="5" t="inlineStr">
        <is>
          <t>SAFSAF</t>
        </is>
      </c>
      <c r="E47" s="5" t="inlineStr">
        <is>
          <t>50-23</t>
        </is>
      </c>
      <c r="F47" s="5" t="inlineStr">
        <is>
          <t>Entretien et réparation du réseau d'assainissement et de drainage</t>
        </is>
      </c>
      <c r="G47" s="5" t="inlineStr">
        <is>
          <t>Curage des prises sur l’oued, bâche d’aspiration et bassin de régulation.</t>
        </is>
      </c>
      <c r="H47" s="5" t="inlineStr">
        <is>
          <t>Curage des prises sur l’oued des stations de pompage S11, S9, 7D et 7B.
Nettoyage des grilles de préfiltration des boues colmaté des stations de pompage S11, S9, 7D et 7B.
Nettoyage des crépines des boues colmaté de station pompage 7D.
Curage des dalots et bâche d’aspiration des stations de pompage S11, S9, 7B.</t>
        </is>
      </c>
      <c r="I47" s="7" t="n">
        <v>200000</v>
      </c>
      <c r="J47" s="8" t="inlineStr">
        <is>
          <t>ml</t>
        </is>
      </c>
      <c r="K47" s="9" t="n">
        <v>67</v>
      </c>
      <c r="L47" s="51" t="n"/>
      <c r="M47" s="52">
        <f>'S38'!M47+L47</f>
        <v/>
      </c>
      <c r="N47" s="53">
        <f>IFERROR(M47/K47,0)</f>
        <v/>
      </c>
      <c r="O47" s="54">
        <f>'S38'!N47</f>
        <v/>
      </c>
      <c r="P47" s="53">
        <f>N47-O47</f>
        <v/>
      </c>
      <c r="Q47" s="32" t="n"/>
      <c r="R47" s="32" t="n"/>
      <c r="S47" s="32" t="n"/>
      <c r="T47" s="55" t="n"/>
      <c r="U47" s="54">
        <f>'S38'!T47</f>
        <v/>
      </c>
      <c r="V47" s="53">
        <f>T47-U47</f>
        <v/>
      </c>
      <c r="W47" s="53">
        <f>N47-T47</f>
        <v/>
      </c>
      <c r="X47" s="34" t="n"/>
    </row>
    <row r="48" ht="22" customHeight="1">
      <c r="B48" s="10" t="n">
        <v>44</v>
      </c>
      <c r="C48" s="6" t="inlineStr">
        <is>
          <t>Sidi Kacem</t>
        </is>
      </c>
      <c r="D48" s="10" t="inlineStr">
        <is>
          <t>SAFSAF</t>
        </is>
      </c>
      <c r="E48" s="10" t="inlineStr">
        <is>
          <t>50-21</t>
        </is>
      </c>
      <c r="F48" s="10" t="inlineStr">
        <is>
          <t>Entretien et réparation des stations de pompage</t>
        </is>
      </c>
      <c r="G48" s="10" t="inlineStr">
        <is>
          <t>Prestation de maintenance des débitmètres et leurs équipements annexes installés au niveau des station de pompage</t>
        </is>
      </c>
      <c r="H48" s="10" t="inlineStr">
        <is>
          <t>Changements Sept des débitmètres Ø 600mm inondé des deux stations de pompage S11 et S9.</t>
        </is>
      </c>
      <c r="I48" s="11" t="n">
        <v>580000</v>
      </c>
      <c r="J48" s="12" t="inlineStr">
        <is>
          <t>U</t>
        </is>
      </c>
      <c r="K48" s="13" t="n">
        <v>7</v>
      </c>
      <c r="L48" s="51" t="n"/>
      <c r="M48" s="56">
        <f>'S38'!M48+L48</f>
        <v/>
      </c>
      <c r="N48" s="57">
        <f>IFERROR(M48/K48,0)</f>
        <v/>
      </c>
      <c r="O48" s="58">
        <f>'S38'!N48</f>
        <v/>
      </c>
      <c r="P48" s="57">
        <f>N48-O48</f>
        <v/>
      </c>
      <c r="Q48" s="32" t="n"/>
      <c r="R48" s="32" t="n"/>
      <c r="S48" s="32" t="n"/>
      <c r="T48" s="55" t="n"/>
      <c r="U48" s="58">
        <f>'S38'!T48</f>
        <v/>
      </c>
      <c r="V48" s="57">
        <f>T48-U48</f>
        <v/>
      </c>
      <c r="W48" s="57">
        <f>N48-T48</f>
        <v/>
      </c>
      <c r="X48" s="34" t="n"/>
    </row>
    <row r="49" ht="22" customHeight="1">
      <c r="B49" s="5" t="n">
        <v>45</v>
      </c>
      <c r="C49" s="6" t="inlineStr">
        <is>
          <t>Sidi Kacem</t>
        </is>
      </c>
      <c r="D49" s="5" t="inlineStr">
        <is>
          <t>SAFSAF</t>
        </is>
      </c>
      <c r="E49" s="5" t="inlineStr">
        <is>
          <t>50-21</t>
        </is>
      </c>
      <c r="F49" s="5" t="inlineStr">
        <is>
          <t>Entretien et réparation des stations de pompage</t>
        </is>
      </c>
      <c r="G49" s="5" t="inlineStr">
        <is>
          <t>Stabilisation Berge oued</t>
        </is>
      </c>
      <c r="H49" s="5" t="inlineStr">
        <is>
          <t>Pose de murs en gabions et recouvrement du talus par matelas Reno des stations de pompage S11, S9, 7D et 7B .</t>
        </is>
      </c>
      <c r="I49" s="7" t="n">
        <v>4000000</v>
      </c>
      <c r="J49" s="8" t="inlineStr">
        <is>
          <t>m³</t>
        </is>
      </c>
      <c r="K49" s="9" t="n">
        <v>2667</v>
      </c>
      <c r="L49" s="51" t="n"/>
      <c r="M49" s="52">
        <f>'S38'!M49+L49</f>
        <v/>
      </c>
      <c r="N49" s="53">
        <f>IFERROR(M49/K49,0)</f>
        <v/>
      </c>
      <c r="O49" s="54">
        <f>'S38'!N49</f>
        <v/>
      </c>
      <c r="P49" s="53">
        <f>N49-O49</f>
        <v/>
      </c>
      <c r="Q49" s="32" t="n"/>
      <c r="R49" s="32" t="n"/>
      <c r="S49" s="32" t="n"/>
      <c r="T49" s="55" t="n"/>
      <c r="U49" s="54">
        <f>'S38'!T49</f>
        <v/>
      </c>
      <c r="V49" s="53">
        <f>T49-U49</f>
        <v/>
      </c>
      <c r="W49" s="53">
        <f>N49-T49</f>
        <v/>
      </c>
      <c r="X49" s="34" t="n"/>
    </row>
    <row r="50" ht="22" customHeight="1">
      <c r="B50" s="10" t="n">
        <v>46</v>
      </c>
      <c r="C50" s="6" t="inlineStr">
        <is>
          <t>Sidi Kacem</t>
        </is>
      </c>
      <c r="D50" s="10" t="inlineStr">
        <is>
          <t>SIDI AZZOUZ</t>
        </is>
      </c>
      <c r="E50" s="10" t="inlineStr">
        <is>
          <t>40-21</t>
        </is>
      </c>
      <c r="F50" s="10" t="inlineStr">
        <is>
          <t>Travaux de pistes</t>
        </is>
      </c>
      <c r="G50" s="10" t="inlineStr">
        <is>
          <t>Entretien des pistes agricoles</t>
        </is>
      </c>
      <c r="H50" s="10" t="inlineStr">
        <is>
          <t>Entretien des pistes agricoles</t>
        </is>
      </c>
      <c r="I50" s="11" t="n">
        <v>655000</v>
      </c>
      <c r="J50" s="12" t="inlineStr">
        <is>
          <t>km</t>
        </is>
      </c>
      <c r="K50" s="13" t="n">
        <v>1</v>
      </c>
      <c r="L50" s="51" t="n"/>
      <c r="M50" s="56">
        <f>'S38'!M50+L50</f>
        <v/>
      </c>
      <c r="N50" s="57">
        <f>IFERROR(M50/K50,0)</f>
        <v/>
      </c>
      <c r="O50" s="58">
        <f>'S38'!N50</f>
        <v/>
      </c>
      <c r="P50" s="57">
        <f>N50-O50</f>
        <v/>
      </c>
      <c r="Q50" s="32" t="n"/>
      <c r="R50" s="32" t="n"/>
      <c r="S50" s="32" t="n"/>
      <c r="T50" s="55" t="n"/>
      <c r="U50" s="58">
        <f>'S38'!T50</f>
        <v/>
      </c>
      <c r="V50" s="57">
        <f>T50-U50</f>
        <v/>
      </c>
      <c r="W50" s="57">
        <f>N50-T50</f>
        <v/>
      </c>
      <c r="X50" s="34" t="n"/>
    </row>
    <row r="51" ht="22" customHeight="1">
      <c r="B51" s="5" t="n">
        <v>47</v>
      </c>
      <c r="C51" s="6" t="inlineStr">
        <is>
          <t>Sidi Kacem</t>
        </is>
      </c>
      <c r="D51" s="5" t="inlineStr">
        <is>
          <t>SIDI EL KAMEL</t>
        </is>
      </c>
      <c r="E51" s="5" t="inlineStr">
        <is>
          <t>20-11</t>
        </is>
      </c>
      <c r="F51" s="5" t="inlineStr">
        <is>
          <t>Travaux de réhabilitation des équipements</t>
        </is>
      </c>
      <c r="G51" s="5" t="inlineStr">
        <is>
          <t>Travaux de réhabilitation des canaux portés d'irrigation</t>
        </is>
      </c>
      <c r="H51" s="5" t="inlineStr">
        <is>
          <t>Fourniture et de pose de canaux porté et accessoires du réseau SR4 du secteur S3R</t>
        </is>
      </c>
      <c r="I51" s="7" t="n">
        <v>5182920</v>
      </c>
      <c r="J51" s="8" t="inlineStr">
        <is>
          <t>ml</t>
        </is>
      </c>
      <c r="K51" s="9" t="n">
        <v>1728</v>
      </c>
      <c r="L51" s="51" t="n"/>
      <c r="M51" s="52">
        <f>'S38'!M51+L51</f>
        <v/>
      </c>
      <c r="N51" s="53">
        <f>IFERROR(M51/K51,0)</f>
        <v/>
      </c>
      <c r="O51" s="54">
        <f>'S38'!N51</f>
        <v/>
      </c>
      <c r="P51" s="53">
        <f>N51-O51</f>
        <v/>
      </c>
      <c r="Q51" s="32" t="n"/>
      <c r="R51" s="32" t="n"/>
      <c r="S51" s="32" t="n"/>
      <c r="T51" s="55" t="n"/>
      <c r="U51" s="54">
        <f>'S38'!T51</f>
        <v/>
      </c>
      <c r="V51" s="53">
        <f>T51-U51</f>
        <v/>
      </c>
      <c r="W51" s="53">
        <f>N51-T51</f>
        <v/>
      </c>
      <c r="X51" s="34" t="n"/>
    </row>
    <row r="52" ht="22" customHeight="1">
      <c r="B52" s="10" t="n">
        <v>48</v>
      </c>
      <c r="C52" s="6" t="inlineStr">
        <is>
          <t>Sidi Kacem</t>
        </is>
      </c>
      <c r="D52" s="10" t="inlineStr">
        <is>
          <t>SIDI EL KAMEL</t>
        </is>
      </c>
      <c r="E52" s="10" t="inlineStr">
        <is>
          <t>20-11</t>
        </is>
      </c>
      <c r="F52" s="10" t="inlineStr">
        <is>
          <t>Travaux de réhabilitation des équipements</t>
        </is>
      </c>
      <c r="G52" s="10" t="inlineStr"/>
      <c r="H52" s="10" t="inlineStr">
        <is>
          <t>Fourniture et de pose de canaux porté et accessoires du réseau SR6 du secteur S1RIZ</t>
        </is>
      </c>
      <c r="I52" s="11" t="n">
        <v>152818</v>
      </c>
      <c r="J52" s="12" t="inlineStr">
        <is>
          <t>ml</t>
        </is>
      </c>
      <c r="K52" s="13" t="n">
        <v>51</v>
      </c>
      <c r="L52" s="51" t="n"/>
      <c r="M52" s="56">
        <f>'S38'!M52+L52</f>
        <v/>
      </c>
      <c r="N52" s="57">
        <f>IFERROR(M52/K52,0)</f>
        <v/>
      </c>
      <c r="O52" s="58">
        <f>'S38'!N52</f>
        <v/>
      </c>
      <c r="P52" s="57">
        <f>N52-O52</f>
        <v/>
      </c>
      <c r="Q52" s="32" t="n"/>
      <c r="R52" s="32" t="n"/>
      <c r="S52" s="32" t="n"/>
      <c r="T52" s="55" t="n"/>
      <c r="U52" s="58">
        <f>'S38'!T52</f>
        <v/>
      </c>
      <c r="V52" s="57">
        <f>T52-U52</f>
        <v/>
      </c>
      <c r="W52" s="57">
        <f>N52-T52</f>
        <v/>
      </c>
      <c r="X52" s="34" t="n"/>
    </row>
    <row r="53" ht="22" customHeight="1">
      <c r="B53" s="5" t="n">
        <v>49</v>
      </c>
      <c r="C53" s="6" t="inlineStr">
        <is>
          <t>Sidi Kacem</t>
        </is>
      </c>
      <c r="D53" s="5" t="inlineStr">
        <is>
          <t>SIDI EL KAMEL</t>
        </is>
      </c>
      <c r="E53" s="5" t="inlineStr">
        <is>
          <t>20-11</t>
        </is>
      </c>
      <c r="F53" s="5" t="inlineStr">
        <is>
          <t>Travaux de réhabilitation des équipements</t>
        </is>
      </c>
      <c r="G53" s="5" t="inlineStr"/>
      <c r="H53" s="5" t="inlineStr">
        <is>
          <t>Recalage des canaux portés du réseau SR4 du secteur S3R</t>
        </is>
      </c>
      <c r="I53" s="7" t="n">
        <v>1418000</v>
      </c>
      <c r="J53" s="8" t="inlineStr">
        <is>
          <t>ml</t>
        </is>
      </c>
      <c r="K53" s="9" t="n">
        <v>473</v>
      </c>
      <c r="L53" s="51" t="n"/>
      <c r="M53" s="52">
        <f>'S38'!M53+L53</f>
        <v/>
      </c>
      <c r="N53" s="53">
        <f>IFERROR(M53/K53,0)</f>
        <v/>
      </c>
      <c r="O53" s="54">
        <f>'S38'!N53</f>
        <v/>
      </c>
      <c r="P53" s="53">
        <f>N53-O53</f>
        <v/>
      </c>
      <c r="Q53" s="32" t="n"/>
      <c r="R53" s="32" t="n"/>
      <c r="S53" s="32" t="n"/>
      <c r="T53" s="55" t="n"/>
      <c r="U53" s="54">
        <f>'S38'!T53</f>
        <v/>
      </c>
      <c r="V53" s="53">
        <f>T53-U53</f>
        <v/>
      </c>
      <c r="W53" s="53">
        <f>N53-T53</f>
        <v/>
      </c>
      <c r="X53" s="34" t="n"/>
    </row>
    <row r="54" ht="22" customHeight="1">
      <c r="B54" s="10" t="n">
        <v>50</v>
      </c>
      <c r="C54" s="6" t="inlineStr">
        <is>
          <t>Sidi Kacem</t>
        </is>
      </c>
      <c r="D54" s="10" t="inlineStr">
        <is>
          <t>SIDI EL KAMEL</t>
        </is>
      </c>
      <c r="E54" s="10" t="inlineStr">
        <is>
          <t>20-11</t>
        </is>
      </c>
      <c r="F54" s="10" t="inlineStr">
        <is>
          <t>Travaux de réhabilitation des équipements</t>
        </is>
      </c>
      <c r="G54" s="10" t="inlineStr">
        <is>
          <t>Travaux de réhabilitation des ouvrages de génie civil</t>
        </is>
      </c>
      <c r="H54" s="10" t="inlineStr">
        <is>
          <t>Réhabilitation des murs de soutènements des ouvrages de franchissements du canal d'assainissement CS3 secteur S3 et de l’ouvrage de franchissement du canal primaire d’irrigation du secteur S1R au niveau de la route provinciale P4234</t>
        </is>
      </c>
      <c r="I54" s="11" t="n">
        <v>800000</v>
      </c>
      <c r="J54" s="12" t="inlineStr">
        <is>
          <t>ml</t>
        </is>
      </c>
      <c r="K54" s="13" t="n">
        <v>400</v>
      </c>
      <c r="L54" s="51" t="n"/>
      <c r="M54" s="56">
        <f>'S38'!M54+L54</f>
        <v/>
      </c>
      <c r="N54" s="57">
        <f>IFERROR(M54/K54,0)</f>
        <v/>
      </c>
      <c r="O54" s="58">
        <f>'S38'!N54</f>
        <v/>
      </c>
      <c r="P54" s="57">
        <f>N54-O54</f>
        <v/>
      </c>
      <c r="Q54" s="32" t="n"/>
      <c r="R54" s="32" t="n"/>
      <c r="S54" s="32" t="n"/>
      <c r="T54" s="55" t="n"/>
      <c r="U54" s="58">
        <f>'S38'!T54</f>
        <v/>
      </c>
      <c r="V54" s="57">
        <f>T54-U54</f>
        <v/>
      </c>
      <c r="W54" s="57">
        <f>N54-T54</f>
        <v/>
      </c>
      <c r="X54" s="34" t="n"/>
    </row>
    <row r="55" ht="22" customHeight="1">
      <c r="B55" s="5" t="n">
        <v>51</v>
      </c>
      <c r="C55" s="6" t="inlineStr">
        <is>
          <t>Sidi Kacem</t>
        </is>
      </c>
      <c r="D55" s="5" t="inlineStr">
        <is>
          <t>SIDI EL KAMEL</t>
        </is>
      </c>
      <c r="E55" s="5" t="inlineStr">
        <is>
          <t>40-21</t>
        </is>
      </c>
      <c r="F55" s="5" t="inlineStr">
        <is>
          <t>Travaux de pistes</t>
        </is>
      </c>
      <c r="G55" s="5" t="inlineStr">
        <is>
          <t>Entretien des pistes agricoles</t>
        </is>
      </c>
      <c r="H55" s="5" t="inlineStr">
        <is>
          <t>Entretien des pistes agricoles</t>
        </is>
      </c>
      <c r="I55" s="7" t="n">
        <v>3700000</v>
      </c>
      <c r="J55" s="8" t="inlineStr">
        <is>
          <t>km</t>
        </is>
      </c>
      <c r="K55" s="9" t="n">
        <v>7</v>
      </c>
      <c r="L55" s="51" t="n"/>
      <c r="M55" s="52">
        <f>'S38'!M55+L55</f>
        <v/>
      </c>
      <c r="N55" s="53">
        <f>IFERROR(M55/K55,0)</f>
        <v/>
      </c>
      <c r="O55" s="54">
        <f>'S38'!N55</f>
        <v/>
      </c>
      <c r="P55" s="53">
        <f>N55-O55</f>
        <v/>
      </c>
      <c r="Q55" s="32" t="n"/>
      <c r="R55" s="32" t="n"/>
      <c r="S55" s="32" t="n"/>
      <c r="T55" s="55" t="n"/>
      <c r="U55" s="54">
        <f>'S38'!T55</f>
        <v/>
      </c>
      <c r="V55" s="53">
        <f>T55-U55</f>
        <v/>
      </c>
      <c r="W55" s="53">
        <f>N55-T55</f>
        <v/>
      </c>
      <c r="X55" s="34" t="n"/>
    </row>
    <row r="56" ht="22" customHeight="1">
      <c r="B56" s="10" t="n">
        <v>52</v>
      </c>
      <c r="C56" s="6" t="inlineStr">
        <is>
          <t>Sidi Kacem</t>
        </is>
      </c>
      <c r="D56" s="10" t="inlineStr">
        <is>
          <t>SIDI EL KAMEL</t>
        </is>
      </c>
      <c r="E56" s="10" t="inlineStr">
        <is>
          <t>50-21</t>
        </is>
      </c>
      <c r="F56" s="10" t="inlineStr">
        <is>
          <t>Entretien et réparation des stations de pompage</t>
        </is>
      </c>
      <c r="G56" s="10" t="inlineStr">
        <is>
          <t>Prestation de maintenance des débitmètres et leurs équipements annexes installés au niveau des station de pompage</t>
        </is>
      </c>
      <c r="H56" s="10" t="inlineStr">
        <is>
          <t>Changement de quatre débitmètres Ø 500mm et trois Ø 800mm inondé des stations de pompage 1R, 3R et 5R.</t>
        </is>
      </c>
      <c r="I56" s="11" t="n">
        <v>705000</v>
      </c>
      <c r="J56" s="12" t="inlineStr">
        <is>
          <t>U</t>
        </is>
      </c>
      <c r="K56" s="13" t="n">
        <v>3</v>
      </c>
      <c r="L56" s="51" t="n"/>
      <c r="M56" s="56">
        <f>'S38'!M56+L56</f>
        <v/>
      </c>
      <c r="N56" s="57">
        <f>IFERROR(M56/K56,0)</f>
        <v/>
      </c>
      <c r="O56" s="58">
        <f>'S38'!N56</f>
        <v/>
      </c>
      <c r="P56" s="57">
        <f>N56-O56</f>
        <v/>
      </c>
      <c r="Q56" s="32" t="n"/>
      <c r="R56" s="32" t="n"/>
      <c r="S56" s="32" t="n"/>
      <c r="T56" s="55" t="n"/>
      <c r="U56" s="58">
        <f>'S38'!T56</f>
        <v/>
      </c>
      <c r="V56" s="57">
        <f>T56-U56</f>
        <v/>
      </c>
      <c r="W56" s="57">
        <f>N56-T56</f>
        <v/>
      </c>
      <c r="X56" s="34" t="n"/>
    </row>
    <row r="57" ht="22" customHeight="1">
      <c r="B57" s="5" t="n">
        <v>53</v>
      </c>
      <c r="C57" s="6" t="inlineStr">
        <is>
          <t>Sidi Kacem</t>
        </is>
      </c>
      <c r="D57" s="5" t="inlineStr">
        <is>
          <t>SIDI EL KAMEL</t>
        </is>
      </c>
      <c r="E57" s="5" t="inlineStr">
        <is>
          <t>50-21</t>
        </is>
      </c>
      <c r="F57" s="5" t="inlineStr">
        <is>
          <t>Entretien et réparation des stations de pompage</t>
        </is>
      </c>
      <c r="G57" s="5" t="inlineStr">
        <is>
          <t>Mur clôture des stations de pompage.</t>
        </is>
      </c>
      <c r="H57" s="5" t="inlineStr">
        <is>
          <t>Stabilisation et reconstruction des murs clôture cote oued des stations de pompage 7A, 3R et 1R.</t>
        </is>
      </c>
      <c r="I57" s="7" t="n">
        <v>372000</v>
      </c>
      <c r="J57" s="8" t="inlineStr">
        <is>
          <t>ml</t>
        </is>
      </c>
      <c r="K57" s="9" t="n">
        <v>124</v>
      </c>
      <c r="L57" s="51" t="n"/>
      <c r="M57" s="52">
        <f>'S38'!M57+L57</f>
        <v/>
      </c>
      <c r="N57" s="53">
        <f>IFERROR(M57/K57,0)</f>
        <v/>
      </c>
      <c r="O57" s="54">
        <f>'S38'!N57</f>
        <v/>
      </c>
      <c r="P57" s="53">
        <f>N57-O57</f>
        <v/>
      </c>
      <c r="Q57" s="32" t="n"/>
      <c r="R57" s="32" t="n"/>
      <c r="S57" s="32" t="n"/>
      <c r="T57" s="55" t="n"/>
      <c r="U57" s="54">
        <f>'S38'!T57</f>
        <v/>
      </c>
      <c r="V57" s="53">
        <f>T57-U57</f>
        <v/>
      </c>
      <c r="W57" s="53">
        <f>N57-T57</f>
        <v/>
      </c>
      <c r="X57" s="34" t="n"/>
    </row>
    <row r="58" ht="22" customHeight="1">
      <c r="B58" s="10" t="n">
        <v>54</v>
      </c>
      <c r="C58" s="14" t="inlineStr">
        <is>
          <t>Kénitra</t>
        </is>
      </c>
      <c r="D58" s="10" t="inlineStr">
        <is>
          <t>Bni malek</t>
        </is>
      </c>
      <c r="E58" s="10" t="inlineStr">
        <is>
          <t>50-23</t>
        </is>
      </c>
      <c r="F58" s="10" t="inlineStr">
        <is>
          <t>Entretien et réparation du réseau d'assainissement et de drainage</t>
        </is>
      </c>
      <c r="G58" s="10" t="inlineStr">
        <is>
          <t>Travaux de curage des canaux en terre</t>
        </is>
      </c>
      <c r="H58" s="10" t="inlineStr">
        <is>
          <t>Curage des emissaires et colatures secondaire au niveau des secteurs MDA ET N9</t>
        </is>
      </c>
      <c r="I58" s="11" t="n">
        <v>10000000</v>
      </c>
      <c r="J58" s="12" t="inlineStr">
        <is>
          <t>ml</t>
        </is>
      </c>
      <c r="K58" s="13" t="n">
        <v>5000</v>
      </c>
      <c r="L58" s="51" t="n"/>
      <c r="M58" s="56">
        <f>'S38'!M58+L58</f>
        <v/>
      </c>
      <c r="N58" s="57">
        <f>IFERROR(M58/K58,0)</f>
        <v/>
      </c>
      <c r="O58" s="58">
        <f>'S38'!N58</f>
        <v/>
      </c>
      <c r="P58" s="57">
        <f>N58-O58</f>
        <v/>
      </c>
      <c r="Q58" s="32" t="n"/>
      <c r="R58" s="32" t="n"/>
      <c r="S58" s="32" t="n"/>
      <c r="T58" s="55" t="n"/>
      <c r="U58" s="58">
        <f>'S38'!T58</f>
        <v/>
      </c>
      <c r="V58" s="57">
        <f>T58-U58</f>
        <v/>
      </c>
      <c r="W58" s="57">
        <f>N58-T58</f>
        <v/>
      </c>
      <c r="X58" s="34" t="n"/>
    </row>
    <row r="59" ht="22" customHeight="1">
      <c r="B59" s="5" t="n">
        <v>55</v>
      </c>
      <c r="C59" s="14" t="inlineStr">
        <is>
          <t>Kénitra</t>
        </is>
      </c>
      <c r="D59" s="5" t="inlineStr">
        <is>
          <t>Bni malek</t>
        </is>
      </c>
      <c r="E59" s="5" t="inlineStr">
        <is>
          <t>40-21</t>
        </is>
      </c>
      <c r="F59" s="5" t="inlineStr">
        <is>
          <t>Travaux de pistes</t>
        </is>
      </c>
      <c r="G59" s="5" t="inlineStr">
        <is>
          <t>Travaux de réhabilitation des pistes agricoles</t>
        </is>
      </c>
      <c r="H59" s="5" t="inlineStr">
        <is>
          <t>Entretien des pistes agricoles des secteurs MDA et N3</t>
        </is>
      </c>
      <c r="I59" s="7" t="n">
        <v>2000000</v>
      </c>
      <c r="J59" s="8" t="inlineStr">
        <is>
          <t>km</t>
        </is>
      </c>
      <c r="K59" s="9" t="n">
        <v>4</v>
      </c>
      <c r="L59" s="51" t="n"/>
      <c r="M59" s="52">
        <f>'S38'!M59+L59</f>
        <v/>
      </c>
      <c r="N59" s="53">
        <f>IFERROR(M59/K59,0)</f>
        <v/>
      </c>
      <c r="O59" s="54">
        <f>'S38'!N59</f>
        <v/>
      </c>
      <c r="P59" s="53">
        <f>N59-O59</f>
        <v/>
      </c>
      <c r="Q59" s="32" t="n"/>
      <c r="R59" s="32" t="n"/>
      <c r="S59" s="32" t="n"/>
      <c r="T59" s="55" t="n"/>
      <c r="U59" s="54">
        <f>'S38'!T59</f>
        <v/>
      </c>
      <c r="V59" s="53">
        <f>T59-U59</f>
        <v/>
      </c>
      <c r="W59" s="53">
        <f>N59-T59</f>
        <v/>
      </c>
      <c r="X59" s="34" t="n"/>
    </row>
    <row r="60" ht="22" customHeight="1">
      <c r="B60" s="10" t="n">
        <v>56</v>
      </c>
      <c r="C60" s="14" t="inlineStr">
        <is>
          <t>Kénitra</t>
        </is>
      </c>
      <c r="D60" s="10" t="inlineStr">
        <is>
          <t>Bni malek</t>
        </is>
      </c>
      <c r="E60" s="10" t="inlineStr">
        <is>
          <t>50-21</t>
        </is>
      </c>
      <c r="F60" s="10" t="inlineStr">
        <is>
          <t>Entretien et réparation des stations de pompage</t>
        </is>
      </c>
      <c r="G60" s="10" t="inlineStr">
        <is>
          <t>Prestations de maintenance et de réparation mécanique des pompes et des groupes motopompes submersibles des stations de pompage.</t>
        </is>
      </c>
      <c r="H60" s="10" t="inlineStr">
        <is>
          <t>station de pompage MDA secteur MDA</t>
        </is>
      </c>
      <c r="I60" s="11" t="n">
        <v>300000</v>
      </c>
      <c r="J60" s="12" t="inlineStr">
        <is>
          <t>U</t>
        </is>
      </c>
      <c r="K60" s="13" t="n">
        <v>1</v>
      </c>
      <c r="L60" s="51" t="n"/>
      <c r="M60" s="56">
        <f>'S38'!M60+L60</f>
        <v/>
      </c>
      <c r="N60" s="57">
        <f>IFERROR(M60/K60,0)</f>
        <v/>
      </c>
      <c r="O60" s="58">
        <f>'S38'!N60</f>
        <v/>
      </c>
      <c r="P60" s="57">
        <f>N60-O60</f>
        <v/>
      </c>
      <c r="Q60" s="32" t="n"/>
      <c r="R60" s="32" t="n"/>
      <c r="S60" s="32" t="n"/>
      <c r="T60" s="55" t="n"/>
      <c r="U60" s="58">
        <f>'S38'!T60</f>
        <v/>
      </c>
      <c r="V60" s="57">
        <f>T60-U60</f>
        <v/>
      </c>
      <c r="W60" s="57">
        <f>N60-T60</f>
        <v/>
      </c>
      <c r="X60" s="34" t="n"/>
    </row>
    <row r="61" ht="22" customHeight="1">
      <c r="B61" s="5" t="n">
        <v>57</v>
      </c>
      <c r="C61" s="14" t="inlineStr">
        <is>
          <t>Kénitra</t>
        </is>
      </c>
      <c r="D61" s="5" t="inlineStr">
        <is>
          <t>Bni malek</t>
        </is>
      </c>
      <c r="E61" s="5" t="inlineStr">
        <is>
          <t>20-11</t>
        </is>
      </c>
      <c r="F61" s="5" t="inlineStr">
        <is>
          <t>Travaux de réhabilitation des équipements</t>
        </is>
      </c>
      <c r="G61" s="5" t="inlineStr">
        <is>
          <t>Travaux de réhabilitation des ouvrages de génie civil</t>
        </is>
      </c>
      <c r="H61" s="5" t="inlineStr">
        <is>
          <t>Rétablissement des bornes affaissées des secteurs N2 et N3</t>
        </is>
      </c>
      <c r="I61" s="7" t="n">
        <v>100000</v>
      </c>
      <c r="J61" s="8" t="inlineStr">
        <is>
          <t>U</t>
        </is>
      </c>
      <c r="K61" s="9" t="n">
        <v>200</v>
      </c>
      <c r="L61" s="51" t="n"/>
      <c r="M61" s="52">
        <f>'S38'!M61+L61</f>
        <v/>
      </c>
      <c r="N61" s="53">
        <f>IFERROR(M61/K61,0)</f>
        <v/>
      </c>
      <c r="O61" s="54">
        <f>'S38'!N61</f>
        <v/>
      </c>
      <c r="P61" s="53">
        <f>N61-O61</f>
        <v/>
      </c>
      <c r="Q61" s="32" t="n"/>
      <c r="R61" s="32" t="n"/>
      <c r="S61" s="32" t="n"/>
      <c r="T61" s="55" t="n"/>
      <c r="U61" s="54">
        <f>'S38'!T61</f>
        <v/>
      </c>
      <c r="V61" s="53">
        <f>T61-U61</f>
        <v/>
      </c>
      <c r="W61" s="53">
        <f>N61-T61</f>
        <v/>
      </c>
      <c r="X61" s="34" t="n"/>
    </row>
    <row r="62" ht="22" customHeight="1">
      <c r="B62" s="10" t="n">
        <v>58</v>
      </c>
      <c r="C62" s="14" t="inlineStr">
        <is>
          <t>Kénitra</t>
        </is>
      </c>
      <c r="D62" s="10" t="inlineStr">
        <is>
          <t>SOUK TLET</t>
        </is>
      </c>
      <c r="E62" s="10" t="inlineStr">
        <is>
          <t>50-23</t>
        </is>
      </c>
      <c r="F62" s="10" t="inlineStr">
        <is>
          <t>Entretien et réparation du réseau d'assainissement et de drainage</t>
        </is>
      </c>
      <c r="G62" s="10" t="inlineStr">
        <is>
          <t>Travaux de curage des canaux en terre</t>
        </is>
      </c>
      <c r="H62" s="10" t="inlineStr">
        <is>
          <t>curage des emissaires et colatures secondaire au niveau des secteurs N2,N3 ET N4,</t>
        </is>
      </c>
      <c r="I62" s="11" t="n">
        <v>3000000</v>
      </c>
      <c r="J62" s="12" t="inlineStr">
        <is>
          <t>ml</t>
        </is>
      </c>
      <c r="K62" s="13" t="n">
        <v>1500</v>
      </c>
      <c r="L62" s="51" t="n"/>
      <c r="M62" s="56">
        <f>'S38'!M62+L62</f>
        <v/>
      </c>
      <c r="N62" s="57">
        <f>IFERROR(M62/K62,0)</f>
        <v/>
      </c>
      <c r="O62" s="58">
        <f>'S38'!N62</f>
        <v/>
      </c>
      <c r="P62" s="57">
        <f>N62-O62</f>
        <v/>
      </c>
      <c r="Q62" s="32" t="n"/>
      <c r="R62" s="32" t="n"/>
      <c r="S62" s="32" t="n"/>
      <c r="T62" s="55" t="n"/>
      <c r="U62" s="58">
        <f>'S38'!T62</f>
        <v/>
      </c>
      <c r="V62" s="57">
        <f>T62-U62</f>
        <v/>
      </c>
      <c r="W62" s="57">
        <f>N62-T62</f>
        <v/>
      </c>
      <c r="X62" s="34" t="n"/>
    </row>
    <row r="63" ht="22" customHeight="1">
      <c r="B63" s="5" t="n">
        <v>59</v>
      </c>
      <c r="C63" s="14" t="inlineStr">
        <is>
          <t>Kénitra</t>
        </is>
      </c>
      <c r="D63" s="5" t="inlineStr">
        <is>
          <t>SOUK TLET</t>
        </is>
      </c>
      <c r="E63" s="5" t="inlineStr">
        <is>
          <t>40-21</t>
        </is>
      </c>
      <c r="F63" s="5" t="inlineStr">
        <is>
          <t>Travaux de pistes</t>
        </is>
      </c>
      <c r="G63" s="5" t="inlineStr">
        <is>
          <t>Travaux de réhabilitation des pistes agricoles</t>
        </is>
      </c>
      <c r="H63" s="5" t="inlineStr">
        <is>
          <t>Entretien des pistes des secteurs N2,N3,N4 et C4R,</t>
        </is>
      </c>
      <c r="I63" s="7" t="n">
        <v>5000000</v>
      </c>
      <c r="J63" s="8" t="inlineStr">
        <is>
          <t>U</t>
        </is>
      </c>
      <c r="K63" s="9" t="n">
        <v>1</v>
      </c>
      <c r="L63" s="51" t="n"/>
      <c r="M63" s="52">
        <f>'S38'!M63+L63</f>
        <v/>
      </c>
      <c r="N63" s="53">
        <f>IFERROR(M63/K63,0)</f>
        <v/>
      </c>
      <c r="O63" s="54">
        <f>'S38'!N63</f>
        <v/>
      </c>
      <c r="P63" s="53">
        <f>N63-O63</f>
        <v/>
      </c>
      <c r="Q63" s="32" t="n"/>
      <c r="R63" s="32" t="n"/>
      <c r="S63" s="32" t="n"/>
      <c r="T63" s="55" t="n"/>
      <c r="U63" s="54">
        <f>'S38'!T63</f>
        <v/>
      </c>
      <c r="V63" s="53">
        <f>T63-U63</f>
        <v/>
      </c>
      <c r="W63" s="53">
        <f>N63-T63</f>
        <v/>
      </c>
      <c r="X63" s="34" t="n"/>
    </row>
    <row r="64" ht="22" customHeight="1">
      <c r="B64" s="10" t="n">
        <v>60</v>
      </c>
      <c r="C64" s="14" t="inlineStr">
        <is>
          <t>Kénitra</t>
        </is>
      </c>
      <c r="D64" s="10" t="inlineStr">
        <is>
          <t>Sidi Med Lahmar</t>
        </is>
      </c>
      <c r="E64" s="10" t="inlineStr">
        <is>
          <t>50-23</t>
        </is>
      </c>
      <c r="F64" s="10" t="inlineStr">
        <is>
          <t>Entretien et réparation du réseau d'assainissement et de drainage</t>
        </is>
      </c>
      <c r="G64" s="10" t="inlineStr">
        <is>
          <t>Travaux de curage des canaux en terre</t>
        </is>
      </c>
      <c r="H64" s="10" t="inlineStr">
        <is>
          <t>Curage des emissaires et colatures secondaires secteurs N1</t>
        </is>
      </c>
      <c r="I64" s="11" t="n">
        <v>3000000</v>
      </c>
      <c r="J64" s="12" t="inlineStr">
        <is>
          <t>ml</t>
        </is>
      </c>
      <c r="K64" s="13" t="n">
        <v>1500</v>
      </c>
      <c r="L64" s="51" t="n"/>
      <c r="M64" s="56">
        <f>'S38'!M64+L64</f>
        <v/>
      </c>
      <c r="N64" s="57">
        <f>IFERROR(M64/K64,0)</f>
        <v/>
      </c>
      <c r="O64" s="58">
        <f>'S38'!N64</f>
        <v/>
      </c>
      <c r="P64" s="57">
        <f>N64-O64</f>
        <v/>
      </c>
      <c r="Q64" s="32" t="n"/>
      <c r="R64" s="32" t="n"/>
      <c r="S64" s="32" t="n"/>
      <c r="T64" s="55" t="n"/>
      <c r="U64" s="58">
        <f>'S38'!T64</f>
        <v/>
      </c>
      <c r="V64" s="57">
        <f>T64-U64</f>
        <v/>
      </c>
      <c r="W64" s="57">
        <f>N64-T64</f>
        <v/>
      </c>
      <c r="X64" s="34" t="n"/>
    </row>
    <row r="65" ht="22" customHeight="1">
      <c r="B65" s="5" t="n">
        <v>61</v>
      </c>
      <c r="C65" s="14" t="inlineStr">
        <is>
          <t>Kénitra</t>
        </is>
      </c>
      <c r="D65" s="5" t="inlineStr">
        <is>
          <t>Sidi Med Lahmar</t>
        </is>
      </c>
      <c r="E65" s="5" t="inlineStr">
        <is>
          <t>40-21</t>
        </is>
      </c>
      <c r="F65" s="5" t="inlineStr">
        <is>
          <t>Travaux de pistes</t>
        </is>
      </c>
      <c r="G65" s="5" t="inlineStr">
        <is>
          <t>Travaux de réhabilitation des pistes agricoles</t>
        </is>
      </c>
      <c r="H65" s="5" t="inlineStr">
        <is>
          <t>Entretien des pistes agricoles des secteurs N9 et N1</t>
        </is>
      </c>
      <c r="I65" s="7" t="n">
        <v>3000000</v>
      </c>
      <c r="J65" s="8" t="inlineStr">
        <is>
          <t>km</t>
        </is>
      </c>
      <c r="K65" s="9" t="n">
        <v>6</v>
      </c>
      <c r="L65" s="51" t="n"/>
      <c r="M65" s="52">
        <f>'S38'!M65+L65</f>
        <v/>
      </c>
      <c r="N65" s="53">
        <f>IFERROR(M65/K65,0)</f>
        <v/>
      </c>
      <c r="O65" s="54">
        <f>'S38'!N65</f>
        <v/>
      </c>
      <c r="P65" s="53">
        <f>N65-O65</f>
        <v/>
      </c>
      <c r="Q65" s="32" t="n"/>
      <c r="R65" s="32" t="n"/>
      <c r="S65" s="32" t="n"/>
      <c r="T65" s="55" t="n"/>
      <c r="U65" s="54">
        <f>'S38'!T65</f>
        <v/>
      </c>
      <c r="V65" s="53">
        <f>T65-U65</f>
        <v/>
      </c>
      <c r="W65" s="53">
        <f>N65-T65</f>
        <v/>
      </c>
      <c r="X65" s="34" t="n"/>
    </row>
    <row r="66" ht="22" customHeight="1">
      <c r="B66" s="10" t="n">
        <v>62</v>
      </c>
      <c r="C66" s="14" t="inlineStr">
        <is>
          <t>Kénitra</t>
        </is>
      </c>
      <c r="D66" s="10" t="inlineStr">
        <is>
          <t>Mograne</t>
        </is>
      </c>
      <c r="E66" s="10" t="inlineStr">
        <is>
          <t>50-23</t>
        </is>
      </c>
      <c r="F66" s="10" t="inlineStr">
        <is>
          <t>Entretien et réparation du réseau d'assainissement et de drainage</t>
        </is>
      </c>
      <c r="G66" s="10" t="inlineStr">
        <is>
          <t>Travaux de curage des canaux en terre</t>
        </is>
      </c>
      <c r="H66" s="10" t="inlineStr">
        <is>
          <t>Curage des canaux d'assainissement Hors secteur équipé ghoufera et laison beht sebou ,</t>
        </is>
      </c>
      <c r="I66" s="11" t="n">
        <v>6000000</v>
      </c>
      <c r="J66" s="12" t="inlineStr">
        <is>
          <t>ml</t>
        </is>
      </c>
      <c r="K66" s="13" t="n">
        <v>3000</v>
      </c>
      <c r="L66" s="51" t="n"/>
      <c r="M66" s="56">
        <f>'S38'!M66+L66</f>
        <v/>
      </c>
      <c r="N66" s="57">
        <f>IFERROR(M66/K66,0)</f>
        <v/>
      </c>
      <c r="O66" s="58">
        <f>'S38'!N66</f>
        <v/>
      </c>
      <c r="P66" s="57">
        <f>N66-O66</f>
        <v/>
      </c>
      <c r="Q66" s="32" t="n"/>
      <c r="R66" s="32" t="n"/>
      <c r="S66" s="32" t="n"/>
      <c r="T66" s="55" t="n"/>
      <c r="U66" s="58">
        <f>'S38'!T66</f>
        <v/>
      </c>
      <c r="V66" s="57">
        <f>T66-U66</f>
        <v/>
      </c>
      <c r="W66" s="57">
        <f>N66-T66</f>
        <v/>
      </c>
      <c r="X66" s="34" t="n"/>
    </row>
    <row r="67" ht="22" customHeight="1">
      <c r="B67" s="5" t="n">
        <v>63</v>
      </c>
      <c r="C67" s="14" t="inlineStr">
        <is>
          <t>Kénitra</t>
        </is>
      </c>
      <c r="D67" s="5" t="inlineStr">
        <is>
          <t>Mograne</t>
        </is>
      </c>
      <c r="E67" s="5" t="inlineStr">
        <is>
          <t>40-21</t>
        </is>
      </c>
      <c r="F67" s="5" t="inlineStr">
        <is>
          <t>Travaux de pistes</t>
        </is>
      </c>
      <c r="G67" s="5" t="inlineStr">
        <is>
          <t>Travaux de réhabilitation des pistes agricoles</t>
        </is>
      </c>
      <c r="H67" s="5" t="inlineStr">
        <is>
          <t>Entretien des pistes agricoles des secteurs SEBOU1,SEBOU2? BEHT3 et BEHT4</t>
        </is>
      </c>
      <c r="I67" s="7" t="n">
        <v>6000000</v>
      </c>
      <c r="J67" s="8" t="inlineStr">
        <is>
          <t>km</t>
        </is>
      </c>
      <c r="K67" s="9" t="n">
        <v>12</v>
      </c>
      <c r="L67" s="51" t="n"/>
      <c r="M67" s="52">
        <f>'S38'!M67+L67</f>
        <v/>
      </c>
      <c r="N67" s="53">
        <f>IFERROR(M67/K67,0)</f>
        <v/>
      </c>
      <c r="O67" s="54">
        <f>'S38'!N67</f>
        <v/>
      </c>
      <c r="P67" s="53">
        <f>N67-O67</f>
        <v/>
      </c>
      <c r="Q67" s="32" t="n"/>
      <c r="R67" s="32" t="n"/>
      <c r="S67" s="32" t="n"/>
      <c r="T67" s="55" t="n"/>
      <c r="U67" s="54">
        <f>'S38'!T67</f>
        <v/>
      </c>
      <c r="V67" s="53">
        <f>T67-U67</f>
        <v/>
      </c>
      <c r="W67" s="53">
        <f>N67-T67</f>
        <v/>
      </c>
      <c r="X67" s="34" t="n"/>
    </row>
    <row r="68" ht="22" customHeight="1">
      <c r="B68" s="10" t="n">
        <v>64</v>
      </c>
      <c r="C68" s="14" t="inlineStr">
        <is>
          <t>Kénitra</t>
        </is>
      </c>
      <c r="D68" s="10" t="inlineStr">
        <is>
          <t>Sidi allal tazi</t>
        </is>
      </c>
      <c r="E68" s="10" t="inlineStr">
        <is>
          <t>50-23</t>
        </is>
      </c>
      <c r="F68" s="10" t="inlineStr">
        <is>
          <t>Entretien et réparation du réseau d'assainissement et de drainage</t>
        </is>
      </c>
      <c r="G68" s="10" t="inlineStr">
        <is>
          <t>Travaux de curage des canaux en terre</t>
        </is>
      </c>
      <c r="H68" s="10" t="inlineStr">
        <is>
          <t>Curage du canaL d'assainissement CK,</t>
        </is>
      </c>
      <c r="I68" s="11" t="n">
        <v>3000000</v>
      </c>
      <c r="J68" s="12" t="inlineStr">
        <is>
          <t>ml</t>
        </is>
      </c>
      <c r="K68" s="13" t="n">
        <v>1500</v>
      </c>
      <c r="L68" s="51" t="n"/>
      <c r="M68" s="56">
        <f>'S38'!M68+L68</f>
        <v/>
      </c>
      <c r="N68" s="57">
        <f>IFERROR(M68/K68,0)</f>
        <v/>
      </c>
      <c r="O68" s="58">
        <f>'S38'!N68</f>
        <v/>
      </c>
      <c r="P68" s="57">
        <f>N68-O68</f>
        <v/>
      </c>
      <c r="Q68" s="32" t="n"/>
      <c r="R68" s="32" t="n"/>
      <c r="S68" s="32" t="n"/>
      <c r="T68" s="55" t="n"/>
      <c r="U68" s="58">
        <f>'S38'!T68</f>
        <v/>
      </c>
      <c r="V68" s="57">
        <f>T68-U68</f>
        <v/>
      </c>
      <c r="W68" s="57">
        <f>N68-T68</f>
        <v/>
      </c>
      <c r="X68" s="34" t="n"/>
    </row>
    <row r="69" ht="22" customHeight="1">
      <c r="B69" s="5" t="n">
        <v>65</v>
      </c>
      <c r="C69" s="14" t="inlineStr">
        <is>
          <t>Kénitra</t>
        </is>
      </c>
      <c r="D69" s="5" t="inlineStr">
        <is>
          <t>AMEUR SAFLIA</t>
        </is>
      </c>
      <c r="E69" s="5" t="inlineStr">
        <is>
          <t>50-23</t>
        </is>
      </c>
      <c r="F69" s="5" t="inlineStr">
        <is>
          <t>Entretien et réparation du réseau d'assainissement et de drainage</t>
        </is>
      </c>
      <c r="G69" s="5" t="inlineStr">
        <is>
          <t>Travaux de curage des canaux en terre</t>
        </is>
      </c>
      <c r="H69" s="5" t="inlineStr">
        <is>
          <t>Curage des canaux d'assainissement amontTtiflt Sebou,</t>
        </is>
      </c>
      <c r="I69" s="7" t="n">
        <v>1000000</v>
      </c>
      <c r="J69" s="8" t="inlineStr">
        <is>
          <t>ml</t>
        </is>
      </c>
      <c r="K69" s="9" t="n">
        <v>500</v>
      </c>
      <c r="L69" s="51" t="n"/>
      <c r="M69" s="52">
        <f>'S38'!M69+L69</f>
        <v/>
      </c>
      <c r="N69" s="53">
        <f>IFERROR(M69/K69,0)</f>
        <v/>
      </c>
      <c r="O69" s="54">
        <f>'S38'!N69</f>
        <v/>
      </c>
      <c r="P69" s="53">
        <f>N69-O69</f>
        <v/>
      </c>
      <c r="Q69" s="32" t="n"/>
      <c r="R69" s="32" t="n"/>
      <c r="S69" s="32" t="n"/>
      <c r="T69" s="55" t="n"/>
      <c r="U69" s="54">
        <f>'S38'!T69</f>
        <v/>
      </c>
      <c r="V69" s="53">
        <f>T69-U69</f>
        <v/>
      </c>
      <c r="W69" s="53">
        <f>N69-T69</f>
        <v/>
      </c>
      <c r="X69" s="34" t="n"/>
    </row>
    <row r="70" ht="22" customHeight="1">
      <c r="B70" s="10" t="n">
        <v>66</v>
      </c>
      <c r="C70" s="14" t="inlineStr">
        <is>
          <t>Kénitra</t>
        </is>
      </c>
      <c r="D70" s="10" t="inlineStr">
        <is>
          <t>Oulad SLAMA</t>
        </is>
      </c>
      <c r="E70" s="10" t="inlineStr">
        <is>
          <t>50-23</t>
        </is>
      </c>
      <c r="F70" s="10" t="inlineStr">
        <is>
          <t>Entretien et réparation du réseau d'assainissement et de drainage</t>
        </is>
      </c>
      <c r="G70" s="10" t="inlineStr">
        <is>
          <t>Travaux de curage des canaux en terre</t>
        </is>
      </c>
      <c r="H70" s="10" t="inlineStr">
        <is>
          <t>Curage des canaux d'assainissement debouche Tiflt aval,</t>
        </is>
      </c>
      <c r="I70" s="11" t="n">
        <v>1000000</v>
      </c>
      <c r="J70" s="12" t="inlineStr">
        <is>
          <t>ml</t>
        </is>
      </c>
      <c r="K70" s="13" t="n">
        <v>500</v>
      </c>
      <c r="L70" s="51" t="n"/>
      <c r="M70" s="56">
        <f>'S38'!M70+L70</f>
        <v/>
      </c>
      <c r="N70" s="57">
        <f>IFERROR(M70/K70,0)</f>
        <v/>
      </c>
      <c r="O70" s="58">
        <f>'S38'!N70</f>
        <v/>
      </c>
      <c r="P70" s="57">
        <f>N70-O70</f>
        <v/>
      </c>
      <c r="Q70" s="32" t="n"/>
      <c r="R70" s="32" t="n"/>
      <c r="S70" s="32" t="n"/>
      <c r="T70" s="55" t="n"/>
      <c r="U70" s="58">
        <f>'S38'!T70</f>
        <v/>
      </c>
      <c r="V70" s="57">
        <f>T70-U70</f>
        <v/>
      </c>
      <c r="W70" s="57">
        <f>N70-T70</f>
        <v/>
      </c>
      <c r="X70" s="34" t="n"/>
    </row>
    <row r="71" ht="22" customHeight="1">
      <c r="B71" s="5" t="n">
        <v>67</v>
      </c>
      <c r="C71" s="14" t="inlineStr">
        <is>
          <t>Kénitra</t>
        </is>
      </c>
      <c r="D71" s="5" t="inlineStr">
        <is>
          <t>BHARA Oulad AYAD</t>
        </is>
      </c>
      <c r="E71" s="5" t="inlineStr">
        <is>
          <t>50-23</t>
        </is>
      </c>
      <c r="F71" s="5" t="inlineStr">
        <is>
          <t>Entretien et réparation du réseau d'assainissement et de drainage</t>
        </is>
      </c>
      <c r="G71" s="5" t="inlineStr">
        <is>
          <t>Travaux de curage des canaux en terre</t>
        </is>
      </c>
      <c r="H71" s="5" t="inlineStr">
        <is>
          <t>Curage des canaux d'assainissement canal nador bas et haut segmet,</t>
        </is>
      </c>
      <c r="I71" s="7" t="n">
        <v>6600000</v>
      </c>
      <c r="J71" s="8" t="inlineStr">
        <is>
          <t>ml</t>
        </is>
      </c>
      <c r="K71" s="9" t="n">
        <v>3300</v>
      </c>
      <c r="L71" s="51" t="n"/>
      <c r="M71" s="52">
        <f>'S38'!M71+L71</f>
        <v/>
      </c>
      <c r="N71" s="53">
        <f>IFERROR(M71/K71,0)</f>
        <v/>
      </c>
      <c r="O71" s="54">
        <f>'S38'!N71</f>
        <v/>
      </c>
      <c r="P71" s="53">
        <f>N71-O71</f>
        <v/>
      </c>
      <c r="Q71" s="32" t="n"/>
      <c r="R71" s="32" t="n"/>
      <c r="S71" s="32" t="n"/>
      <c r="T71" s="55" t="n"/>
      <c r="U71" s="54">
        <f>'S38'!T71</f>
        <v/>
      </c>
      <c r="V71" s="53">
        <f>T71-U71</f>
        <v/>
      </c>
      <c r="W71" s="53">
        <f>N71-T71</f>
        <v/>
      </c>
      <c r="X71" s="34" t="n"/>
    </row>
    <row r="72" ht="22" customHeight="1">
      <c r="B72" s="10" t="n">
        <v>68</v>
      </c>
      <c r="C72" s="15" t="inlineStr">
        <is>
          <t>Sidi Slimane</t>
        </is>
      </c>
      <c r="D72" s="10" t="inlineStr">
        <is>
          <t>OULED HCEINE</t>
        </is>
      </c>
      <c r="E72" s="10" t="inlineStr">
        <is>
          <t>50-23</t>
        </is>
      </c>
      <c r="F72" s="10" t="inlineStr">
        <is>
          <t>Entretien et réparation du réseau d'assainissement et de drainage</t>
        </is>
      </c>
      <c r="G72" s="10" t="inlineStr">
        <is>
          <t>Travaux de curage des canaux en terre</t>
        </is>
      </c>
      <c r="H72" s="10" t="inlineStr">
        <is>
          <t>Curage des collecteurs d'assainissement du secteur EST4.</t>
        </is>
      </c>
      <c r="I72" s="11" t="n">
        <v>1805475</v>
      </c>
      <c r="J72" s="12" t="inlineStr">
        <is>
          <t>ml</t>
        </is>
      </c>
      <c r="K72" s="13" t="n">
        <v>903</v>
      </c>
      <c r="L72" s="51" t="n"/>
      <c r="M72" s="56">
        <f>'S38'!M72+L72</f>
        <v/>
      </c>
      <c r="N72" s="57">
        <f>IFERROR(M72/K72,0)</f>
        <v/>
      </c>
      <c r="O72" s="58">
        <f>'S38'!N72</f>
        <v/>
      </c>
      <c r="P72" s="57">
        <f>N72-O72</f>
        <v/>
      </c>
      <c r="Q72" s="32" t="n"/>
      <c r="R72" s="32" t="n"/>
      <c r="S72" s="32" t="n"/>
      <c r="T72" s="55" t="n"/>
      <c r="U72" s="58">
        <f>'S38'!T72</f>
        <v/>
      </c>
      <c r="V72" s="57">
        <f>T72-U72</f>
        <v/>
      </c>
      <c r="W72" s="57">
        <f>N72-T72</f>
        <v/>
      </c>
      <c r="X72" s="34" t="n"/>
    </row>
    <row r="73" ht="22" customHeight="1">
      <c r="B73" s="5" t="n">
        <v>69</v>
      </c>
      <c r="C73" s="15" t="inlineStr">
        <is>
          <t>Sidi Slimane</t>
        </is>
      </c>
      <c r="D73" s="5" t="inlineStr">
        <is>
          <t>OULED HCEINE</t>
        </is>
      </c>
      <c r="E73" s="5" t="inlineStr">
        <is>
          <t>50-23</t>
        </is>
      </c>
      <c r="F73" s="5" t="inlineStr">
        <is>
          <t>Entretien et réparation du réseau d'assainissement et de drainage</t>
        </is>
      </c>
      <c r="G73" s="5" t="inlineStr">
        <is>
          <t>Travaux de curage des canaux en terre</t>
        </is>
      </c>
      <c r="H73" s="5" t="inlineStr">
        <is>
          <t>Curage du canal d'assainissement Tihli central.</t>
        </is>
      </c>
      <c r="I73" s="7" t="n">
        <v>2587200</v>
      </c>
      <c r="J73" s="8" t="inlineStr">
        <is>
          <t>ml</t>
        </is>
      </c>
      <c r="K73" s="9" t="n">
        <v>1294</v>
      </c>
      <c r="L73" s="51" t="n"/>
      <c r="M73" s="52">
        <f>'S38'!M73+L73</f>
        <v/>
      </c>
      <c r="N73" s="53">
        <f>IFERROR(M73/K73,0)</f>
        <v/>
      </c>
      <c r="O73" s="54">
        <f>'S38'!N73</f>
        <v/>
      </c>
      <c r="P73" s="53">
        <f>N73-O73</f>
        <v/>
      </c>
      <c r="Q73" s="32" t="n"/>
      <c r="R73" s="32" t="n"/>
      <c r="S73" s="32" t="n"/>
      <c r="T73" s="55" t="n"/>
      <c r="U73" s="54">
        <f>'S38'!T73</f>
        <v/>
      </c>
      <c r="V73" s="53">
        <f>T73-U73</f>
        <v/>
      </c>
      <c r="W73" s="53">
        <f>N73-T73</f>
        <v/>
      </c>
      <c r="X73" s="34" t="n"/>
    </row>
    <row r="74" ht="22" customHeight="1">
      <c r="B74" s="10" t="n">
        <v>70</v>
      </c>
      <c r="C74" s="15" t="inlineStr">
        <is>
          <t>Sidi Slimane</t>
        </is>
      </c>
      <c r="D74" s="10" t="inlineStr">
        <is>
          <t>OULED HCEINE</t>
        </is>
      </c>
      <c r="E74" s="10" t="inlineStr">
        <is>
          <t>40-21</t>
        </is>
      </c>
      <c r="F74" s="10" t="inlineStr">
        <is>
          <t>Travaux de pistes</t>
        </is>
      </c>
      <c r="G74" s="10" t="inlineStr">
        <is>
          <t>Travaux de réhabilitation des pistes agricoles</t>
        </is>
      </c>
      <c r="H74" s="10" t="inlineStr">
        <is>
          <t>Entretien des pistes agricoles</t>
        </is>
      </c>
      <c r="I74" s="11" t="n">
        <v>3500000</v>
      </c>
      <c r="J74" s="12" t="inlineStr">
        <is>
          <t>km</t>
        </is>
      </c>
      <c r="K74" s="13" t="n">
        <v>7</v>
      </c>
      <c r="L74" s="51" t="n"/>
      <c r="M74" s="56">
        <f>'S38'!M74+L74</f>
        <v/>
      </c>
      <c r="N74" s="57">
        <f>IFERROR(M74/K74,0)</f>
        <v/>
      </c>
      <c r="O74" s="58">
        <f>'S38'!N74</f>
        <v/>
      </c>
      <c r="P74" s="57">
        <f>N74-O74</f>
        <v/>
      </c>
      <c r="Q74" s="32" t="n"/>
      <c r="R74" s="32" t="n"/>
      <c r="S74" s="32" t="n"/>
      <c r="T74" s="55" t="n"/>
      <c r="U74" s="58">
        <f>'S38'!T74</f>
        <v/>
      </c>
      <c r="V74" s="57">
        <f>T74-U74</f>
        <v/>
      </c>
      <c r="W74" s="57">
        <f>N74-T74</f>
        <v/>
      </c>
      <c r="X74" s="34" t="n"/>
    </row>
    <row r="75" ht="22" customHeight="1">
      <c r="B75" s="5" t="n">
        <v>71</v>
      </c>
      <c r="C75" s="15" t="inlineStr">
        <is>
          <t>Sidi Slimane</t>
        </is>
      </c>
      <c r="D75" s="5" t="inlineStr">
        <is>
          <t>OULED HCEINE</t>
        </is>
      </c>
      <c r="E75" s="5" t="inlineStr">
        <is>
          <t>50-21</t>
        </is>
      </c>
      <c r="F75" s="5" t="inlineStr">
        <is>
          <t>Entretien et réparation des stations de pompage</t>
        </is>
      </c>
      <c r="G75" s="5" t="inlineStr">
        <is>
          <t>Travaux de réparation des équipements hydromécaniques et éléctriques et entretien de la partie génie civil des stations de pompage.</t>
        </is>
      </c>
      <c r="H75" s="5" t="inlineStr">
        <is>
          <t>Démontage et expertise des roues des  pompes principaux et pompes a vide de la station EST4 et P11/2.
Changement des roulements, tresses et organes d’effectués de la station EST4 et P11/2
Changement deux débitmètre Ø 1200 mm de la station EST4 et un débimétre de la station P11/2.
Changement des capteurs de niveau inondés.
Révision et réparation des moteurs des vannes motorisées inondées.
changement de six contrôleurs de débits DW181 inondés.
Un capteur de débitmètre inondé nécessitent un diagnostic VEGASON  .
Entretien de l'éclairage du local de vide et bâche d’aspiration inondé de la station EST4 et la partie de l’éclairage du local des pompes inondées de la station P11/2.
Pose de gabions et recouvrement du talus par matelas Reno des stations de pompage P11/2</t>
        </is>
      </c>
      <c r="I75" s="7" t="n">
        <v>870000</v>
      </c>
      <c r="J75" s="8" t="inlineStr">
        <is>
          <t>U</t>
        </is>
      </c>
      <c r="K75" s="9" t="n">
        <v>4</v>
      </c>
      <c r="L75" s="51" t="n"/>
      <c r="M75" s="52">
        <f>'S38'!M75+L75</f>
        <v/>
      </c>
      <c r="N75" s="53">
        <f>IFERROR(M75/K75,0)</f>
        <v/>
      </c>
      <c r="O75" s="54">
        <f>'S38'!N75</f>
        <v/>
      </c>
      <c r="P75" s="53">
        <f>N75-O75</f>
        <v/>
      </c>
      <c r="Q75" s="32" t="n"/>
      <c r="R75" s="32" t="n"/>
      <c r="S75" s="32" t="n"/>
      <c r="T75" s="55" t="n"/>
      <c r="U75" s="54">
        <f>'S38'!T75</f>
        <v/>
      </c>
      <c r="V75" s="53">
        <f>T75-U75</f>
        <v/>
      </c>
      <c r="W75" s="53">
        <f>N75-T75</f>
        <v/>
      </c>
      <c r="X75" s="34" t="n"/>
    </row>
    <row r="76" ht="22" customHeight="1">
      <c r="B76" s="10" t="n">
        <v>72</v>
      </c>
      <c r="C76" s="15" t="inlineStr">
        <is>
          <t>Sidi Slimane</t>
        </is>
      </c>
      <c r="D76" s="10" t="inlineStr">
        <is>
          <t>OULED HCEINE</t>
        </is>
      </c>
      <c r="E76" s="10" t="inlineStr">
        <is>
          <t>50-23</t>
        </is>
      </c>
      <c r="F76" s="10" t="inlineStr">
        <is>
          <t>Entretien et réparation du réseau d'assainissement et de drainage</t>
        </is>
      </c>
      <c r="G76" s="10" t="inlineStr">
        <is>
          <t>Travaux de curage des prises des stations de pompage.</t>
        </is>
      </c>
      <c r="H76" s="10" t="inlineStr">
        <is>
          <t>Curage des siphones des station de pompage EST2 et P11/2.</t>
        </is>
      </c>
      <c r="I76" s="11" t="n">
        <v>500000</v>
      </c>
      <c r="J76" s="12" t="inlineStr">
        <is>
          <t>ml</t>
        </is>
      </c>
      <c r="K76" s="13" t="n">
        <v>167</v>
      </c>
      <c r="L76" s="51" t="n"/>
      <c r="M76" s="56">
        <f>'S38'!M76+L76</f>
        <v/>
      </c>
      <c r="N76" s="57">
        <f>IFERROR(M76/K76,0)</f>
        <v/>
      </c>
      <c r="O76" s="58">
        <f>'S38'!N76</f>
        <v/>
      </c>
      <c r="P76" s="57">
        <f>N76-O76</f>
        <v/>
      </c>
      <c r="Q76" s="32" t="n"/>
      <c r="R76" s="32" t="n"/>
      <c r="S76" s="32" t="n"/>
      <c r="T76" s="55" t="n"/>
      <c r="U76" s="58">
        <f>'S38'!T76</f>
        <v/>
      </c>
      <c r="V76" s="57">
        <f>T76-U76</f>
        <v/>
      </c>
      <c r="W76" s="57">
        <f>N76-T76</f>
        <v/>
      </c>
      <c r="X76" s="34" t="n"/>
    </row>
    <row r="77" ht="26" customHeight="1">
      <c r="B77" s="16" t="inlineStr">
        <is>
          <t>TOTAL</t>
        </is>
      </c>
      <c r="C77" s="16" t="n"/>
      <c r="D77" s="16" t="n"/>
      <c r="E77" s="16" t="n"/>
      <c r="F77" s="16" t="n"/>
      <c r="G77" s="16" t="n"/>
      <c r="H77" s="16" t="n"/>
      <c r="I77" s="17">
        <f>SUM(I5:I76)</f>
        <v/>
      </c>
      <c r="J77" s="16" t="n"/>
      <c r="K77" s="16" t="n"/>
      <c r="L77" s="59">
        <f>SUM(L5:L76)</f>
        <v/>
      </c>
      <c r="M77" s="59">
        <f>SUM(M5:M76)</f>
        <v/>
      </c>
      <c r="N77" s="60">
        <f>IFERROR(SUMPRODUCT(N5:N76,I5:I76)/I77,0)</f>
        <v/>
      </c>
      <c r="O77" s="60">
        <f>IFERROR(SUMPRODUCT(O5:O76,I5:I76)/I77,0)</f>
        <v/>
      </c>
      <c r="P77" s="60">
        <f>N77-O77</f>
        <v/>
      </c>
      <c r="Q77" s="17">
        <f>SUM(Q5:Q76)</f>
        <v/>
      </c>
      <c r="R77" s="17">
        <f>SUM(R5:R76)</f>
        <v/>
      </c>
      <c r="S77" s="17">
        <f>SUM(S5:S76)</f>
        <v/>
      </c>
      <c r="T77" s="60">
        <f>IFERROR(SUMPRODUCT(T5:T76,I5:I76)/I77,0)</f>
        <v/>
      </c>
      <c r="U77" s="60">
        <f>IFERROR(SUMPRODUCT(U5:U76,I5:I76)/I77,0)</f>
        <v/>
      </c>
      <c r="V77" s="60">
        <f>T77-U77</f>
        <v/>
      </c>
      <c r="W77" s="60">
        <f>N77-T77</f>
        <v/>
      </c>
      <c r="X77" s="16" t="n"/>
    </row>
  </sheetData>
  <sheetProtection selectLockedCells="0" selectUnlockedCells="0" sheet="1" objects="0" insertRows="1" insertHyperlinks="1" autoFilter="1" scenarios="0" formatColumns="1" deleteColumns="1" insertColumns="1" pivotTables="1" deleteRows="1" formatCells="1" formatRows="1" sort="1" password="CBBE"/>
  <mergeCells count="6">
    <mergeCell ref="E3:I3"/>
    <mergeCell ref="W3:X3"/>
    <mergeCell ref="J3:P3"/>
    <mergeCell ref="B2:X2"/>
    <mergeCell ref="C3:D3"/>
    <mergeCell ref="Q3:V3"/>
  </mergeCells>
  <conditionalFormatting sqref="P5:P76">
    <cfRule type="cellIs" priority="1" operator="greaterThan" dxfId="0">
      <formula>0</formula>
    </cfRule>
    <cfRule type="cellIs" priority="2" operator="lessThan" dxfId="1">
      <formula>0</formula>
    </cfRule>
  </conditionalFormatting>
  <conditionalFormatting sqref="V5:V76">
    <cfRule type="cellIs" priority="3" operator="greaterThan" dxfId="0">
      <formula>0</formula>
    </cfRule>
    <cfRule type="cellIs" priority="4" operator="lessThan" dxfId="1">
      <formula>0</formula>
    </cfRule>
  </conditionalFormatting>
  <conditionalFormatting sqref="W5:W76">
    <cfRule type="cellIs" priority="5" operator="greaterThan" dxfId="0">
      <formula>0.05</formula>
    </cfRule>
    <cfRule type="cellIs" priority="6" operator="lessThan" dxfId="1">
      <formula>-0.05</formula>
    </cfRule>
    <cfRule type="cellIs" priority="7" operator="between" dxfId="2">
      <formula>-0.05</formula>
      <formula>0.05</formula>
    </cfRule>
  </conditionalFormatting>
  <conditionalFormatting sqref="N5:N76">
    <cfRule type="dataBar" priority="8">
      <dataBar showValue="1">
        <cfvo type="num" val="0"/>
        <cfvo type="num" val="1"/>
        <color rgb="001B7D46"/>
      </dataBar>
    </cfRule>
  </conditionalFormatting>
  <conditionalFormatting sqref="T5:T76">
    <cfRule type="dataBar" priority="9">
      <dataBar showValue="1">
        <cfvo type="num" val="0"/>
        <cfvo type="num" val="1"/>
        <color rgb="00D4820A"/>
      </dataBar>
    </cfRule>
  </conditionalFormatting>
  <dataValidations count="2">
    <dataValidation sqref="T5:T76" showDropDown="0" showInputMessage="0" showErrorMessage="0" allowBlank="1" errorTitle="Invalide" error="Valeur entre 0% et 100%" promptTitle="Avancement %" prompt="Entrez 0.25 pour 25%" type="decimal" operator="between">
      <formula1>0</formula1>
      <formula2>1</formula2>
    </dataValidation>
    <dataValidation sqref="L5:L76" showDropDown="0" showInputMessage="0" showErrorMessage="0" allowBlank="1" errorTitle="Invalide" error="Quantité doit être &gt;= 0" promptTitle="Qté Réalisée" prompt="Entrez la quantité réalisée cette semaine" type="decimal" operator="greaterThanOrEqual">
      <formula1>0</formula1>
    </dataValidation>
  </dataValidations>
  <pageMargins left="0.75" right="0.75" top="1" bottom="1" header="0.5" footer="0.5"/>
</worksheet>
</file>

<file path=xl/worksheets/sheet20.xml><?xml version="1.0" encoding="utf-8"?>
<worksheet xmlns="http://schemas.openxmlformats.org/spreadsheetml/2006/main">
  <sheetPr>
    <tabColor rgb="00C00000"/>
    <outlinePr summaryBelow="1" summaryRight="1"/>
    <pageSetUpPr/>
  </sheetPr>
  <dimension ref="B2:X77"/>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5" customWidth="1" min="2" max="2"/>
    <col width="14" customWidth="1" min="3" max="3"/>
    <col width="18" customWidth="1" min="4" max="4"/>
    <col width="9" customWidth="1" min="5" max="5"/>
    <col width="32" customWidth="1" min="6" max="6"/>
    <col width="28" customWidth="1" min="7" max="7"/>
    <col width="34" customWidth="1" min="8" max="8"/>
    <col width="14" customWidth="1" min="9" max="9"/>
    <col width="8" customWidth="1" min="10" max="10"/>
    <col width="12" customWidth="1" min="11" max="11"/>
    <col width="14" customWidth="1" min="12" max="12"/>
    <col width="14" customWidth="1" min="13" max="13"/>
    <col width="14" customWidth="1" min="14" max="14"/>
    <col width="14" customWidth="1" min="15" max="15"/>
    <col width="14" customWidth="1" min="16" max="16"/>
    <col width="16" customWidth="1" min="17" max="17"/>
    <col width="16" customWidth="1" min="18" max="18"/>
    <col width="16" customWidth="1" min="19" max="19"/>
    <col width="14" customWidth="1" min="20" max="20"/>
    <col width="14" customWidth="1" min="21" max="21"/>
    <col width="14" customWidth="1" min="22" max="22"/>
    <col width="14" customWidth="1" min="23" max="23"/>
    <col width="24" customWidth="1" min="24" max="24"/>
  </cols>
  <sheetData>
    <row r="1" ht="15" customHeight="1"/>
    <row r="2" ht="32" customHeight="1">
      <c r="B2" s="1" t="inlineStr">
        <is>
          <t>Suivi Hebdomadaire - Semaine 40 (28/09 - 04/10) — Septembre 2026 - Exécution Physique et Financière</t>
        </is>
      </c>
    </row>
    <row r="3" ht="22" customHeight="1">
      <c r="B3" s="20" t="inlineStr">
        <is>
          <t>Date :</t>
        </is>
      </c>
      <c r="C3" s="49" t="n">
        <v>46293</v>
      </c>
      <c r="D3" s="50" t="n"/>
      <c r="E3" s="22" t="inlineStr">
        <is>
          <t>IDENTIFICATION</t>
        </is>
      </c>
      <c r="J3" s="23" t="inlineStr">
        <is>
          <t>INDICATEURS PHYSIQUES</t>
        </is>
      </c>
      <c r="Q3" s="24" t="inlineStr">
        <is>
          <t>INDICATEURS FINANCIERS</t>
        </is>
      </c>
      <c r="W3" s="25" t="inlineStr">
        <is>
          <t>SYNTHÈSE</t>
        </is>
      </c>
    </row>
    <row r="4" ht="28" customHeight="1">
      <c r="B4" s="4" t="inlineStr">
        <is>
          <t>N°</t>
        </is>
      </c>
      <c r="C4" s="4" t="inlineStr">
        <is>
          <t>Province</t>
        </is>
      </c>
      <c r="D4" s="4" t="inlineStr">
        <is>
          <t>Commune</t>
        </is>
      </c>
      <c r="E4" s="4" t="inlineStr">
        <is>
          <t>Rubrique</t>
        </is>
      </c>
      <c r="F4" s="4" t="inlineStr">
        <is>
          <t>Intitulé Rubrique</t>
        </is>
      </c>
      <c r="G4" s="4" t="inlineStr">
        <is>
          <t>Projet</t>
        </is>
      </c>
      <c r="H4" s="4" t="inlineStr">
        <is>
          <t>Consistance</t>
        </is>
      </c>
      <c r="I4" s="4" t="inlineStr">
        <is>
          <t>Coût Total (DH)</t>
        </is>
      </c>
      <c r="J4" s="26" t="inlineStr">
        <is>
          <t>Unité</t>
        </is>
      </c>
      <c r="K4" s="26" t="inlineStr">
        <is>
          <t>Qté Prévue</t>
        </is>
      </c>
      <c r="L4" s="26" t="inlineStr">
        <is>
          <t>Qté Réalisée Sem.</t>
        </is>
      </c>
      <c r="M4" s="26" t="inlineStr">
        <is>
          <t>Qté Réalisée Cumul</t>
        </is>
      </c>
      <c r="N4" s="26" t="inlineStr">
        <is>
          <t>Avancement Physique %</t>
        </is>
      </c>
      <c r="O4" s="26" t="inlineStr">
        <is>
          <t>% Phys. Sem. Préc.</t>
        </is>
      </c>
      <c r="P4" s="26" t="inlineStr">
        <is>
          <t>Accroissement Phys. %</t>
        </is>
      </c>
      <c r="Q4" s="27" t="inlineStr">
        <is>
          <t>Montant Décaissé (DH)</t>
        </is>
      </c>
      <c r="R4" s="27" t="inlineStr">
        <is>
          <t>Montant Payé (DH)</t>
        </is>
      </c>
      <c r="S4" s="27" t="inlineStr">
        <is>
          <t>Montant Ordonné (DH)</t>
        </is>
      </c>
      <c r="T4" s="27" t="inlineStr">
        <is>
          <t>Avancement Financier %</t>
        </is>
      </c>
      <c r="U4" s="27" t="inlineStr">
        <is>
          <t>% Fin. Sem. Préc.</t>
        </is>
      </c>
      <c r="V4" s="27" t="inlineStr">
        <is>
          <t>Accroissement Fin. %</t>
        </is>
      </c>
      <c r="W4" s="28" t="inlineStr">
        <is>
          <t>Écart Phys.-Fin.</t>
        </is>
      </c>
      <c r="X4" s="28" t="inlineStr">
        <is>
          <t>Observations</t>
        </is>
      </c>
    </row>
    <row r="5" ht="22" customHeight="1">
      <c r="B5" s="5" t="n">
        <v>1</v>
      </c>
      <c r="C5" s="6" t="inlineStr">
        <is>
          <t>Sidi Kacem</t>
        </is>
      </c>
      <c r="D5" s="5" t="inlineStr">
        <is>
          <t>KHENICHET</t>
        </is>
      </c>
      <c r="E5" s="5" t="inlineStr">
        <is>
          <t>50-23</t>
        </is>
      </c>
      <c r="F5" s="5" t="inlineStr">
        <is>
          <t>Entretien et réparation du réseau d'assainissement et de drainage</t>
        </is>
      </c>
      <c r="G5" s="5" t="inlineStr">
        <is>
          <t>Travaux de curage des canaux en terre</t>
        </is>
      </c>
      <c r="H5" s="5" t="inlineStr">
        <is>
          <t>Curage des collecteurs d'assainissement du secteur EST2</t>
        </is>
      </c>
      <c r="I5" s="7" t="n">
        <v>2091568</v>
      </c>
      <c r="J5" s="8" t="inlineStr">
        <is>
          <t>ml</t>
        </is>
      </c>
      <c r="K5" s="9" t="n">
        <v>1046</v>
      </c>
      <c r="L5" s="51" t="n"/>
      <c r="M5" s="52">
        <f>'S39'!M5+L5</f>
        <v/>
      </c>
      <c r="N5" s="53">
        <f>IFERROR(M5/K5,0)</f>
        <v/>
      </c>
      <c r="O5" s="54">
        <f>'S39'!N5</f>
        <v/>
      </c>
      <c r="P5" s="53">
        <f>N5-O5</f>
        <v/>
      </c>
      <c r="Q5" s="32" t="n"/>
      <c r="R5" s="32" t="n"/>
      <c r="S5" s="32" t="n"/>
      <c r="T5" s="55" t="n"/>
      <c r="U5" s="54">
        <f>'S39'!T5</f>
        <v/>
      </c>
      <c r="V5" s="53">
        <f>T5-U5</f>
        <v/>
      </c>
      <c r="W5" s="53">
        <f>N5-T5</f>
        <v/>
      </c>
      <c r="X5" s="34" t="n"/>
    </row>
    <row r="6" ht="22" customHeight="1">
      <c r="B6" s="10" t="n">
        <v>2</v>
      </c>
      <c r="C6" s="6" t="inlineStr">
        <is>
          <t>Sidi Kacem</t>
        </is>
      </c>
      <c r="D6" s="10" t="inlineStr">
        <is>
          <t>KHENICHET</t>
        </is>
      </c>
      <c r="E6" s="10" t="inlineStr">
        <is>
          <t>40-21</t>
        </is>
      </c>
      <c r="F6" s="10" t="inlineStr">
        <is>
          <t>Travaux de pistes</t>
        </is>
      </c>
      <c r="G6" s="10" t="inlineStr">
        <is>
          <t>Travaux de réhabilitation des pistes agricoles</t>
        </is>
      </c>
      <c r="H6" s="10" t="inlineStr">
        <is>
          <t>Entretien des pistes agricoles Douar Nouagra et Douar ouled Salem</t>
        </is>
      </c>
      <c r="I6" s="11" t="n">
        <v>78000</v>
      </c>
      <c r="J6" s="12" t="inlineStr">
        <is>
          <t>km</t>
        </is>
      </c>
      <c r="K6" s="13" t="n">
        <v>1</v>
      </c>
      <c r="L6" s="51" t="n"/>
      <c r="M6" s="56">
        <f>'S39'!M6+L6</f>
        <v/>
      </c>
      <c r="N6" s="57">
        <f>IFERROR(M6/K6,0)</f>
        <v/>
      </c>
      <c r="O6" s="58">
        <f>'S39'!N6</f>
        <v/>
      </c>
      <c r="P6" s="57">
        <f>N6-O6</f>
        <v/>
      </c>
      <c r="Q6" s="32" t="n"/>
      <c r="R6" s="32" t="n"/>
      <c r="S6" s="32" t="n"/>
      <c r="T6" s="55" t="n"/>
      <c r="U6" s="58">
        <f>'S39'!T6</f>
        <v/>
      </c>
      <c r="V6" s="57">
        <f>T6-U6</f>
        <v/>
      </c>
      <c r="W6" s="57">
        <f>N6-T6</f>
        <v/>
      </c>
      <c r="X6" s="34" t="n"/>
    </row>
    <row r="7" ht="22" customHeight="1">
      <c r="B7" s="5" t="n">
        <v>3</v>
      </c>
      <c r="C7" s="6" t="inlineStr">
        <is>
          <t>Sidi Kacem</t>
        </is>
      </c>
      <c r="D7" s="5" t="inlineStr">
        <is>
          <t>KHENICHET</t>
        </is>
      </c>
      <c r="E7" s="5" t="inlineStr">
        <is>
          <t>50-23</t>
        </is>
      </c>
      <c r="F7" s="5" t="inlineStr">
        <is>
          <t>Entretien et réparation du réseau d'assainissement et de drainage</t>
        </is>
      </c>
      <c r="G7" s="5" t="inlineStr">
        <is>
          <t>Curage des prises sur l’oued, bâche d’aspiration et bassin de régulation.</t>
        </is>
      </c>
      <c r="H7" s="5" t="inlineStr">
        <is>
          <t>Curage de la chambre des joints de démontage des siphonnes  de la station de pompage EST2.</t>
        </is>
      </c>
      <c r="I7" s="7" t="n">
        <v>126000</v>
      </c>
      <c r="J7" s="8" t="inlineStr">
        <is>
          <t>ml</t>
        </is>
      </c>
      <c r="K7" s="9" t="n">
        <v>42</v>
      </c>
      <c r="L7" s="51" t="n"/>
      <c r="M7" s="52">
        <f>'S39'!M7+L7</f>
        <v/>
      </c>
      <c r="N7" s="53">
        <f>IFERROR(M7/K7,0)</f>
        <v/>
      </c>
      <c r="O7" s="54">
        <f>'S39'!N7</f>
        <v/>
      </c>
      <c r="P7" s="53">
        <f>N7-O7</f>
        <v/>
      </c>
      <c r="Q7" s="32" t="n"/>
      <c r="R7" s="32" t="n"/>
      <c r="S7" s="32" t="n"/>
      <c r="T7" s="55" t="n"/>
      <c r="U7" s="54">
        <f>'S39'!T7</f>
        <v/>
      </c>
      <c r="V7" s="53">
        <f>T7-U7</f>
        <v/>
      </c>
      <c r="W7" s="53">
        <f>N7-T7</f>
        <v/>
      </c>
      <c r="X7" s="34" t="n"/>
    </row>
    <row r="8" ht="22" customHeight="1">
      <c r="B8" s="10" t="n">
        <v>4</v>
      </c>
      <c r="C8" s="6" t="inlineStr">
        <is>
          <t>Sidi Kacem</t>
        </is>
      </c>
      <c r="D8" s="10" t="inlineStr">
        <is>
          <t>KHENICHET</t>
        </is>
      </c>
      <c r="E8" s="10" t="inlineStr">
        <is>
          <t>50-21</t>
        </is>
      </c>
      <c r="F8" s="10" t="inlineStr">
        <is>
          <t>Entretien et réparation des stations de pompage</t>
        </is>
      </c>
      <c r="G8" s="10" t="inlineStr">
        <is>
          <t>Prestation de maintenance des débitmètres et leurs équipements annexes installés au niveau des station de pompage</t>
        </is>
      </c>
      <c r="H8" s="10" t="inlineStr">
        <is>
          <t>Changement trois débitmètre Ø 600mm inondés de la station de pompage EST 2 et deux capteurs VEGASON 62</t>
        </is>
      </c>
      <c r="I8" s="11" t="n">
        <v>165500</v>
      </c>
      <c r="J8" s="12" t="inlineStr">
        <is>
          <t>U</t>
        </is>
      </c>
      <c r="K8" s="13" t="n">
        <v>3</v>
      </c>
      <c r="L8" s="51" t="n"/>
      <c r="M8" s="56">
        <f>'S39'!M8+L8</f>
        <v/>
      </c>
      <c r="N8" s="57">
        <f>IFERROR(M8/K8,0)</f>
        <v/>
      </c>
      <c r="O8" s="58">
        <f>'S39'!N8</f>
        <v/>
      </c>
      <c r="P8" s="57">
        <f>N8-O8</f>
        <v/>
      </c>
      <c r="Q8" s="32" t="n"/>
      <c r="R8" s="32" t="n"/>
      <c r="S8" s="32" t="n"/>
      <c r="T8" s="55" t="n"/>
      <c r="U8" s="58">
        <f>'S39'!T8</f>
        <v/>
      </c>
      <c r="V8" s="57">
        <f>T8-U8</f>
        <v/>
      </c>
      <c r="W8" s="57">
        <f>N8-T8</f>
        <v/>
      </c>
      <c r="X8" s="34" t="n"/>
    </row>
    <row r="9" ht="22" customHeight="1">
      <c r="B9" s="5" t="n">
        <v>5</v>
      </c>
      <c r="C9" s="6" t="inlineStr">
        <is>
          <t>Sidi Kacem</t>
        </is>
      </c>
      <c r="D9" s="5" t="inlineStr">
        <is>
          <t>BIR TALEB</t>
        </is>
      </c>
      <c r="E9" s="5" t="inlineStr">
        <is>
          <t>50-23</t>
        </is>
      </c>
      <c r="F9" s="5" t="inlineStr">
        <is>
          <t>Entretien et réparation du réseau d'assainissement et de drainage</t>
        </is>
      </c>
      <c r="G9" s="5" t="inlineStr">
        <is>
          <t>Travaux de curage des canaux en terre</t>
        </is>
      </c>
      <c r="H9" s="5" t="inlineStr">
        <is>
          <t>Curage du canal d'assainisement Tihli Aval</t>
        </is>
      </c>
      <c r="I9" s="7" t="n">
        <v>1000000</v>
      </c>
      <c r="J9" s="8" t="inlineStr">
        <is>
          <t>ml</t>
        </is>
      </c>
      <c r="K9" s="9" t="n">
        <v>500</v>
      </c>
      <c r="L9" s="51" t="n"/>
      <c r="M9" s="52">
        <f>'S39'!M9+L9</f>
        <v/>
      </c>
      <c r="N9" s="53">
        <f>IFERROR(M9/K9,0)</f>
        <v/>
      </c>
      <c r="O9" s="54">
        <f>'S39'!N9</f>
        <v/>
      </c>
      <c r="P9" s="53">
        <f>N9-O9</f>
        <v/>
      </c>
      <c r="Q9" s="32" t="n"/>
      <c r="R9" s="32" t="n"/>
      <c r="S9" s="32" t="n"/>
      <c r="T9" s="55" t="n"/>
      <c r="U9" s="54">
        <f>'S39'!T9</f>
        <v/>
      </c>
      <c r="V9" s="53">
        <f>T9-U9</f>
        <v/>
      </c>
      <c r="W9" s="53">
        <f>N9-T9</f>
        <v/>
      </c>
      <c r="X9" s="34" t="n"/>
    </row>
    <row r="10" ht="22" customHeight="1">
      <c r="B10" s="10" t="n">
        <v>6</v>
      </c>
      <c r="C10" s="6" t="inlineStr">
        <is>
          <t>Sidi Kacem</t>
        </is>
      </c>
      <c r="D10" s="10" t="inlineStr">
        <is>
          <t>BIR TALEB</t>
        </is>
      </c>
      <c r="E10" s="10" t="inlineStr">
        <is>
          <t>50-23</t>
        </is>
      </c>
      <c r="F10" s="10" t="inlineStr">
        <is>
          <t>Entretien et réparation du réseau d'assainissement et de drainage</t>
        </is>
      </c>
      <c r="G10" s="10" t="inlineStr"/>
      <c r="H10" s="10" t="inlineStr">
        <is>
          <t>Curage des collecteurs d'assainissement du secteur P11/1</t>
        </is>
      </c>
      <c r="I10" s="11" t="n">
        <v>846731</v>
      </c>
      <c r="J10" s="12" t="inlineStr">
        <is>
          <t>ml</t>
        </is>
      </c>
      <c r="K10" s="13" t="n">
        <v>423</v>
      </c>
      <c r="L10" s="51" t="n"/>
      <c r="M10" s="56">
        <f>'S39'!M10+L10</f>
        <v/>
      </c>
      <c r="N10" s="57">
        <f>IFERROR(M10/K10,0)</f>
        <v/>
      </c>
      <c r="O10" s="58">
        <f>'S39'!N10</f>
        <v/>
      </c>
      <c r="P10" s="57">
        <f>N10-O10</f>
        <v/>
      </c>
      <c r="Q10" s="32" t="n"/>
      <c r="R10" s="32" t="n"/>
      <c r="S10" s="32" t="n"/>
      <c r="T10" s="55" t="n"/>
      <c r="U10" s="58">
        <f>'S39'!T10</f>
        <v/>
      </c>
      <c r="V10" s="57">
        <f>T10-U10</f>
        <v/>
      </c>
      <c r="W10" s="57">
        <f>N10-T10</f>
        <v/>
      </c>
      <c r="X10" s="34" t="n"/>
    </row>
    <row r="11" ht="22" customHeight="1">
      <c r="B11" s="5" t="n">
        <v>7</v>
      </c>
      <c r="C11" s="6" t="inlineStr">
        <is>
          <t>Sidi Kacem</t>
        </is>
      </c>
      <c r="D11" s="5" t="inlineStr">
        <is>
          <t>BIR TALEB</t>
        </is>
      </c>
      <c r="E11" s="5" t="inlineStr">
        <is>
          <t>50-23</t>
        </is>
      </c>
      <c r="F11" s="5" t="inlineStr">
        <is>
          <t>Entretien et réparation du réseau d'assainissement et de drainage</t>
        </is>
      </c>
      <c r="G11" s="5" t="inlineStr">
        <is>
          <t>Curage des prises sur l’oued, bâche d’aspiration et bassin de régulation.</t>
        </is>
      </c>
      <c r="H11" s="5" t="inlineStr">
        <is>
          <t>Curage des prises sur l’oued de la station de pompage P11/1.</t>
        </is>
      </c>
      <c r="I11" s="7" t="n">
        <v>200000</v>
      </c>
      <c r="J11" s="8" t="inlineStr">
        <is>
          <t>ml</t>
        </is>
      </c>
      <c r="K11" s="9" t="n">
        <v>67</v>
      </c>
      <c r="L11" s="51" t="n"/>
      <c r="M11" s="52">
        <f>'S39'!M11+L11</f>
        <v/>
      </c>
      <c r="N11" s="53">
        <f>IFERROR(M11/K11,0)</f>
        <v/>
      </c>
      <c r="O11" s="54">
        <f>'S39'!N11</f>
        <v/>
      </c>
      <c r="P11" s="53">
        <f>N11-O11</f>
        <v/>
      </c>
      <c r="Q11" s="32" t="n"/>
      <c r="R11" s="32" t="n"/>
      <c r="S11" s="32" t="n"/>
      <c r="T11" s="55" t="n"/>
      <c r="U11" s="54">
        <f>'S39'!T11</f>
        <v/>
      </c>
      <c r="V11" s="53">
        <f>T11-U11</f>
        <v/>
      </c>
      <c r="W11" s="53">
        <f>N11-T11</f>
        <v/>
      </c>
      <c r="X11" s="34" t="n"/>
    </row>
    <row r="12" ht="22" customHeight="1">
      <c r="B12" s="10" t="n">
        <v>8</v>
      </c>
      <c r="C12" s="6" t="inlineStr">
        <is>
          <t>Sidi Kacem</t>
        </is>
      </c>
      <c r="D12" s="10" t="inlineStr">
        <is>
          <t>BIR TALEB</t>
        </is>
      </c>
      <c r="E12" s="10" t="inlineStr">
        <is>
          <t>50-21</t>
        </is>
      </c>
      <c r="F12" s="10" t="inlineStr">
        <is>
          <t>Entretien et réparation des stations de pompage</t>
        </is>
      </c>
      <c r="G12" s="10" t="inlineStr">
        <is>
          <t>Prestation de maintenance des débitmètres et leurs équipements annexes installés au niveau des station de pompage</t>
        </is>
      </c>
      <c r="H12" s="10" t="inlineStr">
        <is>
          <t>Changement trois débitmètre Ø 400mm inondés de la station de pompage P11/1</t>
        </is>
      </c>
      <c r="I12" s="11" t="n">
        <v>141900</v>
      </c>
      <c r="J12" s="12" t="inlineStr">
        <is>
          <t>U</t>
        </is>
      </c>
      <c r="K12" s="13" t="n">
        <v>3</v>
      </c>
      <c r="L12" s="51" t="n"/>
      <c r="M12" s="56">
        <f>'S39'!M12+L12</f>
        <v/>
      </c>
      <c r="N12" s="57">
        <f>IFERROR(M12/K12,0)</f>
        <v/>
      </c>
      <c r="O12" s="58">
        <f>'S39'!N12</f>
        <v/>
      </c>
      <c r="P12" s="57">
        <f>N12-O12</f>
        <v/>
      </c>
      <c r="Q12" s="32" t="n"/>
      <c r="R12" s="32" t="n"/>
      <c r="S12" s="32" t="n"/>
      <c r="T12" s="55" t="n"/>
      <c r="U12" s="58">
        <f>'S39'!T12</f>
        <v/>
      </c>
      <c r="V12" s="57">
        <f>T12-U12</f>
        <v/>
      </c>
      <c r="W12" s="57">
        <f>N12-T12</f>
        <v/>
      </c>
      <c r="X12" s="34" t="n"/>
    </row>
    <row r="13" ht="22" customHeight="1">
      <c r="B13" s="5" t="n">
        <v>9</v>
      </c>
      <c r="C13" s="6" t="inlineStr">
        <is>
          <t>Sidi Kacem</t>
        </is>
      </c>
      <c r="D13" s="5" t="inlineStr">
        <is>
          <t>BIR TALEB</t>
        </is>
      </c>
      <c r="E13" s="5" t="inlineStr">
        <is>
          <t>50-21</t>
        </is>
      </c>
      <c r="F13" s="5" t="inlineStr">
        <is>
          <t>Entretien et réparation des stations de pompage</t>
        </is>
      </c>
      <c r="G13" s="5" t="inlineStr">
        <is>
          <t>Prestations de maintenance et de réparation mécanique des pompes et des groupes motopompes submersibles des stations de pompage.</t>
        </is>
      </c>
      <c r="H13" s="5" t="inlineStr">
        <is>
          <t>Démontage et expertise des roues des  pompes principaux et pompes a vide de la station P11/1
Changement des roulements, tresses et organes d’effectués de la station P11/1</t>
        </is>
      </c>
      <c r="I13" s="7" t="n">
        <v>26700</v>
      </c>
      <c r="J13" s="8" t="inlineStr">
        <is>
          <t>U</t>
        </is>
      </c>
      <c r="K13" s="9" t="n">
        <v>1</v>
      </c>
      <c r="L13" s="51" t="n"/>
      <c r="M13" s="52">
        <f>'S39'!M13+L13</f>
        <v/>
      </c>
      <c r="N13" s="53">
        <f>IFERROR(M13/K13,0)</f>
        <v/>
      </c>
      <c r="O13" s="54">
        <f>'S39'!N13</f>
        <v/>
      </c>
      <c r="P13" s="53">
        <f>N13-O13</f>
        <v/>
      </c>
      <c r="Q13" s="32" t="n"/>
      <c r="R13" s="32" t="n"/>
      <c r="S13" s="32" t="n"/>
      <c r="T13" s="55" t="n"/>
      <c r="U13" s="54">
        <f>'S39'!T13</f>
        <v/>
      </c>
      <c r="V13" s="53">
        <f>T13-U13</f>
        <v/>
      </c>
      <c r="W13" s="53">
        <f>N13-T13</f>
        <v/>
      </c>
      <c r="X13" s="34" t="n"/>
    </row>
    <row r="14" ht="22" customHeight="1">
      <c r="B14" s="10" t="n">
        <v>10</v>
      </c>
      <c r="C14" s="6" t="inlineStr">
        <is>
          <t>Sidi Kacem</t>
        </is>
      </c>
      <c r="D14" s="10" t="inlineStr">
        <is>
          <t>BIR TALEB</t>
        </is>
      </c>
      <c r="E14" s="10" t="inlineStr">
        <is>
          <t>50-21</t>
        </is>
      </c>
      <c r="F14" s="10" t="inlineStr">
        <is>
          <t>Entretien et réparation des stations de pompage</t>
        </is>
      </c>
      <c r="G14" s="10" t="inlineStr">
        <is>
          <t>Stabilisation Berge oued</t>
        </is>
      </c>
      <c r="H14" s="10" t="inlineStr">
        <is>
          <t>Pose de  gabions et recouvrement du talus par matelas Reno des stations de pompage P11/1.</t>
        </is>
      </c>
      <c r="I14" s="11" t="n">
        <v>480000</v>
      </c>
      <c r="J14" s="12" t="inlineStr">
        <is>
          <t>m³</t>
        </is>
      </c>
      <c r="K14" s="13" t="n">
        <v>320</v>
      </c>
      <c r="L14" s="51" t="n"/>
      <c r="M14" s="56">
        <f>'S39'!M14+L14</f>
        <v/>
      </c>
      <c r="N14" s="57">
        <f>IFERROR(M14/K14,0)</f>
        <v/>
      </c>
      <c r="O14" s="58">
        <f>'S39'!N14</f>
        <v/>
      </c>
      <c r="P14" s="57">
        <f>N14-O14</f>
        <v/>
      </c>
      <c r="Q14" s="32" t="n"/>
      <c r="R14" s="32" t="n"/>
      <c r="S14" s="32" t="n"/>
      <c r="T14" s="55" t="n"/>
      <c r="U14" s="58">
        <f>'S39'!T14</f>
        <v/>
      </c>
      <c r="V14" s="57">
        <f>T14-U14</f>
        <v/>
      </c>
      <c r="W14" s="57">
        <f>N14-T14</f>
        <v/>
      </c>
      <c r="X14" s="34" t="n"/>
    </row>
    <row r="15" ht="22" customHeight="1">
      <c r="B15" s="5" t="n">
        <v>11</v>
      </c>
      <c r="C15" s="6" t="inlineStr">
        <is>
          <t>Sidi Kacem</t>
        </is>
      </c>
      <c r="D15" s="5" t="inlineStr">
        <is>
          <t>BIR TALEB</t>
        </is>
      </c>
      <c r="E15" s="5" t="inlineStr">
        <is>
          <t>50-21</t>
        </is>
      </c>
      <c r="F15" s="5" t="inlineStr">
        <is>
          <t>Entretien et réparation des stations de pompage</t>
        </is>
      </c>
      <c r="G15" s="5" t="inlineStr">
        <is>
          <t>Génie civile des locaux des stations de pompage.</t>
        </is>
      </c>
      <c r="H15" s="5" t="inlineStr">
        <is>
          <t>Expertise d’état et d’étanchéité des locaux pompes.
Renforcement d’étanchéité des locaux pompe sous niveau des oueds des stations de pompage P11/1.
Entretien des supports en béton des conduites d’aspiration.</t>
        </is>
      </c>
      <c r="I15" s="7" t="n">
        <v>300000</v>
      </c>
      <c r="J15" s="8" t="inlineStr">
        <is>
          <t>U</t>
        </is>
      </c>
      <c r="K15" s="9" t="n">
        <v>1</v>
      </c>
      <c r="L15" s="51" t="n"/>
      <c r="M15" s="52">
        <f>'S39'!M15+L15</f>
        <v/>
      </c>
      <c r="N15" s="53">
        <f>IFERROR(M15/K15,0)</f>
        <v/>
      </c>
      <c r="O15" s="54">
        <f>'S39'!N15</f>
        <v/>
      </c>
      <c r="P15" s="53">
        <f>N15-O15</f>
        <v/>
      </c>
      <c r="Q15" s="32" t="n"/>
      <c r="R15" s="32" t="n"/>
      <c r="S15" s="32" t="n"/>
      <c r="T15" s="55" t="n"/>
      <c r="U15" s="54">
        <f>'S39'!T15</f>
        <v/>
      </c>
      <c r="V15" s="53">
        <f>T15-U15</f>
        <v/>
      </c>
      <c r="W15" s="53">
        <f>N15-T15</f>
        <v/>
      </c>
      <c r="X15" s="34" t="n"/>
    </row>
    <row r="16" ht="22" customHeight="1">
      <c r="B16" s="10" t="n">
        <v>12</v>
      </c>
      <c r="C16" s="6" t="inlineStr">
        <is>
          <t>Sidi Kacem</t>
        </is>
      </c>
      <c r="D16" s="10" t="inlineStr">
        <is>
          <t>CHEBANAT</t>
        </is>
      </c>
      <c r="E16" s="10" t="inlineStr">
        <is>
          <t>50-23</t>
        </is>
      </c>
      <c r="F16" s="10" t="inlineStr">
        <is>
          <t>Entretien et réparation du réseau d'assainissement et de drainage</t>
        </is>
      </c>
      <c r="G16" s="10" t="inlineStr">
        <is>
          <t>Travaux de curage des canaux en terre</t>
        </is>
      </c>
      <c r="H16" s="10" t="inlineStr">
        <is>
          <t>Curage des collecteurs d'assainissement des secteur SH5 et SH6.</t>
        </is>
      </c>
      <c r="I16" s="11" t="n">
        <v>1000000</v>
      </c>
      <c r="J16" s="12" t="inlineStr">
        <is>
          <t>ml</t>
        </is>
      </c>
      <c r="K16" s="13" t="n">
        <v>500</v>
      </c>
      <c r="L16" s="51" t="n"/>
      <c r="M16" s="56">
        <f>'S39'!M16+L16</f>
        <v/>
      </c>
      <c r="N16" s="57">
        <f>IFERROR(M16/K16,0)</f>
        <v/>
      </c>
      <c r="O16" s="58">
        <f>'S39'!N16</f>
        <v/>
      </c>
      <c r="P16" s="57">
        <f>N16-O16</f>
        <v/>
      </c>
      <c r="Q16" s="32" t="n"/>
      <c r="R16" s="32" t="n"/>
      <c r="S16" s="32" t="n"/>
      <c r="T16" s="55" t="n"/>
      <c r="U16" s="58">
        <f>'S39'!T16</f>
        <v/>
      </c>
      <c r="V16" s="57">
        <f>T16-U16</f>
        <v/>
      </c>
      <c r="W16" s="57">
        <f>N16-T16</f>
        <v/>
      </c>
      <c r="X16" s="34" t="n"/>
    </row>
    <row r="17" ht="22" customHeight="1">
      <c r="B17" s="5" t="n">
        <v>13</v>
      </c>
      <c r="C17" s="6" t="inlineStr">
        <is>
          <t>Sidi Kacem</t>
        </is>
      </c>
      <c r="D17" s="5" t="inlineStr">
        <is>
          <t>CHEBANAT</t>
        </is>
      </c>
      <c r="E17" s="5" t="inlineStr">
        <is>
          <t>50-23</t>
        </is>
      </c>
      <c r="F17" s="5" t="inlineStr">
        <is>
          <t>Entretien et réparation du réseau d'assainissement et de drainage</t>
        </is>
      </c>
      <c r="G17" s="5" t="inlineStr">
        <is>
          <t>Travaux de curage des canaux révetus</t>
        </is>
      </c>
      <c r="H17" s="5" t="inlineStr">
        <is>
          <t>Curage du canal principal d'irrigation beht partie aval 1.</t>
        </is>
      </c>
      <c r="I17" s="7" t="n">
        <v>739200</v>
      </c>
      <c r="J17" s="8" t="inlineStr">
        <is>
          <t>ml</t>
        </is>
      </c>
      <c r="K17" s="9" t="n">
        <v>370</v>
      </c>
      <c r="L17" s="51" t="n"/>
      <c r="M17" s="52">
        <f>'S39'!M17+L17</f>
        <v/>
      </c>
      <c r="N17" s="53">
        <f>IFERROR(M17/K17,0)</f>
        <v/>
      </c>
      <c r="O17" s="54">
        <f>'S39'!N17</f>
        <v/>
      </c>
      <c r="P17" s="53">
        <f>N17-O17</f>
        <v/>
      </c>
      <c r="Q17" s="32" t="n"/>
      <c r="R17" s="32" t="n"/>
      <c r="S17" s="32" t="n"/>
      <c r="T17" s="55" t="n"/>
      <c r="U17" s="54">
        <f>'S39'!T17</f>
        <v/>
      </c>
      <c r="V17" s="53">
        <f>T17-U17</f>
        <v/>
      </c>
      <c r="W17" s="53">
        <f>N17-T17</f>
        <v/>
      </c>
      <c r="X17" s="34" t="n"/>
    </row>
    <row r="18" ht="22" customHeight="1">
      <c r="B18" s="10" t="n">
        <v>14</v>
      </c>
      <c r="C18" s="6" t="inlineStr">
        <is>
          <t>Sidi Kacem</t>
        </is>
      </c>
      <c r="D18" s="10" t="inlineStr">
        <is>
          <t>ZIRARA</t>
        </is>
      </c>
      <c r="E18" s="10" t="inlineStr">
        <is>
          <t>50-23</t>
        </is>
      </c>
      <c r="F18" s="10" t="inlineStr">
        <is>
          <t>Entretien et réparation du réseau d'assainissement et de drainage</t>
        </is>
      </c>
      <c r="G18" s="10" t="inlineStr">
        <is>
          <t>Travaux de curage des canaux révetus</t>
        </is>
      </c>
      <c r="H18" s="10" t="inlineStr">
        <is>
          <t>Curage du canal principal d'irrigation beht partie aval 2.</t>
        </is>
      </c>
      <c r="I18" s="11" t="n">
        <v>1276800</v>
      </c>
      <c r="J18" s="12" t="inlineStr">
        <is>
          <t>ml</t>
        </is>
      </c>
      <c r="K18" s="13" t="n">
        <v>638</v>
      </c>
      <c r="L18" s="51" t="n"/>
      <c r="M18" s="56">
        <f>'S39'!M18+L18</f>
        <v/>
      </c>
      <c r="N18" s="57">
        <f>IFERROR(M18/K18,0)</f>
        <v/>
      </c>
      <c r="O18" s="58">
        <f>'S39'!N18</f>
        <v/>
      </c>
      <c r="P18" s="57">
        <f>N18-O18</f>
        <v/>
      </c>
      <c r="Q18" s="32" t="n"/>
      <c r="R18" s="32" t="n"/>
      <c r="S18" s="32" t="n"/>
      <c r="T18" s="55" t="n"/>
      <c r="U18" s="58">
        <f>'S39'!T18</f>
        <v/>
      </c>
      <c r="V18" s="57">
        <f>T18-U18</f>
        <v/>
      </c>
      <c r="W18" s="57">
        <f>N18-T18</f>
        <v/>
      </c>
      <c r="X18" s="34" t="n"/>
    </row>
    <row r="19" ht="22" customHeight="1">
      <c r="B19" s="5" t="n">
        <v>15</v>
      </c>
      <c r="C19" s="6" t="inlineStr">
        <is>
          <t>Sidi Kacem</t>
        </is>
      </c>
      <c r="D19" s="5" t="inlineStr">
        <is>
          <t>DAR LAASLOUJI</t>
        </is>
      </c>
      <c r="E19" s="5" t="inlineStr">
        <is>
          <t>50-23</t>
        </is>
      </c>
      <c r="F19" s="5" t="inlineStr">
        <is>
          <t>Entretien et réparation du réseau d'assainissement et de drainage</t>
        </is>
      </c>
      <c r="G19" s="5" t="inlineStr">
        <is>
          <t>Travaux de curage des canaux en terre</t>
        </is>
      </c>
      <c r="H19" s="5" t="inlineStr">
        <is>
          <t>Curage des collecteurs d'assainissement des secteurs P8-1 et P8-2</t>
        </is>
      </c>
      <c r="I19" s="7" t="n">
        <v>5796360</v>
      </c>
      <c r="J19" s="8" t="inlineStr">
        <is>
          <t>ml</t>
        </is>
      </c>
      <c r="K19" s="9" t="n">
        <v>2898</v>
      </c>
      <c r="L19" s="51" t="n"/>
      <c r="M19" s="52">
        <f>'S39'!M19+L19</f>
        <v/>
      </c>
      <c r="N19" s="53">
        <f>IFERROR(M19/K19,0)</f>
        <v/>
      </c>
      <c r="O19" s="54">
        <f>'S39'!N19</f>
        <v/>
      </c>
      <c r="P19" s="53">
        <f>N19-O19</f>
        <v/>
      </c>
      <c r="Q19" s="32" t="n"/>
      <c r="R19" s="32" t="n"/>
      <c r="S19" s="32" t="n"/>
      <c r="T19" s="55" t="n"/>
      <c r="U19" s="54">
        <f>'S39'!T19</f>
        <v/>
      </c>
      <c r="V19" s="53">
        <f>T19-U19</f>
        <v/>
      </c>
      <c r="W19" s="53">
        <f>N19-T19</f>
        <v/>
      </c>
      <c r="X19" s="34" t="n"/>
    </row>
    <row r="20" ht="22" customHeight="1">
      <c r="B20" s="10" t="n">
        <v>16</v>
      </c>
      <c r="C20" s="6" t="inlineStr">
        <is>
          <t>Sidi Kacem</t>
        </is>
      </c>
      <c r="D20" s="10" t="inlineStr">
        <is>
          <t>DAR LAASLOUJI</t>
        </is>
      </c>
      <c r="E20" s="10" t="inlineStr">
        <is>
          <t>40-21</t>
        </is>
      </c>
      <c r="F20" s="10" t="inlineStr">
        <is>
          <t>Travaux de pistes</t>
        </is>
      </c>
      <c r="G20" s="10" t="inlineStr">
        <is>
          <t>Entretien des pistes agricoles</t>
        </is>
      </c>
      <c r="H20" s="10" t="inlineStr">
        <is>
          <t>Entretien des pistes agricoles</t>
        </is>
      </c>
      <c r="I20" s="11" t="n">
        <v>340000</v>
      </c>
      <c r="J20" s="12" t="inlineStr">
        <is>
          <t>km</t>
        </is>
      </c>
      <c r="K20" s="13" t="n">
        <v>1</v>
      </c>
      <c r="L20" s="51" t="n"/>
      <c r="M20" s="56">
        <f>'S39'!M20+L20</f>
        <v/>
      </c>
      <c r="N20" s="57">
        <f>IFERROR(M20/K20,0)</f>
        <v/>
      </c>
      <c r="O20" s="58">
        <f>'S39'!N20</f>
        <v/>
      </c>
      <c r="P20" s="57">
        <f>N20-O20</f>
        <v/>
      </c>
      <c r="Q20" s="32" t="n"/>
      <c r="R20" s="32" t="n"/>
      <c r="S20" s="32" t="n"/>
      <c r="T20" s="55" t="n"/>
      <c r="U20" s="58">
        <f>'S39'!T20</f>
        <v/>
      </c>
      <c r="V20" s="57">
        <f>T20-U20</f>
        <v/>
      </c>
      <c r="W20" s="57">
        <f>N20-T20</f>
        <v/>
      </c>
      <c r="X20" s="34" t="n"/>
    </row>
    <row r="21" ht="22" customHeight="1">
      <c r="B21" s="5" t="n">
        <v>17</v>
      </c>
      <c r="C21" s="6" t="inlineStr">
        <is>
          <t>Sidi Kacem</t>
        </is>
      </c>
      <c r="D21" s="5" t="inlineStr">
        <is>
          <t>HOUAFATE</t>
        </is>
      </c>
      <c r="E21" s="5" t="inlineStr">
        <is>
          <t>20-11</t>
        </is>
      </c>
      <c r="F21" s="5" t="inlineStr">
        <is>
          <t>Travaux de réhabilitation des équipements</t>
        </is>
      </c>
      <c r="G21" s="5" t="inlineStr">
        <is>
          <t>Travaux de réhabilitation des canaux portés d'irrigation</t>
        </is>
      </c>
      <c r="H21" s="5" t="inlineStr">
        <is>
          <t>Fourniture et de pose de canaux porté et accessoires du réseau S3 du secteur S13</t>
        </is>
      </c>
      <c r="I21" s="7" t="n">
        <v>397934</v>
      </c>
      <c r="J21" s="8" t="inlineStr">
        <is>
          <t>ml</t>
        </is>
      </c>
      <c r="K21" s="9" t="n">
        <v>133</v>
      </c>
      <c r="L21" s="51" t="n"/>
      <c r="M21" s="52">
        <f>'S39'!M21+L21</f>
        <v/>
      </c>
      <c r="N21" s="53">
        <f>IFERROR(M21/K21,0)</f>
        <v/>
      </c>
      <c r="O21" s="54">
        <f>'S39'!N21</f>
        <v/>
      </c>
      <c r="P21" s="53">
        <f>N21-O21</f>
        <v/>
      </c>
      <c r="Q21" s="32" t="n"/>
      <c r="R21" s="32" t="n"/>
      <c r="S21" s="32" t="n"/>
      <c r="T21" s="55" t="n"/>
      <c r="U21" s="54">
        <f>'S39'!T21</f>
        <v/>
      </c>
      <c r="V21" s="53">
        <f>T21-U21</f>
        <v/>
      </c>
      <c r="W21" s="53">
        <f>N21-T21</f>
        <v/>
      </c>
      <c r="X21" s="34" t="n"/>
    </row>
    <row r="22" ht="22" customHeight="1">
      <c r="B22" s="10" t="n">
        <v>18</v>
      </c>
      <c r="C22" s="6" t="inlineStr">
        <is>
          <t>Sidi Kacem</t>
        </is>
      </c>
      <c r="D22" s="10" t="inlineStr">
        <is>
          <t>HOUAFATE</t>
        </is>
      </c>
      <c r="E22" s="10" t="inlineStr">
        <is>
          <t>20-11</t>
        </is>
      </c>
      <c r="F22" s="10" t="inlineStr">
        <is>
          <t>Travaux de réhabilitation des équipements</t>
        </is>
      </c>
      <c r="G22" s="10" t="inlineStr"/>
      <c r="H22" s="10" t="inlineStr">
        <is>
          <t>Fourniture et de pose de canaux porté et accessoires du réseau T2S1 du secteur S13</t>
        </is>
      </c>
      <c r="I22" s="11" t="n">
        <v>207575</v>
      </c>
      <c r="J22" s="12" t="inlineStr">
        <is>
          <t>ml</t>
        </is>
      </c>
      <c r="K22" s="13" t="n">
        <v>69</v>
      </c>
      <c r="L22" s="51" t="n"/>
      <c r="M22" s="56">
        <f>'S39'!M22+L22</f>
        <v/>
      </c>
      <c r="N22" s="57">
        <f>IFERROR(M22/K22,0)</f>
        <v/>
      </c>
      <c r="O22" s="58">
        <f>'S39'!N22</f>
        <v/>
      </c>
      <c r="P22" s="57">
        <f>N22-O22</f>
        <v/>
      </c>
      <c r="Q22" s="32" t="n"/>
      <c r="R22" s="32" t="n"/>
      <c r="S22" s="32" t="n"/>
      <c r="T22" s="55" t="n"/>
      <c r="U22" s="58">
        <f>'S39'!T22</f>
        <v/>
      </c>
      <c r="V22" s="57">
        <f>T22-U22</f>
        <v/>
      </c>
      <c r="W22" s="57">
        <f>N22-T22</f>
        <v/>
      </c>
      <c r="X22" s="34" t="n"/>
    </row>
    <row r="23" ht="22" customHeight="1">
      <c r="B23" s="5" t="n">
        <v>19</v>
      </c>
      <c r="C23" s="6" t="inlineStr">
        <is>
          <t>Sidi Kacem</t>
        </is>
      </c>
      <c r="D23" s="5" t="inlineStr">
        <is>
          <t>HOUAFATE</t>
        </is>
      </c>
      <c r="E23" s="5" t="inlineStr">
        <is>
          <t>40-21</t>
        </is>
      </c>
      <c r="F23" s="5" t="inlineStr">
        <is>
          <t>Travaux de pistes</t>
        </is>
      </c>
      <c r="G23" s="5" t="inlineStr">
        <is>
          <t>Entretien des pistes agricoles</t>
        </is>
      </c>
      <c r="H23" s="5" t="inlineStr">
        <is>
          <t>Entretien des pistes agricoles</t>
        </is>
      </c>
      <c r="I23" s="7" t="n">
        <v>2200000</v>
      </c>
      <c r="J23" s="8" t="inlineStr">
        <is>
          <t>km</t>
        </is>
      </c>
      <c r="K23" s="9" t="n">
        <v>4</v>
      </c>
      <c r="L23" s="51" t="n"/>
      <c r="M23" s="52">
        <f>'S39'!M23+L23</f>
        <v/>
      </c>
      <c r="N23" s="53">
        <f>IFERROR(M23/K23,0)</f>
        <v/>
      </c>
      <c r="O23" s="54">
        <f>'S39'!N23</f>
        <v/>
      </c>
      <c r="P23" s="53">
        <f>N23-O23</f>
        <v/>
      </c>
      <c r="Q23" s="32" t="n"/>
      <c r="R23" s="32" t="n"/>
      <c r="S23" s="32" t="n"/>
      <c r="T23" s="55" t="n"/>
      <c r="U23" s="54">
        <f>'S39'!T23</f>
        <v/>
      </c>
      <c r="V23" s="53">
        <f>T23-U23</f>
        <v/>
      </c>
      <c r="W23" s="53">
        <f>N23-T23</f>
        <v/>
      </c>
      <c r="X23" s="34" t="n"/>
    </row>
    <row r="24" ht="22" customHeight="1">
      <c r="B24" s="10" t="n">
        <v>20</v>
      </c>
      <c r="C24" s="6" t="inlineStr">
        <is>
          <t>Sidi Kacem</t>
        </is>
      </c>
      <c r="D24" s="10" t="inlineStr">
        <is>
          <t>HOUAFATE</t>
        </is>
      </c>
      <c r="E24" s="10" t="inlineStr">
        <is>
          <t>50-23</t>
        </is>
      </c>
      <c r="F24" s="10" t="inlineStr">
        <is>
          <t>Entretien et réparation du réseau d'assainissement et de drainage</t>
        </is>
      </c>
      <c r="G24" s="10" t="inlineStr">
        <is>
          <t>Curage des prises sur l’oued, bâche d’aspiration et bassin de régulation.</t>
        </is>
      </c>
      <c r="H24" s="10" t="inlineStr">
        <is>
          <t>Curage des prises sur l’oued de la station de pompage S17 et S13.
Nettoyage des grilles de préfiltration des boues colmaté de la station de pompage S17 et S13.
Curage de la bâche d’aspiration de la station S17 et S13.</t>
        </is>
      </c>
      <c r="I24" s="11" t="n">
        <v>300000</v>
      </c>
      <c r="J24" s="12" t="inlineStr">
        <is>
          <t>ml</t>
        </is>
      </c>
      <c r="K24" s="13" t="n">
        <v>100</v>
      </c>
      <c r="L24" s="51" t="n"/>
      <c r="M24" s="56">
        <f>'S39'!M24+L24</f>
        <v/>
      </c>
      <c r="N24" s="57">
        <f>IFERROR(M24/K24,0)</f>
        <v/>
      </c>
      <c r="O24" s="58">
        <f>'S39'!N24</f>
        <v/>
      </c>
      <c r="P24" s="57">
        <f>N24-O24</f>
        <v/>
      </c>
      <c r="Q24" s="32" t="n"/>
      <c r="R24" s="32" t="n"/>
      <c r="S24" s="32" t="n"/>
      <c r="T24" s="55" t="n"/>
      <c r="U24" s="58">
        <f>'S39'!T24</f>
        <v/>
      </c>
      <c r="V24" s="57">
        <f>T24-U24</f>
        <v/>
      </c>
      <c r="W24" s="57">
        <f>N24-T24</f>
        <v/>
      </c>
      <c r="X24" s="34" t="n"/>
    </row>
    <row r="25" ht="22" customHeight="1">
      <c r="B25" s="5" t="n">
        <v>21</v>
      </c>
      <c r="C25" s="6" t="inlineStr">
        <is>
          <t>Sidi Kacem</t>
        </is>
      </c>
      <c r="D25" s="5" t="inlineStr">
        <is>
          <t>HOUAFATE</t>
        </is>
      </c>
      <c r="E25" s="5" t="inlineStr">
        <is>
          <t>50-21</t>
        </is>
      </c>
      <c r="F25" s="5" t="inlineStr">
        <is>
          <t>Entretien et réparation des stations de pompage</t>
        </is>
      </c>
      <c r="G25" s="5" t="inlineStr">
        <is>
          <t>Prestation de maintenance des débitmètres et leurs équipements annexes installés au niveau des station de pompage</t>
        </is>
      </c>
      <c r="H25" s="5" t="inlineStr">
        <is>
          <t>Changement trois débitmètre Ø 600mm inondés de la station de pompage S13.</t>
        </is>
      </c>
      <c r="I25" s="7" t="n">
        <v>250000</v>
      </c>
      <c r="J25" s="8" t="inlineStr">
        <is>
          <t>U</t>
        </is>
      </c>
      <c r="K25" s="9" t="n">
        <v>3</v>
      </c>
      <c r="L25" s="51" t="n"/>
      <c r="M25" s="52">
        <f>'S39'!M25+L25</f>
        <v/>
      </c>
      <c r="N25" s="53">
        <f>IFERROR(M25/K25,0)</f>
        <v/>
      </c>
      <c r="O25" s="54">
        <f>'S39'!N25</f>
        <v/>
      </c>
      <c r="P25" s="53">
        <f>N25-O25</f>
        <v/>
      </c>
      <c r="Q25" s="32" t="n"/>
      <c r="R25" s="32" t="n"/>
      <c r="S25" s="32" t="n"/>
      <c r="T25" s="55" t="n"/>
      <c r="U25" s="54">
        <f>'S39'!T25</f>
        <v/>
      </c>
      <c r="V25" s="53">
        <f>T25-U25</f>
        <v/>
      </c>
      <c r="W25" s="53">
        <f>N25-T25</f>
        <v/>
      </c>
      <c r="X25" s="34" t="n"/>
    </row>
    <row r="26" ht="22" customHeight="1">
      <c r="B26" s="10" t="n">
        <v>22</v>
      </c>
      <c r="C26" s="6" t="inlineStr">
        <is>
          <t>Sidi Kacem</t>
        </is>
      </c>
      <c r="D26" s="10" t="inlineStr">
        <is>
          <t>HOUAFATE</t>
        </is>
      </c>
      <c r="E26" s="10" t="inlineStr">
        <is>
          <t>50-21</t>
        </is>
      </c>
      <c r="F26" s="10" t="inlineStr">
        <is>
          <t>Entretien et réparation des stations de pompage</t>
        </is>
      </c>
      <c r="G26" s="10" t="inlineStr">
        <is>
          <t>Prestations de maintenance des moteurs électriques des stations de pompage.</t>
        </is>
      </c>
      <c r="H26" s="10" t="inlineStr">
        <is>
          <t>Révision des trois moteurs électriques 200 KW principaux de la station S13. 
Révision des deux moteurs électriques 5,5 KW groupes vide de la station S13.</t>
        </is>
      </c>
      <c r="I26" s="11" t="n">
        <v>25000</v>
      </c>
      <c r="J26" s="12" t="inlineStr">
        <is>
          <t>U</t>
        </is>
      </c>
      <c r="K26" s="13" t="n">
        <v>3</v>
      </c>
      <c r="L26" s="51" t="n"/>
      <c r="M26" s="56">
        <f>'S39'!M26+L26</f>
        <v/>
      </c>
      <c r="N26" s="57">
        <f>IFERROR(M26/K26,0)</f>
        <v/>
      </c>
      <c r="O26" s="58">
        <f>'S39'!N26</f>
        <v/>
      </c>
      <c r="P26" s="57">
        <f>N26-O26</f>
        <v/>
      </c>
      <c r="Q26" s="32" t="n"/>
      <c r="R26" s="32" t="n"/>
      <c r="S26" s="32" t="n"/>
      <c r="T26" s="55" t="n"/>
      <c r="U26" s="58">
        <f>'S39'!T26</f>
        <v/>
      </c>
      <c r="V26" s="57">
        <f>T26-U26</f>
        <v/>
      </c>
      <c r="W26" s="57">
        <f>N26-T26</f>
        <v/>
      </c>
      <c r="X26" s="34" t="n"/>
    </row>
    <row r="27" ht="22" customHeight="1">
      <c r="B27" s="5" t="n">
        <v>23</v>
      </c>
      <c r="C27" s="6" t="inlineStr">
        <is>
          <t>Sidi Kacem</t>
        </is>
      </c>
      <c r="D27" s="5" t="inlineStr">
        <is>
          <t>HOUAFATE</t>
        </is>
      </c>
      <c r="E27" s="5" t="inlineStr">
        <is>
          <t>50-21</t>
        </is>
      </c>
      <c r="F27" s="5" t="inlineStr">
        <is>
          <t>Entretien et réparation des stations de pompage</t>
        </is>
      </c>
      <c r="G27" s="5" t="inlineStr">
        <is>
          <t>Prestations de maintenance et de réparation mécanique des pompes et des groupes motopompes submersibles des stations de pompage.</t>
        </is>
      </c>
      <c r="H27" s="5" t="inlineStr">
        <is>
          <t>Démontage et expertise des roues des  pompes principaux et pompes a vide de la station S13.
Changement des roulements, tresses et organes d’effectués de la station S13.</t>
        </is>
      </c>
      <c r="I27" s="7" t="n">
        <v>38000</v>
      </c>
      <c r="J27" s="8" t="inlineStr">
        <is>
          <t>U</t>
        </is>
      </c>
      <c r="K27" s="9" t="n">
        <v>1</v>
      </c>
      <c r="L27" s="51" t="n"/>
      <c r="M27" s="52">
        <f>'S39'!M27+L27</f>
        <v/>
      </c>
      <c r="N27" s="53">
        <f>IFERROR(M27/K27,0)</f>
        <v/>
      </c>
      <c r="O27" s="54">
        <f>'S39'!N27</f>
        <v/>
      </c>
      <c r="P27" s="53">
        <f>N27-O27</f>
        <v/>
      </c>
      <c r="Q27" s="32" t="n"/>
      <c r="R27" s="32" t="n"/>
      <c r="S27" s="32" t="n"/>
      <c r="T27" s="55" t="n"/>
      <c r="U27" s="54">
        <f>'S39'!T27</f>
        <v/>
      </c>
      <c r="V27" s="53">
        <f>T27-U27</f>
        <v/>
      </c>
      <c r="W27" s="53">
        <f>N27-T27</f>
        <v/>
      </c>
      <c r="X27" s="34" t="n"/>
    </row>
    <row r="28" ht="22" customHeight="1">
      <c r="B28" s="10" t="n">
        <v>24</v>
      </c>
      <c r="C28" s="6" t="inlineStr">
        <is>
          <t>Sidi Kacem</t>
        </is>
      </c>
      <c r="D28" s="10" t="inlineStr">
        <is>
          <t>HOUAFATE</t>
        </is>
      </c>
      <c r="E28" s="10" t="inlineStr">
        <is>
          <t>50-21</t>
        </is>
      </c>
      <c r="F28" s="10" t="inlineStr">
        <is>
          <t>Entretien et réparation des stations de pompage</t>
        </is>
      </c>
      <c r="G28" s="10" t="inlineStr">
        <is>
          <t>Stabilisation Berge oued</t>
        </is>
      </c>
      <c r="H28" s="10" t="inlineStr">
        <is>
          <t>Pose de  gabions et recouvrement du talus par matelas Reno des stations de pompage S13.</t>
        </is>
      </c>
      <c r="I28" s="11" t="n">
        <v>10560000</v>
      </c>
      <c r="J28" s="12" t="inlineStr">
        <is>
          <t>m³</t>
        </is>
      </c>
      <c r="K28" s="13" t="n">
        <v>7040</v>
      </c>
      <c r="L28" s="51" t="n"/>
      <c r="M28" s="56">
        <f>'S39'!M28+L28</f>
        <v/>
      </c>
      <c r="N28" s="57">
        <f>IFERROR(M28/K28,0)</f>
        <v/>
      </c>
      <c r="O28" s="58">
        <f>'S39'!N28</f>
        <v/>
      </c>
      <c r="P28" s="57">
        <f>N28-O28</f>
        <v/>
      </c>
      <c r="Q28" s="32" t="n"/>
      <c r="R28" s="32" t="n"/>
      <c r="S28" s="32" t="n"/>
      <c r="T28" s="55" t="n"/>
      <c r="U28" s="58">
        <f>'S39'!T28</f>
        <v/>
      </c>
      <c r="V28" s="57">
        <f>T28-U28</f>
        <v/>
      </c>
      <c r="W28" s="57">
        <f>N28-T28</f>
        <v/>
      </c>
      <c r="X28" s="34" t="n"/>
    </row>
    <row r="29" ht="22" customHeight="1">
      <c r="B29" s="5" t="n">
        <v>25</v>
      </c>
      <c r="C29" s="6" t="inlineStr">
        <is>
          <t>Sidi Kacem</t>
        </is>
      </c>
      <c r="D29" s="5" t="inlineStr">
        <is>
          <t>HOUAFATE</t>
        </is>
      </c>
      <c r="E29" s="5" t="inlineStr">
        <is>
          <t>50-21</t>
        </is>
      </c>
      <c r="F29" s="5" t="inlineStr">
        <is>
          <t>Entretien et réparation des stations de pompage</t>
        </is>
      </c>
      <c r="G29" s="5" t="inlineStr">
        <is>
          <t>Mur clôture des stations de pompage.</t>
        </is>
      </c>
      <c r="H29" s="5" t="inlineStr">
        <is>
          <t>Stabilisation du sol et reconstruction des murs clôture (270m) cote oued de la station S17.</t>
        </is>
      </c>
      <c r="I29" s="7" t="n">
        <v>144000</v>
      </c>
      <c r="J29" s="8" t="inlineStr">
        <is>
          <t>ml</t>
        </is>
      </c>
      <c r="K29" s="9" t="n">
        <v>270</v>
      </c>
      <c r="L29" s="51" t="n"/>
      <c r="M29" s="52">
        <f>'S39'!M29+L29</f>
        <v/>
      </c>
      <c r="N29" s="53">
        <f>IFERROR(M29/K29,0)</f>
        <v/>
      </c>
      <c r="O29" s="54">
        <f>'S39'!N29</f>
        <v/>
      </c>
      <c r="P29" s="53">
        <f>N29-O29</f>
        <v/>
      </c>
      <c r="Q29" s="32" t="n"/>
      <c r="R29" s="32" t="n"/>
      <c r="S29" s="32" t="n"/>
      <c r="T29" s="55" t="n"/>
      <c r="U29" s="54">
        <f>'S39'!T29</f>
        <v/>
      </c>
      <c r="V29" s="53">
        <f>T29-U29</f>
        <v/>
      </c>
      <c r="W29" s="53">
        <f>N29-T29</f>
        <v/>
      </c>
      <c r="X29" s="34" t="n"/>
    </row>
    <row r="30" ht="22" customHeight="1">
      <c r="B30" s="10" t="n">
        <v>26</v>
      </c>
      <c r="C30" s="6" t="inlineStr">
        <is>
          <t>Sidi Kacem</t>
        </is>
      </c>
      <c r="D30" s="10" t="inlineStr">
        <is>
          <t>HOUAFATE</t>
        </is>
      </c>
      <c r="E30" s="10" t="inlineStr">
        <is>
          <t>50-21</t>
        </is>
      </c>
      <c r="F30" s="10" t="inlineStr">
        <is>
          <t>Entretien et réparation des stations de pompage</t>
        </is>
      </c>
      <c r="G30" s="10" t="inlineStr">
        <is>
          <t>Génie civile des locaux des stations de pompage.</t>
        </is>
      </c>
      <c r="H30" s="10" t="inlineStr">
        <is>
          <t>Expertise d’état et d’étanchéité des locaux pompes, commande, puissance des stations de pompage S17 et S13.
Renforcement d’étanchéité des locaux pompe sous niveau des oueds des stations de pompage S17 et S13.</t>
        </is>
      </c>
      <c r="I30" s="11" t="n">
        <v>800000</v>
      </c>
      <c r="J30" s="12" t="inlineStr">
        <is>
          <t>U</t>
        </is>
      </c>
      <c r="K30" s="13" t="n">
        <v>1</v>
      </c>
      <c r="L30" s="51" t="n"/>
      <c r="M30" s="56">
        <f>'S39'!M30+L30</f>
        <v/>
      </c>
      <c r="N30" s="57">
        <f>IFERROR(M30/K30,0)</f>
        <v/>
      </c>
      <c r="O30" s="58">
        <f>'S39'!N30</f>
        <v/>
      </c>
      <c r="P30" s="57">
        <f>N30-O30</f>
        <v/>
      </c>
      <c r="Q30" s="32" t="n"/>
      <c r="R30" s="32" t="n"/>
      <c r="S30" s="32" t="n"/>
      <c r="T30" s="55" t="n"/>
      <c r="U30" s="58">
        <f>'S39'!T30</f>
        <v/>
      </c>
      <c r="V30" s="57">
        <f>T30-U30</f>
        <v/>
      </c>
      <c r="W30" s="57">
        <f>N30-T30</f>
        <v/>
      </c>
      <c r="X30" s="34" t="n"/>
    </row>
    <row r="31" ht="22" customHeight="1">
      <c r="B31" s="5" t="n">
        <v>27</v>
      </c>
      <c r="C31" s="6" t="inlineStr">
        <is>
          <t>Sidi Kacem</t>
        </is>
      </c>
      <c r="D31" s="5" t="inlineStr">
        <is>
          <t>NOUIRAT</t>
        </is>
      </c>
      <c r="E31" s="5" t="inlineStr">
        <is>
          <t>50-23</t>
        </is>
      </c>
      <c r="F31" s="5" t="inlineStr">
        <is>
          <t>Entretien et réparation du réseau d'assainissement et de drainage</t>
        </is>
      </c>
      <c r="G31" s="5" t="inlineStr">
        <is>
          <t>Travaux de curage des canaux en terre</t>
        </is>
      </c>
      <c r="H31" s="5" t="inlineStr">
        <is>
          <t>Curage des collecteurs d'assainissement des secteurs EST1 et N5</t>
        </is>
      </c>
      <c r="I31" s="7" t="n">
        <v>1733306</v>
      </c>
      <c r="J31" s="8" t="inlineStr">
        <is>
          <t>ml</t>
        </is>
      </c>
      <c r="K31" s="9" t="n">
        <v>867</v>
      </c>
      <c r="L31" s="51" t="n"/>
      <c r="M31" s="52">
        <f>'S39'!M31+L31</f>
        <v/>
      </c>
      <c r="N31" s="53">
        <f>IFERROR(M31/K31,0)</f>
        <v/>
      </c>
      <c r="O31" s="54">
        <f>'S39'!N31</f>
        <v/>
      </c>
      <c r="P31" s="53">
        <f>N31-O31</f>
        <v/>
      </c>
      <c r="Q31" s="32" t="n"/>
      <c r="R31" s="32" t="n"/>
      <c r="S31" s="32" t="n"/>
      <c r="T31" s="55" t="n"/>
      <c r="U31" s="54">
        <f>'S39'!T31</f>
        <v/>
      </c>
      <c r="V31" s="53">
        <f>T31-U31</f>
        <v/>
      </c>
      <c r="W31" s="53">
        <f>N31-T31</f>
        <v/>
      </c>
      <c r="X31" s="34" t="n"/>
    </row>
    <row r="32" ht="22" customHeight="1">
      <c r="B32" s="10" t="n">
        <v>28</v>
      </c>
      <c r="C32" s="6" t="inlineStr">
        <is>
          <t>Sidi Kacem</t>
        </is>
      </c>
      <c r="D32" s="10" t="inlineStr">
        <is>
          <t>NOUIRAT</t>
        </is>
      </c>
      <c r="E32" s="10" t="inlineStr">
        <is>
          <t>40-21</t>
        </is>
      </c>
      <c r="F32" s="10" t="inlineStr">
        <is>
          <t>Travaux de pistes</t>
        </is>
      </c>
      <c r="G32" s="10" t="inlineStr">
        <is>
          <t>Entretien des pistes agricoles</t>
        </is>
      </c>
      <c r="H32" s="10" t="inlineStr">
        <is>
          <t>Entretien des pistes agricoles</t>
        </is>
      </c>
      <c r="I32" s="11" t="n">
        <v>670000</v>
      </c>
      <c r="J32" s="12" t="inlineStr">
        <is>
          <t>km</t>
        </is>
      </c>
      <c r="K32" s="13" t="n">
        <v>1</v>
      </c>
      <c r="L32" s="51" t="n"/>
      <c r="M32" s="56">
        <f>'S39'!M32+L32</f>
        <v/>
      </c>
      <c r="N32" s="57">
        <f>IFERROR(M32/K32,0)</f>
        <v/>
      </c>
      <c r="O32" s="58">
        <f>'S39'!N32</f>
        <v/>
      </c>
      <c r="P32" s="57">
        <f>N32-O32</f>
        <v/>
      </c>
      <c r="Q32" s="32" t="n"/>
      <c r="R32" s="32" t="n"/>
      <c r="S32" s="32" t="n"/>
      <c r="T32" s="55" t="n"/>
      <c r="U32" s="58">
        <f>'S39'!T32</f>
        <v/>
      </c>
      <c r="V32" s="57">
        <f>T32-U32</f>
        <v/>
      </c>
      <c r="W32" s="57">
        <f>N32-T32</f>
        <v/>
      </c>
      <c r="X32" s="34" t="n"/>
    </row>
    <row r="33" ht="22" customHeight="1">
      <c r="B33" s="5" t="n">
        <v>29</v>
      </c>
      <c r="C33" s="6" t="inlineStr">
        <is>
          <t>Sidi Kacem</t>
        </is>
      </c>
      <c r="D33" s="5" t="inlineStr">
        <is>
          <t>NOUIRAT</t>
        </is>
      </c>
      <c r="E33" s="5" t="inlineStr">
        <is>
          <t>20-11</t>
        </is>
      </c>
      <c r="F33" s="5" t="inlineStr">
        <is>
          <t>Travaux de réhabilitation des équipements</t>
        </is>
      </c>
      <c r="G33" s="5" t="inlineStr">
        <is>
          <t>Travaux de réhabilitation des ouvrages de génie civil</t>
        </is>
      </c>
      <c r="H33" s="5" t="inlineStr">
        <is>
          <t>Réhabilitation de l'ouvrage( genie civil ,gabiollannage,clapet anti retour et buse) de l'ouvrage de débouche SE1</t>
        </is>
      </c>
      <c r="I33" s="7" t="n">
        <v>2500000</v>
      </c>
      <c r="J33" s="8" t="inlineStr">
        <is>
          <t>U</t>
        </is>
      </c>
      <c r="K33" s="9" t="n">
        <v>5</v>
      </c>
      <c r="L33" s="51" t="n"/>
      <c r="M33" s="52">
        <f>'S39'!M33+L33</f>
        <v/>
      </c>
      <c r="N33" s="53">
        <f>IFERROR(M33/K33,0)</f>
        <v/>
      </c>
      <c r="O33" s="54">
        <f>'S39'!N33</f>
        <v/>
      </c>
      <c r="P33" s="53">
        <f>N33-O33</f>
        <v/>
      </c>
      <c r="Q33" s="32" t="n"/>
      <c r="R33" s="32" t="n"/>
      <c r="S33" s="32" t="n"/>
      <c r="T33" s="55" t="n"/>
      <c r="U33" s="54">
        <f>'S39'!T33</f>
        <v/>
      </c>
      <c r="V33" s="53">
        <f>T33-U33</f>
        <v/>
      </c>
      <c r="W33" s="53">
        <f>N33-T33</f>
        <v/>
      </c>
      <c r="X33" s="34" t="n"/>
    </row>
    <row r="34" ht="22" customHeight="1">
      <c r="B34" s="10" t="n">
        <v>30</v>
      </c>
      <c r="C34" s="6" t="inlineStr">
        <is>
          <t>Sidi Kacem</t>
        </is>
      </c>
      <c r="D34" s="10" t="inlineStr">
        <is>
          <t>NOUIRAT</t>
        </is>
      </c>
      <c r="E34" s="10" t="inlineStr">
        <is>
          <t>50-23</t>
        </is>
      </c>
      <c r="F34" s="10" t="inlineStr">
        <is>
          <t>Entretien et réparation du réseau d'assainissement et de drainage</t>
        </is>
      </c>
      <c r="G34" s="10" t="inlineStr">
        <is>
          <t>Curage des prises sur l’oued, bâche d’aspiration et bassin de régulation.</t>
        </is>
      </c>
      <c r="H34" s="10" t="inlineStr">
        <is>
          <t>Curage des prises sur l’oued de la station de pompage E1.
Nettoyage des grilles de préfiltration des boues colmaté de la station de pompage E1.
Curage de la bâche d’aspiration de la station E1.</t>
        </is>
      </c>
      <c r="I34" s="11" t="n">
        <v>800000</v>
      </c>
      <c r="J34" s="12" t="inlineStr">
        <is>
          <t>ml</t>
        </is>
      </c>
      <c r="K34" s="13" t="n">
        <v>267</v>
      </c>
      <c r="L34" s="51" t="n"/>
      <c r="M34" s="56">
        <f>'S39'!M34+L34</f>
        <v/>
      </c>
      <c r="N34" s="57">
        <f>IFERROR(M34/K34,0)</f>
        <v/>
      </c>
      <c r="O34" s="58">
        <f>'S39'!N34</f>
        <v/>
      </c>
      <c r="P34" s="57">
        <f>N34-O34</f>
        <v/>
      </c>
      <c r="Q34" s="32" t="n"/>
      <c r="R34" s="32" t="n"/>
      <c r="S34" s="32" t="n"/>
      <c r="T34" s="55" t="n"/>
      <c r="U34" s="58">
        <f>'S39'!T34</f>
        <v/>
      </c>
      <c r="V34" s="57">
        <f>T34-U34</f>
        <v/>
      </c>
      <c r="W34" s="57">
        <f>N34-T34</f>
        <v/>
      </c>
      <c r="X34" s="34" t="n"/>
    </row>
    <row r="35" ht="22" customHeight="1">
      <c r="B35" s="5" t="n">
        <v>31</v>
      </c>
      <c r="C35" s="6" t="inlineStr">
        <is>
          <t>Sidi Kacem</t>
        </is>
      </c>
      <c r="D35" s="5" t="inlineStr">
        <is>
          <t>NOUIRAT</t>
        </is>
      </c>
      <c r="E35" s="5" t="inlineStr">
        <is>
          <t>50-21</t>
        </is>
      </c>
      <c r="F35" s="5" t="inlineStr">
        <is>
          <t>Entretien et réparation des stations de pompage</t>
        </is>
      </c>
      <c r="G35" s="5" t="inlineStr">
        <is>
          <t>Prestation de maintenance des débitmètres et leurs équipements annexes installés au niveau des station de pompage</t>
        </is>
      </c>
      <c r="H35" s="5" t="inlineStr">
        <is>
          <t>Changement du débitmètre Ø 1200mm inondé de la station de pompage E1.</t>
        </is>
      </c>
      <c r="I35" s="7" t="n">
        <v>195000</v>
      </c>
      <c r="J35" s="8" t="inlineStr">
        <is>
          <t>U</t>
        </is>
      </c>
      <c r="K35" s="9" t="n">
        <v>2</v>
      </c>
      <c r="L35" s="51" t="n"/>
      <c r="M35" s="52">
        <f>'S39'!M35+L35</f>
        <v/>
      </c>
      <c r="N35" s="53">
        <f>IFERROR(M35/K35,0)</f>
        <v/>
      </c>
      <c r="O35" s="54">
        <f>'S39'!N35</f>
        <v/>
      </c>
      <c r="P35" s="53">
        <f>N35-O35</f>
        <v/>
      </c>
      <c r="Q35" s="32" t="n"/>
      <c r="R35" s="32" t="n"/>
      <c r="S35" s="32" t="n"/>
      <c r="T35" s="55" t="n"/>
      <c r="U35" s="54">
        <f>'S39'!T35</f>
        <v/>
      </c>
      <c r="V35" s="53">
        <f>T35-U35</f>
        <v/>
      </c>
      <c r="W35" s="53">
        <f>N35-T35</f>
        <v/>
      </c>
      <c r="X35" s="34" t="n"/>
    </row>
    <row r="36" ht="22" customHeight="1">
      <c r="B36" s="10" t="n">
        <v>32</v>
      </c>
      <c r="C36" s="6" t="inlineStr">
        <is>
          <t>Sidi Kacem</t>
        </is>
      </c>
      <c r="D36" s="10" t="inlineStr">
        <is>
          <t>NOUIRAT</t>
        </is>
      </c>
      <c r="E36" s="10" t="inlineStr">
        <is>
          <t>50-21</t>
        </is>
      </c>
      <c r="F36" s="10" t="inlineStr">
        <is>
          <t>Entretien et réparation des stations de pompage</t>
        </is>
      </c>
      <c r="G36" s="10" t="inlineStr">
        <is>
          <t>Prestations de maintenance des moteurs électriques des stations de pompage.</t>
        </is>
      </c>
      <c r="H36" s="10" t="inlineStr">
        <is>
          <t>Révision des deux moteurs électriques principaux de la station E1.</t>
        </is>
      </c>
      <c r="I36" s="11" t="n">
        <v>50000</v>
      </c>
      <c r="J36" s="12" t="inlineStr">
        <is>
          <t>U</t>
        </is>
      </c>
      <c r="K36" s="13" t="n">
        <v>2</v>
      </c>
      <c r="L36" s="51" t="n"/>
      <c r="M36" s="56">
        <f>'S39'!M36+L36</f>
        <v/>
      </c>
      <c r="N36" s="57">
        <f>IFERROR(M36/K36,0)</f>
        <v/>
      </c>
      <c r="O36" s="58">
        <f>'S39'!N36</f>
        <v/>
      </c>
      <c r="P36" s="57">
        <f>N36-O36</f>
        <v/>
      </c>
      <c r="Q36" s="32" t="n"/>
      <c r="R36" s="32" t="n"/>
      <c r="S36" s="32" t="n"/>
      <c r="T36" s="55" t="n"/>
      <c r="U36" s="58">
        <f>'S39'!T36</f>
        <v/>
      </c>
      <c r="V36" s="57">
        <f>T36-U36</f>
        <v/>
      </c>
      <c r="W36" s="57">
        <f>N36-T36</f>
        <v/>
      </c>
      <c r="X36" s="34" t="n"/>
    </row>
    <row r="37" ht="22" customHeight="1">
      <c r="B37" s="5" t="n">
        <v>33</v>
      </c>
      <c r="C37" s="6" t="inlineStr">
        <is>
          <t>Sidi Kacem</t>
        </is>
      </c>
      <c r="D37" s="5" t="inlineStr">
        <is>
          <t>NOUIRAT</t>
        </is>
      </c>
      <c r="E37" s="5" t="inlineStr">
        <is>
          <t>50-21</t>
        </is>
      </c>
      <c r="F37" s="5" t="inlineStr">
        <is>
          <t>Entretien et réparation des stations de pompage</t>
        </is>
      </c>
      <c r="G37" s="5" t="inlineStr">
        <is>
          <t>Prestations de maintenance et de réparation mécanique des pompes et des groupes motopompes submersibles des stations de pompage.</t>
        </is>
      </c>
      <c r="H37" s="5" t="inlineStr">
        <is>
          <t>Démontage et expertise des cinq pompes principaux et pompes a vide de la station E1.
Changement des roulements, tresses et organes d’effectués de la station E1.</t>
        </is>
      </c>
      <c r="I37" s="7" t="n">
        <v>245000</v>
      </c>
      <c r="J37" s="8" t="inlineStr">
        <is>
          <t>U</t>
        </is>
      </c>
      <c r="K37" s="9" t="n">
        <v>5</v>
      </c>
      <c r="L37" s="51" t="n"/>
      <c r="M37" s="52">
        <f>'S39'!M37+L37</f>
        <v/>
      </c>
      <c r="N37" s="53">
        <f>IFERROR(M37/K37,0)</f>
        <v/>
      </c>
      <c r="O37" s="54">
        <f>'S39'!N37</f>
        <v/>
      </c>
      <c r="P37" s="53">
        <f>N37-O37</f>
        <v/>
      </c>
      <c r="Q37" s="32" t="n"/>
      <c r="R37" s="32" t="n"/>
      <c r="S37" s="32" t="n"/>
      <c r="T37" s="55" t="n"/>
      <c r="U37" s="54">
        <f>'S39'!T37</f>
        <v/>
      </c>
      <c r="V37" s="53">
        <f>T37-U37</f>
        <v/>
      </c>
      <c r="W37" s="53">
        <f>N37-T37</f>
        <v/>
      </c>
      <c r="X37" s="34" t="n"/>
    </row>
    <row r="38" ht="22" customHeight="1">
      <c r="B38" s="10" t="n">
        <v>34</v>
      </c>
      <c r="C38" s="6" t="inlineStr">
        <is>
          <t>Sidi Kacem</t>
        </is>
      </c>
      <c r="D38" s="10" t="inlineStr">
        <is>
          <t>NOUIRAT</t>
        </is>
      </c>
      <c r="E38" s="10" t="inlineStr">
        <is>
          <t>50-21</t>
        </is>
      </c>
      <c r="F38" s="10" t="inlineStr">
        <is>
          <t>Entretien et réparation des stations de pompage</t>
        </is>
      </c>
      <c r="G38" s="10" t="inlineStr">
        <is>
          <t>Génie civile des locaux des stations de pompage.</t>
        </is>
      </c>
      <c r="H38" s="10" t="inlineStr">
        <is>
          <t>Expertise d’état et d’étanchéité des locaux pompes, commande, puissance de la station de pompage E1.
Renforcement d’étanchéité des locaux pompe sous niveau des oueds de la station de pompage E1.</t>
        </is>
      </c>
      <c r="I38" s="11" t="n">
        <v>1000000</v>
      </c>
      <c r="J38" s="12" t="inlineStr">
        <is>
          <t>U</t>
        </is>
      </c>
      <c r="K38" s="13" t="n">
        <v>1</v>
      </c>
      <c r="L38" s="51" t="n"/>
      <c r="M38" s="56">
        <f>'S39'!M38+L38</f>
        <v/>
      </c>
      <c r="N38" s="57">
        <f>IFERROR(M38/K38,0)</f>
        <v/>
      </c>
      <c r="O38" s="58">
        <f>'S39'!N38</f>
        <v/>
      </c>
      <c r="P38" s="57">
        <f>N38-O38</f>
        <v/>
      </c>
      <c r="Q38" s="32" t="n"/>
      <c r="R38" s="32" t="n"/>
      <c r="S38" s="32" t="n"/>
      <c r="T38" s="55" t="n"/>
      <c r="U38" s="58">
        <f>'S39'!T38</f>
        <v/>
      </c>
      <c r="V38" s="57">
        <f>T38-U38</f>
        <v/>
      </c>
      <c r="W38" s="57">
        <f>N38-T38</f>
        <v/>
      </c>
      <c r="X38" s="34" t="n"/>
    </row>
    <row r="39" ht="22" customHeight="1">
      <c r="B39" s="5" t="n">
        <v>35</v>
      </c>
      <c r="C39" s="6" t="inlineStr">
        <is>
          <t>Sidi Kacem</t>
        </is>
      </c>
      <c r="D39" s="5" t="inlineStr">
        <is>
          <t>RMILAT</t>
        </is>
      </c>
      <c r="E39" s="5" t="inlineStr">
        <is>
          <t>50-23</t>
        </is>
      </c>
      <c r="F39" s="5" t="inlineStr">
        <is>
          <t>Entretien et réparation du réseau d'assainissement et de drainage</t>
        </is>
      </c>
      <c r="G39" s="5" t="inlineStr">
        <is>
          <t>Travaux de curage des canaux en terre</t>
        </is>
      </c>
      <c r="H39" s="5" t="inlineStr">
        <is>
          <t>Curage des collecteurs d'assainissement des secteurs P7</t>
        </is>
      </c>
      <c r="I39" s="7" t="n">
        <v>5024032</v>
      </c>
      <c r="J39" s="8" t="inlineStr">
        <is>
          <t>ml</t>
        </is>
      </c>
      <c r="K39" s="9" t="n">
        <v>2512</v>
      </c>
      <c r="L39" s="51" t="n"/>
      <c r="M39" s="52">
        <f>'S39'!M39+L39</f>
        <v/>
      </c>
      <c r="N39" s="53">
        <f>IFERROR(M39/K39,0)</f>
        <v/>
      </c>
      <c r="O39" s="54">
        <f>'S39'!N39</f>
        <v/>
      </c>
      <c r="P39" s="53">
        <f>N39-O39</f>
        <v/>
      </c>
      <c r="Q39" s="32" t="n"/>
      <c r="R39" s="32" t="n"/>
      <c r="S39" s="32" t="n"/>
      <c r="T39" s="55" t="n"/>
      <c r="U39" s="54">
        <f>'S39'!T39</f>
        <v/>
      </c>
      <c r="V39" s="53">
        <f>T39-U39</f>
        <v/>
      </c>
      <c r="W39" s="53">
        <f>N39-T39</f>
        <v/>
      </c>
      <c r="X39" s="34" t="n"/>
    </row>
    <row r="40" ht="22" customHeight="1">
      <c r="B40" s="10" t="n">
        <v>36</v>
      </c>
      <c r="C40" s="6" t="inlineStr">
        <is>
          <t>Sidi Kacem</t>
        </is>
      </c>
      <c r="D40" s="10" t="inlineStr">
        <is>
          <t>RMILAT</t>
        </is>
      </c>
      <c r="E40" s="10" t="inlineStr">
        <is>
          <t>40-21</t>
        </is>
      </c>
      <c r="F40" s="10" t="inlineStr">
        <is>
          <t>Travaux de pistes</t>
        </is>
      </c>
      <c r="G40" s="10" t="inlineStr">
        <is>
          <t>Entretien des pistes agricoles</t>
        </is>
      </c>
      <c r="H40" s="10" t="inlineStr">
        <is>
          <t>Entretien des pistes agricoles</t>
        </is>
      </c>
      <c r="I40" s="11" t="n">
        <v>400000</v>
      </c>
      <c r="J40" s="12" t="inlineStr">
        <is>
          <t>km</t>
        </is>
      </c>
      <c r="K40" s="13" t="n">
        <v>1</v>
      </c>
      <c r="L40" s="51" t="n"/>
      <c r="M40" s="56">
        <f>'S39'!M40+L40</f>
        <v/>
      </c>
      <c r="N40" s="57">
        <f>IFERROR(M40/K40,0)</f>
        <v/>
      </c>
      <c r="O40" s="58">
        <f>'S39'!N40</f>
        <v/>
      </c>
      <c r="P40" s="57">
        <f>N40-O40</f>
        <v/>
      </c>
      <c r="Q40" s="32" t="n"/>
      <c r="R40" s="32" t="n"/>
      <c r="S40" s="32" t="n"/>
      <c r="T40" s="55" t="n"/>
      <c r="U40" s="58">
        <f>'S39'!T40</f>
        <v/>
      </c>
      <c r="V40" s="57">
        <f>T40-U40</f>
        <v/>
      </c>
      <c r="W40" s="57">
        <f>N40-T40</f>
        <v/>
      </c>
      <c r="X40" s="34" t="n"/>
    </row>
    <row r="41" ht="22" customHeight="1">
      <c r="B41" s="5" t="n">
        <v>37</v>
      </c>
      <c r="C41" s="6" t="inlineStr">
        <is>
          <t>Sidi Kacem</t>
        </is>
      </c>
      <c r="D41" s="5" t="inlineStr">
        <is>
          <t>SAFSAF</t>
        </is>
      </c>
      <c r="E41" s="5" t="inlineStr">
        <is>
          <t>50-23</t>
        </is>
      </c>
      <c r="F41" s="5" t="inlineStr">
        <is>
          <t>Entretien et réparation du réseau d'assainissement et de drainage</t>
        </is>
      </c>
      <c r="G41" s="5" t="inlineStr">
        <is>
          <t>Travaux de curage des canaux en terre</t>
        </is>
      </c>
      <c r="H41" s="5" t="inlineStr">
        <is>
          <t>Curage des collecteurs d'assainissement des secteurs S7, S9 et S11</t>
        </is>
      </c>
      <c r="I41" s="7" t="n">
        <v>6000000</v>
      </c>
      <c r="J41" s="8" t="inlineStr">
        <is>
          <t>ml</t>
        </is>
      </c>
      <c r="K41" s="9" t="n">
        <v>3000</v>
      </c>
      <c r="L41" s="51" t="n"/>
      <c r="M41" s="52">
        <f>'S39'!M41+L41</f>
        <v/>
      </c>
      <c r="N41" s="53">
        <f>IFERROR(M41/K41,0)</f>
        <v/>
      </c>
      <c r="O41" s="54">
        <f>'S39'!N41</f>
        <v/>
      </c>
      <c r="P41" s="53">
        <f>N41-O41</f>
        <v/>
      </c>
      <c r="Q41" s="32" t="n"/>
      <c r="R41" s="32" t="n"/>
      <c r="S41" s="32" t="n"/>
      <c r="T41" s="55" t="n"/>
      <c r="U41" s="54">
        <f>'S39'!T41</f>
        <v/>
      </c>
      <c r="V41" s="53">
        <f>T41-U41</f>
        <v/>
      </c>
      <c r="W41" s="53">
        <f>N41-T41</f>
        <v/>
      </c>
      <c r="X41" s="34" t="n"/>
    </row>
    <row r="42" ht="22" customHeight="1">
      <c r="B42" s="10" t="n">
        <v>38</v>
      </c>
      <c r="C42" s="6" t="inlineStr">
        <is>
          <t>Sidi Kacem</t>
        </is>
      </c>
      <c r="D42" s="10" t="inlineStr">
        <is>
          <t>SAFSAF</t>
        </is>
      </c>
      <c r="E42" s="10" t="inlineStr">
        <is>
          <t>20-11</t>
        </is>
      </c>
      <c r="F42" s="10" t="inlineStr">
        <is>
          <t>Travaux de réhabilitation des équipements</t>
        </is>
      </c>
      <c r="G42" s="10" t="inlineStr">
        <is>
          <t>Travaux de réhabilitation des canaux portés d'irrigation</t>
        </is>
      </c>
      <c r="H42" s="10" t="inlineStr">
        <is>
          <t>Fourniture et  pose de canaux porté et accessoires du réseau S4 du secteur S11</t>
        </is>
      </c>
      <c r="I42" s="11" t="n">
        <v>232266</v>
      </c>
      <c r="J42" s="12" t="inlineStr">
        <is>
          <t>ml</t>
        </is>
      </c>
      <c r="K42" s="13" t="n">
        <v>77</v>
      </c>
      <c r="L42" s="51" t="n"/>
      <c r="M42" s="56">
        <f>'S39'!M42+L42</f>
        <v/>
      </c>
      <c r="N42" s="57">
        <f>IFERROR(M42/K42,0)</f>
        <v/>
      </c>
      <c r="O42" s="58">
        <f>'S39'!N42</f>
        <v/>
      </c>
      <c r="P42" s="57">
        <f>N42-O42</f>
        <v/>
      </c>
      <c r="Q42" s="32" t="n"/>
      <c r="R42" s="32" t="n"/>
      <c r="S42" s="32" t="n"/>
      <c r="T42" s="55" t="n"/>
      <c r="U42" s="58">
        <f>'S39'!T42</f>
        <v/>
      </c>
      <c r="V42" s="57">
        <f>T42-U42</f>
        <v/>
      </c>
      <c r="W42" s="57">
        <f>N42-T42</f>
        <v/>
      </c>
      <c r="X42" s="34" t="n"/>
    </row>
    <row r="43" ht="22" customHeight="1">
      <c r="B43" s="5" t="n">
        <v>39</v>
      </c>
      <c r="C43" s="6" t="inlineStr">
        <is>
          <t>Sidi Kacem</t>
        </is>
      </c>
      <c r="D43" s="5" t="inlineStr">
        <is>
          <t>SAFSAF</t>
        </is>
      </c>
      <c r="E43" s="5" t="inlineStr">
        <is>
          <t>20-11</t>
        </is>
      </c>
      <c r="F43" s="5" t="inlineStr">
        <is>
          <t>Travaux de réhabilitation des équipements</t>
        </is>
      </c>
      <c r="G43" s="5" t="inlineStr"/>
      <c r="H43" s="5" t="inlineStr">
        <is>
          <t>Recalage des canaux portés du réseau T5S5 du secteur S9</t>
        </is>
      </c>
      <c r="I43" s="7" t="n">
        <v>1055025</v>
      </c>
      <c r="J43" s="8" t="inlineStr">
        <is>
          <t>ml</t>
        </is>
      </c>
      <c r="K43" s="9" t="n">
        <v>352</v>
      </c>
      <c r="L43" s="51" t="n"/>
      <c r="M43" s="52">
        <f>'S39'!M43+L43</f>
        <v/>
      </c>
      <c r="N43" s="53">
        <f>IFERROR(M43/K43,0)</f>
        <v/>
      </c>
      <c r="O43" s="54">
        <f>'S39'!N43</f>
        <v/>
      </c>
      <c r="P43" s="53">
        <f>N43-O43</f>
        <v/>
      </c>
      <c r="Q43" s="32" t="n"/>
      <c r="R43" s="32" t="n"/>
      <c r="S43" s="32" t="n"/>
      <c r="T43" s="55" t="n"/>
      <c r="U43" s="54">
        <f>'S39'!T43</f>
        <v/>
      </c>
      <c r="V43" s="53">
        <f>T43-U43</f>
        <v/>
      </c>
      <c r="W43" s="53">
        <f>N43-T43</f>
        <v/>
      </c>
      <c r="X43" s="34" t="n"/>
    </row>
    <row r="44" ht="22" customHeight="1">
      <c r="B44" s="10" t="n">
        <v>40</v>
      </c>
      <c r="C44" s="6" t="inlineStr">
        <is>
          <t>Sidi Kacem</t>
        </is>
      </c>
      <c r="D44" s="10" t="inlineStr">
        <is>
          <t>SAFSAF</t>
        </is>
      </c>
      <c r="E44" s="10" t="inlineStr">
        <is>
          <t>20-11</t>
        </is>
      </c>
      <c r="F44" s="10" t="inlineStr">
        <is>
          <t>Travaux de réhabilitation des équipements</t>
        </is>
      </c>
      <c r="G44" s="10" t="inlineStr"/>
      <c r="H44" s="10" t="inlineStr">
        <is>
          <t>Recalage des canaux portés du réseau T7S5 du secteur S9</t>
        </is>
      </c>
      <c r="I44" s="11" t="n">
        <v>1004535</v>
      </c>
      <c r="J44" s="12" t="inlineStr">
        <is>
          <t>ml</t>
        </is>
      </c>
      <c r="K44" s="13" t="n">
        <v>335</v>
      </c>
      <c r="L44" s="51" t="n"/>
      <c r="M44" s="56">
        <f>'S39'!M44+L44</f>
        <v/>
      </c>
      <c r="N44" s="57">
        <f>IFERROR(M44/K44,0)</f>
        <v/>
      </c>
      <c r="O44" s="58">
        <f>'S39'!N44</f>
        <v/>
      </c>
      <c r="P44" s="57">
        <f>N44-O44</f>
        <v/>
      </c>
      <c r="Q44" s="32" t="n"/>
      <c r="R44" s="32" t="n"/>
      <c r="S44" s="32" t="n"/>
      <c r="T44" s="55" t="n"/>
      <c r="U44" s="58">
        <f>'S39'!T44</f>
        <v/>
      </c>
      <c r="V44" s="57">
        <f>T44-U44</f>
        <v/>
      </c>
      <c r="W44" s="57">
        <f>N44-T44</f>
        <v/>
      </c>
      <c r="X44" s="34" t="n"/>
    </row>
    <row r="45" ht="22" customHeight="1">
      <c r="B45" s="5" t="n">
        <v>41</v>
      </c>
      <c r="C45" s="6" t="inlineStr">
        <is>
          <t>Sidi Kacem</t>
        </is>
      </c>
      <c r="D45" s="5" t="inlineStr">
        <is>
          <t>SAFSAF</t>
        </is>
      </c>
      <c r="E45" s="5" t="inlineStr">
        <is>
          <t>20-11</t>
        </is>
      </c>
      <c r="F45" s="5" t="inlineStr">
        <is>
          <t>Travaux de réhabilitation des équipements</t>
        </is>
      </c>
      <c r="G45" s="5" t="inlineStr"/>
      <c r="H45" s="5" t="inlineStr">
        <is>
          <t>Recalage des canaux portés du réseau T2S5 du secteur S9</t>
        </is>
      </c>
      <c r="I45" s="7" t="n">
        <v>793830</v>
      </c>
      <c r="J45" s="8" t="inlineStr">
        <is>
          <t>ml</t>
        </is>
      </c>
      <c r="K45" s="9" t="n">
        <v>265</v>
      </c>
      <c r="L45" s="51" t="n"/>
      <c r="M45" s="52">
        <f>'S39'!M45+L45</f>
        <v/>
      </c>
      <c r="N45" s="53">
        <f>IFERROR(M45/K45,0)</f>
        <v/>
      </c>
      <c r="O45" s="54">
        <f>'S39'!N45</f>
        <v/>
      </c>
      <c r="P45" s="53">
        <f>N45-O45</f>
        <v/>
      </c>
      <c r="Q45" s="32" t="n"/>
      <c r="R45" s="32" t="n"/>
      <c r="S45" s="32" t="n"/>
      <c r="T45" s="55" t="n"/>
      <c r="U45" s="54">
        <f>'S39'!T45</f>
        <v/>
      </c>
      <c r="V45" s="53">
        <f>T45-U45</f>
        <v/>
      </c>
      <c r="W45" s="53">
        <f>N45-T45</f>
        <v/>
      </c>
      <c r="X45" s="34" t="n"/>
    </row>
    <row r="46" ht="22" customHeight="1">
      <c r="B46" s="10" t="n">
        <v>42</v>
      </c>
      <c r="C46" s="6" t="inlineStr">
        <is>
          <t>Sidi Kacem</t>
        </is>
      </c>
      <c r="D46" s="10" t="inlineStr">
        <is>
          <t>SAFSAF</t>
        </is>
      </c>
      <c r="E46" s="10" t="inlineStr">
        <is>
          <t>40-21</t>
        </is>
      </c>
      <c r="F46" s="10" t="inlineStr">
        <is>
          <t>Travaux de pistes</t>
        </is>
      </c>
      <c r="G46" s="10" t="inlineStr">
        <is>
          <t>Entretien des pistes agricoles</t>
        </is>
      </c>
      <c r="H46" s="10" t="inlineStr">
        <is>
          <t>Entretien des pistes agricoles</t>
        </is>
      </c>
      <c r="I46" s="11" t="n">
        <v>2000000</v>
      </c>
      <c r="J46" s="12" t="inlineStr">
        <is>
          <t>km</t>
        </is>
      </c>
      <c r="K46" s="13" t="n">
        <v>4</v>
      </c>
      <c r="L46" s="51" t="n"/>
      <c r="M46" s="56">
        <f>'S39'!M46+L46</f>
        <v/>
      </c>
      <c r="N46" s="57">
        <f>IFERROR(M46/K46,0)</f>
        <v/>
      </c>
      <c r="O46" s="58">
        <f>'S39'!N46</f>
        <v/>
      </c>
      <c r="P46" s="57">
        <f>N46-O46</f>
        <v/>
      </c>
      <c r="Q46" s="32" t="n"/>
      <c r="R46" s="32" t="n"/>
      <c r="S46" s="32" t="n"/>
      <c r="T46" s="55" t="n"/>
      <c r="U46" s="58">
        <f>'S39'!T46</f>
        <v/>
      </c>
      <c r="V46" s="57">
        <f>T46-U46</f>
        <v/>
      </c>
      <c r="W46" s="57">
        <f>N46-T46</f>
        <v/>
      </c>
      <c r="X46" s="34" t="n"/>
    </row>
    <row r="47" ht="22" customHeight="1">
      <c r="B47" s="5" t="n">
        <v>43</v>
      </c>
      <c r="C47" s="6" t="inlineStr">
        <is>
          <t>Sidi Kacem</t>
        </is>
      </c>
      <c r="D47" s="5" t="inlineStr">
        <is>
          <t>SAFSAF</t>
        </is>
      </c>
      <c r="E47" s="5" t="inlineStr">
        <is>
          <t>50-23</t>
        </is>
      </c>
      <c r="F47" s="5" t="inlineStr">
        <is>
          <t>Entretien et réparation du réseau d'assainissement et de drainage</t>
        </is>
      </c>
      <c r="G47" s="5" t="inlineStr">
        <is>
          <t>Curage des prises sur l’oued, bâche d’aspiration et bassin de régulation.</t>
        </is>
      </c>
      <c r="H47" s="5" t="inlineStr">
        <is>
          <t>Curage des prises sur l’oued des stations de pompage S11, S9, 7D et 7B.
Nettoyage des grilles de préfiltration des boues colmaté des stations de pompage S11, S9, 7D et 7B.
Nettoyage des crépines des boues colmaté de station pompage 7D.
Curage des dalots et bâche d’aspiration des stations de pompage S11, S9, 7B.</t>
        </is>
      </c>
      <c r="I47" s="7" t="n">
        <v>200000</v>
      </c>
      <c r="J47" s="8" t="inlineStr">
        <is>
          <t>ml</t>
        </is>
      </c>
      <c r="K47" s="9" t="n">
        <v>67</v>
      </c>
      <c r="L47" s="51" t="n"/>
      <c r="M47" s="52">
        <f>'S39'!M47+L47</f>
        <v/>
      </c>
      <c r="N47" s="53">
        <f>IFERROR(M47/K47,0)</f>
        <v/>
      </c>
      <c r="O47" s="54">
        <f>'S39'!N47</f>
        <v/>
      </c>
      <c r="P47" s="53">
        <f>N47-O47</f>
        <v/>
      </c>
      <c r="Q47" s="32" t="n"/>
      <c r="R47" s="32" t="n"/>
      <c r="S47" s="32" t="n"/>
      <c r="T47" s="55" t="n"/>
      <c r="U47" s="54">
        <f>'S39'!T47</f>
        <v/>
      </c>
      <c r="V47" s="53">
        <f>T47-U47</f>
        <v/>
      </c>
      <c r="W47" s="53">
        <f>N47-T47</f>
        <v/>
      </c>
      <c r="X47" s="34" t="n"/>
    </row>
    <row r="48" ht="22" customHeight="1">
      <c r="B48" s="10" t="n">
        <v>44</v>
      </c>
      <c r="C48" s="6" t="inlineStr">
        <is>
          <t>Sidi Kacem</t>
        </is>
      </c>
      <c r="D48" s="10" t="inlineStr">
        <is>
          <t>SAFSAF</t>
        </is>
      </c>
      <c r="E48" s="10" t="inlineStr">
        <is>
          <t>50-21</t>
        </is>
      </c>
      <c r="F48" s="10" t="inlineStr">
        <is>
          <t>Entretien et réparation des stations de pompage</t>
        </is>
      </c>
      <c r="G48" s="10" t="inlineStr">
        <is>
          <t>Prestation de maintenance des débitmètres et leurs équipements annexes installés au niveau des station de pompage</t>
        </is>
      </c>
      <c r="H48" s="10" t="inlineStr">
        <is>
          <t>Changements Sept des débitmètres Ø 600mm inondé des deux stations de pompage S11 et S9.</t>
        </is>
      </c>
      <c r="I48" s="11" t="n">
        <v>580000</v>
      </c>
      <c r="J48" s="12" t="inlineStr">
        <is>
          <t>U</t>
        </is>
      </c>
      <c r="K48" s="13" t="n">
        <v>7</v>
      </c>
      <c r="L48" s="51" t="n"/>
      <c r="M48" s="56">
        <f>'S39'!M48+L48</f>
        <v/>
      </c>
      <c r="N48" s="57">
        <f>IFERROR(M48/K48,0)</f>
        <v/>
      </c>
      <c r="O48" s="58">
        <f>'S39'!N48</f>
        <v/>
      </c>
      <c r="P48" s="57">
        <f>N48-O48</f>
        <v/>
      </c>
      <c r="Q48" s="32" t="n"/>
      <c r="R48" s="32" t="n"/>
      <c r="S48" s="32" t="n"/>
      <c r="T48" s="55" t="n"/>
      <c r="U48" s="58">
        <f>'S39'!T48</f>
        <v/>
      </c>
      <c r="V48" s="57">
        <f>T48-U48</f>
        <v/>
      </c>
      <c r="W48" s="57">
        <f>N48-T48</f>
        <v/>
      </c>
      <c r="X48" s="34" t="n"/>
    </row>
    <row r="49" ht="22" customHeight="1">
      <c r="B49" s="5" t="n">
        <v>45</v>
      </c>
      <c r="C49" s="6" t="inlineStr">
        <is>
          <t>Sidi Kacem</t>
        </is>
      </c>
      <c r="D49" s="5" t="inlineStr">
        <is>
          <t>SAFSAF</t>
        </is>
      </c>
      <c r="E49" s="5" t="inlineStr">
        <is>
          <t>50-21</t>
        </is>
      </c>
      <c r="F49" s="5" t="inlineStr">
        <is>
          <t>Entretien et réparation des stations de pompage</t>
        </is>
      </c>
      <c r="G49" s="5" t="inlineStr">
        <is>
          <t>Stabilisation Berge oued</t>
        </is>
      </c>
      <c r="H49" s="5" t="inlineStr">
        <is>
          <t>Pose de murs en gabions et recouvrement du talus par matelas Reno des stations de pompage S11, S9, 7D et 7B .</t>
        </is>
      </c>
      <c r="I49" s="7" t="n">
        <v>4000000</v>
      </c>
      <c r="J49" s="8" t="inlineStr">
        <is>
          <t>m³</t>
        </is>
      </c>
      <c r="K49" s="9" t="n">
        <v>2667</v>
      </c>
      <c r="L49" s="51" t="n"/>
      <c r="M49" s="52">
        <f>'S39'!M49+L49</f>
        <v/>
      </c>
      <c r="N49" s="53">
        <f>IFERROR(M49/K49,0)</f>
        <v/>
      </c>
      <c r="O49" s="54">
        <f>'S39'!N49</f>
        <v/>
      </c>
      <c r="P49" s="53">
        <f>N49-O49</f>
        <v/>
      </c>
      <c r="Q49" s="32" t="n"/>
      <c r="R49" s="32" t="n"/>
      <c r="S49" s="32" t="n"/>
      <c r="T49" s="55" t="n"/>
      <c r="U49" s="54">
        <f>'S39'!T49</f>
        <v/>
      </c>
      <c r="V49" s="53">
        <f>T49-U49</f>
        <v/>
      </c>
      <c r="W49" s="53">
        <f>N49-T49</f>
        <v/>
      </c>
      <c r="X49" s="34" t="n"/>
    </row>
    <row r="50" ht="22" customHeight="1">
      <c r="B50" s="10" t="n">
        <v>46</v>
      </c>
      <c r="C50" s="6" t="inlineStr">
        <is>
          <t>Sidi Kacem</t>
        </is>
      </c>
      <c r="D50" s="10" t="inlineStr">
        <is>
          <t>SIDI AZZOUZ</t>
        </is>
      </c>
      <c r="E50" s="10" t="inlineStr">
        <is>
          <t>40-21</t>
        </is>
      </c>
      <c r="F50" s="10" t="inlineStr">
        <is>
          <t>Travaux de pistes</t>
        </is>
      </c>
      <c r="G50" s="10" t="inlineStr">
        <is>
          <t>Entretien des pistes agricoles</t>
        </is>
      </c>
      <c r="H50" s="10" t="inlineStr">
        <is>
          <t>Entretien des pistes agricoles</t>
        </is>
      </c>
      <c r="I50" s="11" t="n">
        <v>655000</v>
      </c>
      <c r="J50" s="12" t="inlineStr">
        <is>
          <t>km</t>
        </is>
      </c>
      <c r="K50" s="13" t="n">
        <v>1</v>
      </c>
      <c r="L50" s="51" t="n"/>
      <c r="M50" s="56">
        <f>'S39'!M50+L50</f>
        <v/>
      </c>
      <c r="N50" s="57">
        <f>IFERROR(M50/K50,0)</f>
        <v/>
      </c>
      <c r="O50" s="58">
        <f>'S39'!N50</f>
        <v/>
      </c>
      <c r="P50" s="57">
        <f>N50-O50</f>
        <v/>
      </c>
      <c r="Q50" s="32" t="n"/>
      <c r="R50" s="32" t="n"/>
      <c r="S50" s="32" t="n"/>
      <c r="T50" s="55" t="n"/>
      <c r="U50" s="58">
        <f>'S39'!T50</f>
        <v/>
      </c>
      <c r="V50" s="57">
        <f>T50-U50</f>
        <v/>
      </c>
      <c r="W50" s="57">
        <f>N50-T50</f>
        <v/>
      </c>
      <c r="X50" s="34" t="n"/>
    </row>
    <row r="51" ht="22" customHeight="1">
      <c r="B51" s="5" t="n">
        <v>47</v>
      </c>
      <c r="C51" s="6" t="inlineStr">
        <is>
          <t>Sidi Kacem</t>
        </is>
      </c>
      <c r="D51" s="5" t="inlineStr">
        <is>
          <t>SIDI EL KAMEL</t>
        </is>
      </c>
      <c r="E51" s="5" t="inlineStr">
        <is>
          <t>20-11</t>
        </is>
      </c>
      <c r="F51" s="5" t="inlineStr">
        <is>
          <t>Travaux de réhabilitation des équipements</t>
        </is>
      </c>
      <c r="G51" s="5" t="inlineStr">
        <is>
          <t>Travaux de réhabilitation des canaux portés d'irrigation</t>
        </is>
      </c>
      <c r="H51" s="5" t="inlineStr">
        <is>
          <t>Fourniture et de pose de canaux porté et accessoires du réseau SR4 du secteur S3R</t>
        </is>
      </c>
      <c r="I51" s="7" t="n">
        <v>5182920</v>
      </c>
      <c r="J51" s="8" t="inlineStr">
        <is>
          <t>ml</t>
        </is>
      </c>
      <c r="K51" s="9" t="n">
        <v>1728</v>
      </c>
      <c r="L51" s="51" t="n"/>
      <c r="M51" s="52">
        <f>'S39'!M51+L51</f>
        <v/>
      </c>
      <c r="N51" s="53">
        <f>IFERROR(M51/K51,0)</f>
        <v/>
      </c>
      <c r="O51" s="54">
        <f>'S39'!N51</f>
        <v/>
      </c>
      <c r="P51" s="53">
        <f>N51-O51</f>
        <v/>
      </c>
      <c r="Q51" s="32" t="n"/>
      <c r="R51" s="32" t="n"/>
      <c r="S51" s="32" t="n"/>
      <c r="T51" s="55" t="n"/>
      <c r="U51" s="54">
        <f>'S39'!T51</f>
        <v/>
      </c>
      <c r="V51" s="53">
        <f>T51-U51</f>
        <v/>
      </c>
      <c r="W51" s="53">
        <f>N51-T51</f>
        <v/>
      </c>
      <c r="X51" s="34" t="n"/>
    </row>
    <row r="52" ht="22" customHeight="1">
      <c r="B52" s="10" t="n">
        <v>48</v>
      </c>
      <c r="C52" s="6" t="inlineStr">
        <is>
          <t>Sidi Kacem</t>
        </is>
      </c>
      <c r="D52" s="10" t="inlineStr">
        <is>
          <t>SIDI EL KAMEL</t>
        </is>
      </c>
      <c r="E52" s="10" t="inlineStr">
        <is>
          <t>20-11</t>
        </is>
      </c>
      <c r="F52" s="10" t="inlineStr">
        <is>
          <t>Travaux de réhabilitation des équipements</t>
        </is>
      </c>
      <c r="G52" s="10" t="inlineStr"/>
      <c r="H52" s="10" t="inlineStr">
        <is>
          <t>Fourniture et de pose de canaux porté et accessoires du réseau SR6 du secteur S1RIZ</t>
        </is>
      </c>
      <c r="I52" s="11" t="n">
        <v>152818</v>
      </c>
      <c r="J52" s="12" t="inlineStr">
        <is>
          <t>ml</t>
        </is>
      </c>
      <c r="K52" s="13" t="n">
        <v>51</v>
      </c>
      <c r="L52" s="51" t="n"/>
      <c r="M52" s="56">
        <f>'S39'!M52+L52</f>
        <v/>
      </c>
      <c r="N52" s="57">
        <f>IFERROR(M52/K52,0)</f>
        <v/>
      </c>
      <c r="O52" s="58">
        <f>'S39'!N52</f>
        <v/>
      </c>
      <c r="P52" s="57">
        <f>N52-O52</f>
        <v/>
      </c>
      <c r="Q52" s="32" t="n"/>
      <c r="R52" s="32" t="n"/>
      <c r="S52" s="32" t="n"/>
      <c r="T52" s="55" t="n"/>
      <c r="U52" s="58">
        <f>'S39'!T52</f>
        <v/>
      </c>
      <c r="V52" s="57">
        <f>T52-U52</f>
        <v/>
      </c>
      <c r="W52" s="57">
        <f>N52-T52</f>
        <v/>
      </c>
      <c r="X52" s="34" t="n"/>
    </row>
    <row r="53" ht="22" customHeight="1">
      <c r="B53" s="5" t="n">
        <v>49</v>
      </c>
      <c r="C53" s="6" t="inlineStr">
        <is>
          <t>Sidi Kacem</t>
        </is>
      </c>
      <c r="D53" s="5" t="inlineStr">
        <is>
          <t>SIDI EL KAMEL</t>
        </is>
      </c>
      <c r="E53" s="5" t="inlineStr">
        <is>
          <t>20-11</t>
        </is>
      </c>
      <c r="F53" s="5" t="inlineStr">
        <is>
          <t>Travaux de réhabilitation des équipements</t>
        </is>
      </c>
      <c r="G53" s="5" t="inlineStr"/>
      <c r="H53" s="5" t="inlineStr">
        <is>
          <t>Recalage des canaux portés du réseau SR4 du secteur S3R</t>
        </is>
      </c>
      <c r="I53" s="7" t="n">
        <v>1418000</v>
      </c>
      <c r="J53" s="8" t="inlineStr">
        <is>
          <t>ml</t>
        </is>
      </c>
      <c r="K53" s="9" t="n">
        <v>473</v>
      </c>
      <c r="L53" s="51" t="n"/>
      <c r="M53" s="52">
        <f>'S39'!M53+L53</f>
        <v/>
      </c>
      <c r="N53" s="53">
        <f>IFERROR(M53/K53,0)</f>
        <v/>
      </c>
      <c r="O53" s="54">
        <f>'S39'!N53</f>
        <v/>
      </c>
      <c r="P53" s="53">
        <f>N53-O53</f>
        <v/>
      </c>
      <c r="Q53" s="32" t="n"/>
      <c r="R53" s="32" t="n"/>
      <c r="S53" s="32" t="n"/>
      <c r="T53" s="55" t="n"/>
      <c r="U53" s="54">
        <f>'S39'!T53</f>
        <v/>
      </c>
      <c r="V53" s="53">
        <f>T53-U53</f>
        <v/>
      </c>
      <c r="W53" s="53">
        <f>N53-T53</f>
        <v/>
      </c>
      <c r="X53" s="34" t="n"/>
    </row>
    <row r="54" ht="22" customHeight="1">
      <c r="B54" s="10" t="n">
        <v>50</v>
      </c>
      <c r="C54" s="6" t="inlineStr">
        <is>
          <t>Sidi Kacem</t>
        </is>
      </c>
      <c r="D54" s="10" t="inlineStr">
        <is>
          <t>SIDI EL KAMEL</t>
        </is>
      </c>
      <c r="E54" s="10" t="inlineStr">
        <is>
          <t>20-11</t>
        </is>
      </c>
      <c r="F54" s="10" t="inlineStr">
        <is>
          <t>Travaux de réhabilitation des équipements</t>
        </is>
      </c>
      <c r="G54" s="10" t="inlineStr">
        <is>
          <t>Travaux de réhabilitation des ouvrages de génie civil</t>
        </is>
      </c>
      <c r="H54" s="10" t="inlineStr">
        <is>
          <t>Réhabilitation des murs de soutènements des ouvrages de franchissements du canal d'assainissement CS3 secteur S3 et de l’ouvrage de franchissement du canal primaire d’irrigation du secteur S1R au niveau de la route provinciale P4234</t>
        </is>
      </c>
      <c r="I54" s="11" t="n">
        <v>800000</v>
      </c>
      <c r="J54" s="12" t="inlineStr">
        <is>
          <t>ml</t>
        </is>
      </c>
      <c r="K54" s="13" t="n">
        <v>400</v>
      </c>
      <c r="L54" s="51" t="n"/>
      <c r="M54" s="56">
        <f>'S39'!M54+L54</f>
        <v/>
      </c>
      <c r="N54" s="57">
        <f>IFERROR(M54/K54,0)</f>
        <v/>
      </c>
      <c r="O54" s="58">
        <f>'S39'!N54</f>
        <v/>
      </c>
      <c r="P54" s="57">
        <f>N54-O54</f>
        <v/>
      </c>
      <c r="Q54" s="32" t="n"/>
      <c r="R54" s="32" t="n"/>
      <c r="S54" s="32" t="n"/>
      <c r="T54" s="55" t="n"/>
      <c r="U54" s="58">
        <f>'S39'!T54</f>
        <v/>
      </c>
      <c r="V54" s="57">
        <f>T54-U54</f>
        <v/>
      </c>
      <c r="W54" s="57">
        <f>N54-T54</f>
        <v/>
      </c>
      <c r="X54" s="34" t="n"/>
    </row>
    <row r="55" ht="22" customHeight="1">
      <c r="B55" s="5" t="n">
        <v>51</v>
      </c>
      <c r="C55" s="6" t="inlineStr">
        <is>
          <t>Sidi Kacem</t>
        </is>
      </c>
      <c r="D55" s="5" t="inlineStr">
        <is>
          <t>SIDI EL KAMEL</t>
        </is>
      </c>
      <c r="E55" s="5" t="inlineStr">
        <is>
          <t>40-21</t>
        </is>
      </c>
      <c r="F55" s="5" t="inlineStr">
        <is>
          <t>Travaux de pistes</t>
        </is>
      </c>
      <c r="G55" s="5" t="inlineStr">
        <is>
          <t>Entretien des pistes agricoles</t>
        </is>
      </c>
      <c r="H55" s="5" t="inlineStr">
        <is>
          <t>Entretien des pistes agricoles</t>
        </is>
      </c>
      <c r="I55" s="7" t="n">
        <v>3700000</v>
      </c>
      <c r="J55" s="8" t="inlineStr">
        <is>
          <t>km</t>
        </is>
      </c>
      <c r="K55" s="9" t="n">
        <v>7</v>
      </c>
      <c r="L55" s="51" t="n"/>
      <c r="M55" s="52">
        <f>'S39'!M55+L55</f>
        <v/>
      </c>
      <c r="N55" s="53">
        <f>IFERROR(M55/K55,0)</f>
        <v/>
      </c>
      <c r="O55" s="54">
        <f>'S39'!N55</f>
        <v/>
      </c>
      <c r="P55" s="53">
        <f>N55-O55</f>
        <v/>
      </c>
      <c r="Q55" s="32" t="n"/>
      <c r="R55" s="32" t="n"/>
      <c r="S55" s="32" t="n"/>
      <c r="T55" s="55" t="n"/>
      <c r="U55" s="54">
        <f>'S39'!T55</f>
        <v/>
      </c>
      <c r="V55" s="53">
        <f>T55-U55</f>
        <v/>
      </c>
      <c r="W55" s="53">
        <f>N55-T55</f>
        <v/>
      </c>
      <c r="X55" s="34" t="n"/>
    </row>
    <row r="56" ht="22" customHeight="1">
      <c r="B56" s="10" t="n">
        <v>52</v>
      </c>
      <c r="C56" s="6" t="inlineStr">
        <is>
          <t>Sidi Kacem</t>
        </is>
      </c>
      <c r="D56" s="10" t="inlineStr">
        <is>
          <t>SIDI EL KAMEL</t>
        </is>
      </c>
      <c r="E56" s="10" t="inlineStr">
        <is>
          <t>50-21</t>
        </is>
      </c>
      <c r="F56" s="10" t="inlineStr">
        <is>
          <t>Entretien et réparation des stations de pompage</t>
        </is>
      </c>
      <c r="G56" s="10" t="inlineStr">
        <is>
          <t>Prestation de maintenance des débitmètres et leurs équipements annexes installés au niveau des station de pompage</t>
        </is>
      </c>
      <c r="H56" s="10" t="inlineStr">
        <is>
          <t>Changement de quatre débitmètres Ø 500mm et trois Ø 800mm inondé des stations de pompage 1R, 3R et 5R.</t>
        </is>
      </c>
      <c r="I56" s="11" t="n">
        <v>705000</v>
      </c>
      <c r="J56" s="12" t="inlineStr">
        <is>
          <t>U</t>
        </is>
      </c>
      <c r="K56" s="13" t="n">
        <v>3</v>
      </c>
      <c r="L56" s="51" t="n"/>
      <c r="M56" s="56">
        <f>'S39'!M56+L56</f>
        <v/>
      </c>
      <c r="N56" s="57">
        <f>IFERROR(M56/K56,0)</f>
        <v/>
      </c>
      <c r="O56" s="58">
        <f>'S39'!N56</f>
        <v/>
      </c>
      <c r="P56" s="57">
        <f>N56-O56</f>
        <v/>
      </c>
      <c r="Q56" s="32" t="n"/>
      <c r="R56" s="32" t="n"/>
      <c r="S56" s="32" t="n"/>
      <c r="T56" s="55" t="n"/>
      <c r="U56" s="58">
        <f>'S39'!T56</f>
        <v/>
      </c>
      <c r="V56" s="57">
        <f>T56-U56</f>
        <v/>
      </c>
      <c r="W56" s="57">
        <f>N56-T56</f>
        <v/>
      </c>
      <c r="X56" s="34" t="n"/>
    </row>
    <row r="57" ht="22" customHeight="1">
      <c r="B57" s="5" t="n">
        <v>53</v>
      </c>
      <c r="C57" s="6" t="inlineStr">
        <is>
          <t>Sidi Kacem</t>
        </is>
      </c>
      <c r="D57" s="5" t="inlineStr">
        <is>
          <t>SIDI EL KAMEL</t>
        </is>
      </c>
      <c r="E57" s="5" t="inlineStr">
        <is>
          <t>50-21</t>
        </is>
      </c>
      <c r="F57" s="5" t="inlineStr">
        <is>
          <t>Entretien et réparation des stations de pompage</t>
        </is>
      </c>
      <c r="G57" s="5" t="inlineStr">
        <is>
          <t>Mur clôture des stations de pompage.</t>
        </is>
      </c>
      <c r="H57" s="5" t="inlineStr">
        <is>
          <t>Stabilisation et reconstruction des murs clôture cote oued des stations de pompage 7A, 3R et 1R.</t>
        </is>
      </c>
      <c r="I57" s="7" t="n">
        <v>372000</v>
      </c>
      <c r="J57" s="8" t="inlineStr">
        <is>
          <t>ml</t>
        </is>
      </c>
      <c r="K57" s="9" t="n">
        <v>124</v>
      </c>
      <c r="L57" s="51" t="n"/>
      <c r="M57" s="52">
        <f>'S39'!M57+L57</f>
        <v/>
      </c>
      <c r="N57" s="53">
        <f>IFERROR(M57/K57,0)</f>
        <v/>
      </c>
      <c r="O57" s="54">
        <f>'S39'!N57</f>
        <v/>
      </c>
      <c r="P57" s="53">
        <f>N57-O57</f>
        <v/>
      </c>
      <c r="Q57" s="32" t="n"/>
      <c r="R57" s="32" t="n"/>
      <c r="S57" s="32" t="n"/>
      <c r="T57" s="55" t="n"/>
      <c r="U57" s="54">
        <f>'S39'!T57</f>
        <v/>
      </c>
      <c r="V57" s="53">
        <f>T57-U57</f>
        <v/>
      </c>
      <c r="W57" s="53">
        <f>N57-T57</f>
        <v/>
      </c>
      <c r="X57" s="34" t="n"/>
    </row>
    <row r="58" ht="22" customHeight="1">
      <c r="B58" s="10" t="n">
        <v>54</v>
      </c>
      <c r="C58" s="14" t="inlineStr">
        <is>
          <t>Kénitra</t>
        </is>
      </c>
      <c r="D58" s="10" t="inlineStr">
        <is>
          <t>Bni malek</t>
        </is>
      </c>
      <c r="E58" s="10" t="inlineStr">
        <is>
          <t>50-23</t>
        </is>
      </c>
      <c r="F58" s="10" t="inlineStr">
        <is>
          <t>Entretien et réparation du réseau d'assainissement et de drainage</t>
        </is>
      </c>
      <c r="G58" s="10" t="inlineStr">
        <is>
          <t>Travaux de curage des canaux en terre</t>
        </is>
      </c>
      <c r="H58" s="10" t="inlineStr">
        <is>
          <t>Curage des emissaires et colatures secondaire au niveau des secteurs MDA ET N9</t>
        </is>
      </c>
      <c r="I58" s="11" t="n">
        <v>10000000</v>
      </c>
      <c r="J58" s="12" t="inlineStr">
        <is>
          <t>ml</t>
        </is>
      </c>
      <c r="K58" s="13" t="n">
        <v>5000</v>
      </c>
      <c r="L58" s="51" t="n"/>
      <c r="M58" s="56">
        <f>'S39'!M58+L58</f>
        <v/>
      </c>
      <c r="N58" s="57">
        <f>IFERROR(M58/K58,0)</f>
        <v/>
      </c>
      <c r="O58" s="58">
        <f>'S39'!N58</f>
        <v/>
      </c>
      <c r="P58" s="57">
        <f>N58-O58</f>
        <v/>
      </c>
      <c r="Q58" s="32" t="n"/>
      <c r="R58" s="32" t="n"/>
      <c r="S58" s="32" t="n"/>
      <c r="T58" s="55" t="n"/>
      <c r="U58" s="58">
        <f>'S39'!T58</f>
        <v/>
      </c>
      <c r="V58" s="57">
        <f>T58-U58</f>
        <v/>
      </c>
      <c r="W58" s="57">
        <f>N58-T58</f>
        <v/>
      </c>
      <c r="X58" s="34" t="n"/>
    </row>
    <row r="59" ht="22" customHeight="1">
      <c r="B59" s="5" t="n">
        <v>55</v>
      </c>
      <c r="C59" s="14" t="inlineStr">
        <is>
          <t>Kénitra</t>
        </is>
      </c>
      <c r="D59" s="5" t="inlineStr">
        <is>
          <t>Bni malek</t>
        </is>
      </c>
      <c r="E59" s="5" t="inlineStr">
        <is>
          <t>40-21</t>
        </is>
      </c>
      <c r="F59" s="5" t="inlineStr">
        <is>
          <t>Travaux de pistes</t>
        </is>
      </c>
      <c r="G59" s="5" t="inlineStr">
        <is>
          <t>Travaux de réhabilitation des pistes agricoles</t>
        </is>
      </c>
      <c r="H59" s="5" t="inlineStr">
        <is>
          <t>Entretien des pistes agricoles des secteurs MDA et N3</t>
        </is>
      </c>
      <c r="I59" s="7" t="n">
        <v>2000000</v>
      </c>
      <c r="J59" s="8" t="inlineStr">
        <is>
          <t>km</t>
        </is>
      </c>
      <c r="K59" s="9" t="n">
        <v>4</v>
      </c>
      <c r="L59" s="51" t="n"/>
      <c r="M59" s="52">
        <f>'S39'!M59+L59</f>
        <v/>
      </c>
      <c r="N59" s="53">
        <f>IFERROR(M59/K59,0)</f>
        <v/>
      </c>
      <c r="O59" s="54">
        <f>'S39'!N59</f>
        <v/>
      </c>
      <c r="P59" s="53">
        <f>N59-O59</f>
        <v/>
      </c>
      <c r="Q59" s="32" t="n"/>
      <c r="R59" s="32" t="n"/>
      <c r="S59" s="32" t="n"/>
      <c r="T59" s="55" t="n"/>
      <c r="U59" s="54">
        <f>'S39'!T59</f>
        <v/>
      </c>
      <c r="V59" s="53">
        <f>T59-U59</f>
        <v/>
      </c>
      <c r="W59" s="53">
        <f>N59-T59</f>
        <v/>
      </c>
      <c r="X59" s="34" t="n"/>
    </row>
    <row r="60" ht="22" customHeight="1">
      <c r="B60" s="10" t="n">
        <v>56</v>
      </c>
      <c r="C60" s="14" t="inlineStr">
        <is>
          <t>Kénitra</t>
        </is>
      </c>
      <c r="D60" s="10" t="inlineStr">
        <is>
          <t>Bni malek</t>
        </is>
      </c>
      <c r="E60" s="10" t="inlineStr">
        <is>
          <t>50-21</t>
        </is>
      </c>
      <c r="F60" s="10" t="inlineStr">
        <is>
          <t>Entretien et réparation des stations de pompage</t>
        </is>
      </c>
      <c r="G60" s="10" t="inlineStr">
        <is>
          <t>Prestations de maintenance et de réparation mécanique des pompes et des groupes motopompes submersibles des stations de pompage.</t>
        </is>
      </c>
      <c r="H60" s="10" t="inlineStr">
        <is>
          <t>station de pompage MDA secteur MDA</t>
        </is>
      </c>
      <c r="I60" s="11" t="n">
        <v>300000</v>
      </c>
      <c r="J60" s="12" t="inlineStr">
        <is>
          <t>U</t>
        </is>
      </c>
      <c r="K60" s="13" t="n">
        <v>1</v>
      </c>
      <c r="L60" s="51" t="n"/>
      <c r="M60" s="56">
        <f>'S39'!M60+L60</f>
        <v/>
      </c>
      <c r="N60" s="57">
        <f>IFERROR(M60/K60,0)</f>
        <v/>
      </c>
      <c r="O60" s="58">
        <f>'S39'!N60</f>
        <v/>
      </c>
      <c r="P60" s="57">
        <f>N60-O60</f>
        <v/>
      </c>
      <c r="Q60" s="32" t="n"/>
      <c r="R60" s="32" t="n"/>
      <c r="S60" s="32" t="n"/>
      <c r="T60" s="55" t="n"/>
      <c r="U60" s="58">
        <f>'S39'!T60</f>
        <v/>
      </c>
      <c r="V60" s="57">
        <f>T60-U60</f>
        <v/>
      </c>
      <c r="W60" s="57">
        <f>N60-T60</f>
        <v/>
      </c>
      <c r="X60" s="34" t="n"/>
    </row>
    <row r="61" ht="22" customHeight="1">
      <c r="B61" s="5" t="n">
        <v>57</v>
      </c>
      <c r="C61" s="14" t="inlineStr">
        <is>
          <t>Kénitra</t>
        </is>
      </c>
      <c r="D61" s="5" t="inlineStr">
        <is>
          <t>Bni malek</t>
        </is>
      </c>
      <c r="E61" s="5" t="inlineStr">
        <is>
          <t>20-11</t>
        </is>
      </c>
      <c r="F61" s="5" t="inlineStr">
        <is>
          <t>Travaux de réhabilitation des équipements</t>
        </is>
      </c>
      <c r="G61" s="5" t="inlineStr">
        <is>
          <t>Travaux de réhabilitation des ouvrages de génie civil</t>
        </is>
      </c>
      <c r="H61" s="5" t="inlineStr">
        <is>
          <t>Rétablissement des bornes affaissées des secteurs N2 et N3</t>
        </is>
      </c>
      <c r="I61" s="7" t="n">
        <v>100000</v>
      </c>
      <c r="J61" s="8" t="inlineStr">
        <is>
          <t>U</t>
        </is>
      </c>
      <c r="K61" s="9" t="n">
        <v>200</v>
      </c>
      <c r="L61" s="51" t="n"/>
      <c r="M61" s="52">
        <f>'S39'!M61+L61</f>
        <v/>
      </c>
      <c r="N61" s="53">
        <f>IFERROR(M61/K61,0)</f>
        <v/>
      </c>
      <c r="O61" s="54">
        <f>'S39'!N61</f>
        <v/>
      </c>
      <c r="P61" s="53">
        <f>N61-O61</f>
        <v/>
      </c>
      <c r="Q61" s="32" t="n"/>
      <c r="R61" s="32" t="n"/>
      <c r="S61" s="32" t="n"/>
      <c r="T61" s="55" t="n"/>
      <c r="U61" s="54">
        <f>'S39'!T61</f>
        <v/>
      </c>
      <c r="V61" s="53">
        <f>T61-U61</f>
        <v/>
      </c>
      <c r="W61" s="53">
        <f>N61-T61</f>
        <v/>
      </c>
      <c r="X61" s="34" t="n"/>
    </row>
    <row r="62" ht="22" customHeight="1">
      <c r="B62" s="10" t="n">
        <v>58</v>
      </c>
      <c r="C62" s="14" t="inlineStr">
        <is>
          <t>Kénitra</t>
        </is>
      </c>
      <c r="D62" s="10" t="inlineStr">
        <is>
          <t>SOUK TLET</t>
        </is>
      </c>
      <c r="E62" s="10" t="inlineStr">
        <is>
          <t>50-23</t>
        </is>
      </c>
      <c r="F62" s="10" t="inlineStr">
        <is>
          <t>Entretien et réparation du réseau d'assainissement et de drainage</t>
        </is>
      </c>
      <c r="G62" s="10" t="inlineStr">
        <is>
          <t>Travaux de curage des canaux en terre</t>
        </is>
      </c>
      <c r="H62" s="10" t="inlineStr">
        <is>
          <t>curage des emissaires et colatures secondaire au niveau des secteurs N2,N3 ET N4,</t>
        </is>
      </c>
      <c r="I62" s="11" t="n">
        <v>3000000</v>
      </c>
      <c r="J62" s="12" t="inlineStr">
        <is>
          <t>ml</t>
        </is>
      </c>
      <c r="K62" s="13" t="n">
        <v>1500</v>
      </c>
      <c r="L62" s="51" t="n"/>
      <c r="M62" s="56">
        <f>'S39'!M62+L62</f>
        <v/>
      </c>
      <c r="N62" s="57">
        <f>IFERROR(M62/K62,0)</f>
        <v/>
      </c>
      <c r="O62" s="58">
        <f>'S39'!N62</f>
        <v/>
      </c>
      <c r="P62" s="57">
        <f>N62-O62</f>
        <v/>
      </c>
      <c r="Q62" s="32" t="n"/>
      <c r="R62" s="32" t="n"/>
      <c r="S62" s="32" t="n"/>
      <c r="T62" s="55" t="n"/>
      <c r="U62" s="58">
        <f>'S39'!T62</f>
        <v/>
      </c>
      <c r="V62" s="57">
        <f>T62-U62</f>
        <v/>
      </c>
      <c r="W62" s="57">
        <f>N62-T62</f>
        <v/>
      </c>
      <c r="X62" s="34" t="n"/>
    </row>
    <row r="63" ht="22" customHeight="1">
      <c r="B63" s="5" t="n">
        <v>59</v>
      </c>
      <c r="C63" s="14" t="inlineStr">
        <is>
          <t>Kénitra</t>
        </is>
      </c>
      <c r="D63" s="5" t="inlineStr">
        <is>
          <t>SOUK TLET</t>
        </is>
      </c>
      <c r="E63" s="5" t="inlineStr">
        <is>
          <t>40-21</t>
        </is>
      </c>
      <c r="F63" s="5" t="inlineStr">
        <is>
          <t>Travaux de pistes</t>
        </is>
      </c>
      <c r="G63" s="5" t="inlineStr">
        <is>
          <t>Travaux de réhabilitation des pistes agricoles</t>
        </is>
      </c>
      <c r="H63" s="5" t="inlineStr">
        <is>
          <t>Entretien des pistes des secteurs N2,N3,N4 et C4R,</t>
        </is>
      </c>
      <c r="I63" s="7" t="n">
        <v>5000000</v>
      </c>
      <c r="J63" s="8" t="inlineStr">
        <is>
          <t>U</t>
        </is>
      </c>
      <c r="K63" s="9" t="n">
        <v>1</v>
      </c>
      <c r="L63" s="51" t="n"/>
      <c r="M63" s="52">
        <f>'S39'!M63+L63</f>
        <v/>
      </c>
      <c r="N63" s="53">
        <f>IFERROR(M63/K63,0)</f>
        <v/>
      </c>
      <c r="O63" s="54">
        <f>'S39'!N63</f>
        <v/>
      </c>
      <c r="P63" s="53">
        <f>N63-O63</f>
        <v/>
      </c>
      <c r="Q63" s="32" t="n"/>
      <c r="R63" s="32" t="n"/>
      <c r="S63" s="32" t="n"/>
      <c r="T63" s="55" t="n"/>
      <c r="U63" s="54">
        <f>'S39'!T63</f>
        <v/>
      </c>
      <c r="V63" s="53">
        <f>T63-U63</f>
        <v/>
      </c>
      <c r="W63" s="53">
        <f>N63-T63</f>
        <v/>
      </c>
      <c r="X63" s="34" t="n"/>
    </row>
    <row r="64" ht="22" customHeight="1">
      <c r="B64" s="10" t="n">
        <v>60</v>
      </c>
      <c r="C64" s="14" t="inlineStr">
        <is>
          <t>Kénitra</t>
        </is>
      </c>
      <c r="D64" s="10" t="inlineStr">
        <is>
          <t>Sidi Med Lahmar</t>
        </is>
      </c>
      <c r="E64" s="10" t="inlineStr">
        <is>
          <t>50-23</t>
        </is>
      </c>
      <c r="F64" s="10" t="inlineStr">
        <is>
          <t>Entretien et réparation du réseau d'assainissement et de drainage</t>
        </is>
      </c>
      <c r="G64" s="10" t="inlineStr">
        <is>
          <t>Travaux de curage des canaux en terre</t>
        </is>
      </c>
      <c r="H64" s="10" t="inlineStr">
        <is>
          <t>Curage des emissaires et colatures secondaires secteurs N1</t>
        </is>
      </c>
      <c r="I64" s="11" t="n">
        <v>3000000</v>
      </c>
      <c r="J64" s="12" t="inlineStr">
        <is>
          <t>ml</t>
        </is>
      </c>
      <c r="K64" s="13" t="n">
        <v>1500</v>
      </c>
      <c r="L64" s="51" t="n"/>
      <c r="M64" s="56">
        <f>'S39'!M64+L64</f>
        <v/>
      </c>
      <c r="N64" s="57">
        <f>IFERROR(M64/K64,0)</f>
        <v/>
      </c>
      <c r="O64" s="58">
        <f>'S39'!N64</f>
        <v/>
      </c>
      <c r="P64" s="57">
        <f>N64-O64</f>
        <v/>
      </c>
      <c r="Q64" s="32" t="n"/>
      <c r="R64" s="32" t="n"/>
      <c r="S64" s="32" t="n"/>
      <c r="T64" s="55" t="n"/>
      <c r="U64" s="58">
        <f>'S39'!T64</f>
        <v/>
      </c>
      <c r="V64" s="57">
        <f>T64-U64</f>
        <v/>
      </c>
      <c r="W64" s="57">
        <f>N64-T64</f>
        <v/>
      </c>
      <c r="X64" s="34" t="n"/>
    </row>
    <row r="65" ht="22" customHeight="1">
      <c r="B65" s="5" t="n">
        <v>61</v>
      </c>
      <c r="C65" s="14" t="inlineStr">
        <is>
          <t>Kénitra</t>
        </is>
      </c>
      <c r="D65" s="5" t="inlineStr">
        <is>
          <t>Sidi Med Lahmar</t>
        </is>
      </c>
      <c r="E65" s="5" t="inlineStr">
        <is>
          <t>40-21</t>
        </is>
      </c>
      <c r="F65" s="5" t="inlineStr">
        <is>
          <t>Travaux de pistes</t>
        </is>
      </c>
      <c r="G65" s="5" t="inlineStr">
        <is>
          <t>Travaux de réhabilitation des pistes agricoles</t>
        </is>
      </c>
      <c r="H65" s="5" t="inlineStr">
        <is>
          <t>Entretien des pistes agricoles des secteurs N9 et N1</t>
        </is>
      </c>
      <c r="I65" s="7" t="n">
        <v>3000000</v>
      </c>
      <c r="J65" s="8" t="inlineStr">
        <is>
          <t>km</t>
        </is>
      </c>
      <c r="K65" s="9" t="n">
        <v>6</v>
      </c>
      <c r="L65" s="51" t="n"/>
      <c r="M65" s="52">
        <f>'S39'!M65+L65</f>
        <v/>
      </c>
      <c r="N65" s="53">
        <f>IFERROR(M65/K65,0)</f>
        <v/>
      </c>
      <c r="O65" s="54">
        <f>'S39'!N65</f>
        <v/>
      </c>
      <c r="P65" s="53">
        <f>N65-O65</f>
        <v/>
      </c>
      <c r="Q65" s="32" t="n"/>
      <c r="R65" s="32" t="n"/>
      <c r="S65" s="32" t="n"/>
      <c r="T65" s="55" t="n"/>
      <c r="U65" s="54">
        <f>'S39'!T65</f>
        <v/>
      </c>
      <c r="V65" s="53">
        <f>T65-U65</f>
        <v/>
      </c>
      <c r="W65" s="53">
        <f>N65-T65</f>
        <v/>
      </c>
      <c r="X65" s="34" t="n"/>
    </row>
    <row r="66" ht="22" customHeight="1">
      <c r="B66" s="10" t="n">
        <v>62</v>
      </c>
      <c r="C66" s="14" t="inlineStr">
        <is>
          <t>Kénitra</t>
        </is>
      </c>
      <c r="D66" s="10" t="inlineStr">
        <is>
          <t>Mograne</t>
        </is>
      </c>
      <c r="E66" s="10" t="inlineStr">
        <is>
          <t>50-23</t>
        </is>
      </c>
      <c r="F66" s="10" t="inlineStr">
        <is>
          <t>Entretien et réparation du réseau d'assainissement et de drainage</t>
        </is>
      </c>
      <c r="G66" s="10" t="inlineStr">
        <is>
          <t>Travaux de curage des canaux en terre</t>
        </is>
      </c>
      <c r="H66" s="10" t="inlineStr">
        <is>
          <t>Curage des canaux d'assainissement Hors secteur équipé ghoufera et laison beht sebou ,</t>
        </is>
      </c>
      <c r="I66" s="11" t="n">
        <v>6000000</v>
      </c>
      <c r="J66" s="12" t="inlineStr">
        <is>
          <t>ml</t>
        </is>
      </c>
      <c r="K66" s="13" t="n">
        <v>3000</v>
      </c>
      <c r="L66" s="51" t="n"/>
      <c r="M66" s="56">
        <f>'S39'!M66+L66</f>
        <v/>
      </c>
      <c r="N66" s="57">
        <f>IFERROR(M66/K66,0)</f>
        <v/>
      </c>
      <c r="O66" s="58">
        <f>'S39'!N66</f>
        <v/>
      </c>
      <c r="P66" s="57">
        <f>N66-O66</f>
        <v/>
      </c>
      <c r="Q66" s="32" t="n"/>
      <c r="R66" s="32" t="n"/>
      <c r="S66" s="32" t="n"/>
      <c r="T66" s="55" t="n"/>
      <c r="U66" s="58">
        <f>'S39'!T66</f>
        <v/>
      </c>
      <c r="V66" s="57">
        <f>T66-U66</f>
        <v/>
      </c>
      <c r="W66" s="57">
        <f>N66-T66</f>
        <v/>
      </c>
      <c r="X66" s="34" t="n"/>
    </row>
    <row r="67" ht="22" customHeight="1">
      <c r="B67" s="5" t="n">
        <v>63</v>
      </c>
      <c r="C67" s="14" t="inlineStr">
        <is>
          <t>Kénitra</t>
        </is>
      </c>
      <c r="D67" s="5" t="inlineStr">
        <is>
          <t>Mograne</t>
        </is>
      </c>
      <c r="E67" s="5" t="inlineStr">
        <is>
          <t>40-21</t>
        </is>
      </c>
      <c r="F67" s="5" t="inlineStr">
        <is>
          <t>Travaux de pistes</t>
        </is>
      </c>
      <c r="G67" s="5" t="inlineStr">
        <is>
          <t>Travaux de réhabilitation des pistes agricoles</t>
        </is>
      </c>
      <c r="H67" s="5" t="inlineStr">
        <is>
          <t>Entretien des pistes agricoles des secteurs SEBOU1,SEBOU2? BEHT3 et BEHT4</t>
        </is>
      </c>
      <c r="I67" s="7" t="n">
        <v>6000000</v>
      </c>
      <c r="J67" s="8" t="inlineStr">
        <is>
          <t>km</t>
        </is>
      </c>
      <c r="K67" s="9" t="n">
        <v>12</v>
      </c>
      <c r="L67" s="51" t="n"/>
      <c r="M67" s="52">
        <f>'S39'!M67+L67</f>
        <v/>
      </c>
      <c r="N67" s="53">
        <f>IFERROR(M67/K67,0)</f>
        <v/>
      </c>
      <c r="O67" s="54">
        <f>'S39'!N67</f>
        <v/>
      </c>
      <c r="P67" s="53">
        <f>N67-O67</f>
        <v/>
      </c>
      <c r="Q67" s="32" t="n"/>
      <c r="R67" s="32" t="n"/>
      <c r="S67" s="32" t="n"/>
      <c r="T67" s="55" t="n"/>
      <c r="U67" s="54">
        <f>'S39'!T67</f>
        <v/>
      </c>
      <c r="V67" s="53">
        <f>T67-U67</f>
        <v/>
      </c>
      <c r="W67" s="53">
        <f>N67-T67</f>
        <v/>
      </c>
      <c r="X67" s="34" t="n"/>
    </row>
    <row r="68" ht="22" customHeight="1">
      <c r="B68" s="10" t="n">
        <v>64</v>
      </c>
      <c r="C68" s="14" t="inlineStr">
        <is>
          <t>Kénitra</t>
        </is>
      </c>
      <c r="D68" s="10" t="inlineStr">
        <is>
          <t>Sidi allal tazi</t>
        </is>
      </c>
      <c r="E68" s="10" t="inlineStr">
        <is>
          <t>50-23</t>
        </is>
      </c>
      <c r="F68" s="10" t="inlineStr">
        <is>
          <t>Entretien et réparation du réseau d'assainissement et de drainage</t>
        </is>
      </c>
      <c r="G68" s="10" t="inlineStr">
        <is>
          <t>Travaux de curage des canaux en terre</t>
        </is>
      </c>
      <c r="H68" s="10" t="inlineStr">
        <is>
          <t>Curage du canaL d'assainissement CK,</t>
        </is>
      </c>
      <c r="I68" s="11" t="n">
        <v>3000000</v>
      </c>
      <c r="J68" s="12" t="inlineStr">
        <is>
          <t>ml</t>
        </is>
      </c>
      <c r="K68" s="13" t="n">
        <v>1500</v>
      </c>
      <c r="L68" s="51" t="n"/>
      <c r="M68" s="56">
        <f>'S39'!M68+L68</f>
        <v/>
      </c>
      <c r="N68" s="57">
        <f>IFERROR(M68/K68,0)</f>
        <v/>
      </c>
      <c r="O68" s="58">
        <f>'S39'!N68</f>
        <v/>
      </c>
      <c r="P68" s="57">
        <f>N68-O68</f>
        <v/>
      </c>
      <c r="Q68" s="32" t="n"/>
      <c r="R68" s="32" t="n"/>
      <c r="S68" s="32" t="n"/>
      <c r="T68" s="55" t="n"/>
      <c r="U68" s="58">
        <f>'S39'!T68</f>
        <v/>
      </c>
      <c r="V68" s="57">
        <f>T68-U68</f>
        <v/>
      </c>
      <c r="W68" s="57">
        <f>N68-T68</f>
        <v/>
      </c>
      <c r="X68" s="34" t="n"/>
    </row>
    <row r="69" ht="22" customHeight="1">
      <c r="B69" s="5" t="n">
        <v>65</v>
      </c>
      <c r="C69" s="14" t="inlineStr">
        <is>
          <t>Kénitra</t>
        </is>
      </c>
      <c r="D69" s="5" t="inlineStr">
        <is>
          <t>AMEUR SAFLIA</t>
        </is>
      </c>
      <c r="E69" s="5" t="inlineStr">
        <is>
          <t>50-23</t>
        </is>
      </c>
      <c r="F69" s="5" t="inlineStr">
        <is>
          <t>Entretien et réparation du réseau d'assainissement et de drainage</t>
        </is>
      </c>
      <c r="G69" s="5" t="inlineStr">
        <is>
          <t>Travaux de curage des canaux en terre</t>
        </is>
      </c>
      <c r="H69" s="5" t="inlineStr">
        <is>
          <t>Curage des canaux d'assainissement amontTtiflt Sebou,</t>
        </is>
      </c>
      <c r="I69" s="7" t="n">
        <v>1000000</v>
      </c>
      <c r="J69" s="8" t="inlineStr">
        <is>
          <t>ml</t>
        </is>
      </c>
      <c r="K69" s="9" t="n">
        <v>500</v>
      </c>
      <c r="L69" s="51" t="n"/>
      <c r="M69" s="52">
        <f>'S39'!M69+L69</f>
        <v/>
      </c>
      <c r="N69" s="53">
        <f>IFERROR(M69/K69,0)</f>
        <v/>
      </c>
      <c r="O69" s="54">
        <f>'S39'!N69</f>
        <v/>
      </c>
      <c r="P69" s="53">
        <f>N69-O69</f>
        <v/>
      </c>
      <c r="Q69" s="32" t="n"/>
      <c r="R69" s="32" t="n"/>
      <c r="S69" s="32" t="n"/>
      <c r="T69" s="55" t="n"/>
      <c r="U69" s="54">
        <f>'S39'!T69</f>
        <v/>
      </c>
      <c r="V69" s="53">
        <f>T69-U69</f>
        <v/>
      </c>
      <c r="W69" s="53">
        <f>N69-T69</f>
        <v/>
      </c>
      <c r="X69" s="34" t="n"/>
    </row>
    <row r="70" ht="22" customHeight="1">
      <c r="B70" s="10" t="n">
        <v>66</v>
      </c>
      <c r="C70" s="14" t="inlineStr">
        <is>
          <t>Kénitra</t>
        </is>
      </c>
      <c r="D70" s="10" t="inlineStr">
        <is>
          <t>Oulad SLAMA</t>
        </is>
      </c>
      <c r="E70" s="10" t="inlineStr">
        <is>
          <t>50-23</t>
        </is>
      </c>
      <c r="F70" s="10" t="inlineStr">
        <is>
          <t>Entretien et réparation du réseau d'assainissement et de drainage</t>
        </is>
      </c>
      <c r="G70" s="10" t="inlineStr">
        <is>
          <t>Travaux de curage des canaux en terre</t>
        </is>
      </c>
      <c r="H70" s="10" t="inlineStr">
        <is>
          <t>Curage des canaux d'assainissement debouche Tiflt aval,</t>
        </is>
      </c>
      <c r="I70" s="11" t="n">
        <v>1000000</v>
      </c>
      <c r="J70" s="12" t="inlineStr">
        <is>
          <t>ml</t>
        </is>
      </c>
      <c r="K70" s="13" t="n">
        <v>500</v>
      </c>
      <c r="L70" s="51" t="n"/>
      <c r="M70" s="56">
        <f>'S39'!M70+L70</f>
        <v/>
      </c>
      <c r="N70" s="57">
        <f>IFERROR(M70/K70,0)</f>
        <v/>
      </c>
      <c r="O70" s="58">
        <f>'S39'!N70</f>
        <v/>
      </c>
      <c r="P70" s="57">
        <f>N70-O70</f>
        <v/>
      </c>
      <c r="Q70" s="32" t="n"/>
      <c r="R70" s="32" t="n"/>
      <c r="S70" s="32" t="n"/>
      <c r="T70" s="55" t="n"/>
      <c r="U70" s="58">
        <f>'S39'!T70</f>
        <v/>
      </c>
      <c r="V70" s="57">
        <f>T70-U70</f>
        <v/>
      </c>
      <c r="W70" s="57">
        <f>N70-T70</f>
        <v/>
      </c>
      <c r="X70" s="34" t="n"/>
    </row>
    <row r="71" ht="22" customHeight="1">
      <c r="B71" s="5" t="n">
        <v>67</v>
      </c>
      <c r="C71" s="14" t="inlineStr">
        <is>
          <t>Kénitra</t>
        </is>
      </c>
      <c r="D71" s="5" t="inlineStr">
        <is>
          <t>BHARA Oulad AYAD</t>
        </is>
      </c>
      <c r="E71" s="5" t="inlineStr">
        <is>
          <t>50-23</t>
        </is>
      </c>
      <c r="F71" s="5" t="inlineStr">
        <is>
          <t>Entretien et réparation du réseau d'assainissement et de drainage</t>
        </is>
      </c>
      <c r="G71" s="5" t="inlineStr">
        <is>
          <t>Travaux de curage des canaux en terre</t>
        </is>
      </c>
      <c r="H71" s="5" t="inlineStr">
        <is>
          <t>Curage des canaux d'assainissement canal nador bas et haut segmet,</t>
        </is>
      </c>
      <c r="I71" s="7" t="n">
        <v>6600000</v>
      </c>
      <c r="J71" s="8" t="inlineStr">
        <is>
          <t>ml</t>
        </is>
      </c>
      <c r="K71" s="9" t="n">
        <v>3300</v>
      </c>
      <c r="L71" s="51" t="n"/>
      <c r="M71" s="52">
        <f>'S39'!M71+L71</f>
        <v/>
      </c>
      <c r="N71" s="53">
        <f>IFERROR(M71/K71,0)</f>
        <v/>
      </c>
      <c r="O71" s="54">
        <f>'S39'!N71</f>
        <v/>
      </c>
      <c r="P71" s="53">
        <f>N71-O71</f>
        <v/>
      </c>
      <c r="Q71" s="32" t="n"/>
      <c r="R71" s="32" t="n"/>
      <c r="S71" s="32" t="n"/>
      <c r="T71" s="55" t="n"/>
      <c r="U71" s="54">
        <f>'S39'!T71</f>
        <v/>
      </c>
      <c r="V71" s="53">
        <f>T71-U71</f>
        <v/>
      </c>
      <c r="W71" s="53">
        <f>N71-T71</f>
        <v/>
      </c>
      <c r="X71" s="34" t="n"/>
    </row>
    <row r="72" ht="22" customHeight="1">
      <c r="B72" s="10" t="n">
        <v>68</v>
      </c>
      <c r="C72" s="15" t="inlineStr">
        <is>
          <t>Sidi Slimane</t>
        </is>
      </c>
      <c r="D72" s="10" t="inlineStr">
        <is>
          <t>OULED HCEINE</t>
        </is>
      </c>
      <c r="E72" s="10" t="inlineStr">
        <is>
          <t>50-23</t>
        </is>
      </c>
      <c r="F72" s="10" t="inlineStr">
        <is>
          <t>Entretien et réparation du réseau d'assainissement et de drainage</t>
        </is>
      </c>
      <c r="G72" s="10" t="inlineStr">
        <is>
          <t>Travaux de curage des canaux en terre</t>
        </is>
      </c>
      <c r="H72" s="10" t="inlineStr">
        <is>
          <t>Curage des collecteurs d'assainissement du secteur EST4.</t>
        </is>
      </c>
      <c r="I72" s="11" t="n">
        <v>1805475</v>
      </c>
      <c r="J72" s="12" t="inlineStr">
        <is>
          <t>ml</t>
        </is>
      </c>
      <c r="K72" s="13" t="n">
        <v>903</v>
      </c>
      <c r="L72" s="51" t="n"/>
      <c r="M72" s="56">
        <f>'S39'!M72+L72</f>
        <v/>
      </c>
      <c r="N72" s="57">
        <f>IFERROR(M72/K72,0)</f>
        <v/>
      </c>
      <c r="O72" s="58">
        <f>'S39'!N72</f>
        <v/>
      </c>
      <c r="P72" s="57">
        <f>N72-O72</f>
        <v/>
      </c>
      <c r="Q72" s="32" t="n"/>
      <c r="R72" s="32" t="n"/>
      <c r="S72" s="32" t="n"/>
      <c r="T72" s="55" t="n"/>
      <c r="U72" s="58">
        <f>'S39'!T72</f>
        <v/>
      </c>
      <c r="V72" s="57">
        <f>T72-U72</f>
        <v/>
      </c>
      <c r="W72" s="57">
        <f>N72-T72</f>
        <v/>
      </c>
      <c r="X72" s="34" t="n"/>
    </row>
    <row r="73" ht="22" customHeight="1">
      <c r="B73" s="5" t="n">
        <v>69</v>
      </c>
      <c r="C73" s="15" t="inlineStr">
        <is>
          <t>Sidi Slimane</t>
        </is>
      </c>
      <c r="D73" s="5" t="inlineStr">
        <is>
          <t>OULED HCEINE</t>
        </is>
      </c>
      <c r="E73" s="5" t="inlineStr">
        <is>
          <t>50-23</t>
        </is>
      </c>
      <c r="F73" s="5" t="inlineStr">
        <is>
          <t>Entretien et réparation du réseau d'assainissement et de drainage</t>
        </is>
      </c>
      <c r="G73" s="5" t="inlineStr">
        <is>
          <t>Travaux de curage des canaux en terre</t>
        </is>
      </c>
      <c r="H73" s="5" t="inlineStr">
        <is>
          <t>Curage du canal d'assainissement Tihli central.</t>
        </is>
      </c>
      <c r="I73" s="7" t="n">
        <v>2587200</v>
      </c>
      <c r="J73" s="8" t="inlineStr">
        <is>
          <t>ml</t>
        </is>
      </c>
      <c r="K73" s="9" t="n">
        <v>1294</v>
      </c>
      <c r="L73" s="51" t="n"/>
      <c r="M73" s="52">
        <f>'S39'!M73+L73</f>
        <v/>
      </c>
      <c r="N73" s="53">
        <f>IFERROR(M73/K73,0)</f>
        <v/>
      </c>
      <c r="O73" s="54">
        <f>'S39'!N73</f>
        <v/>
      </c>
      <c r="P73" s="53">
        <f>N73-O73</f>
        <v/>
      </c>
      <c r="Q73" s="32" t="n"/>
      <c r="R73" s="32" t="n"/>
      <c r="S73" s="32" t="n"/>
      <c r="T73" s="55" t="n"/>
      <c r="U73" s="54">
        <f>'S39'!T73</f>
        <v/>
      </c>
      <c r="V73" s="53">
        <f>T73-U73</f>
        <v/>
      </c>
      <c r="W73" s="53">
        <f>N73-T73</f>
        <v/>
      </c>
      <c r="X73" s="34" t="n"/>
    </row>
    <row r="74" ht="22" customHeight="1">
      <c r="B74" s="10" t="n">
        <v>70</v>
      </c>
      <c r="C74" s="15" t="inlineStr">
        <is>
          <t>Sidi Slimane</t>
        </is>
      </c>
      <c r="D74" s="10" t="inlineStr">
        <is>
          <t>OULED HCEINE</t>
        </is>
      </c>
      <c r="E74" s="10" t="inlineStr">
        <is>
          <t>40-21</t>
        </is>
      </c>
      <c r="F74" s="10" t="inlineStr">
        <is>
          <t>Travaux de pistes</t>
        </is>
      </c>
      <c r="G74" s="10" t="inlineStr">
        <is>
          <t>Travaux de réhabilitation des pistes agricoles</t>
        </is>
      </c>
      <c r="H74" s="10" t="inlineStr">
        <is>
          <t>Entretien des pistes agricoles</t>
        </is>
      </c>
      <c r="I74" s="11" t="n">
        <v>3500000</v>
      </c>
      <c r="J74" s="12" t="inlineStr">
        <is>
          <t>km</t>
        </is>
      </c>
      <c r="K74" s="13" t="n">
        <v>7</v>
      </c>
      <c r="L74" s="51" t="n"/>
      <c r="M74" s="56">
        <f>'S39'!M74+L74</f>
        <v/>
      </c>
      <c r="N74" s="57">
        <f>IFERROR(M74/K74,0)</f>
        <v/>
      </c>
      <c r="O74" s="58">
        <f>'S39'!N74</f>
        <v/>
      </c>
      <c r="P74" s="57">
        <f>N74-O74</f>
        <v/>
      </c>
      <c r="Q74" s="32" t="n"/>
      <c r="R74" s="32" t="n"/>
      <c r="S74" s="32" t="n"/>
      <c r="T74" s="55" t="n"/>
      <c r="U74" s="58">
        <f>'S39'!T74</f>
        <v/>
      </c>
      <c r="V74" s="57">
        <f>T74-U74</f>
        <v/>
      </c>
      <c r="W74" s="57">
        <f>N74-T74</f>
        <v/>
      </c>
      <c r="X74" s="34" t="n"/>
    </row>
    <row r="75" ht="22" customHeight="1">
      <c r="B75" s="5" t="n">
        <v>71</v>
      </c>
      <c r="C75" s="15" t="inlineStr">
        <is>
          <t>Sidi Slimane</t>
        </is>
      </c>
      <c r="D75" s="5" t="inlineStr">
        <is>
          <t>OULED HCEINE</t>
        </is>
      </c>
      <c r="E75" s="5" t="inlineStr">
        <is>
          <t>50-21</t>
        </is>
      </c>
      <c r="F75" s="5" t="inlineStr">
        <is>
          <t>Entretien et réparation des stations de pompage</t>
        </is>
      </c>
      <c r="G75" s="5" t="inlineStr">
        <is>
          <t>Travaux de réparation des équipements hydromécaniques et éléctriques et entretien de la partie génie civil des stations de pompage.</t>
        </is>
      </c>
      <c r="H75" s="5" t="inlineStr">
        <is>
          <t>Démontage et expertise des roues des  pompes principaux et pompes a vide de la station EST4 et P11/2.
Changement des roulements, tresses et organes d’effectués de la station EST4 et P11/2
Changement deux débitmètre Ø 1200 mm de la station EST4 et un débimétre de la station P11/2.
Changement des capteurs de niveau inondés.
Révision et réparation des moteurs des vannes motorisées inondées.
changement de six contrôleurs de débits DW181 inondés.
Un capteur de débitmètre inondé nécessitent un diagnostic VEGASON  .
Entretien de l'éclairage du local de vide et bâche d’aspiration inondé de la station EST4 et la partie de l’éclairage du local des pompes inondées de la station P11/2.
Pose de gabions et recouvrement du talus par matelas Reno des stations de pompage P11/2</t>
        </is>
      </c>
      <c r="I75" s="7" t="n">
        <v>870000</v>
      </c>
      <c r="J75" s="8" t="inlineStr">
        <is>
          <t>U</t>
        </is>
      </c>
      <c r="K75" s="9" t="n">
        <v>4</v>
      </c>
      <c r="L75" s="51" t="n"/>
      <c r="M75" s="52">
        <f>'S39'!M75+L75</f>
        <v/>
      </c>
      <c r="N75" s="53">
        <f>IFERROR(M75/K75,0)</f>
        <v/>
      </c>
      <c r="O75" s="54">
        <f>'S39'!N75</f>
        <v/>
      </c>
      <c r="P75" s="53">
        <f>N75-O75</f>
        <v/>
      </c>
      <c r="Q75" s="32" t="n"/>
      <c r="R75" s="32" t="n"/>
      <c r="S75" s="32" t="n"/>
      <c r="T75" s="55" t="n"/>
      <c r="U75" s="54">
        <f>'S39'!T75</f>
        <v/>
      </c>
      <c r="V75" s="53">
        <f>T75-U75</f>
        <v/>
      </c>
      <c r="W75" s="53">
        <f>N75-T75</f>
        <v/>
      </c>
      <c r="X75" s="34" t="n"/>
    </row>
    <row r="76" ht="22" customHeight="1">
      <c r="B76" s="10" t="n">
        <v>72</v>
      </c>
      <c r="C76" s="15" t="inlineStr">
        <is>
          <t>Sidi Slimane</t>
        </is>
      </c>
      <c r="D76" s="10" t="inlineStr">
        <is>
          <t>OULED HCEINE</t>
        </is>
      </c>
      <c r="E76" s="10" t="inlineStr">
        <is>
          <t>50-23</t>
        </is>
      </c>
      <c r="F76" s="10" t="inlineStr">
        <is>
          <t>Entretien et réparation du réseau d'assainissement et de drainage</t>
        </is>
      </c>
      <c r="G76" s="10" t="inlineStr">
        <is>
          <t>Travaux de curage des prises des stations de pompage.</t>
        </is>
      </c>
      <c r="H76" s="10" t="inlineStr">
        <is>
          <t>Curage des siphones des station de pompage EST2 et P11/2.</t>
        </is>
      </c>
      <c r="I76" s="11" t="n">
        <v>500000</v>
      </c>
      <c r="J76" s="12" t="inlineStr">
        <is>
          <t>ml</t>
        </is>
      </c>
      <c r="K76" s="13" t="n">
        <v>167</v>
      </c>
      <c r="L76" s="51" t="n"/>
      <c r="M76" s="56">
        <f>'S39'!M76+L76</f>
        <v/>
      </c>
      <c r="N76" s="57">
        <f>IFERROR(M76/K76,0)</f>
        <v/>
      </c>
      <c r="O76" s="58">
        <f>'S39'!N76</f>
        <v/>
      </c>
      <c r="P76" s="57">
        <f>N76-O76</f>
        <v/>
      </c>
      <c r="Q76" s="32" t="n"/>
      <c r="R76" s="32" t="n"/>
      <c r="S76" s="32" t="n"/>
      <c r="T76" s="55" t="n"/>
      <c r="U76" s="58">
        <f>'S39'!T76</f>
        <v/>
      </c>
      <c r="V76" s="57">
        <f>T76-U76</f>
        <v/>
      </c>
      <c r="W76" s="57">
        <f>N76-T76</f>
        <v/>
      </c>
      <c r="X76" s="34" t="n"/>
    </row>
    <row r="77" ht="26" customHeight="1">
      <c r="B77" s="16" t="inlineStr">
        <is>
          <t>TOTAL</t>
        </is>
      </c>
      <c r="C77" s="16" t="n"/>
      <c r="D77" s="16" t="n"/>
      <c r="E77" s="16" t="n"/>
      <c r="F77" s="16" t="n"/>
      <c r="G77" s="16" t="n"/>
      <c r="H77" s="16" t="n"/>
      <c r="I77" s="17">
        <f>SUM(I5:I76)</f>
        <v/>
      </c>
      <c r="J77" s="16" t="n"/>
      <c r="K77" s="16" t="n"/>
      <c r="L77" s="59">
        <f>SUM(L5:L76)</f>
        <v/>
      </c>
      <c r="M77" s="59">
        <f>SUM(M5:M76)</f>
        <v/>
      </c>
      <c r="N77" s="60">
        <f>IFERROR(SUMPRODUCT(N5:N76,I5:I76)/I77,0)</f>
        <v/>
      </c>
      <c r="O77" s="60">
        <f>IFERROR(SUMPRODUCT(O5:O76,I5:I76)/I77,0)</f>
        <v/>
      </c>
      <c r="P77" s="60">
        <f>N77-O77</f>
        <v/>
      </c>
      <c r="Q77" s="17">
        <f>SUM(Q5:Q76)</f>
        <v/>
      </c>
      <c r="R77" s="17">
        <f>SUM(R5:R76)</f>
        <v/>
      </c>
      <c r="S77" s="17">
        <f>SUM(S5:S76)</f>
        <v/>
      </c>
      <c r="T77" s="60">
        <f>IFERROR(SUMPRODUCT(T5:T76,I5:I76)/I77,0)</f>
        <v/>
      </c>
      <c r="U77" s="60">
        <f>IFERROR(SUMPRODUCT(U5:U76,I5:I76)/I77,0)</f>
        <v/>
      </c>
      <c r="V77" s="60">
        <f>T77-U77</f>
        <v/>
      </c>
      <c r="W77" s="60">
        <f>N77-T77</f>
        <v/>
      </c>
      <c r="X77" s="16" t="n"/>
    </row>
  </sheetData>
  <sheetProtection selectLockedCells="0" selectUnlockedCells="0" sheet="1" objects="0" insertRows="1" insertHyperlinks="1" autoFilter="1" scenarios="0" formatColumns="1" deleteColumns="1" insertColumns="1" pivotTables="1" deleteRows="1" formatCells="1" formatRows="1" sort="1" password="CBBE"/>
  <mergeCells count="6">
    <mergeCell ref="E3:I3"/>
    <mergeCell ref="W3:X3"/>
    <mergeCell ref="J3:P3"/>
    <mergeCell ref="B2:X2"/>
    <mergeCell ref="C3:D3"/>
    <mergeCell ref="Q3:V3"/>
  </mergeCells>
  <conditionalFormatting sqref="P5:P76">
    <cfRule type="cellIs" priority="1" operator="greaterThan" dxfId="0">
      <formula>0</formula>
    </cfRule>
    <cfRule type="cellIs" priority="2" operator="lessThan" dxfId="1">
      <formula>0</formula>
    </cfRule>
  </conditionalFormatting>
  <conditionalFormatting sqref="V5:V76">
    <cfRule type="cellIs" priority="3" operator="greaterThan" dxfId="0">
      <formula>0</formula>
    </cfRule>
    <cfRule type="cellIs" priority="4" operator="lessThan" dxfId="1">
      <formula>0</formula>
    </cfRule>
  </conditionalFormatting>
  <conditionalFormatting sqref="W5:W76">
    <cfRule type="cellIs" priority="5" operator="greaterThan" dxfId="0">
      <formula>0.05</formula>
    </cfRule>
    <cfRule type="cellIs" priority="6" operator="lessThan" dxfId="1">
      <formula>-0.05</formula>
    </cfRule>
    <cfRule type="cellIs" priority="7" operator="between" dxfId="2">
      <formula>-0.05</formula>
      <formula>0.05</formula>
    </cfRule>
  </conditionalFormatting>
  <conditionalFormatting sqref="N5:N76">
    <cfRule type="dataBar" priority="8">
      <dataBar showValue="1">
        <cfvo type="num" val="0"/>
        <cfvo type="num" val="1"/>
        <color rgb="001B7D46"/>
      </dataBar>
    </cfRule>
  </conditionalFormatting>
  <conditionalFormatting sqref="T5:T76">
    <cfRule type="dataBar" priority="9">
      <dataBar showValue="1">
        <cfvo type="num" val="0"/>
        <cfvo type="num" val="1"/>
        <color rgb="00D4820A"/>
      </dataBar>
    </cfRule>
  </conditionalFormatting>
  <dataValidations count="2">
    <dataValidation sqref="T5:T76" showDropDown="0" showInputMessage="0" showErrorMessage="0" allowBlank="1" errorTitle="Invalide" error="Valeur entre 0% et 100%" promptTitle="Avancement %" prompt="Entrez 0.25 pour 25%" type="decimal" operator="between">
      <formula1>0</formula1>
      <formula2>1</formula2>
    </dataValidation>
    <dataValidation sqref="L5:L76" showDropDown="0" showInputMessage="0" showErrorMessage="0" allowBlank="1" errorTitle="Invalide" error="Quantité doit être &gt;= 0" promptTitle="Qté Réalisée" prompt="Entrez la quantité réalisée cette semaine" type="decimal" operator="greaterThanOrEqual">
      <formula1>0</formula1>
    </dataValidation>
  </dataValidations>
  <pageMargins left="0.75" right="0.75" top="1" bottom="1" header="0.5" footer="0.5"/>
</worksheet>
</file>

<file path=xl/worksheets/sheet21.xml><?xml version="1.0" encoding="utf-8"?>
<worksheet xmlns="http://schemas.openxmlformats.org/spreadsheetml/2006/main">
  <sheetPr>
    <tabColor rgb="007030A0"/>
    <outlinePr summaryBelow="1" summaryRight="1"/>
    <pageSetUpPr/>
  </sheetPr>
  <dimension ref="B2:X77"/>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5" customWidth="1" min="2" max="2"/>
    <col width="14" customWidth="1" min="3" max="3"/>
    <col width="18" customWidth="1" min="4" max="4"/>
    <col width="9" customWidth="1" min="5" max="5"/>
    <col width="32" customWidth="1" min="6" max="6"/>
    <col width="28" customWidth="1" min="7" max="7"/>
    <col width="34" customWidth="1" min="8" max="8"/>
    <col width="14" customWidth="1" min="9" max="9"/>
    <col width="8" customWidth="1" min="10" max="10"/>
    <col width="12" customWidth="1" min="11" max="11"/>
    <col width="14" customWidth="1" min="12" max="12"/>
    <col width="14" customWidth="1" min="13" max="13"/>
    <col width="14" customWidth="1" min="14" max="14"/>
    <col width="14" customWidth="1" min="15" max="15"/>
    <col width="14" customWidth="1" min="16" max="16"/>
    <col width="16" customWidth="1" min="17" max="17"/>
    <col width="16" customWidth="1" min="18" max="18"/>
    <col width="16" customWidth="1" min="19" max="19"/>
    <col width="14" customWidth="1" min="20" max="20"/>
    <col width="14" customWidth="1" min="21" max="21"/>
    <col width="14" customWidth="1" min="22" max="22"/>
    <col width="14" customWidth="1" min="23" max="23"/>
    <col width="24" customWidth="1" min="24" max="24"/>
  </cols>
  <sheetData>
    <row r="1" ht="15" customHeight="1"/>
    <row r="2" ht="32" customHeight="1">
      <c r="B2" s="1" t="inlineStr">
        <is>
          <t>Suivi Hebdomadaire - Semaine 41 (05/10 - 11/10) — Octobre 2026 - Exécution Physique et Financière</t>
        </is>
      </c>
    </row>
    <row r="3" ht="22" customHeight="1">
      <c r="B3" s="20" t="inlineStr">
        <is>
          <t>Date :</t>
        </is>
      </c>
      <c r="C3" s="49" t="n">
        <v>46300</v>
      </c>
      <c r="D3" s="50" t="n"/>
      <c r="E3" s="22" t="inlineStr">
        <is>
          <t>IDENTIFICATION</t>
        </is>
      </c>
      <c r="J3" s="23" t="inlineStr">
        <is>
          <t>INDICATEURS PHYSIQUES</t>
        </is>
      </c>
      <c r="Q3" s="24" t="inlineStr">
        <is>
          <t>INDICATEURS FINANCIERS</t>
        </is>
      </c>
      <c r="W3" s="25" t="inlineStr">
        <is>
          <t>SYNTHÈSE</t>
        </is>
      </c>
    </row>
    <row r="4" ht="28" customHeight="1">
      <c r="B4" s="4" t="inlineStr">
        <is>
          <t>N°</t>
        </is>
      </c>
      <c r="C4" s="4" t="inlineStr">
        <is>
          <t>Province</t>
        </is>
      </c>
      <c r="D4" s="4" t="inlineStr">
        <is>
          <t>Commune</t>
        </is>
      </c>
      <c r="E4" s="4" t="inlineStr">
        <is>
          <t>Rubrique</t>
        </is>
      </c>
      <c r="F4" s="4" t="inlineStr">
        <is>
          <t>Intitulé Rubrique</t>
        </is>
      </c>
      <c r="G4" s="4" t="inlineStr">
        <is>
          <t>Projet</t>
        </is>
      </c>
      <c r="H4" s="4" t="inlineStr">
        <is>
          <t>Consistance</t>
        </is>
      </c>
      <c r="I4" s="4" t="inlineStr">
        <is>
          <t>Coût Total (DH)</t>
        </is>
      </c>
      <c r="J4" s="26" t="inlineStr">
        <is>
          <t>Unité</t>
        </is>
      </c>
      <c r="K4" s="26" t="inlineStr">
        <is>
          <t>Qté Prévue</t>
        </is>
      </c>
      <c r="L4" s="26" t="inlineStr">
        <is>
          <t>Qté Réalisée Sem.</t>
        </is>
      </c>
      <c r="M4" s="26" t="inlineStr">
        <is>
          <t>Qté Réalisée Cumul</t>
        </is>
      </c>
      <c r="N4" s="26" t="inlineStr">
        <is>
          <t>Avancement Physique %</t>
        </is>
      </c>
      <c r="O4" s="26" t="inlineStr">
        <is>
          <t>% Phys. Sem. Préc.</t>
        </is>
      </c>
      <c r="P4" s="26" t="inlineStr">
        <is>
          <t>Accroissement Phys. %</t>
        </is>
      </c>
      <c r="Q4" s="27" t="inlineStr">
        <is>
          <t>Montant Décaissé (DH)</t>
        </is>
      </c>
      <c r="R4" s="27" t="inlineStr">
        <is>
          <t>Montant Payé (DH)</t>
        </is>
      </c>
      <c r="S4" s="27" t="inlineStr">
        <is>
          <t>Montant Ordonné (DH)</t>
        </is>
      </c>
      <c r="T4" s="27" t="inlineStr">
        <is>
          <t>Avancement Financier %</t>
        </is>
      </c>
      <c r="U4" s="27" t="inlineStr">
        <is>
          <t>% Fin. Sem. Préc.</t>
        </is>
      </c>
      <c r="V4" s="27" t="inlineStr">
        <is>
          <t>Accroissement Fin. %</t>
        </is>
      </c>
      <c r="W4" s="28" t="inlineStr">
        <is>
          <t>Écart Phys.-Fin.</t>
        </is>
      </c>
      <c r="X4" s="28" t="inlineStr">
        <is>
          <t>Observations</t>
        </is>
      </c>
    </row>
    <row r="5" ht="22" customHeight="1">
      <c r="B5" s="5" t="n">
        <v>1</v>
      </c>
      <c r="C5" s="6" t="inlineStr">
        <is>
          <t>Sidi Kacem</t>
        </is>
      </c>
      <c r="D5" s="5" t="inlineStr">
        <is>
          <t>KHENICHET</t>
        </is>
      </c>
      <c r="E5" s="5" t="inlineStr">
        <is>
          <t>50-23</t>
        </is>
      </c>
      <c r="F5" s="5" t="inlineStr">
        <is>
          <t>Entretien et réparation du réseau d'assainissement et de drainage</t>
        </is>
      </c>
      <c r="G5" s="5" t="inlineStr">
        <is>
          <t>Travaux de curage des canaux en terre</t>
        </is>
      </c>
      <c r="H5" s="5" t="inlineStr">
        <is>
          <t>Curage des collecteurs d'assainissement du secteur EST2</t>
        </is>
      </c>
      <c r="I5" s="7" t="n">
        <v>2091568</v>
      </c>
      <c r="J5" s="8" t="inlineStr">
        <is>
          <t>ml</t>
        </is>
      </c>
      <c r="K5" s="9" t="n">
        <v>1046</v>
      </c>
      <c r="L5" s="51" t="n"/>
      <c r="M5" s="52">
        <f>'S40'!M5+L5</f>
        <v/>
      </c>
      <c r="N5" s="53">
        <f>IFERROR(M5/K5,0)</f>
        <v/>
      </c>
      <c r="O5" s="54">
        <f>'S40'!N5</f>
        <v/>
      </c>
      <c r="P5" s="53">
        <f>N5-O5</f>
        <v/>
      </c>
      <c r="Q5" s="32" t="n"/>
      <c r="R5" s="32" t="n"/>
      <c r="S5" s="32" t="n"/>
      <c r="T5" s="55" t="n"/>
      <c r="U5" s="54">
        <f>'S40'!T5</f>
        <v/>
      </c>
      <c r="V5" s="53">
        <f>T5-U5</f>
        <v/>
      </c>
      <c r="W5" s="53">
        <f>N5-T5</f>
        <v/>
      </c>
      <c r="X5" s="34" t="n"/>
    </row>
    <row r="6" ht="22" customHeight="1">
      <c r="B6" s="10" t="n">
        <v>2</v>
      </c>
      <c r="C6" s="6" t="inlineStr">
        <is>
          <t>Sidi Kacem</t>
        </is>
      </c>
      <c r="D6" s="10" t="inlineStr">
        <is>
          <t>KHENICHET</t>
        </is>
      </c>
      <c r="E6" s="10" t="inlineStr">
        <is>
          <t>40-21</t>
        </is>
      </c>
      <c r="F6" s="10" t="inlineStr">
        <is>
          <t>Travaux de pistes</t>
        </is>
      </c>
      <c r="G6" s="10" t="inlineStr">
        <is>
          <t>Travaux de réhabilitation des pistes agricoles</t>
        </is>
      </c>
      <c r="H6" s="10" t="inlineStr">
        <is>
          <t>Entretien des pistes agricoles Douar Nouagra et Douar ouled Salem</t>
        </is>
      </c>
      <c r="I6" s="11" t="n">
        <v>78000</v>
      </c>
      <c r="J6" s="12" t="inlineStr">
        <is>
          <t>km</t>
        </is>
      </c>
      <c r="K6" s="13" t="n">
        <v>1</v>
      </c>
      <c r="L6" s="51" t="n"/>
      <c r="M6" s="56">
        <f>'S40'!M6+L6</f>
        <v/>
      </c>
      <c r="N6" s="57">
        <f>IFERROR(M6/K6,0)</f>
        <v/>
      </c>
      <c r="O6" s="58">
        <f>'S40'!N6</f>
        <v/>
      </c>
      <c r="P6" s="57">
        <f>N6-O6</f>
        <v/>
      </c>
      <c r="Q6" s="32" t="n"/>
      <c r="R6" s="32" t="n"/>
      <c r="S6" s="32" t="n"/>
      <c r="T6" s="55" t="n"/>
      <c r="U6" s="58">
        <f>'S40'!T6</f>
        <v/>
      </c>
      <c r="V6" s="57">
        <f>T6-U6</f>
        <v/>
      </c>
      <c r="W6" s="57">
        <f>N6-T6</f>
        <v/>
      </c>
      <c r="X6" s="34" t="n"/>
    </row>
    <row r="7" ht="22" customHeight="1">
      <c r="B7" s="5" t="n">
        <v>3</v>
      </c>
      <c r="C7" s="6" t="inlineStr">
        <is>
          <t>Sidi Kacem</t>
        </is>
      </c>
      <c r="D7" s="5" t="inlineStr">
        <is>
          <t>KHENICHET</t>
        </is>
      </c>
      <c r="E7" s="5" t="inlineStr">
        <is>
          <t>50-23</t>
        </is>
      </c>
      <c r="F7" s="5" t="inlineStr">
        <is>
          <t>Entretien et réparation du réseau d'assainissement et de drainage</t>
        </is>
      </c>
      <c r="G7" s="5" t="inlineStr">
        <is>
          <t>Curage des prises sur l’oued, bâche d’aspiration et bassin de régulation.</t>
        </is>
      </c>
      <c r="H7" s="5" t="inlineStr">
        <is>
          <t>Curage de la chambre des joints de démontage des siphonnes  de la station de pompage EST2.</t>
        </is>
      </c>
      <c r="I7" s="7" t="n">
        <v>126000</v>
      </c>
      <c r="J7" s="8" t="inlineStr">
        <is>
          <t>ml</t>
        </is>
      </c>
      <c r="K7" s="9" t="n">
        <v>42</v>
      </c>
      <c r="L7" s="51" t="n"/>
      <c r="M7" s="52">
        <f>'S40'!M7+L7</f>
        <v/>
      </c>
      <c r="N7" s="53">
        <f>IFERROR(M7/K7,0)</f>
        <v/>
      </c>
      <c r="O7" s="54">
        <f>'S40'!N7</f>
        <v/>
      </c>
      <c r="P7" s="53">
        <f>N7-O7</f>
        <v/>
      </c>
      <c r="Q7" s="32" t="n"/>
      <c r="R7" s="32" t="n"/>
      <c r="S7" s="32" t="n"/>
      <c r="T7" s="55" t="n"/>
      <c r="U7" s="54">
        <f>'S40'!T7</f>
        <v/>
      </c>
      <c r="V7" s="53">
        <f>T7-U7</f>
        <v/>
      </c>
      <c r="W7" s="53">
        <f>N7-T7</f>
        <v/>
      </c>
      <c r="X7" s="34" t="n"/>
    </row>
    <row r="8" ht="22" customHeight="1">
      <c r="B8" s="10" t="n">
        <v>4</v>
      </c>
      <c r="C8" s="6" t="inlineStr">
        <is>
          <t>Sidi Kacem</t>
        </is>
      </c>
      <c r="D8" s="10" t="inlineStr">
        <is>
          <t>KHENICHET</t>
        </is>
      </c>
      <c r="E8" s="10" t="inlineStr">
        <is>
          <t>50-21</t>
        </is>
      </c>
      <c r="F8" s="10" t="inlineStr">
        <is>
          <t>Entretien et réparation des stations de pompage</t>
        </is>
      </c>
      <c r="G8" s="10" t="inlineStr">
        <is>
          <t>Prestation de maintenance des débitmètres et leurs équipements annexes installés au niveau des station de pompage</t>
        </is>
      </c>
      <c r="H8" s="10" t="inlineStr">
        <is>
          <t>Changement trois débitmètre Ø 600mm inondés de la station de pompage EST 2 et deux capteurs VEGASON 62</t>
        </is>
      </c>
      <c r="I8" s="11" t="n">
        <v>165500</v>
      </c>
      <c r="J8" s="12" t="inlineStr">
        <is>
          <t>U</t>
        </is>
      </c>
      <c r="K8" s="13" t="n">
        <v>3</v>
      </c>
      <c r="L8" s="51" t="n"/>
      <c r="M8" s="56">
        <f>'S40'!M8+L8</f>
        <v/>
      </c>
      <c r="N8" s="57">
        <f>IFERROR(M8/K8,0)</f>
        <v/>
      </c>
      <c r="O8" s="58">
        <f>'S40'!N8</f>
        <v/>
      </c>
      <c r="P8" s="57">
        <f>N8-O8</f>
        <v/>
      </c>
      <c r="Q8" s="32" t="n"/>
      <c r="R8" s="32" t="n"/>
      <c r="S8" s="32" t="n"/>
      <c r="T8" s="55" t="n"/>
      <c r="U8" s="58">
        <f>'S40'!T8</f>
        <v/>
      </c>
      <c r="V8" s="57">
        <f>T8-U8</f>
        <v/>
      </c>
      <c r="W8" s="57">
        <f>N8-T8</f>
        <v/>
      </c>
      <c r="X8" s="34" t="n"/>
    </row>
    <row r="9" ht="22" customHeight="1">
      <c r="B9" s="5" t="n">
        <v>5</v>
      </c>
      <c r="C9" s="6" t="inlineStr">
        <is>
          <t>Sidi Kacem</t>
        </is>
      </c>
      <c r="D9" s="5" t="inlineStr">
        <is>
          <t>BIR TALEB</t>
        </is>
      </c>
      <c r="E9" s="5" t="inlineStr">
        <is>
          <t>50-23</t>
        </is>
      </c>
      <c r="F9" s="5" t="inlineStr">
        <is>
          <t>Entretien et réparation du réseau d'assainissement et de drainage</t>
        </is>
      </c>
      <c r="G9" s="5" t="inlineStr">
        <is>
          <t>Travaux de curage des canaux en terre</t>
        </is>
      </c>
      <c r="H9" s="5" t="inlineStr">
        <is>
          <t>Curage du canal d'assainisement Tihli Aval</t>
        </is>
      </c>
      <c r="I9" s="7" t="n">
        <v>1000000</v>
      </c>
      <c r="J9" s="8" t="inlineStr">
        <is>
          <t>ml</t>
        </is>
      </c>
      <c r="K9" s="9" t="n">
        <v>500</v>
      </c>
      <c r="L9" s="51" t="n"/>
      <c r="M9" s="52">
        <f>'S40'!M9+L9</f>
        <v/>
      </c>
      <c r="N9" s="53">
        <f>IFERROR(M9/K9,0)</f>
        <v/>
      </c>
      <c r="O9" s="54">
        <f>'S40'!N9</f>
        <v/>
      </c>
      <c r="P9" s="53">
        <f>N9-O9</f>
        <v/>
      </c>
      <c r="Q9" s="32" t="n"/>
      <c r="R9" s="32" t="n"/>
      <c r="S9" s="32" t="n"/>
      <c r="T9" s="55" t="n"/>
      <c r="U9" s="54">
        <f>'S40'!T9</f>
        <v/>
      </c>
      <c r="V9" s="53">
        <f>T9-U9</f>
        <v/>
      </c>
      <c r="W9" s="53">
        <f>N9-T9</f>
        <v/>
      </c>
      <c r="X9" s="34" t="n"/>
    </row>
    <row r="10" ht="22" customHeight="1">
      <c r="B10" s="10" t="n">
        <v>6</v>
      </c>
      <c r="C10" s="6" t="inlineStr">
        <is>
          <t>Sidi Kacem</t>
        </is>
      </c>
      <c r="D10" s="10" t="inlineStr">
        <is>
          <t>BIR TALEB</t>
        </is>
      </c>
      <c r="E10" s="10" t="inlineStr">
        <is>
          <t>50-23</t>
        </is>
      </c>
      <c r="F10" s="10" t="inlineStr">
        <is>
          <t>Entretien et réparation du réseau d'assainissement et de drainage</t>
        </is>
      </c>
      <c r="G10" s="10" t="inlineStr"/>
      <c r="H10" s="10" t="inlineStr">
        <is>
          <t>Curage des collecteurs d'assainissement du secteur P11/1</t>
        </is>
      </c>
      <c r="I10" s="11" t="n">
        <v>846731</v>
      </c>
      <c r="J10" s="12" t="inlineStr">
        <is>
          <t>ml</t>
        </is>
      </c>
      <c r="K10" s="13" t="n">
        <v>423</v>
      </c>
      <c r="L10" s="51" t="n"/>
      <c r="M10" s="56">
        <f>'S40'!M10+L10</f>
        <v/>
      </c>
      <c r="N10" s="57">
        <f>IFERROR(M10/K10,0)</f>
        <v/>
      </c>
      <c r="O10" s="58">
        <f>'S40'!N10</f>
        <v/>
      </c>
      <c r="P10" s="57">
        <f>N10-O10</f>
        <v/>
      </c>
      <c r="Q10" s="32" t="n"/>
      <c r="R10" s="32" t="n"/>
      <c r="S10" s="32" t="n"/>
      <c r="T10" s="55" t="n"/>
      <c r="U10" s="58">
        <f>'S40'!T10</f>
        <v/>
      </c>
      <c r="V10" s="57">
        <f>T10-U10</f>
        <v/>
      </c>
      <c r="W10" s="57">
        <f>N10-T10</f>
        <v/>
      </c>
      <c r="X10" s="34" t="n"/>
    </row>
    <row r="11" ht="22" customHeight="1">
      <c r="B11" s="5" t="n">
        <v>7</v>
      </c>
      <c r="C11" s="6" t="inlineStr">
        <is>
          <t>Sidi Kacem</t>
        </is>
      </c>
      <c r="D11" s="5" t="inlineStr">
        <is>
          <t>BIR TALEB</t>
        </is>
      </c>
      <c r="E11" s="5" t="inlineStr">
        <is>
          <t>50-23</t>
        </is>
      </c>
      <c r="F11" s="5" t="inlineStr">
        <is>
          <t>Entretien et réparation du réseau d'assainissement et de drainage</t>
        </is>
      </c>
      <c r="G11" s="5" t="inlineStr">
        <is>
          <t>Curage des prises sur l’oued, bâche d’aspiration et bassin de régulation.</t>
        </is>
      </c>
      <c r="H11" s="5" t="inlineStr">
        <is>
          <t>Curage des prises sur l’oued de la station de pompage P11/1.</t>
        </is>
      </c>
      <c r="I11" s="7" t="n">
        <v>200000</v>
      </c>
      <c r="J11" s="8" t="inlineStr">
        <is>
          <t>ml</t>
        </is>
      </c>
      <c r="K11" s="9" t="n">
        <v>67</v>
      </c>
      <c r="L11" s="51" t="n"/>
      <c r="M11" s="52">
        <f>'S40'!M11+L11</f>
        <v/>
      </c>
      <c r="N11" s="53">
        <f>IFERROR(M11/K11,0)</f>
        <v/>
      </c>
      <c r="O11" s="54">
        <f>'S40'!N11</f>
        <v/>
      </c>
      <c r="P11" s="53">
        <f>N11-O11</f>
        <v/>
      </c>
      <c r="Q11" s="32" t="n"/>
      <c r="R11" s="32" t="n"/>
      <c r="S11" s="32" t="n"/>
      <c r="T11" s="55" t="n"/>
      <c r="U11" s="54">
        <f>'S40'!T11</f>
        <v/>
      </c>
      <c r="V11" s="53">
        <f>T11-U11</f>
        <v/>
      </c>
      <c r="W11" s="53">
        <f>N11-T11</f>
        <v/>
      </c>
      <c r="X11" s="34" t="n"/>
    </row>
    <row r="12" ht="22" customHeight="1">
      <c r="B12" s="10" t="n">
        <v>8</v>
      </c>
      <c r="C12" s="6" t="inlineStr">
        <is>
          <t>Sidi Kacem</t>
        </is>
      </c>
      <c r="D12" s="10" t="inlineStr">
        <is>
          <t>BIR TALEB</t>
        </is>
      </c>
      <c r="E12" s="10" t="inlineStr">
        <is>
          <t>50-21</t>
        </is>
      </c>
      <c r="F12" s="10" t="inlineStr">
        <is>
          <t>Entretien et réparation des stations de pompage</t>
        </is>
      </c>
      <c r="G12" s="10" t="inlineStr">
        <is>
          <t>Prestation de maintenance des débitmètres et leurs équipements annexes installés au niveau des station de pompage</t>
        </is>
      </c>
      <c r="H12" s="10" t="inlineStr">
        <is>
          <t>Changement trois débitmètre Ø 400mm inondés de la station de pompage P11/1</t>
        </is>
      </c>
      <c r="I12" s="11" t="n">
        <v>141900</v>
      </c>
      <c r="J12" s="12" t="inlineStr">
        <is>
          <t>U</t>
        </is>
      </c>
      <c r="K12" s="13" t="n">
        <v>3</v>
      </c>
      <c r="L12" s="51" t="n"/>
      <c r="M12" s="56">
        <f>'S40'!M12+L12</f>
        <v/>
      </c>
      <c r="N12" s="57">
        <f>IFERROR(M12/K12,0)</f>
        <v/>
      </c>
      <c r="O12" s="58">
        <f>'S40'!N12</f>
        <v/>
      </c>
      <c r="P12" s="57">
        <f>N12-O12</f>
        <v/>
      </c>
      <c r="Q12" s="32" t="n"/>
      <c r="R12" s="32" t="n"/>
      <c r="S12" s="32" t="n"/>
      <c r="T12" s="55" t="n"/>
      <c r="U12" s="58">
        <f>'S40'!T12</f>
        <v/>
      </c>
      <c r="V12" s="57">
        <f>T12-U12</f>
        <v/>
      </c>
      <c r="W12" s="57">
        <f>N12-T12</f>
        <v/>
      </c>
      <c r="X12" s="34" t="n"/>
    </row>
    <row r="13" ht="22" customHeight="1">
      <c r="B13" s="5" t="n">
        <v>9</v>
      </c>
      <c r="C13" s="6" t="inlineStr">
        <is>
          <t>Sidi Kacem</t>
        </is>
      </c>
      <c r="D13" s="5" t="inlineStr">
        <is>
          <t>BIR TALEB</t>
        </is>
      </c>
      <c r="E13" s="5" t="inlineStr">
        <is>
          <t>50-21</t>
        </is>
      </c>
      <c r="F13" s="5" t="inlineStr">
        <is>
          <t>Entretien et réparation des stations de pompage</t>
        </is>
      </c>
      <c r="G13" s="5" t="inlineStr">
        <is>
          <t>Prestations de maintenance et de réparation mécanique des pompes et des groupes motopompes submersibles des stations de pompage.</t>
        </is>
      </c>
      <c r="H13" s="5" t="inlineStr">
        <is>
          <t>Démontage et expertise des roues des  pompes principaux et pompes a vide de la station P11/1
Changement des roulements, tresses et organes d’effectués de la station P11/1</t>
        </is>
      </c>
      <c r="I13" s="7" t="n">
        <v>26700</v>
      </c>
      <c r="J13" s="8" t="inlineStr">
        <is>
          <t>U</t>
        </is>
      </c>
      <c r="K13" s="9" t="n">
        <v>1</v>
      </c>
      <c r="L13" s="51" t="n"/>
      <c r="M13" s="52">
        <f>'S40'!M13+L13</f>
        <v/>
      </c>
      <c r="N13" s="53">
        <f>IFERROR(M13/K13,0)</f>
        <v/>
      </c>
      <c r="O13" s="54">
        <f>'S40'!N13</f>
        <v/>
      </c>
      <c r="P13" s="53">
        <f>N13-O13</f>
        <v/>
      </c>
      <c r="Q13" s="32" t="n"/>
      <c r="R13" s="32" t="n"/>
      <c r="S13" s="32" t="n"/>
      <c r="T13" s="55" t="n"/>
      <c r="U13" s="54">
        <f>'S40'!T13</f>
        <v/>
      </c>
      <c r="V13" s="53">
        <f>T13-U13</f>
        <v/>
      </c>
      <c r="W13" s="53">
        <f>N13-T13</f>
        <v/>
      </c>
      <c r="X13" s="34" t="n"/>
    </row>
    <row r="14" ht="22" customHeight="1">
      <c r="B14" s="10" t="n">
        <v>10</v>
      </c>
      <c r="C14" s="6" t="inlineStr">
        <is>
          <t>Sidi Kacem</t>
        </is>
      </c>
      <c r="D14" s="10" t="inlineStr">
        <is>
          <t>BIR TALEB</t>
        </is>
      </c>
      <c r="E14" s="10" t="inlineStr">
        <is>
          <t>50-21</t>
        </is>
      </c>
      <c r="F14" s="10" t="inlineStr">
        <is>
          <t>Entretien et réparation des stations de pompage</t>
        </is>
      </c>
      <c r="G14" s="10" t="inlineStr">
        <is>
          <t>Stabilisation Berge oued</t>
        </is>
      </c>
      <c r="H14" s="10" t="inlineStr">
        <is>
          <t>Pose de  gabions et recouvrement du talus par matelas Reno des stations de pompage P11/1.</t>
        </is>
      </c>
      <c r="I14" s="11" t="n">
        <v>480000</v>
      </c>
      <c r="J14" s="12" t="inlineStr">
        <is>
          <t>m³</t>
        </is>
      </c>
      <c r="K14" s="13" t="n">
        <v>320</v>
      </c>
      <c r="L14" s="51" t="n"/>
      <c r="M14" s="56">
        <f>'S40'!M14+L14</f>
        <v/>
      </c>
      <c r="N14" s="57">
        <f>IFERROR(M14/K14,0)</f>
        <v/>
      </c>
      <c r="O14" s="58">
        <f>'S40'!N14</f>
        <v/>
      </c>
      <c r="P14" s="57">
        <f>N14-O14</f>
        <v/>
      </c>
      <c r="Q14" s="32" t="n"/>
      <c r="R14" s="32" t="n"/>
      <c r="S14" s="32" t="n"/>
      <c r="T14" s="55" t="n"/>
      <c r="U14" s="58">
        <f>'S40'!T14</f>
        <v/>
      </c>
      <c r="V14" s="57">
        <f>T14-U14</f>
        <v/>
      </c>
      <c r="W14" s="57">
        <f>N14-T14</f>
        <v/>
      </c>
      <c r="X14" s="34" t="n"/>
    </row>
    <row r="15" ht="22" customHeight="1">
      <c r="B15" s="5" t="n">
        <v>11</v>
      </c>
      <c r="C15" s="6" t="inlineStr">
        <is>
          <t>Sidi Kacem</t>
        </is>
      </c>
      <c r="D15" s="5" t="inlineStr">
        <is>
          <t>BIR TALEB</t>
        </is>
      </c>
      <c r="E15" s="5" t="inlineStr">
        <is>
          <t>50-21</t>
        </is>
      </c>
      <c r="F15" s="5" t="inlineStr">
        <is>
          <t>Entretien et réparation des stations de pompage</t>
        </is>
      </c>
      <c r="G15" s="5" t="inlineStr">
        <is>
          <t>Génie civile des locaux des stations de pompage.</t>
        </is>
      </c>
      <c r="H15" s="5" t="inlineStr">
        <is>
          <t>Expertise d’état et d’étanchéité des locaux pompes.
Renforcement d’étanchéité des locaux pompe sous niveau des oueds des stations de pompage P11/1.
Entretien des supports en béton des conduites d’aspiration.</t>
        </is>
      </c>
      <c r="I15" s="7" t="n">
        <v>300000</v>
      </c>
      <c r="J15" s="8" t="inlineStr">
        <is>
          <t>U</t>
        </is>
      </c>
      <c r="K15" s="9" t="n">
        <v>1</v>
      </c>
      <c r="L15" s="51" t="n"/>
      <c r="M15" s="52">
        <f>'S40'!M15+L15</f>
        <v/>
      </c>
      <c r="N15" s="53">
        <f>IFERROR(M15/K15,0)</f>
        <v/>
      </c>
      <c r="O15" s="54">
        <f>'S40'!N15</f>
        <v/>
      </c>
      <c r="P15" s="53">
        <f>N15-O15</f>
        <v/>
      </c>
      <c r="Q15" s="32" t="n"/>
      <c r="R15" s="32" t="n"/>
      <c r="S15" s="32" t="n"/>
      <c r="T15" s="55" t="n"/>
      <c r="U15" s="54">
        <f>'S40'!T15</f>
        <v/>
      </c>
      <c r="V15" s="53">
        <f>T15-U15</f>
        <v/>
      </c>
      <c r="W15" s="53">
        <f>N15-T15</f>
        <v/>
      </c>
      <c r="X15" s="34" t="n"/>
    </row>
    <row r="16" ht="22" customHeight="1">
      <c r="B16" s="10" t="n">
        <v>12</v>
      </c>
      <c r="C16" s="6" t="inlineStr">
        <is>
          <t>Sidi Kacem</t>
        </is>
      </c>
      <c r="D16" s="10" t="inlineStr">
        <is>
          <t>CHEBANAT</t>
        </is>
      </c>
      <c r="E16" s="10" t="inlineStr">
        <is>
          <t>50-23</t>
        </is>
      </c>
      <c r="F16" s="10" t="inlineStr">
        <is>
          <t>Entretien et réparation du réseau d'assainissement et de drainage</t>
        </is>
      </c>
      <c r="G16" s="10" t="inlineStr">
        <is>
          <t>Travaux de curage des canaux en terre</t>
        </is>
      </c>
      <c r="H16" s="10" t="inlineStr">
        <is>
          <t>Curage des collecteurs d'assainissement des secteur SH5 et SH6.</t>
        </is>
      </c>
      <c r="I16" s="11" t="n">
        <v>1000000</v>
      </c>
      <c r="J16" s="12" t="inlineStr">
        <is>
          <t>ml</t>
        </is>
      </c>
      <c r="K16" s="13" t="n">
        <v>500</v>
      </c>
      <c r="L16" s="51" t="n"/>
      <c r="M16" s="56">
        <f>'S40'!M16+L16</f>
        <v/>
      </c>
      <c r="N16" s="57">
        <f>IFERROR(M16/K16,0)</f>
        <v/>
      </c>
      <c r="O16" s="58">
        <f>'S40'!N16</f>
        <v/>
      </c>
      <c r="P16" s="57">
        <f>N16-O16</f>
        <v/>
      </c>
      <c r="Q16" s="32" t="n"/>
      <c r="R16" s="32" t="n"/>
      <c r="S16" s="32" t="n"/>
      <c r="T16" s="55" t="n"/>
      <c r="U16" s="58">
        <f>'S40'!T16</f>
        <v/>
      </c>
      <c r="V16" s="57">
        <f>T16-U16</f>
        <v/>
      </c>
      <c r="W16" s="57">
        <f>N16-T16</f>
        <v/>
      </c>
      <c r="X16" s="34" t="n"/>
    </row>
    <row r="17" ht="22" customHeight="1">
      <c r="B17" s="5" t="n">
        <v>13</v>
      </c>
      <c r="C17" s="6" t="inlineStr">
        <is>
          <t>Sidi Kacem</t>
        </is>
      </c>
      <c r="D17" s="5" t="inlineStr">
        <is>
          <t>CHEBANAT</t>
        </is>
      </c>
      <c r="E17" s="5" t="inlineStr">
        <is>
          <t>50-23</t>
        </is>
      </c>
      <c r="F17" s="5" t="inlineStr">
        <is>
          <t>Entretien et réparation du réseau d'assainissement et de drainage</t>
        </is>
      </c>
      <c r="G17" s="5" t="inlineStr">
        <is>
          <t>Travaux de curage des canaux révetus</t>
        </is>
      </c>
      <c r="H17" s="5" t="inlineStr">
        <is>
          <t>Curage du canal principal d'irrigation beht partie aval 1.</t>
        </is>
      </c>
      <c r="I17" s="7" t="n">
        <v>739200</v>
      </c>
      <c r="J17" s="8" t="inlineStr">
        <is>
          <t>ml</t>
        </is>
      </c>
      <c r="K17" s="9" t="n">
        <v>370</v>
      </c>
      <c r="L17" s="51" t="n"/>
      <c r="M17" s="52">
        <f>'S40'!M17+L17</f>
        <v/>
      </c>
      <c r="N17" s="53">
        <f>IFERROR(M17/K17,0)</f>
        <v/>
      </c>
      <c r="O17" s="54">
        <f>'S40'!N17</f>
        <v/>
      </c>
      <c r="P17" s="53">
        <f>N17-O17</f>
        <v/>
      </c>
      <c r="Q17" s="32" t="n"/>
      <c r="R17" s="32" t="n"/>
      <c r="S17" s="32" t="n"/>
      <c r="T17" s="55" t="n"/>
      <c r="U17" s="54">
        <f>'S40'!T17</f>
        <v/>
      </c>
      <c r="V17" s="53">
        <f>T17-U17</f>
        <v/>
      </c>
      <c r="W17" s="53">
        <f>N17-T17</f>
        <v/>
      </c>
      <c r="X17" s="34" t="n"/>
    </row>
    <row r="18" ht="22" customHeight="1">
      <c r="B18" s="10" t="n">
        <v>14</v>
      </c>
      <c r="C18" s="6" t="inlineStr">
        <is>
          <t>Sidi Kacem</t>
        </is>
      </c>
      <c r="D18" s="10" t="inlineStr">
        <is>
          <t>ZIRARA</t>
        </is>
      </c>
      <c r="E18" s="10" t="inlineStr">
        <is>
          <t>50-23</t>
        </is>
      </c>
      <c r="F18" s="10" t="inlineStr">
        <is>
          <t>Entretien et réparation du réseau d'assainissement et de drainage</t>
        </is>
      </c>
      <c r="G18" s="10" t="inlineStr">
        <is>
          <t>Travaux de curage des canaux révetus</t>
        </is>
      </c>
      <c r="H18" s="10" t="inlineStr">
        <is>
          <t>Curage du canal principal d'irrigation beht partie aval 2.</t>
        </is>
      </c>
      <c r="I18" s="11" t="n">
        <v>1276800</v>
      </c>
      <c r="J18" s="12" t="inlineStr">
        <is>
          <t>ml</t>
        </is>
      </c>
      <c r="K18" s="13" t="n">
        <v>638</v>
      </c>
      <c r="L18" s="51" t="n"/>
      <c r="M18" s="56">
        <f>'S40'!M18+L18</f>
        <v/>
      </c>
      <c r="N18" s="57">
        <f>IFERROR(M18/K18,0)</f>
        <v/>
      </c>
      <c r="O18" s="58">
        <f>'S40'!N18</f>
        <v/>
      </c>
      <c r="P18" s="57">
        <f>N18-O18</f>
        <v/>
      </c>
      <c r="Q18" s="32" t="n"/>
      <c r="R18" s="32" t="n"/>
      <c r="S18" s="32" t="n"/>
      <c r="T18" s="55" t="n"/>
      <c r="U18" s="58">
        <f>'S40'!T18</f>
        <v/>
      </c>
      <c r="V18" s="57">
        <f>T18-U18</f>
        <v/>
      </c>
      <c r="W18" s="57">
        <f>N18-T18</f>
        <v/>
      </c>
      <c r="X18" s="34" t="n"/>
    </row>
    <row r="19" ht="22" customHeight="1">
      <c r="B19" s="5" t="n">
        <v>15</v>
      </c>
      <c r="C19" s="6" t="inlineStr">
        <is>
          <t>Sidi Kacem</t>
        </is>
      </c>
      <c r="D19" s="5" t="inlineStr">
        <is>
          <t>DAR LAASLOUJI</t>
        </is>
      </c>
      <c r="E19" s="5" t="inlineStr">
        <is>
          <t>50-23</t>
        </is>
      </c>
      <c r="F19" s="5" t="inlineStr">
        <is>
          <t>Entretien et réparation du réseau d'assainissement et de drainage</t>
        </is>
      </c>
      <c r="G19" s="5" t="inlineStr">
        <is>
          <t>Travaux de curage des canaux en terre</t>
        </is>
      </c>
      <c r="H19" s="5" t="inlineStr">
        <is>
          <t>Curage des collecteurs d'assainissement des secteurs P8-1 et P8-2</t>
        </is>
      </c>
      <c r="I19" s="7" t="n">
        <v>5796360</v>
      </c>
      <c r="J19" s="8" t="inlineStr">
        <is>
          <t>ml</t>
        </is>
      </c>
      <c r="K19" s="9" t="n">
        <v>2898</v>
      </c>
      <c r="L19" s="51" t="n"/>
      <c r="M19" s="52">
        <f>'S40'!M19+L19</f>
        <v/>
      </c>
      <c r="N19" s="53">
        <f>IFERROR(M19/K19,0)</f>
        <v/>
      </c>
      <c r="O19" s="54">
        <f>'S40'!N19</f>
        <v/>
      </c>
      <c r="P19" s="53">
        <f>N19-O19</f>
        <v/>
      </c>
      <c r="Q19" s="32" t="n"/>
      <c r="R19" s="32" t="n"/>
      <c r="S19" s="32" t="n"/>
      <c r="T19" s="55" t="n"/>
      <c r="U19" s="54">
        <f>'S40'!T19</f>
        <v/>
      </c>
      <c r="V19" s="53">
        <f>T19-U19</f>
        <v/>
      </c>
      <c r="W19" s="53">
        <f>N19-T19</f>
        <v/>
      </c>
      <c r="X19" s="34" t="n"/>
    </row>
    <row r="20" ht="22" customHeight="1">
      <c r="B20" s="10" t="n">
        <v>16</v>
      </c>
      <c r="C20" s="6" t="inlineStr">
        <is>
          <t>Sidi Kacem</t>
        </is>
      </c>
      <c r="D20" s="10" t="inlineStr">
        <is>
          <t>DAR LAASLOUJI</t>
        </is>
      </c>
      <c r="E20" s="10" t="inlineStr">
        <is>
          <t>40-21</t>
        </is>
      </c>
      <c r="F20" s="10" t="inlineStr">
        <is>
          <t>Travaux de pistes</t>
        </is>
      </c>
      <c r="G20" s="10" t="inlineStr">
        <is>
          <t>Entretien des pistes agricoles</t>
        </is>
      </c>
      <c r="H20" s="10" t="inlineStr">
        <is>
          <t>Entretien des pistes agricoles</t>
        </is>
      </c>
      <c r="I20" s="11" t="n">
        <v>340000</v>
      </c>
      <c r="J20" s="12" t="inlineStr">
        <is>
          <t>km</t>
        </is>
      </c>
      <c r="K20" s="13" t="n">
        <v>1</v>
      </c>
      <c r="L20" s="51" t="n"/>
      <c r="M20" s="56">
        <f>'S40'!M20+L20</f>
        <v/>
      </c>
      <c r="N20" s="57">
        <f>IFERROR(M20/K20,0)</f>
        <v/>
      </c>
      <c r="O20" s="58">
        <f>'S40'!N20</f>
        <v/>
      </c>
      <c r="P20" s="57">
        <f>N20-O20</f>
        <v/>
      </c>
      <c r="Q20" s="32" t="n"/>
      <c r="R20" s="32" t="n"/>
      <c r="S20" s="32" t="n"/>
      <c r="T20" s="55" t="n"/>
      <c r="U20" s="58">
        <f>'S40'!T20</f>
        <v/>
      </c>
      <c r="V20" s="57">
        <f>T20-U20</f>
        <v/>
      </c>
      <c r="W20" s="57">
        <f>N20-T20</f>
        <v/>
      </c>
      <c r="X20" s="34" t="n"/>
    </row>
    <row r="21" ht="22" customHeight="1">
      <c r="B21" s="5" t="n">
        <v>17</v>
      </c>
      <c r="C21" s="6" t="inlineStr">
        <is>
          <t>Sidi Kacem</t>
        </is>
      </c>
      <c r="D21" s="5" t="inlineStr">
        <is>
          <t>HOUAFATE</t>
        </is>
      </c>
      <c r="E21" s="5" t="inlineStr">
        <is>
          <t>20-11</t>
        </is>
      </c>
      <c r="F21" s="5" t="inlineStr">
        <is>
          <t>Travaux de réhabilitation des équipements</t>
        </is>
      </c>
      <c r="G21" s="5" t="inlineStr">
        <is>
          <t>Travaux de réhabilitation des canaux portés d'irrigation</t>
        </is>
      </c>
      <c r="H21" s="5" t="inlineStr">
        <is>
          <t>Fourniture et de pose de canaux porté et accessoires du réseau S3 du secteur S13</t>
        </is>
      </c>
      <c r="I21" s="7" t="n">
        <v>397934</v>
      </c>
      <c r="J21" s="8" t="inlineStr">
        <is>
          <t>ml</t>
        </is>
      </c>
      <c r="K21" s="9" t="n">
        <v>133</v>
      </c>
      <c r="L21" s="51" t="n"/>
      <c r="M21" s="52">
        <f>'S40'!M21+L21</f>
        <v/>
      </c>
      <c r="N21" s="53">
        <f>IFERROR(M21/K21,0)</f>
        <v/>
      </c>
      <c r="O21" s="54">
        <f>'S40'!N21</f>
        <v/>
      </c>
      <c r="P21" s="53">
        <f>N21-O21</f>
        <v/>
      </c>
      <c r="Q21" s="32" t="n"/>
      <c r="R21" s="32" t="n"/>
      <c r="S21" s="32" t="n"/>
      <c r="T21" s="55" t="n"/>
      <c r="U21" s="54">
        <f>'S40'!T21</f>
        <v/>
      </c>
      <c r="V21" s="53">
        <f>T21-U21</f>
        <v/>
      </c>
      <c r="W21" s="53">
        <f>N21-T21</f>
        <v/>
      </c>
      <c r="X21" s="34" t="n"/>
    </row>
    <row r="22" ht="22" customHeight="1">
      <c r="B22" s="10" t="n">
        <v>18</v>
      </c>
      <c r="C22" s="6" t="inlineStr">
        <is>
          <t>Sidi Kacem</t>
        </is>
      </c>
      <c r="D22" s="10" t="inlineStr">
        <is>
          <t>HOUAFATE</t>
        </is>
      </c>
      <c r="E22" s="10" t="inlineStr">
        <is>
          <t>20-11</t>
        </is>
      </c>
      <c r="F22" s="10" t="inlineStr">
        <is>
          <t>Travaux de réhabilitation des équipements</t>
        </is>
      </c>
      <c r="G22" s="10" t="inlineStr"/>
      <c r="H22" s="10" t="inlineStr">
        <is>
          <t>Fourniture et de pose de canaux porté et accessoires du réseau T2S1 du secteur S13</t>
        </is>
      </c>
      <c r="I22" s="11" t="n">
        <v>207575</v>
      </c>
      <c r="J22" s="12" t="inlineStr">
        <is>
          <t>ml</t>
        </is>
      </c>
      <c r="K22" s="13" t="n">
        <v>69</v>
      </c>
      <c r="L22" s="51" t="n"/>
      <c r="M22" s="56">
        <f>'S40'!M22+L22</f>
        <v/>
      </c>
      <c r="N22" s="57">
        <f>IFERROR(M22/K22,0)</f>
        <v/>
      </c>
      <c r="O22" s="58">
        <f>'S40'!N22</f>
        <v/>
      </c>
      <c r="P22" s="57">
        <f>N22-O22</f>
        <v/>
      </c>
      <c r="Q22" s="32" t="n"/>
      <c r="R22" s="32" t="n"/>
      <c r="S22" s="32" t="n"/>
      <c r="T22" s="55" t="n"/>
      <c r="U22" s="58">
        <f>'S40'!T22</f>
        <v/>
      </c>
      <c r="V22" s="57">
        <f>T22-U22</f>
        <v/>
      </c>
      <c r="W22" s="57">
        <f>N22-T22</f>
        <v/>
      </c>
      <c r="X22" s="34" t="n"/>
    </row>
    <row r="23" ht="22" customHeight="1">
      <c r="B23" s="5" t="n">
        <v>19</v>
      </c>
      <c r="C23" s="6" t="inlineStr">
        <is>
          <t>Sidi Kacem</t>
        </is>
      </c>
      <c r="D23" s="5" t="inlineStr">
        <is>
          <t>HOUAFATE</t>
        </is>
      </c>
      <c r="E23" s="5" t="inlineStr">
        <is>
          <t>40-21</t>
        </is>
      </c>
      <c r="F23" s="5" t="inlineStr">
        <is>
          <t>Travaux de pistes</t>
        </is>
      </c>
      <c r="G23" s="5" t="inlineStr">
        <is>
          <t>Entretien des pistes agricoles</t>
        </is>
      </c>
      <c r="H23" s="5" t="inlineStr">
        <is>
          <t>Entretien des pistes agricoles</t>
        </is>
      </c>
      <c r="I23" s="7" t="n">
        <v>2200000</v>
      </c>
      <c r="J23" s="8" t="inlineStr">
        <is>
          <t>km</t>
        </is>
      </c>
      <c r="K23" s="9" t="n">
        <v>4</v>
      </c>
      <c r="L23" s="51" t="n"/>
      <c r="M23" s="52">
        <f>'S40'!M23+L23</f>
        <v/>
      </c>
      <c r="N23" s="53">
        <f>IFERROR(M23/K23,0)</f>
        <v/>
      </c>
      <c r="O23" s="54">
        <f>'S40'!N23</f>
        <v/>
      </c>
      <c r="P23" s="53">
        <f>N23-O23</f>
        <v/>
      </c>
      <c r="Q23" s="32" t="n"/>
      <c r="R23" s="32" t="n"/>
      <c r="S23" s="32" t="n"/>
      <c r="T23" s="55" t="n"/>
      <c r="U23" s="54">
        <f>'S40'!T23</f>
        <v/>
      </c>
      <c r="V23" s="53">
        <f>T23-U23</f>
        <v/>
      </c>
      <c r="W23" s="53">
        <f>N23-T23</f>
        <v/>
      </c>
      <c r="X23" s="34" t="n"/>
    </row>
    <row r="24" ht="22" customHeight="1">
      <c r="B24" s="10" t="n">
        <v>20</v>
      </c>
      <c r="C24" s="6" t="inlineStr">
        <is>
          <t>Sidi Kacem</t>
        </is>
      </c>
      <c r="D24" s="10" t="inlineStr">
        <is>
          <t>HOUAFATE</t>
        </is>
      </c>
      <c r="E24" s="10" t="inlineStr">
        <is>
          <t>50-23</t>
        </is>
      </c>
      <c r="F24" s="10" t="inlineStr">
        <is>
          <t>Entretien et réparation du réseau d'assainissement et de drainage</t>
        </is>
      </c>
      <c r="G24" s="10" t="inlineStr">
        <is>
          <t>Curage des prises sur l’oued, bâche d’aspiration et bassin de régulation.</t>
        </is>
      </c>
      <c r="H24" s="10" t="inlineStr">
        <is>
          <t>Curage des prises sur l’oued de la station de pompage S17 et S13.
Nettoyage des grilles de préfiltration des boues colmaté de la station de pompage S17 et S13.
Curage de la bâche d’aspiration de la station S17 et S13.</t>
        </is>
      </c>
      <c r="I24" s="11" t="n">
        <v>300000</v>
      </c>
      <c r="J24" s="12" t="inlineStr">
        <is>
          <t>ml</t>
        </is>
      </c>
      <c r="K24" s="13" t="n">
        <v>100</v>
      </c>
      <c r="L24" s="51" t="n"/>
      <c r="M24" s="56">
        <f>'S40'!M24+L24</f>
        <v/>
      </c>
      <c r="N24" s="57">
        <f>IFERROR(M24/K24,0)</f>
        <v/>
      </c>
      <c r="O24" s="58">
        <f>'S40'!N24</f>
        <v/>
      </c>
      <c r="P24" s="57">
        <f>N24-O24</f>
        <v/>
      </c>
      <c r="Q24" s="32" t="n"/>
      <c r="R24" s="32" t="n"/>
      <c r="S24" s="32" t="n"/>
      <c r="T24" s="55" t="n"/>
      <c r="U24" s="58">
        <f>'S40'!T24</f>
        <v/>
      </c>
      <c r="V24" s="57">
        <f>T24-U24</f>
        <v/>
      </c>
      <c r="W24" s="57">
        <f>N24-T24</f>
        <v/>
      </c>
      <c r="X24" s="34" t="n"/>
    </row>
    <row r="25" ht="22" customHeight="1">
      <c r="B25" s="5" t="n">
        <v>21</v>
      </c>
      <c r="C25" s="6" t="inlineStr">
        <is>
          <t>Sidi Kacem</t>
        </is>
      </c>
      <c r="D25" s="5" t="inlineStr">
        <is>
          <t>HOUAFATE</t>
        </is>
      </c>
      <c r="E25" s="5" t="inlineStr">
        <is>
          <t>50-21</t>
        </is>
      </c>
      <c r="F25" s="5" t="inlineStr">
        <is>
          <t>Entretien et réparation des stations de pompage</t>
        </is>
      </c>
      <c r="G25" s="5" t="inlineStr">
        <is>
          <t>Prestation de maintenance des débitmètres et leurs équipements annexes installés au niveau des station de pompage</t>
        </is>
      </c>
      <c r="H25" s="5" t="inlineStr">
        <is>
          <t>Changement trois débitmètre Ø 600mm inondés de la station de pompage S13.</t>
        </is>
      </c>
      <c r="I25" s="7" t="n">
        <v>250000</v>
      </c>
      <c r="J25" s="8" t="inlineStr">
        <is>
          <t>U</t>
        </is>
      </c>
      <c r="K25" s="9" t="n">
        <v>3</v>
      </c>
      <c r="L25" s="51" t="n"/>
      <c r="M25" s="52">
        <f>'S40'!M25+L25</f>
        <v/>
      </c>
      <c r="N25" s="53">
        <f>IFERROR(M25/K25,0)</f>
        <v/>
      </c>
      <c r="O25" s="54">
        <f>'S40'!N25</f>
        <v/>
      </c>
      <c r="P25" s="53">
        <f>N25-O25</f>
        <v/>
      </c>
      <c r="Q25" s="32" t="n"/>
      <c r="R25" s="32" t="n"/>
      <c r="S25" s="32" t="n"/>
      <c r="T25" s="55" t="n"/>
      <c r="U25" s="54">
        <f>'S40'!T25</f>
        <v/>
      </c>
      <c r="V25" s="53">
        <f>T25-U25</f>
        <v/>
      </c>
      <c r="W25" s="53">
        <f>N25-T25</f>
        <v/>
      </c>
      <c r="X25" s="34" t="n"/>
    </row>
    <row r="26" ht="22" customHeight="1">
      <c r="B26" s="10" t="n">
        <v>22</v>
      </c>
      <c r="C26" s="6" t="inlineStr">
        <is>
          <t>Sidi Kacem</t>
        </is>
      </c>
      <c r="D26" s="10" t="inlineStr">
        <is>
          <t>HOUAFATE</t>
        </is>
      </c>
      <c r="E26" s="10" t="inlineStr">
        <is>
          <t>50-21</t>
        </is>
      </c>
      <c r="F26" s="10" t="inlineStr">
        <is>
          <t>Entretien et réparation des stations de pompage</t>
        </is>
      </c>
      <c r="G26" s="10" t="inlineStr">
        <is>
          <t>Prestations de maintenance des moteurs électriques des stations de pompage.</t>
        </is>
      </c>
      <c r="H26" s="10" t="inlineStr">
        <is>
          <t>Révision des trois moteurs électriques 200 KW principaux de la station S13. 
Révision des deux moteurs électriques 5,5 KW groupes vide de la station S13.</t>
        </is>
      </c>
      <c r="I26" s="11" t="n">
        <v>25000</v>
      </c>
      <c r="J26" s="12" t="inlineStr">
        <is>
          <t>U</t>
        </is>
      </c>
      <c r="K26" s="13" t="n">
        <v>3</v>
      </c>
      <c r="L26" s="51" t="n"/>
      <c r="M26" s="56">
        <f>'S40'!M26+L26</f>
        <v/>
      </c>
      <c r="N26" s="57">
        <f>IFERROR(M26/K26,0)</f>
        <v/>
      </c>
      <c r="O26" s="58">
        <f>'S40'!N26</f>
        <v/>
      </c>
      <c r="P26" s="57">
        <f>N26-O26</f>
        <v/>
      </c>
      <c r="Q26" s="32" t="n"/>
      <c r="R26" s="32" t="n"/>
      <c r="S26" s="32" t="n"/>
      <c r="T26" s="55" t="n"/>
      <c r="U26" s="58">
        <f>'S40'!T26</f>
        <v/>
      </c>
      <c r="V26" s="57">
        <f>T26-U26</f>
        <v/>
      </c>
      <c r="W26" s="57">
        <f>N26-T26</f>
        <v/>
      </c>
      <c r="X26" s="34" t="n"/>
    </row>
    <row r="27" ht="22" customHeight="1">
      <c r="B27" s="5" t="n">
        <v>23</v>
      </c>
      <c r="C27" s="6" t="inlineStr">
        <is>
          <t>Sidi Kacem</t>
        </is>
      </c>
      <c r="D27" s="5" t="inlineStr">
        <is>
          <t>HOUAFATE</t>
        </is>
      </c>
      <c r="E27" s="5" t="inlineStr">
        <is>
          <t>50-21</t>
        </is>
      </c>
      <c r="F27" s="5" t="inlineStr">
        <is>
          <t>Entretien et réparation des stations de pompage</t>
        </is>
      </c>
      <c r="G27" s="5" t="inlineStr">
        <is>
          <t>Prestations de maintenance et de réparation mécanique des pompes et des groupes motopompes submersibles des stations de pompage.</t>
        </is>
      </c>
      <c r="H27" s="5" t="inlineStr">
        <is>
          <t>Démontage et expertise des roues des  pompes principaux et pompes a vide de la station S13.
Changement des roulements, tresses et organes d’effectués de la station S13.</t>
        </is>
      </c>
      <c r="I27" s="7" t="n">
        <v>38000</v>
      </c>
      <c r="J27" s="8" t="inlineStr">
        <is>
          <t>U</t>
        </is>
      </c>
      <c r="K27" s="9" t="n">
        <v>1</v>
      </c>
      <c r="L27" s="51" t="n"/>
      <c r="M27" s="52">
        <f>'S40'!M27+L27</f>
        <v/>
      </c>
      <c r="N27" s="53">
        <f>IFERROR(M27/K27,0)</f>
        <v/>
      </c>
      <c r="O27" s="54">
        <f>'S40'!N27</f>
        <v/>
      </c>
      <c r="P27" s="53">
        <f>N27-O27</f>
        <v/>
      </c>
      <c r="Q27" s="32" t="n"/>
      <c r="R27" s="32" t="n"/>
      <c r="S27" s="32" t="n"/>
      <c r="T27" s="55" t="n"/>
      <c r="U27" s="54">
        <f>'S40'!T27</f>
        <v/>
      </c>
      <c r="V27" s="53">
        <f>T27-U27</f>
        <v/>
      </c>
      <c r="W27" s="53">
        <f>N27-T27</f>
        <v/>
      </c>
      <c r="X27" s="34" t="n"/>
    </row>
    <row r="28" ht="22" customHeight="1">
      <c r="B28" s="10" t="n">
        <v>24</v>
      </c>
      <c r="C28" s="6" t="inlineStr">
        <is>
          <t>Sidi Kacem</t>
        </is>
      </c>
      <c r="D28" s="10" t="inlineStr">
        <is>
          <t>HOUAFATE</t>
        </is>
      </c>
      <c r="E28" s="10" t="inlineStr">
        <is>
          <t>50-21</t>
        </is>
      </c>
      <c r="F28" s="10" t="inlineStr">
        <is>
          <t>Entretien et réparation des stations de pompage</t>
        </is>
      </c>
      <c r="G28" s="10" t="inlineStr">
        <is>
          <t>Stabilisation Berge oued</t>
        </is>
      </c>
      <c r="H28" s="10" t="inlineStr">
        <is>
          <t>Pose de  gabions et recouvrement du talus par matelas Reno des stations de pompage S13.</t>
        </is>
      </c>
      <c r="I28" s="11" t="n">
        <v>10560000</v>
      </c>
      <c r="J28" s="12" t="inlineStr">
        <is>
          <t>m³</t>
        </is>
      </c>
      <c r="K28" s="13" t="n">
        <v>7040</v>
      </c>
      <c r="L28" s="51" t="n"/>
      <c r="M28" s="56">
        <f>'S40'!M28+L28</f>
        <v/>
      </c>
      <c r="N28" s="57">
        <f>IFERROR(M28/K28,0)</f>
        <v/>
      </c>
      <c r="O28" s="58">
        <f>'S40'!N28</f>
        <v/>
      </c>
      <c r="P28" s="57">
        <f>N28-O28</f>
        <v/>
      </c>
      <c r="Q28" s="32" t="n"/>
      <c r="R28" s="32" t="n"/>
      <c r="S28" s="32" t="n"/>
      <c r="T28" s="55" t="n"/>
      <c r="U28" s="58">
        <f>'S40'!T28</f>
        <v/>
      </c>
      <c r="V28" s="57">
        <f>T28-U28</f>
        <v/>
      </c>
      <c r="W28" s="57">
        <f>N28-T28</f>
        <v/>
      </c>
      <c r="X28" s="34" t="n"/>
    </row>
    <row r="29" ht="22" customHeight="1">
      <c r="B29" s="5" t="n">
        <v>25</v>
      </c>
      <c r="C29" s="6" t="inlineStr">
        <is>
          <t>Sidi Kacem</t>
        </is>
      </c>
      <c r="D29" s="5" t="inlineStr">
        <is>
          <t>HOUAFATE</t>
        </is>
      </c>
      <c r="E29" s="5" t="inlineStr">
        <is>
          <t>50-21</t>
        </is>
      </c>
      <c r="F29" s="5" t="inlineStr">
        <is>
          <t>Entretien et réparation des stations de pompage</t>
        </is>
      </c>
      <c r="G29" s="5" t="inlineStr">
        <is>
          <t>Mur clôture des stations de pompage.</t>
        </is>
      </c>
      <c r="H29" s="5" t="inlineStr">
        <is>
          <t>Stabilisation du sol et reconstruction des murs clôture (270m) cote oued de la station S17.</t>
        </is>
      </c>
      <c r="I29" s="7" t="n">
        <v>144000</v>
      </c>
      <c r="J29" s="8" t="inlineStr">
        <is>
          <t>ml</t>
        </is>
      </c>
      <c r="K29" s="9" t="n">
        <v>270</v>
      </c>
      <c r="L29" s="51" t="n"/>
      <c r="M29" s="52">
        <f>'S40'!M29+L29</f>
        <v/>
      </c>
      <c r="N29" s="53">
        <f>IFERROR(M29/K29,0)</f>
        <v/>
      </c>
      <c r="O29" s="54">
        <f>'S40'!N29</f>
        <v/>
      </c>
      <c r="P29" s="53">
        <f>N29-O29</f>
        <v/>
      </c>
      <c r="Q29" s="32" t="n"/>
      <c r="R29" s="32" t="n"/>
      <c r="S29" s="32" t="n"/>
      <c r="T29" s="55" t="n"/>
      <c r="U29" s="54">
        <f>'S40'!T29</f>
        <v/>
      </c>
      <c r="V29" s="53">
        <f>T29-U29</f>
        <v/>
      </c>
      <c r="W29" s="53">
        <f>N29-T29</f>
        <v/>
      </c>
      <c r="X29" s="34" t="n"/>
    </row>
    <row r="30" ht="22" customHeight="1">
      <c r="B30" s="10" t="n">
        <v>26</v>
      </c>
      <c r="C30" s="6" t="inlineStr">
        <is>
          <t>Sidi Kacem</t>
        </is>
      </c>
      <c r="D30" s="10" t="inlineStr">
        <is>
          <t>HOUAFATE</t>
        </is>
      </c>
      <c r="E30" s="10" t="inlineStr">
        <is>
          <t>50-21</t>
        </is>
      </c>
      <c r="F30" s="10" t="inlineStr">
        <is>
          <t>Entretien et réparation des stations de pompage</t>
        </is>
      </c>
      <c r="G30" s="10" t="inlineStr">
        <is>
          <t>Génie civile des locaux des stations de pompage.</t>
        </is>
      </c>
      <c r="H30" s="10" t="inlineStr">
        <is>
          <t>Expertise d’état et d’étanchéité des locaux pompes, commande, puissance des stations de pompage S17 et S13.
Renforcement d’étanchéité des locaux pompe sous niveau des oueds des stations de pompage S17 et S13.</t>
        </is>
      </c>
      <c r="I30" s="11" t="n">
        <v>800000</v>
      </c>
      <c r="J30" s="12" t="inlineStr">
        <is>
          <t>U</t>
        </is>
      </c>
      <c r="K30" s="13" t="n">
        <v>1</v>
      </c>
      <c r="L30" s="51" t="n"/>
      <c r="M30" s="56">
        <f>'S40'!M30+L30</f>
        <v/>
      </c>
      <c r="N30" s="57">
        <f>IFERROR(M30/K30,0)</f>
        <v/>
      </c>
      <c r="O30" s="58">
        <f>'S40'!N30</f>
        <v/>
      </c>
      <c r="P30" s="57">
        <f>N30-O30</f>
        <v/>
      </c>
      <c r="Q30" s="32" t="n"/>
      <c r="R30" s="32" t="n"/>
      <c r="S30" s="32" t="n"/>
      <c r="T30" s="55" t="n"/>
      <c r="U30" s="58">
        <f>'S40'!T30</f>
        <v/>
      </c>
      <c r="V30" s="57">
        <f>T30-U30</f>
        <v/>
      </c>
      <c r="W30" s="57">
        <f>N30-T30</f>
        <v/>
      </c>
      <c r="X30" s="34" t="n"/>
    </row>
    <row r="31" ht="22" customHeight="1">
      <c r="B31" s="5" t="n">
        <v>27</v>
      </c>
      <c r="C31" s="6" t="inlineStr">
        <is>
          <t>Sidi Kacem</t>
        </is>
      </c>
      <c r="D31" s="5" t="inlineStr">
        <is>
          <t>NOUIRAT</t>
        </is>
      </c>
      <c r="E31" s="5" t="inlineStr">
        <is>
          <t>50-23</t>
        </is>
      </c>
      <c r="F31" s="5" t="inlineStr">
        <is>
          <t>Entretien et réparation du réseau d'assainissement et de drainage</t>
        </is>
      </c>
      <c r="G31" s="5" t="inlineStr">
        <is>
          <t>Travaux de curage des canaux en terre</t>
        </is>
      </c>
      <c r="H31" s="5" t="inlineStr">
        <is>
          <t>Curage des collecteurs d'assainissement des secteurs EST1 et N5</t>
        </is>
      </c>
      <c r="I31" s="7" t="n">
        <v>1733306</v>
      </c>
      <c r="J31" s="8" t="inlineStr">
        <is>
          <t>ml</t>
        </is>
      </c>
      <c r="K31" s="9" t="n">
        <v>867</v>
      </c>
      <c r="L31" s="51" t="n"/>
      <c r="M31" s="52">
        <f>'S40'!M31+L31</f>
        <v/>
      </c>
      <c r="N31" s="53">
        <f>IFERROR(M31/K31,0)</f>
        <v/>
      </c>
      <c r="O31" s="54">
        <f>'S40'!N31</f>
        <v/>
      </c>
      <c r="P31" s="53">
        <f>N31-O31</f>
        <v/>
      </c>
      <c r="Q31" s="32" t="n"/>
      <c r="R31" s="32" t="n"/>
      <c r="S31" s="32" t="n"/>
      <c r="T31" s="55" t="n"/>
      <c r="U31" s="54">
        <f>'S40'!T31</f>
        <v/>
      </c>
      <c r="V31" s="53">
        <f>T31-U31</f>
        <v/>
      </c>
      <c r="W31" s="53">
        <f>N31-T31</f>
        <v/>
      </c>
      <c r="X31" s="34" t="n"/>
    </row>
    <row r="32" ht="22" customHeight="1">
      <c r="B32" s="10" t="n">
        <v>28</v>
      </c>
      <c r="C32" s="6" t="inlineStr">
        <is>
          <t>Sidi Kacem</t>
        </is>
      </c>
      <c r="D32" s="10" t="inlineStr">
        <is>
          <t>NOUIRAT</t>
        </is>
      </c>
      <c r="E32" s="10" t="inlineStr">
        <is>
          <t>40-21</t>
        </is>
      </c>
      <c r="F32" s="10" t="inlineStr">
        <is>
          <t>Travaux de pistes</t>
        </is>
      </c>
      <c r="G32" s="10" t="inlineStr">
        <is>
          <t>Entretien des pistes agricoles</t>
        </is>
      </c>
      <c r="H32" s="10" t="inlineStr">
        <is>
          <t>Entretien des pistes agricoles</t>
        </is>
      </c>
      <c r="I32" s="11" t="n">
        <v>670000</v>
      </c>
      <c r="J32" s="12" t="inlineStr">
        <is>
          <t>km</t>
        </is>
      </c>
      <c r="K32" s="13" t="n">
        <v>1</v>
      </c>
      <c r="L32" s="51" t="n"/>
      <c r="M32" s="56">
        <f>'S40'!M32+L32</f>
        <v/>
      </c>
      <c r="N32" s="57">
        <f>IFERROR(M32/K32,0)</f>
        <v/>
      </c>
      <c r="O32" s="58">
        <f>'S40'!N32</f>
        <v/>
      </c>
      <c r="P32" s="57">
        <f>N32-O32</f>
        <v/>
      </c>
      <c r="Q32" s="32" t="n"/>
      <c r="R32" s="32" t="n"/>
      <c r="S32" s="32" t="n"/>
      <c r="T32" s="55" t="n"/>
      <c r="U32" s="58">
        <f>'S40'!T32</f>
        <v/>
      </c>
      <c r="V32" s="57">
        <f>T32-U32</f>
        <v/>
      </c>
      <c r="W32" s="57">
        <f>N32-T32</f>
        <v/>
      </c>
      <c r="X32" s="34" t="n"/>
    </row>
    <row r="33" ht="22" customHeight="1">
      <c r="B33" s="5" t="n">
        <v>29</v>
      </c>
      <c r="C33" s="6" t="inlineStr">
        <is>
          <t>Sidi Kacem</t>
        </is>
      </c>
      <c r="D33" s="5" t="inlineStr">
        <is>
          <t>NOUIRAT</t>
        </is>
      </c>
      <c r="E33" s="5" t="inlineStr">
        <is>
          <t>20-11</t>
        </is>
      </c>
      <c r="F33" s="5" t="inlineStr">
        <is>
          <t>Travaux de réhabilitation des équipements</t>
        </is>
      </c>
      <c r="G33" s="5" t="inlineStr">
        <is>
          <t>Travaux de réhabilitation des ouvrages de génie civil</t>
        </is>
      </c>
      <c r="H33" s="5" t="inlineStr">
        <is>
          <t>Réhabilitation de l'ouvrage( genie civil ,gabiollannage,clapet anti retour et buse) de l'ouvrage de débouche SE1</t>
        </is>
      </c>
      <c r="I33" s="7" t="n">
        <v>2500000</v>
      </c>
      <c r="J33" s="8" t="inlineStr">
        <is>
          <t>U</t>
        </is>
      </c>
      <c r="K33" s="9" t="n">
        <v>5</v>
      </c>
      <c r="L33" s="51" t="n"/>
      <c r="M33" s="52">
        <f>'S40'!M33+L33</f>
        <v/>
      </c>
      <c r="N33" s="53">
        <f>IFERROR(M33/K33,0)</f>
        <v/>
      </c>
      <c r="O33" s="54">
        <f>'S40'!N33</f>
        <v/>
      </c>
      <c r="P33" s="53">
        <f>N33-O33</f>
        <v/>
      </c>
      <c r="Q33" s="32" t="n"/>
      <c r="R33" s="32" t="n"/>
      <c r="S33" s="32" t="n"/>
      <c r="T33" s="55" t="n"/>
      <c r="U33" s="54">
        <f>'S40'!T33</f>
        <v/>
      </c>
      <c r="V33" s="53">
        <f>T33-U33</f>
        <v/>
      </c>
      <c r="W33" s="53">
        <f>N33-T33</f>
        <v/>
      </c>
      <c r="X33" s="34" t="n"/>
    </row>
    <row r="34" ht="22" customHeight="1">
      <c r="B34" s="10" t="n">
        <v>30</v>
      </c>
      <c r="C34" s="6" t="inlineStr">
        <is>
          <t>Sidi Kacem</t>
        </is>
      </c>
      <c r="D34" s="10" t="inlineStr">
        <is>
          <t>NOUIRAT</t>
        </is>
      </c>
      <c r="E34" s="10" t="inlineStr">
        <is>
          <t>50-23</t>
        </is>
      </c>
      <c r="F34" s="10" t="inlineStr">
        <is>
          <t>Entretien et réparation du réseau d'assainissement et de drainage</t>
        </is>
      </c>
      <c r="G34" s="10" t="inlineStr">
        <is>
          <t>Curage des prises sur l’oued, bâche d’aspiration et bassin de régulation.</t>
        </is>
      </c>
      <c r="H34" s="10" t="inlineStr">
        <is>
          <t>Curage des prises sur l’oued de la station de pompage E1.
Nettoyage des grilles de préfiltration des boues colmaté de la station de pompage E1.
Curage de la bâche d’aspiration de la station E1.</t>
        </is>
      </c>
      <c r="I34" s="11" t="n">
        <v>800000</v>
      </c>
      <c r="J34" s="12" t="inlineStr">
        <is>
          <t>ml</t>
        </is>
      </c>
      <c r="K34" s="13" t="n">
        <v>267</v>
      </c>
      <c r="L34" s="51" t="n"/>
      <c r="M34" s="56">
        <f>'S40'!M34+L34</f>
        <v/>
      </c>
      <c r="N34" s="57">
        <f>IFERROR(M34/K34,0)</f>
        <v/>
      </c>
      <c r="O34" s="58">
        <f>'S40'!N34</f>
        <v/>
      </c>
      <c r="P34" s="57">
        <f>N34-O34</f>
        <v/>
      </c>
      <c r="Q34" s="32" t="n"/>
      <c r="R34" s="32" t="n"/>
      <c r="S34" s="32" t="n"/>
      <c r="T34" s="55" t="n"/>
      <c r="U34" s="58">
        <f>'S40'!T34</f>
        <v/>
      </c>
      <c r="V34" s="57">
        <f>T34-U34</f>
        <v/>
      </c>
      <c r="W34" s="57">
        <f>N34-T34</f>
        <v/>
      </c>
      <c r="X34" s="34" t="n"/>
    </row>
    <row r="35" ht="22" customHeight="1">
      <c r="B35" s="5" t="n">
        <v>31</v>
      </c>
      <c r="C35" s="6" t="inlineStr">
        <is>
          <t>Sidi Kacem</t>
        </is>
      </c>
      <c r="D35" s="5" t="inlineStr">
        <is>
          <t>NOUIRAT</t>
        </is>
      </c>
      <c r="E35" s="5" t="inlineStr">
        <is>
          <t>50-21</t>
        </is>
      </c>
      <c r="F35" s="5" t="inlineStr">
        <is>
          <t>Entretien et réparation des stations de pompage</t>
        </is>
      </c>
      <c r="G35" s="5" t="inlineStr">
        <is>
          <t>Prestation de maintenance des débitmètres et leurs équipements annexes installés au niveau des station de pompage</t>
        </is>
      </c>
      <c r="H35" s="5" t="inlineStr">
        <is>
          <t>Changement du débitmètre Ø 1200mm inondé de la station de pompage E1.</t>
        </is>
      </c>
      <c r="I35" s="7" t="n">
        <v>195000</v>
      </c>
      <c r="J35" s="8" t="inlineStr">
        <is>
          <t>U</t>
        </is>
      </c>
      <c r="K35" s="9" t="n">
        <v>2</v>
      </c>
      <c r="L35" s="51" t="n"/>
      <c r="M35" s="52">
        <f>'S40'!M35+L35</f>
        <v/>
      </c>
      <c r="N35" s="53">
        <f>IFERROR(M35/K35,0)</f>
        <v/>
      </c>
      <c r="O35" s="54">
        <f>'S40'!N35</f>
        <v/>
      </c>
      <c r="P35" s="53">
        <f>N35-O35</f>
        <v/>
      </c>
      <c r="Q35" s="32" t="n"/>
      <c r="R35" s="32" t="n"/>
      <c r="S35" s="32" t="n"/>
      <c r="T35" s="55" t="n"/>
      <c r="U35" s="54">
        <f>'S40'!T35</f>
        <v/>
      </c>
      <c r="V35" s="53">
        <f>T35-U35</f>
        <v/>
      </c>
      <c r="W35" s="53">
        <f>N35-T35</f>
        <v/>
      </c>
      <c r="X35" s="34" t="n"/>
    </row>
    <row r="36" ht="22" customHeight="1">
      <c r="B36" s="10" t="n">
        <v>32</v>
      </c>
      <c r="C36" s="6" t="inlineStr">
        <is>
          <t>Sidi Kacem</t>
        </is>
      </c>
      <c r="D36" s="10" t="inlineStr">
        <is>
          <t>NOUIRAT</t>
        </is>
      </c>
      <c r="E36" s="10" t="inlineStr">
        <is>
          <t>50-21</t>
        </is>
      </c>
      <c r="F36" s="10" t="inlineStr">
        <is>
          <t>Entretien et réparation des stations de pompage</t>
        </is>
      </c>
      <c r="G36" s="10" t="inlineStr">
        <is>
          <t>Prestations de maintenance des moteurs électriques des stations de pompage.</t>
        </is>
      </c>
      <c r="H36" s="10" t="inlineStr">
        <is>
          <t>Révision des deux moteurs électriques principaux de la station E1.</t>
        </is>
      </c>
      <c r="I36" s="11" t="n">
        <v>50000</v>
      </c>
      <c r="J36" s="12" t="inlineStr">
        <is>
          <t>U</t>
        </is>
      </c>
      <c r="K36" s="13" t="n">
        <v>2</v>
      </c>
      <c r="L36" s="51" t="n"/>
      <c r="M36" s="56">
        <f>'S40'!M36+L36</f>
        <v/>
      </c>
      <c r="N36" s="57">
        <f>IFERROR(M36/K36,0)</f>
        <v/>
      </c>
      <c r="O36" s="58">
        <f>'S40'!N36</f>
        <v/>
      </c>
      <c r="P36" s="57">
        <f>N36-O36</f>
        <v/>
      </c>
      <c r="Q36" s="32" t="n"/>
      <c r="R36" s="32" t="n"/>
      <c r="S36" s="32" t="n"/>
      <c r="T36" s="55" t="n"/>
      <c r="U36" s="58">
        <f>'S40'!T36</f>
        <v/>
      </c>
      <c r="V36" s="57">
        <f>T36-U36</f>
        <v/>
      </c>
      <c r="W36" s="57">
        <f>N36-T36</f>
        <v/>
      </c>
      <c r="X36" s="34" t="n"/>
    </row>
    <row r="37" ht="22" customHeight="1">
      <c r="B37" s="5" t="n">
        <v>33</v>
      </c>
      <c r="C37" s="6" t="inlineStr">
        <is>
          <t>Sidi Kacem</t>
        </is>
      </c>
      <c r="D37" s="5" t="inlineStr">
        <is>
          <t>NOUIRAT</t>
        </is>
      </c>
      <c r="E37" s="5" t="inlineStr">
        <is>
          <t>50-21</t>
        </is>
      </c>
      <c r="F37" s="5" t="inlineStr">
        <is>
          <t>Entretien et réparation des stations de pompage</t>
        </is>
      </c>
      <c r="G37" s="5" t="inlineStr">
        <is>
          <t>Prestations de maintenance et de réparation mécanique des pompes et des groupes motopompes submersibles des stations de pompage.</t>
        </is>
      </c>
      <c r="H37" s="5" t="inlineStr">
        <is>
          <t>Démontage et expertise des cinq pompes principaux et pompes a vide de la station E1.
Changement des roulements, tresses et organes d’effectués de la station E1.</t>
        </is>
      </c>
      <c r="I37" s="7" t="n">
        <v>245000</v>
      </c>
      <c r="J37" s="8" t="inlineStr">
        <is>
          <t>U</t>
        </is>
      </c>
      <c r="K37" s="9" t="n">
        <v>5</v>
      </c>
      <c r="L37" s="51" t="n"/>
      <c r="M37" s="52">
        <f>'S40'!M37+L37</f>
        <v/>
      </c>
      <c r="N37" s="53">
        <f>IFERROR(M37/K37,0)</f>
        <v/>
      </c>
      <c r="O37" s="54">
        <f>'S40'!N37</f>
        <v/>
      </c>
      <c r="P37" s="53">
        <f>N37-O37</f>
        <v/>
      </c>
      <c r="Q37" s="32" t="n"/>
      <c r="R37" s="32" t="n"/>
      <c r="S37" s="32" t="n"/>
      <c r="T37" s="55" t="n"/>
      <c r="U37" s="54">
        <f>'S40'!T37</f>
        <v/>
      </c>
      <c r="V37" s="53">
        <f>T37-U37</f>
        <v/>
      </c>
      <c r="W37" s="53">
        <f>N37-T37</f>
        <v/>
      </c>
      <c r="X37" s="34" t="n"/>
    </row>
    <row r="38" ht="22" customHeight="1">
      <c r="B38" s="10" t="n">
        <v>34</v>
      </c>
      <c r="C38" s="6" t="inlineStr">
        <is>
          <t>Sidi Kacem</t>
        </is>
      </c>
      <c r="D38" s="10" t="inlineStr">
        <is>
          <t>NOUIRAT</t>
        </is>
      </c>
      <c r="E38" s="10" t="inlineStr">
        <is>
          <t>50-21</t>
        </is>
      </c>
      <c r="F38" s="10" t="inlineStr">
        <is>
          <t>Entretien et réparation des stations de pompage</t>
        </is>
      </c>
      <c r="G38" s="10" t="inlineStr">
        <is>
          <t>Génie civile des locaux des stations de pompage.</t>
        </is>
      </c>
      <c r="H38" s="10" t="inlineStr">
        <is>
          <t>Expertise d’état et d’étanchéité des locaux pompes, commande, puissance de la station de pompage E1.
Renforcement d’étanchéité des locaux pompe sous niveau des oueds de la station de pompage E1.</t>
        </is>
      </c>
      <c r="I38" s="11" t="n">
        <v>1000000</v>
      </c>
      <c r="J38" s="12" t="inlineStr">
        <is>
          <t>U</t>
        </is>
      </c>
      <c r="K38" s="13" t="n">
        <v>1</v>
      </c>
      <c r="L38" s="51" t="n"/>
      <c r="M38" s="56">
        <f>'S40'!M38+L38</f>
        <v/>
      </c>
      <c r="N38" s="57">
        <f>IFERROR(M38/K38,0)</f>
        <v/>
      </c>
      <c r="O38" s="58">
        <f>'S40'!N38</f>
        <v/>
      </c>
      <c r="P38" s="57">
        <f>N38-O38</f>
        <v/>
      </c>
      <c r="Q38" s="32" t="n"/>
      <c r="R38" s="32" t="n"/>
      <c r="S38" s="32" t="n"/>
      <c r="T38" s="55" t="n"/>
      <c r="U38" s="58">
        <f>'S40'!T38</f>
        <v/>
      </c>
      <c r="V38" s="57">
        <f>T38-U38</f>
        <v/>
      </c>
      <c r="W38" s="57">
        <f>N38-T38</f>
        <v/>
      </c>
      <c r="X38" s="34" t="n"/>
    </row>
    <row r="39" ht="22" customHeight="1">
      <c r="B39" s="5" t="n">
        <v>35</v>
      </c>
      <c r="C39" s="6" t="inlineStr">
        <is>
          <t>Sidi Kacem</t>
        </is>
      </c>
      <c r="D39" s="5" t="inlineStr">
        <is>
          <t>RMILAT</t>
        </is>
      </c>
      <c r="E39" s="5" t="inlineStr">
        <is>
          <t>50-23</t>
        </is>
      </c>
      <c r="F39" s="5" t="inlineStr">
        <is>
          <t>Entretien et réparation du réseau d'assainissement et de drainage</t>
        </is>
      </c>
      <c r="G39" s="5" t="inlineStr">
        <is>
          <t>Travaux de curage des canaux en terre</t>
        </is>
      </c>
      <c r="H39" s="5" t="inlineStr">
        <is>
          <t>Curage des collecteurs d'assainissement des secteurs P7</t>
        </is>
      </c>
      <c r="I39" s="7" t="n">
        <v>5024032</v>
      </c>
      <c r="J39" s="8" t="inlineStr">
        <is>
          <t>ml</t>
        </is>
      </c>
      <c r="K39" s="9" t="n">
        <v>2512</v>
      </c>
      <c r="L39" s="51" t="n"/>
      <c r="M39" s="52">
        <f>'S40'!M39+L39</f>
        <v/>
      </c>
      <c r="N39" s="53">
        <f>IFERROR(M39/K39,0)</f>
        <v/>
      </c>
      <c r="O39" s="54">
        <f>'S40'!N39</f>
        <v/>
      </c>
      <c r="P39" s="53">
        <f>N39-O39</f>
        <v/>
      </c>
      <c r="Q39" s="32" t="n"/>
      <c r="R39" s="32" t="n"/>
      <c r="S39" s="32" t="n"/>
      <c r="T39" s="55" t="n"/>
      <c r="U39" s="54">
        <f>'S40'!T39</f>
        <v/>
      </c>
      <c r="V39" s="53">
        <f>T39-U39</f>
        <v/>
      </c>
      <c r="W39" s="53">
        <f>N39-T39</f>
        <v/>
      </c>
      <c r="X39" s="34" t="n"/>
    </row>
    <row r="40" ht="22" customHeight="1">
      <c r="B40" s="10" t="n">
        <v>36</v>
      </c>
      <c r="C40" s="6" t="inlineStr">
        <is>
          <t>Sidi Kacem</t>
        </is>
      </c>
      <c r="D40" s="10" t="inlineStr">
        <is>
          <t>RMILAT</t>
        </is>
      </c>
      <c r="E40" s="10" t="inlineStr">
        <is>
          <t>40-21</t>
        </is>
      </c>
      <c r="F40" s="10" t="inlineStr">
        <is>
          <t>Travaux de pistes</t>
        </is>
      </c>
      <c r="G40" s="10" t="inlineStr">
        <is>
          <t>Entretien des pistes agricoles</t>
        </is>
      </c>
      <c r="H40" s="10" t="inlineStr">
        <is>
          <t>Entretien des pistes agricoles</t>
        </is>
      </c>
      <c r="I40" s="11" t="n">
        <v>400000</v>
      </c>
      <c r="J40" s="12" t="inlineStr">
        <is>
          <t>km</t>
        </is>
      </c>
      <c r="K40" s="13" t="n">
        <v>1</v>
      </c>
      <c r="L40" s="51" t="n"/>
      <c r="M40" s="56">
        <f>'S40'!M40+L40</f>
        <v/>
      </c>
      <c r="N40" s="57">
        <f>IFERROR(M40/K40,0)</f>
        <v/>
      </c>
      <c r="O40" s="58">
        <f>'S40'!N40</f>
        <v/>
      </c>
      <c r="P40" s="57">
        <f>N40-O40</f>
        <v/>
      </c>
      <c r="Q40" s="32" t="n"/>
      <c r="R40" s="32" t="n"/>
      <c r="S40" s="32" t="n"/>
      <c r="T40" s="55" t="n"/>
      <c r="U40" s="58">
        <f>'S40'!T40</f>
        <v/>
      </c>
      <c r="V40" s="57">
        <f>T40-U40</f>
        <v/>
      </c>
      <c r="W40" s="57">
        <f>N40-T40</f>
        <v/>
      </c>
      <c r="X40" s="34" t="n"/>
    </row>
    <row r="41" ht="22" customHeight="1">
      <c r="B41" s="5" t="n">
        <v>37</v>
      </c>
      <c r="C41" s="6" t="inlineStr">
        <is>
          <t>Sidi Kacem</t>
        </is>
      </c>
      <c r="D41" s="5" t="inlineStr">
        <is>
          <t>SAFSAF</t>
        </is>
      </c>
      <c r="E41" s="5" t="inlineStr">
        <is>
          <t>50-23</t>
        </is>
      </c>
      <c r="F41" s="5" t="inlineStr">
        <is>
          <t>Entretien et réparation du réseau d'assainissement et de drainage</t>
        </is>
      </c>
      <c r="G41" s="5" t="inlineStr">
        <is>
          <t>Travaux de curage des canaux en terre</t>
        </is>
      </c>
      <c r="H41" s="5" t="inlineStr">
        <is>
          <t>Curage des collecteurs d'assainissement des secteurs S7, S9 et S11</t>
        </is>
      </c>
      <c r="I41" s="7" t="n">
        <v>6000000</v>
      </c>
      <c r="J41" s="8" t="inlineStr">
        <is>
          <t>ml</t>
        </is>
      </c>
      <c r="K41" s="9" t="n">
        <v>3000</v>
      </c>
      <c r="L41" s="51" t="n"/>
      <c r="M41" s="52">
        <f>'S40'!M41+L41</f>
        <v/>
      </c>
      <c r="N41" s="53">
        <f>IFERROR(M41/K41,0)</f>
        <v/>
      </c>
      <c r="O41" s="54">
        <f>'S40'!N41</f>
        <v/>
      </c>
      <c r="P41" s="53">
        <f>N41-O41</f>
        <v/>
      </c>
      <c r="Q41" s="32" t="n"/>
      <c r="R41" s="32" t="n"/>
      <c r="S41" s="32" t="n"/>
      <c r="T41" s="55" t="n"/>
      <c r="U41" s="54">
        <f>'S40'!T41</f>
        <v/>
      </c>
      <c r="V41" s="53">
        <f>T41-U41</f>
        <v/>
      </c>
      <c r="W41" s="53">
        <f>N41-T41</f>
        <v/>
      </c>
      <c r="X41" s="34" t="n"/>
    </row>
    <row r="42" ht="22" customHeight="1">
      <c r="B42" s="10" t="n">
        <v>38</v>
      </c>
      <c r="C42" s="6" t="inlineStr">
        <is>
          <t>Sidi Kacem</t>
        </is>
      </c>
      <c r="D42" s="10" t="inlineStr">
        <is>
          <t>SAFSAF</t>
        </is>
      </c>
      <c r="E42" s="10" t="inlineStr">
        <is>
          <t>20-11</t>
        </is>
      </c>
      <c r="F42" s="10" t="inlineStr">
        <is>
          <t>Travaux de réhabilitation des équipements</t>
        </is>
      </c>
      <c r="G42" s="10" t="inlineStr">
        <is>
          <t>Travaux de réhabilitation des canaux portés d'irrigation</t>
        </is>
      </c>
      <c r="H42" s="10" t="inlineStr">
        <is>
          <t>Fourniture et  pose de canaux porté et accessoires du réseau S4 du secteur S11</t>
        </is>
      </c>
      <c r="I42" s="11" t="n">
        <v>232266</v>
      </c>
      <c r="J42" s="12" t="inlineStr">
        <is>
          <t>ml</t>
        </is>
      </c>
      <c r="K42" s="13" t="n">
        <v>77</v>
      </c>
      <c r="L42" s="51" t="n"/>
      <c r="M42" s="56">
        <f>'S40'!M42+L42</f>
        <v/>
      </c>
      <c r="N42" s="57">
        <f>IFERROR(M42/K42,0)</f>
        <v/>
      </c>
      <c r="O42" s="58">
        <f>'S40'!N42</f>
        <v/>
      </c>
      <c r="P42" s="57">
        <f>N42-O42</f>
        <v/>
      </c>
      <c r="Q42" s="32" t="n"/>
      <c r="R42" s="32" t="n"/>
      <c r="S42" s="32" t="n"/>
      <c r="T42" s="55" t="n"/>
      <c r="U42" s="58">
        <f>'S40'!T42</f>
        <v/>
      </c>
      <c r="V42" s="57">
        <f>T42-U42</f>
        <v/>
      </c>
      <c r="W42" s="57">
        <f>N42-T42</f>
        <v/>
      </c>
      <c r="X42" s="34" t="n"/>
    </row>
    <row r="43" ht="22" customHeight="1">
      <c r="B43" s="5" t="n">
        <v>39</v>
      </c>
      <c r="C43" s="6" t="inlineStr">
        <is>
          <t>Sidi Kacem</t>
        </is>
      </c>
      <c r="D43" s="5" t="inlineStr">
        <is>
          <t>SAFSAF</t>
        </is>
      </c>
      <c r="E43" s="5" t="inlineStr">
        <is>
          <t>20-11</t>
        </is>
      </c>
      <c r="F43" s="5" t="inlineStr">
        <is>
          <t>Travaux de réhabilitation des équipements</t>
        </is>
      </c>
      <c r="G43" s="5" t="inlineStr"/>
      <c r="H43" s="5" t="inlineStr">
        <is>
          <t>Recalage des canaux portés du réseau T5S5 du secteur S9</t>
        </is>
      </c>
      <c r="I43" s="7" t="n">
        <v>1055025</v>
      </c>
      <c r="J43" s="8" t="inlineStr">
        <is>
          <t>ml</t>
        </is>
      </c>
      <c r="K43" s="9" t="n">
        <v>352</v>
      </c>
      <c r="L43" s="51" t="n"/>
      <c r="M43" s="52">
        <f>'S40'!M43+L43</f>
        <v/>
      </c>
      <c r="N43" s="53">
        <f>IFERROR(M43/K43,0)</f>
        <v/>
      </c>
      <c r="O43" s="54">
        <f>'S40'!N43</f>
        <v/>
      </c>
      <c r="P43" s="53">
        <f>N43-O43</f>
        <v/>
      </c>
      <c r="Q43" s="32" t="n"/>
      <c r="R43" s="32" t="n"/>
      <c r="S43" s="32" t="n"/>
      <c r="T43" s="55" t="n"/>
      <c r="U43" s="54">
        <f>'S40'!T43</f>
        <v/>
      </c>
      <c r="V43" s="53">
        <f>T43-U43</f>
        <v/>
      </c>
      <c r="W43" s="53">
        <f>N43-T43</f>
        <v/>
      </c>
      <c r="X43" s="34" t="n"/>
    </row>
    <row r="44" ht="22" customHeight="1">
      <c r="B44" s="10" t="n">
        <v>40</v>
      </c>
      <c r="C44" s="6" t="inlineStr">
        <is>
          <t>Sidi Kacem</t>
        </is>
      </c>
      <c r="D44" s="10" t="inlineStr">
        <is>
          <t>SAFSAF</t>
        </is>
      </c>
      <c r="E44" s="10" t="inlineStr">
        <is>
          <t>20-11</t>
        </is>
      </c>
      <c r="F44" s="10" t="inlineStr">
        <is>
          <t>Travaux de réhabilitation des équipements</t>
        </is>
      </c>
      <c r="G44" s="10" t="inlineStr"/>
      <c r="H44" s="10" t="inlineStr">
        <is>
          <t>Recalage des canaux portés du réseau T7S5 du secteur S9</t>
        </is>
      </c>
      <c r="I44" s="11" t="n">
        <v>1004535</v>
      </c>
      <c r="J44" s="12" t="inlineStr">
        <is>
          <t>ml</t>
        </is>
      </c>
      <c r="K44" s="13" t="n">
        <v>335</v>
      </c>
      <c r="L44" s="51" t="n"/>
      <c r="M44" s="56">
        <f>'S40'!M44+L44</f>
        <v/>
      </c>
      <c r="N44" s="57">
        <f>IFERROR(M44/K44,0)</f>
        <v/>
      </c>
      <c r="O44" s="58">
        <f>'S40'!N44</f>
        <v/>
      </c>
      <c r="P44" s="57">
        <f>N44-O44</f>
        <v/>
      </c>
      <c r="Q44" s="32" t="n"/>
      <c r="R44" s="32" t="n"/>
      <c r="S44" s="32" t="n"/>
      <c r="T44" s="55" t="n"/>
      <c r="U44" s="58">
        <f>'S40'!T44</f>
        <v/>
      </c>
      <c r="V44" s="57">
        <f>T44-U44</f>
        <v/>
      </c>
      <c r="W44" s="57">
        <f>N44-T44</f>
        <v/>
      </c>
      <c r="X44" s="34" t="n"/>
    </row>
    <row r="45" ht="22" customHeight="1">
      <c r="B45" s="5" t="n">
        <v>41</v>
      </c>
      <c r="C45" s="6" t="inlineStr">
        <is>
          <t>Sidi Kacem</t>
        </is>
      </c>
      <c r="D45" s="5" t="inlineStr">
        <is>
          <t>SAFSAF</t>
        </is>
      </c>
      <c r="E45" s="5" t="inlineStr">
        <is>
          <t>20-11</t>
        </is>
      </c>
      <c r="F45" s="5" t="inlineStr">
        <is>
          <t>Travaux de réhabilitation des équipements</t>
        </is>
      </c>
      <c r="G45" s="5" t="inlineStr"/>
      <c r="H45" s="5" t="inlineStr">
        <is>
          <t>Recalage des canaux portés du réseau T2S5 du secteur S9</t>
        </is>
      </c>
      <c r="I45" s="7" t="n">
        <v>793830</v>
      </c>
      <c r="J45" s="8" t="inlineStr">
        <is>
          <t>ml</t>
        </is>
      </c>
      <c r="K45" s="9" t="n">
        <v>265</v>
      </c>
      <c r="L45" s="51" t="n"/>
      <c r="M45" s="52">
        <f>'S40'!M45+L45</f>
        <v/>
      </c>
      <c r="N45" s="53">
        <f>IFERROR(M45/K45,0)</f>
        <v/>
      </c>
      <c r="O45" s="54">
        <f>'S40'!N45</f>
        <v/>
      </c>
      <c r="P45" s="53">
        <f>N45-O45</f>
        <v/>
      </c>
      <c r="Q45" s="32" t="n"/>
      <c r="R45" s="32" t="n"/>
      <c r="S45" s="32" t="n"/>
      <c r="T45" s="55" t="n"/>
      <c r="U45" s="54">
        <f>'S40'!T45</f>
        <v/>
      </c>
      <c r="V45" s="53">
        <f>T45-U45</f>
        <v/>
      </c>
      <c r="W45" s="53">
        <f>N45-T45</f>
        <v/>
      </c>
      <c r="X45" s="34" t="n"/>
    </row>
    <row r="46" ht="22" customHeight="1">
      <c r="B46" s="10" t="n">
        <v>42</v>
      </c>
      <c r="C46" s="6" t="inlineStr">
        <is>
          <t>Sidi Kacem</t>
        </is>
      </c>
      <c r="D46" s="10" t="inlineStr">
        <is>
          <t>SAFSAF</t>
        </is>
      </c>
      <c r="E46" s="10" t="inlineStr">
        <is>
          <t>40-21</t>
        </is>
      </c>
      <c r="F46" s="10" t="inlineStr">
        <is>
          <t>Travaux de pistes</t>
        </is>
      </c>
      <c r="G46" s="10" t="inlineStr">
        <is>
          <t>Entretien des pistes agricoles</t>
        </is>
      </c>
      <c r="H46" s="10" t="inlineStr">
        <is>
          <t>Entretien des pistes agricoles</t>
        </is>
      </c>
      <c r="I46" s="11" t="n">
        <v>2000000</v>
      </c>
      <c r="J46" s="12" t="inlineStr">
        <is>
          <t>km</t>
        </is>
      </c>
      <c r="K46" s="13" t="n">
        <v>4</v>
      </c>
      <c r="L46" s="51" t="n"/>
      <c r="M46" s="56">
        <f>'S40'!M46+L46</f>
        <v/>
      </c>
      <c r="N46" s="57">
        <f>IFERROR(M46/K46,0)</f>
        <v/>
      </c>
      <c r="O46" s="58">
        <f>'S40'!N46</f>
        <v/>
      </c>
      <c r="P46" s="57">
        <f>N46-O46</f>
        <v/>
      </c>
      <c r="Q46" s="32" t="n"/>
      <c r="R46" s="32" t="n"/>
      <c r="S46" s="32" t="n"/>
      <c r="T46" s="55" t="n"/>
      <c r="U46" s="58">
        <f>'S40'!T46</f>
        <v/>
      </c>
      <c r="V46" s="57">
        <f>T46-U46</f>
        <v/>
      </c>
      <c r="W46" s="57">
        <f>N46-T46</f>
        <v/>
      </c>
      <c r="X46" s="34" t="n"/>
    </row>
    <row r="47" ht="22" customHeight="1">
      <c r="B47" s="5" t="n">
        <v>43</v>
      </c>
      <c r="C47" s="6" t="inlineStr">
        <is>
          <t>Sidi Kacem</t>
        </is>
      </c>
      <c r="D47" s="5" t="inlineStr">
        <is>
          <t>SAFSAF</t>
        </is>
      </c>
      <c r="E47" s="5" t="inlineStr">
        <is>
          <t>50-23</t>
        </is>
      </c>
      <c r="F47" s="5" t="inlineStr">
        <is>
          <t>Entretien et réparation du réseau d'assainissement et de drainage</t>
        </is>
      </c>
      <c r="G47" s="5" t="inlineStr">
        <is>
          <t>Curage des prises sur l’oued, bâche d’aspiration et bassin de régulation.</t>
        </is>
      </c>
      <c r="H47" s="5" t="inlineStr">
        <is>
          <t>Curage des prises sur l’oued des stations de pompage S11, S9, 7D et 7B.
Nettoyage des grilles de préfiltration des boues colmaté des stations de pompage S11, S9, 7D et 7B.
Nettoyage des crépines des boues colmaté de station pompage 7D.
Curage des dalots et bâche d’aspiration des stations de pompage S11, S9, 7B.</t>
        </is>
      </c>
      <c r="I47" s="7" t="n">
        <v>200000</v>
      </c>
      <c r="J47" s="8" t="inlineStr">
        <is>
          <t>ml</t>
        </is>
      </c>
      <c r="K47" s="9" t="n">
        <v>67</v>
      </c>
      <c r="L47" s="51" t="n"/>
      <c r="M47" s="52">
        <f>'S40'!M47+L47</f>
        <v/>
      </c>
      <c r="N47" s="53">
        <f>IFERROR(M47/K47,0)</f>
        <v/>
      </c>
      <c r="O47" s="54">
        <f>'S40'!N47</f>
        <v/>
      </c>
      <c r="P47" s="53">
        <f>N47-O47</f>
        <v/>
      </c>
      <c r="Q47" s="32" t="n"/>
      <c r="R47" s="32" t="n"/>
      <c r="S47" s="32" t="n"/>
      <c r="T47" s="55" t="n"/>
      <c r="U47" s="54">
        <f>'S40'!T47</f>
        <v/>
      </c>
      <c r="V47" s="53">
        <f>T47-U47</f>
        <v/>
      </c>
      <c r="W47" s="53">
        <f>N47-T47</f>
        <v/>
      </c>
      <c r="X47" s="34" t="n"/>
    </row>
    <row r="48" ht="22" customHeight="1">
      <c r="B48" s="10" t="n">
        <v>44</v>
      </c>
      <c r="C48" s="6" t="inlineStr">
        <is>
          <t>Sidi Kacem</t>
        </is>
      </c>
      <c r="D48" s="10" t="inlineStr">
        <is>
          <t>SAFSAF</t>
        </is>
      </c>
      <c r="E48" s="10" t="inlineStr">
        <is>
          <t>50-21</t>
        </is>
      </c>
      <c r="F48" s="10" t="inlineStr">
        <is>
          <t>Entretien et réparation des stations de pompage</t>
        </is>
      </c>
      <c r="G48" s="10" t="inlineStr">
        <is>
          <t>Prestation de maintenance des débitmètres et leurs équipements annexes installés au niveau des station de pompage</t>
        </is>
      </c>
      <c r="H48" s="10" t="inlineStr">
        <is>
          <t>Changements Sept des débitmètres Ø 600mm inondé des deux stations de pompage S11 et S9.</t>
        </is>
      </c>
      <c r="I48" s="11" t="n">
        <v>580000</v>
      </c>
      <c r="J48" s="12" t="inlineStr">
        <is>
          <t>U</t>
        </is>
      </c>
      <c r="K48" s="13" t="n">
        <v>7</v>
      </c>
      <c r="L48" s="51" t="n"/>
      <c r="M48" s="56">
        <f>'S40'!M48+L48</f>
        <v/>
      </c>
      <c r="N48" s="57">
        <f>IFERROR(M48/K48,0)</f>
        <v/>
      </c>
      <c r="O48" s="58">
        <f>'S40'!N48</f>
        <v/>
      </c>
      <c r="P48" s="57">
        <f>N48-O48</f>
        <v/>
      </c>
      <c r="Q48" s="32" t="n"/>
      <c r="R48" s="32" t="n"/>
      <c r="S48" s="32" t="n"/>
      <c r="T48" s="55" t="n"/>
      <c r="U48" s="58">
        <f>'S40'!T48</f>
        <v/>
      </c>
      <c r="V48" s="57">
        <f>T48-U48</f>
        <v/>
      </c>
      <c r="W48" s="57">
        <f>N48-T48</f>
        <v/>
      </c>
      <c r="X48" s="34" t="n"/>
    </row>
    <row r="49" ht="22" customHeight="1">
      <c r="B49" s="5" t="n">
        <v>45</v>
      </c>
      <c r="C49" s="6" t="inlineStr">
        <is>
          <t>Sidi Kacem</t>
        </is>
      </c>
      <c r="D49" s="5" t="inlineStr">
        <is>
          <t>SAFSAF</t>
        </is>
      </c>
      <c r="E49" s="5" t="inlineStr">
        <is>
          <t>50-21</t>
        </is>
      </c>
      <c r="F49" s="5" t="inlineStr">
        <is>
          <t>Entretien et réparation des stations de pompage</t>
        </is>
      </c>
      <c r="G49" s="5" t="inlineStr">
        <is>
          <t>Stabilisation Berge oued</t>
        </is>
      </c>
      <c r="H49" s="5" t="inlineStr">
        <is>
          <t>Pose de murs en gabions et recouvrement du talus par matelas Reno des stations de pompage S11, S9, 7D et 7B .</t>
        </is>
      </c>
      <c r="I49" s="7" t="n">
        <v>4000000</v>
      </c>
      <c r="J49" s="8" t="inlineStr">
        <is>
          <t>m³</t>
        </is>
      </c>
      <c r="K49" s="9" t="n">
        <v>2667</v>
      </c>
      <c r="L49" s="51" t="n"/>
      <c r="M49" s="52">
        <f>'S40'!M49+L49</f>
        <v/>
      </c>
      <c r="N49" s="53">
        <f>IFERROR(M49/K49,0)</f>
        <v/>
      </c>
      <c r="O49" s="54">
        <f>'S40'!N49</f>
        <v/>
      </c>
      <c r="P49" s="53">
        <f>N49-O49</f>
        <v/>
      </c>
      <c r="Q49" s="32" t="n"/>
      <c r="R49" s="32" t="n"/>
      <c r="S49" s="32" t="n"/>
      <c r="T49" s="55" t="n"/>
      <c r="U49" s="54">
        <f>'S40'!T49</f>
        <v/>
      </c>
      <c r="V49" s="53">
        <f>T49-U49</f>
        <v/>
      </c>
      <c r="W49" s="53">
        <f>N49-T49</f>
        <v/>
      </c>
      <c r="X49" s="34" t="n"/>
    </row>
    <row r="50" ht="22" customHeight="1">
      <c r="B50" s="10" t="n">
        <v>46</v>
      </c>
      <c r="C50" s="6" t="inlineStr">
        <is>
          <t>Sidi Kacem</t>
        </is>
      </c>
      <c r="D50" s="10" t="inlineStr">
        <is>
          <t>SIDI AZZOUZ</t>
        </is>
      </c>
      <c r="E50" s="10" t="inlineStr">
        <is>
          <t>40-21</t>
        </is>
      </c>
      <c r="F50" s="10" t="inlineStr">
        <is>
          <t>Travaux de pistes</t>
        </is>
      </c>
      <c r="G50" s="10" t="inlineStr">
        <is>
          <t>Entretien des pistes agricoles</t>
        </is>
      </c>
      <c r="H50" s="10" t="inlineStr">
        <is>
          <t>Entretien des pistes agricoles</t>
        </is>
      </c>
      <c r="I50" s="11" t="n">
        <v>655000</v>
      </c>
      <c r="J50" s="12" t="inlineStr">
        <is>
          <t>km</t>
        </is>
      </c>
      <c r="K50" s="13" t="n">
        <v>1</v>
      </c>
      <c r="L50" s="51" t="n"/>
      <c r="M50" s="56">
        <f>'S40'!M50+L50</f>
        <v/>
      </c>
      <c r="N50" s="57">
        <f>IFERROR(M50/K50,0)</f>
        <v/>
      </c>
      <c r="O50" s="58">
        <f>'S40'!N50</f>
        <v/>
      </c>
      <c r="P50" s="57">
        <f>N50-O50</f>
        <v/>
      </c>
      <c r="Q50" s="32" t="n"/>
      <c r="R50" s="32" t="n"/>
      <c r="S50" s="32" t="n"/>
      <c r="T50" s="55" t="n"/>
      <c r="U50" s="58">
        <f>'S40'!T50</f>
        <v/>
      </c>
      <c r="V50" s="57">
        <f>T50-U50</f>
        <v/>
      </c>
      <c r="W50" s="57">
        <f>N50-T50</f>
        <v/>
      </c>
      <c r="X50" s="34" t="n"/>
    </row>
    <row r="51" ht="22" customHeight="1">
      <c r="B51" s="5" t="n">
        <v>47</v>
      </c>
      <c r="C51" s="6" t="inlineStr">
        <is>
          <t>Sidi Kacem</t>
        </is>
      </c>
      <c r="D51" s="5" t="inlineStr">
        <is>
          <t>SIDI EL KAMEL</t>
        </is>
      </c>
      <c r="E51" s="5" t="inlineStr">
        <is>
          <t>20-11</t>
        </is>
      </c>
      <c r="F51" s="5" t="inlineStr">
        <is>
          <t>Travaux de réhabilitation des équipements</t>
        </is>
      </c>
      <c r="G51" s="5" t="inlineStr">
        <is>
          <t>Travaux de réhabilitation des canaux portés d'irrigation</t>
        </is>
      </c>
      <c r="H51" s="5" t="inlineStr">
        <is>
          <t>Fourniture et de pose de canaux porté et accessoires du réseau SR4 du secteur S3R</t>
        </is>
      </c>
      <c r="I51" s="7" t="n">
        <v>5182920</v>
      </c>
      <c r="J51" s="8" t="inlineStr">
        <is>
          <t>ml</t>
        </is>
      </c>
      <c r="K51" s="9" t="n">
        <v>1728</v>
      </c>
      <c r="L51" s="51" t="n"/>
      <c r="M51" s="52">
        <f>'S40'!M51+L51</f>
        <v/>
      </c>
      <c r="N51" s="53">
        <f>IFERROR(M51/K51,0)</f>
        <v/>
      </c>
      <c r="O51" s="54">
        <f>'S40'!N51</f>
        <v/>
      </c>
      <c r="P51" s="53">
        <f>N51-O51</f>
        <v/>
      </c>
      <c r="Q51" s="32" t="n"/>
      <c r="R51" s="32" t="n"/>
      <c r="S51" s="32" t="n"/>
      <c r="T51" s="55" t="n"/>
      <c r="U51" s="54">
        <f>'S40'!T51</f>
        <v/>
      </c>
      <c r="V51" s="53">
        <f>T51-U51</f>
        <v/>
      </c>
      <c r="W51" s="53">
        <f>N51-T51</f>
        <v/>
      </c>
      <c r="X51" s="34" t="n"/>
    </row>
    <row r="52" ht="22" customHeight="1">
      <c r="B52" s="10" t="n">
        <v>48</v>
      </c>
      <c r="C52" s="6" t="inlineStr">
        <is>
          <t>Sidi Kacem</t>
        </is>
      </c>
      <c r="D52" s="10" t="inlineStr">
        <is>
          <t>SIDI EL KAMEL</t>
        </is>
      </c>
      <c r="E52" s="10" t="inlineStr">
        <is>
          <t>20-11</t>
        </is>
      </c>
      <c r="F52" s="10" t="inlineStr">
        <is>
          <t>Travaux de réhabilitation des équipements</t>
        </is>
      </c>
      <c r="G52" s="10" t="inlineStr"/>
      <c r="H52" s="10" t="inlineStr">
        <is>
          <t>Fourniture et de pose de canaux porté et accessoires du réseau SR6 du secteur S1RIZ</t>
        </is>
      </c>
      <c r="I52" s="11" t="n">
        <v>152818</v>
      </c>
      <c r="J52" s="12" t="inlineStr">
        <is>
          <t>ml</t>
        </is>
      </c>
      <c r="K52" s="13" t="n">
        <v>51</v>
      </c>
      <c r="L52" s="51" t="n"/>
      <c r="M52" s="56">
        <f>'S40'!M52+L52</f>
        <v/>
      </c>
      <c r="N52" s="57">
        <f>IFERROR(M52/K52,0)</f>
        <v/>
      </c>
      <c r="O52" s="58">
        <f>'S40'!N52</f>
        <v/>
      </c>
      <c r="P52" s="57">
        <f>N52-O52</f>
        <v/>
      </c>
      <c r="Q52" s="32" t="n"/>
      <c r="R52" s="32" t="n"/>
      <c r="S52" s="32" t="n"/>
      <c r="T52" s="55" t="n"/>
      <c r="U52" s="58">
        <f>'S40'!T52</f>
        <v/>
      </c>
      <c r="V52" s="57">
        <f>T52-U52</f>
        <v/>
      </c>
      <c r="W52" s="57">
        <f>N52-T52</f>
        <v/>
      </c>
      <c r="X52" s="34" t="n"/>
    </row>
    <row r="53" ht="22" customHeight="1">
      <c r="B53" s="5" t="n">
        <v>49</v>
      </c>
      <c r="C53" s="6" t="inlineStr">
        <is>
          <t>Sidi Kacem</t>
        </is>
      </c>
      <c r="D53" s="5" t="inlineStr">
        <is>
          <t>SIDI EL KAMEL</t>
        </is>
      </c>
      <c r="E53" s="5" t="inlineStr">
        <is>
          <t>20-11</t>
        </is>
      </c>
      <c r="F53" s="5" t="inlineStr">
        <is>
          <t>Travaux de réhabilitation des équipements</t>
        </is>
      </c>
      <c r="G53" s="5" t="inlineStr"/>
      <c r="H53" s="5" t="inlineStr">
        <is>
          <t>Recalage des canaux portés du réseau SR4 du secteur S3R</t>
        </is>
      </c>
      <c r="I53" s="7" t="n">
        <v>1418000</v>
      </c>
      <c r="J53" s="8" t="inlineStr">
        <is>
          <t>ml</t>
        </is>
      </c>
      <c r="K53" s="9" t="n">
        <v>473</v>
      </c>
      <c r="L53" s="51" t="n"/>
      <c r="M53" s="52">
        <f>'S40'!M53+L53</f>
        <v/>
      </c>
      <c r="N53" s="53">
        <f>IFERROR(M53/K53,0)</f>
        <v/>
      </c>
      <c r="O53" s="54">
        <f>'S40'!N53</f>
        <v/>
      </c>
      <c r="P53" s="53">
        <f>N53-O53</f>
        <v/>
      </c>
      <c r="Q53" s="32" t="n"/>
      <c r="R53" s="32" t="n"/>
      <c r="S53" s="32" t="n"/>
      <c r="T53" s="55" t="n"/>
      <c r="U53" s="54">
        <f>'S40'!T53</f>
        <v/>
      </c>
      <c r="V53" s="53">
        <f>T53-U53</f>
        <v/>
      </c>
      <c r="W53" s="53">
        <f>N53-T53</f>
        <v/>
      </c>
      <c r="X53" s="34" t="n"/>
    </row>
    <row r="54" ht="22" customHeight="1">
      <c r="B54" s="10" t="n">
        <v>50</v>
      </c>
      <c r="C54" s="6" t="inlineStr">
        <is>
          <t>Sidi Kacem</t>
        </is>
      </c>
      <c r="D54" s="10" t="inlineStr">
        <is>
          <t>SIDI EL KAMEL</t>
        </is>
      </c>
      <c r="E54" s="10" t="inlineStr">
        <is>
          <t>20-11</t>
        </is>
      </c>
      <c r="F54" s="10" t="inlineStr">
        <is>
          <t>Travaux de réhabilitation des équipements</t>
        </is>
      </c>
      <c r="G54" s="10" t="inlineStr">
        <is>
          <t>Travaux de réhabilitation des ouvrages de génie civil</t>
        </is>
      </c>
      <c r="H54" s="10" t="inlineStr">
        <is>
          <t>Réhabilitation des murs de soutènements des ouvrages de franchissements du canal d'assainissement CS3 secteur S3 et de l’ouvrage de franchissement du canal primaire d’irrigation du secteur S1R au niveau de la route provinciale P4234</t>
        </is>
      </c>
      <c r="I54" s="11" t="n">
        <v>800000</v>
      </c>
      <c r="J54" s="12" t="inlineStr">
        <is>
          <t>ml</t>
        </is>
      </c>
      <c r="K54" s="13" t="n">
        <v>400</v>
      </c>
      <c r="L54" s="51" t="n"/>
      <c r="M54" s="56">
        <f>'S40'!M54+L54</f>
        <v/>
      </c>
      <c r="N54" s="57">
        <f>IFERROR(M54/K54,0)</f>
        <v/>
      </c>
      <c r="O54" s="58">
        <f>'S40'!N54</f>
        <v/>
      </c>
      <c r="P54" s="57">
        <f>N54-O54</f>
        <v/>
      </c>
      <c r="Q54" s="32" t="n"/>
      <c r="R54" s="32" t="n"/>
      <c r="S54" s="32" t="n"/>
      <c r="T54" s="55" t="n"/>
      <c r="U54" s="58">
        <f>'S40'!T54</f>
        <v/>
      </c>
      <c r="V54" s="57">
        <f>T54-U54</f>
        <v/>
      </c>
      <c r="W54" s="57">
        <f>N54-T54</f>
        <v/>
      </c>
      <c r="X54" s="34" t="n"/>
    </row>
    <row r="55" ht="22" customHeight="1">
      <c r="B55" s="5" t="n">
        <v>51</v>
      </c>
      <c r="C55" s="6" t="inlineStr">
        <is>
          <t>Sidi Kacem</t>
        </is>
      </c>
      <c r="D55" s="5" t="inlineStr">
        <is>
          <t>SIDI EL KAMEL</t>
        </is>
      </c>
      <c r="E55" s="5" t="inlineStr">
        <is>
          <t>40-21</t>
        </is>
      </c>
      <c r="F55" s="5" t="inlineStr">
        <is>
          <t>Travaux de pistes</t>
        </is>
      </c>
      <c r="G55" s="5" t="inlineStr">
        <is>
          <t>Entretien des pistes agricoles</t>
        </is>
      </c>
      <c r="H55" s="5" t="inlineStr">
        <is>
          <t>Entretien des pistes agricoles</t>
        </is>
      </c>
      <c r="I55" s="7" t="n">
        <v>3700000</v>
      </c>
      <c r="J55" s="8" t="inlineStr">
        <is>
          <t>km</t>
        </is>
      </c>
      <c r="K55" s="9" t="n">
        <v>7</v>
      </c>
      <c r="L55" s="51" t="n"/>
      <c r="M55" s="52">
        <f>'S40'!M55+L55</f>
        <v/>
      </c>
      <c r="N55" s="53">
        <f>IFERROR(M55/K55,0)</f>
        <v/>
      </c>
      <c r="O55" s="54">
        <f>'S40'!N55</f>
        <v/>
      </c>
      <c r="P55" s="53">
        <f>N55-O55</f>
        <v/>
      </c>
      <c r="Q55" s="32" t="n"/>
      <c r="R55" s="32" t="n"/>
      <c r="S55" s="32" t="n"/>
      <c r="T55" s="55" t="n"/>
      <c r="U55" s="54">
        <f>'S40'!T55</f>
        <v/>
      </c>
      <c r="V55" s="53">
        <f>T55-U55</f>
        <v/>
      </c>
      <c r="W55" s="53">
        <f>N55-T55</f>
        <v/>
      </c>
      <c r="X55" s="34" t="n"/>
    </row>
    <row r="56" ht="22" customHeight="1">
      <c r="B56" s="10" t="n">
        <v>52</v>
      </c>
      <c r="C56" s="6" t="inlineStr">
        <is>
          <t>Sidi Kacem</t>
        </is>
      </c>
      <c r="D56" s="10" t="inlineStr">
        <is>
          <t>SIDI EL KAMEL</t>
        </is>
      </c>
      <c r="E56" s="10" t="inlineStr">
        <is>
          <t>50-21</t>
        </is>
      </c>
      <c r="F56" s="10" t="inlineStr">
        <is>
          <t>Entretien et réparation des stations de pompage</t>
        </is>
      </c>
      <c r="G56" s="10" t="inlineStr">
        <is>
          <t>Prestation de maintenance des débitmètres et leurs équipements annexes installés au niveau des station de pompage</t>
        </is>
      </c>
      <c r="H56" s="10" t="inlineStr">
        <is>
          <t>Changement de quatre débitmètres Ø 500mm et trois Ø 800mm inondé des stations de pompage 1R, 3R et 5R.</t>
        </is>
      </c>
      <c r="I56" s="11" t="n">
        <v>705000</v>
      </c>
      <c r="J56" s="12" t="inlineStr">
        <is>
          <t>U</t>
        </is>
      </c>
      <c r="K56" s="13" t="n">
        <v>3</v>
      </c>
      <c r="L56" s="51" t="n"/>
      <c r="M56" s="56">
        <f>'S40'!M56+L56</f>
        <v/>
      </c>
      <c r="N56" s="57">
        <f>IFERROR(M56/K56,0)</f>
        <v/>
      </c>
      <c r="O56" s="58">
        <f>'S40'!N56</f>
        <v/>
      </c>
      <c r="P56" s="57">
        <f>N56-O56</f>
        <v/>
      </c>
      <c r="Q56" s="32" t="n"/>
      <c r="R56" s="32" t="n"/>
      <c r="S56" s="32" t="n"/>
      <c r="T56" s="55" t="n"/>
      <c r="U56" s="58">
        <f>'S40'!T56</f>
        <v/>
      </c>
      <c r="V56" s="57">
        <f>T56-U56</f>
        <v/>
      </c>
      <c r="W56" s="57">
        <f>N56-T56</f>
        <v/>
      </c>
      <c r="X56" s="34" t="n"/>
    </row>
    <row r="57" ht="22" customHeight="1">
      <c r="B57" s="5" t="n">
        <v>53</v>
      </c>
      <c r="C57" s="6" t="inlineStr">
        <is>
          <t>Sidi Kacem</t>
        </is>
      </c>
      <c r="D57" s="5" t="inlineStr">
        <is>
          <t>SIDI EL KAMEL</t>
        </is>
      </c>
      <c r="E57" s="5" t="inlineStr">
        <is>
          <t>50-21</t>
        </is>
      </c>
      <c r="F57" s="5" t="inlineStr">
        <is>
          <t>Entretien et réparation des stations de pompage</t>
        </is>
      </c>
      <c r="G57" s="5" t="inlineStr">
        <is>
          <t>Mur clôture des stations de pompage.</t>
        </is>
      </c>
      <c r="H57" s="5" t="inlineStr">
        <is>
          <t>Stabilisation et reconstruction des murs clôture cote oued des stations de pompage 7A, 3R et 1R.</t>
        </is>
      </c>
      <c r="I57" s="7" t="n">
        <v>372000</v>
      </c>
      <c r="J57" s="8" t="inlineStr">
        <is>
          <t>ml</t>
        </is>
      </c>
      <c r="K57" s="9" t="n">
        <v>124</v>
      </c>
      <c r="L57" s="51" t="n"/>
      <c r="M57" s="52">
        <f>'S40'!M57+L57</f>
        <v/>
      </c>
      <c r="N57" s="53">
        <f>IFERROR(M57/K57,0)</f>
        <v/>
      </c>
      <c r="O57" s="54">
        <f>'S40'!N57</f>
        <v/>
      </c>
      <c r="P57" s="53">
        <f>N57-O57</f>
        <v/>
      </c>
      <c r="Q57" s="32" t="n"/>
      <c r="R57" s="32" t="n"/>
      <c r="S57" s="32" t="n"/>
      <c r="T57" s="55" t="n"/>
      <c r="U57" s="54">
        <f>'S40'!T57</f>
        <v/>
      </c>
      <c r="V57" s="53">
        <f>T57-U57</f>
        <v/>
      </c>
      <c r="W57" s="53">
        <f>N57-T57</f>
        <v/>
      </c>
      <c r="X57" s="34" t="n"/>
    </row>
    <row r="58" ht="22" customHeight="1">
      <c r="B58" s="10" t="n">
        <v>54</v>
      </c>
      <c r="C58" s="14" t="inlineStr">
        <is>
          <t>Kénitra</t>
        </is>
      </c>
      <c r="D58" s="10" t="inlineStr">
        <is>
          <t>Bni malek</t>
        </is>
      </c>
      <c r="E58" s="10" t="inlineStr">
        <is>
          <t>50-23</t>
        </is>
      </c>
      <c r="F58" s="10" t="inlineStr">
        <is>
          <t>Entretien et réparation du réseau d'assainissement et de drainage</t>
        </is>
      </c>
      <c r="G58" s="10" t="inlineStr">
        <is>
          <t>Travaux de curage des canaux en terre</t>
        </is>
      </c>
      <c r="H58" s="10" t="inlineStr">
        <is>
          <t>Curage des emissaires et colatures secondaire au niveau des secteurs MDA ET N9</t>
        </is>
      </c>
      <c r="I58" s="11" t="n">
        <v>10000000</v>
      </c>
      <c r="J58" s="12" t="inlineStr">
        <is>
          <t>ml</t>
        </is>
      </c>
      <c r="K58" s="13" t="n">
        <v>5000</v>
      </c>
      <c r="L58" s="51" t="n"/>
      <c r="M58" s="56">
        <f>'S40'!M58+L58</f>
        <v/>
      </c>
      <c r="N58" s="57">
        <f>IFERROR(M58/K58,0)</f>
        <v/>
      </c>
      <c r="O58" s="58">
        <f>'S40'!N58</f>
        <v/>
      </c>
      <c r="P58" s="57">
        <f>N58-O58</f>
        <v/>
      </c>
      <c r="Q58" s="32" t="n"/>
      <c r="R58" s="32" t="n"/>
      <c r="S58" s="32" t="n"/>
      <c r="T58" s="55" t="n"/>
      <c r="U58" s="58">
        <f>'S40'!T58</f>
        <v/>
      </c>
      <c r="V58" s="57">
        <f>T58-U58</f>
        <v/>
      </c>
      <c r="W58" s="57">
        <f>N58-T58</f>
        <v/>
      </c>
      <c r="X58" s="34" t="n"/>
    </row>
    <row r="59" ht="22" customHeight="1">
      <c r="B59" s="5" t="n">
        <v>55</v>
      </c>
      <c r="C59" s="14" t="inlineStr">
        <is>
          <t>Kénitra</t>
        </is>
      </c>
      <c r="D59" s="5" t="inlineStr">
        <is>
          <t>Bni malek</t>
        </is>
      </c>
      <c r="E59" s="5" t="inlineStr">
        <is>
          <t>40-21</t>
        </is>
      </c>
      <c r="F59" s="5" t="inlineStr">
        <is>
          <t>Travaux de pistes</t>
        </is>
      </c>
      <c r="G59" s="5" t="inlineStr">
        <is>
          <t>Travaux de réhabilitation des pistes agricoles</t>
        </is>
      </c>
      <c r="H59" s="5" t="inlineStr">
        <is>
          <t>Entretien des pistes agricoles des secteurs MDA et N3</t>
        </is>
      </c>
      <c r="I59" s="7" t="n">
        <v>2000000</v>
      </c>
      <c r="J59" s="8" t="inlineStr">
        <is>
          <t>km</t>
        </is>
      </c>
      <c r="K59" s="9" t="n">
        <v>4</v>
      </c>
      <c r="L59" s="51" t="n"/>
      <c r="M59" s="52">
        <f>'S40'!M59+L59</f>
        <v/>
      </c>
      <c r="N59" s="53">
        <f>IFERROR(M59/K59,0)</f>
        <v/>
      </c>
      <c r="O59" s="54">
        <f>'S40'!N59</f>
        <v/>
      </c>
      <c r="P59" s="53">
        <f>N59-O59</f>
        <v/>
      </c>
      <c r="Q59" s="32" t="n"/>
      <c r="R59" s="32" t="n"/>
      <c r="S59" s="32" t="n"/>
      <c r="T59" s="55" t="n"/>
      <c r="U59" s="54">
        <f>'S40'!T59</f>
        <v/>
      </c>
      <c r="V59" s="53">
        <f>T59-U59</f>
        <v/>
      </c>
      <c r="W59" s="53">
        <f>N59-T59</f>
        <v/>
      </c>
      <c r="X59" s="34" t="n"/>
    </row>
    <row r="60" ht="22" customHeight="1">
      <c r="B60" s="10" t="n">
        <v>56</v>
      </c>
      <c r="C60" s="14" t="inlineStr">
        <is>
          <t>Kénitra</t>
        </is>
      </c>
      <c r="D60" s="10" t="inlineStr">
        <is>
          <t>Bni malek</t>
        </is>
      </c>
      <c r="E60" s="10" t="inlineStr">
        <is>
          <t>50-21</t>
        </is>
      </c>
      <c r="F60" s="10" t="inlineStr">
        <is>
          <t>Entretien et réparation des stations de pompage</t>
        </is>
      </c>
      <c r="G60" s="10" t="inlineStr">
        <is>
          <t>Prestations de maintenance et de réparation mécanique des pompes et des groupes motopompes submersibles des stations de pompage.</t>
        </is>
      </c>
      <c r="H60" s="10" t="inlineStr">
        <is>
          <t>station de pompage MDA secteur MDA</t>
        </is>
      </c>
      <c r="I60" s="11" t="n">
        <v>300000</v>
      </c>
      <c r="J60" s="12" t="inlineStr">
        <is>
          <t>U</t>
        </is>
      </c>
      <c r="K60" s="13" t="n">
        <v>1</v>
      </c>
      <c r="L60" s="51" t="n"/>
      <c r="M60" s="56">
        <f>'S40'!M60+L60</f>
        <v/>
      </c>
      <c r="N60" s="57">
        <f>IFERROR(M60/K60,0)</f>
        <v/>
      </c>
      <c r="O60" s="58">
        <f>'S40'!N60</f>
        <v/>
      </c>
      <c r="P60" s="57">
        <f>N60-O60</f>
        <v/>
      </c>
      <c r="Q60" s="32" t="n"/>
      <c r="R60" s="32" t="n"/>
      <c r="S60" s="32" t="n"/>
      <c r="T60" s="55" t="n"/>
      <c r="U60" s="58">
        <f>'S40'!T60</f>
        <v/>
      </c>
      <c r="V60" s="57">
        <f>T60-U60</f>
        <v/>
      </c>
      <c r="W60" s="57">
        <f>N60-T60</f>
        <v/>
      </c>
      <c r="X60" s="34" t="n"/>
    </row>
    <row r="61" ht="22" customHeight="1">
      <c r="B61" s="5" t="n">
        <v>57</v>
      </c>
      <c r="C61" s="14" t="inlineStr">
        <is>
          <t>Kénitra</t>
        </is>
      </c>
      <c r="D61" s="5" t="inlineStr">
        <is>
          <t>Bni malek</t>
        </is>
      </c>
      <c r="E61" s="5" t="inlineStr">
        <is>
          <t>20-11</t>
        </is>
      </c>
      <c r="F61" s="5" t="inlineStr">
        <is>
          <t>Travaux de réhabilitation des équipements</t>
        </is>
      </c>
      <c r="G61" s="5" t="inlineStr">
        <is>
          <t>Travaux de réhabilitation des ouvrages de génie civil</t>
        </is>
      </c>
      <c r="H61" s="5" t="inlineStr">
        <is>
          <t>Rétablissement des bornes affaissées des secteurs N2 et N3</t>
        </is>
      </c>
      <c r="I61" s="7" t="n">
        <v>100000</v>
      </c>
      <c r="J61" s="8" t="inlineStr">
        <is>
          <t>U</t>
        </is>
      </c>
      <c r="K61" s="9" t="n">
        <v>200</v>
      </c>
      <c r="L61" s="51" t="n"/>
      <c r="M61" s="52">
        <f>'S40'!M61+L61</f>
        <v/>
      </c>
      <c r="N61" s="53">
        <f>IFERROR(M61/K61,0)</f>
        <v/>
      </c>
      <c r="O61" s="54">
        <f>'S40'!N61</f>
        <v/>
      </c>
      <c r="P61" s="53">
        <f>N61-O61</f>
        <v/>
      </c>
      <c r="Q61" s="32" t="n"/>
      <c r="R61" s="32" t="n"/>
      <c r="S61" s="32" t="n"/>
      <c r="T61" s="55" t="n"/>
      <c r="U61" s="54">
        <f>'S40'!T61</f>
        <v/>
      </c>
      <c r="V61" s="53">
        <f>T61-U61</f>
        <v/>
      </c>
      <c r="W61" s="53">
        <f>N61-T61</f>
        <v/>
      </c>
      <c r="X61" s="34" t="n"/>
    </row>
    <row r="62" ht="22" customHeight="1">
      <c r="B62" s="10" t="n">
        <v>58</v>
      </c>
      <c r="C62" s="14" t="inlineStr">
        <is>
          <t>Kénitra</t>
        </is>
      </c>
      <c r="D62" s="10" t="inlineStr">
        <is>
          <t>SOUK TLET</t>
        </is>
      </c>
      <c r="E62" s="10" t="inlineStr">
        <is>
          <t>50-23</t>
        </is>
      </c>
      <c r="F62" s="10" t="inlineStr">
        <is>
          <t>Entretien et réparation du réseau d'assainissement et de drainage</t>
        </is>
      </c>
      <c r="G62" s="10" t="inlineStr">
        <is>
          <t>Travaux de curage des canaux en terre</t>
        </is>
      </c>
      <c r="H62" s="10" t="inlineStr">
        <is>
          <t>curage des emissaires et colatures secondaire au niveau des secteurs N2,N3 ET N4,</t>
        </is>
      </c>
      <c r="I62" s="11" t="n">
        <v>3000000</v>
      </c>
      <c r="J62" s="12" t="inlineStr">
        <is>
          <t>ml</t>
        </is>
      </c>
      <c r="K62" s="13" t="n">
        <v>1500</v>
      </c>
      <c r="L62" s="51" t="n"/>
      <c r="M62" s="56">
        <f>'S40'!M62+L62</f>
        <v/>
      </c>
      <c r="N62" s="57">
        <f>IFERROR(M62/K62,0)</f>
        <v/>
      </c>
      <c r="O62" s="58">
        <f>'S40'!N62</f>
        <v/>
      </c>
      <c r="P62" s="57">
        <f>N62-O62</f>
        <v/>
      </c>
      <c r="Q62" s="32" t="n"/>
      <c r="R62" s="32" t="n"/>
      <c r="S62" s="32" t="n"/>
      <c r="T62" s="55" t="n"/>
      <c r="U62" s="58">
        <f>'S40'!T62</f>
        <v/>
      </c>
      <c r="V62" s="57">
        <f>T62-U62</f>
        <v/>
      </c>
      <c r="W62" s="57">
        <f>N62-T62</f>
        <v/>
      </c>
      <c r="X62" s="34" t="n"/>
    </row>
    <row r="63" ht="22" customHeight="1">
      <c r="B63" s="5" t="n">
        <v>59</v>
      </c>
      <c r="C63" s="14" t="inlineStr">
        <is>
          <t>Kénitra</t>
        </is>
      </c>
      <c r="D63" s="5" t="inlineStr">
        <is>
          <t>SOUK TLET</t>
        </is>
      </c>
      <c r="E63" s="5" t="inlineStr">
        <is>
          <t>40-21</t>
        </is>
      </c>
      <c r="F63" s="5" t="inlineStr">
        <is>
          <t>Travaux de pistes</t>
        </is>
      </c>
      <c r="G63" s="5" t="inlineStr">
        <is>
          <t>Travaux de réhabilitation des pistes agricoles</t>
        </is>
      </c>
      <c r="H63" s="5" t="inlineStr">
        <is>
          <t>Entretien des pistes des secteurs N2,N3,N4 et C4R,</t>
        </is>
      </c>
      <c r="I63" s="7" t="n">
        <v>5000000</v>
      </c>
      <c r="J63" s="8" t="inlineStr">
        <is>
          <t>U</t>
        </is>
      </c>
      <c r="K63" s="9" t="n">
        <v>1</v>
      </c>
      <c r="L63" s="51" t="n"/>
      <c r="M63" s="52">
        <f>'S40'!M63+L63</f>
        <v/>
      </c>
      <c r="N63" s="53">
        <f>IFERROR(M63/K63,0)</f>
        <v/>
      </c>
      <c r="O63" s="54">
        <f>'S40'!N63</f>
        <v/>
      </c>
      <c r="P63" s="53">
        <f>N63-O63</f>
        <v/>
      </c>
      <c r="Q63" s="32" t="n"/>
      <c r="R63" s="32" t="n"/>
      <c r="S63" s="32" t="n"/>
      <c r="T63" s="55" t="n"/>
      <c r="U63" s="54">
        <f>'S40'!T63</f>
        <v/>
      </c>
      <c r="V63" s="53">
        <f>T63-U63</f>
        <v/>
      </c>
      <c r="W63" s="53">
        <f>N63-T63</f>
        <v/>
      </c>
      <c r="X63" s="34" t="n"/>
    </row>
    <row r="64" ht="22" customHeight="1">
      <c r="B64" s="10" t="n">
        <v>60</v>
      </c>
      <c r="C64" s="14" t="inlineStr">
        <is>
          <t>Kénitra</t>
        </is>
      </c>
      <c r="D64" s="10" t="inlineStr">
        <is>
          <t>Sidi Med Lahmar</t>
        </is>
      </c>
      <c r="E64" s="10" t="inlineStr">
        <is>
          <t>50-23</t>
        </is>
      </c>
      <c r="F64" s="10" t="inlineStr">
        <is>
          <t>Entretien et réparation du réseau d'assainissement et de drainage</t>
        </is>
      </c>
      <c r="G64" s="10" t="inlineStr">
        <is>
          <t>Travaux de curage des canaux en terre</t>
        </is>
      </c>
      <c r="H64" s="10" t="inlineStr">
        <is>
          <t>Curage des emissaires et colatures secondaires secteurs N1</t>
        </is>
      </c>
      <c r="I64" s="11" t="n">
        <v>3000000</v>
      </c>
      <c r="J64" s="12" t="inlineStr">
        <is>
          <t>ml</t>
        </is>
      </c>
      <c r="K64" s="13" t="n">
        <v>1500</v>
      </c>
      <c r="L64" s="51" t="n"/>
      <c r="M64" s="56">
        <f>'S40'!M64+L64</f>
        <v/>
      </c>
      <c r="N64" s="57">
        <f>IFERROR(M64/K64,0)</f>
        <v/>
      </c>
      <c r="O64" s="58">
        <f>'S40'!N64</f>
        <v/>
      </c>
      <c r="P64" s="57">
        <f>N64-O64</f>
        <v/>
      </c>
      <c r="Q64" s="32" t="n"/>
      <c r="R64" s="32" t="n"/>
      <c r="S64" s="32" t="n"/>
      <c r="T64" s="55" t="n"/>
      <c r="U64" s="58">
        <f>'S40'!T64</f>
        <v/>
      </c>
      <c r="V64" s="57">
        <f>T64-U64</f>
        <v/>
      </c>
      <c r="W64" s="57">
        <f>N64-T64</f>
        <v/>
      </c>
      <c r="X64" s="34" t="n"/>
    </row>
    <row r="65" ht="22" customHeight="1">
      <c r="B65" s="5" t="n">
        <v>61</v>
      </c>
      <c r="C65" s="14" t="inlineStr">
        <is>
          <t>Kénitra</t>
        </is>
      </c>
      <c r="D65" s="5" t="inlineStr">
        <is>
          <t>Sidi Med Lahmar</t>
        </is>
      </c>
      <c r="E65" s="5" t="inlineStr">
        <is>
          <t>40-21</t>
        </is>
      </c>
      <c r="F65" s="5" t="inlineStr">
        <is>
          <t>Travaux de pistes</t>
        </is>
      </c>
      <c r="G65" s="5" t="inlineStr">
        <is>
          <t>Travaux de réhabilitation des pistes agricoles</t>
        </is>
      </c>
      <c r="H65" s="5" t="inlineStr">
        <is>
          <t>Entretien des pistes agricoles des secteurs N9 et N1</t>
        </is>
      </c>
      <c r="I65" s="7" t="n">
        <v>3000000</v>
      </c>
      <c r="J65" s="8" t="inlineStr">
        <is>
          <t>km</t>
        </is>
      </c>
      <c r="K65" s="9" t="n">
        <v>6</v>
      </c>
      <c r="L65" s="51" t="n"/>
      <c r="M65" s="52">
        <f>'S40'!M65+L65</f>
        <v/>
      </c>
      <c r="N65" s="53">
        <f>IFERROR(M65/K65,0)</f>
        <v/>
      </c>
      <c r="O65" s="54">
        <f>'S40'!N65</f>
        <v/>
      </c>
      <c r="P65" s="53">
        <f>N65-O65</f>
        <v/>
      </c>
      <c r="Q65" s="32" t="n"/>
      <c r="R65" s="32" t="n"/>
      <c r="S65" s="32" t="n"/>
      <c r="T65" s="55" t="n"/>
      <c r="U65" s="54">
        <f>'S40'!T65</f>
        <v/>
      </c>
      <c r="V65" s="53">
        <f>T65-U65</f>
        <v/>
      </c>
      <c r="W65" s="53">
        <f>N65-T65</f>
        <v/>
      </c>
      <c r="X65" s="34" t="n"/>
    </row>
    <row r="66" ht="22" customHeight="1">
      <c r="B66" s="10" t="n">
        <v>62</v>
      </c>
      <c r="C66" s="14" t="inlineStr">
        <is>
          <t>Kénitra</t>
        </is>
      </c>
      <c r="D66" s="10" t="inlineStr">
        <is>
          <t>Mograne</t>
        </is>
      </c>
      <c r="E66" s="10" t="inlineStr">
        <is>
          <t>50-23</t>
        </is>
      </c>
      <c r="F66" s="10" t="inlineStr">
        <is>
          <t>Entretien et réparation du réseau d'assainissement et de drainage</t>
        </is>
      </c>
      <c r="G66" s="10" t="inlineStr">
        <is>
          <t>Travaux de curage des canaux en terre</t>
        </is>
      </c>
      <c r="H66" s="10" t="inlineStr">
        <is>
          <t>Curage des canaux d'assainissement Hors secteur équipé ghoufera et laison beht sebou ,</t>
        </is>
      </c>
      <c r="I66" s="11" t="n">
        <v>6000000</v>
      </c>
      <c r="J66" s="12" t="inlineStr">
        <is>
          <t>ml</t>
        </is>
      </c>
      <c r="K66" s="13" t="n">
        <v>3000</v>
      </c>
      <c r="L66" s="51" t="n"/>
      <c r="M66" s="56">
        <f>'S40'!M66+L66</f>
        <v/>
      </c>
      <c r="N66" s="57">
        <f>IFERROR(M66/K66,0)</f>
        <v/>
      </c>
      <c r="O66" s="58">
        <f>'S40'!N66</f>
        <v/>
      </c>
      <c r="P66" s="57">
        <f>N66-O66</f>
        <v/>
      </c>
      <c r="Q66" s="32" t="n"/>
      <c r="R66" s="32" t="n"/>
      <c r="S66" s="32" t="n"/>
      <c r="T66" s="55" t="n"/>
      <c r="U66" s="58">
        <f>'S40'!T66</f>
        <v/>
      </c>
      <c r="V66" s="57">
        <f>T66-U66</f>
        <v/>
      </c>
      <c r="W66" s="57">
        <f>N66-T66</f>
        <v/>
      </c>
      <c r="X66" s="34" t="n"/>
    </row>
    <row r="67" ht="22" customHeight="1">
      <c r="B67" s="5" t="n">
        <v>63</v>
      </c>
      <c r="C67" s="14" t="inlineStr">
        <is>
          <t>Kénitra</t>
        </is>
      </c>
      <c r="D67" s="5" t="inlineStr">
        <is>
          <t>Mograne</t>
        </is>
      </c>
      <c r="E67" s="5" t="inlineStr">
        <is>
          <t>40-21</t>
        </is>
      </c>
      <c r="F67" s="5" t="inlineStr">
        <is>
          <t>Travaux de pistes</t>
        </is>
      </c>
      <c r="G67" s="5" t="inlineStr">
        <is>
          <t>Travaux de réhabilitation des pistes agricoles</t>
        </is>
      </c>
      <c r="H67" s="5" t="inlineStr">
        <is>
          <t>Entretien des pistes agricoles des secteurs SEBOU1,SEBOU2? BEHT3 et BEHT4</t>
        </is>
      </c>
      <c r="I67" s="7" t="n">
        <v>6000000</v>
      </c>
      <c r="J67" s="8" t="inlineStr">
        <is>
          <t>km</t>
        </is>
      </c>
      <c r="K67" s="9" t="n">
        <v>12</v>
      </c>
      <c r="L67" s="51" t="n"/>
      <c r="M67" s="52">
        <f>'S40'!M67+L67</f>
        <v/>
      </c>
      <c r="N67" s="53">
        <f>IFERROR(M67/K67,0)</f>
        <v/>
      </c>
      <c r="O67" s="54">
        <f>'S40'!N67</f>
        <v/>
      </c>
      <c r="P67" s="53">
        <f>N67-O67</f>
        <v/>
      </c>
      <c r="Q67" s="32" t="n"/>
      <c r="R67" s="32" t="n"/>
      <c r="S67" s="32" t="n"/>
      <c r="T67" s="55" t="n"/>
      <c r="U67" s="54">
        <f>'S40'!T67</f>
        <v/>
      </c>
      <c r="V67" s="53">
        <f>T67-U67</f>
        <v/>
      </c>
      <c r="W67" s="53">
        <f>N67-T67</f>
        <v/>
      </c>
      <c r="X67" s="34" t="n"/>
    </row>
    <row r="68" ht="22" customHeight="1">
      <c r="B68" s="10" t="n">
        <v>64</v>
      </c>
      <c r="C68" s="14" t="inlineStr">
        <is>
          <t>Kénitra</t>
        </is>
      </c>
      <c r="D68" s="10" t="inlineStr">
        <is>
          <t>Sidi allal tazi</t>
        </is>
      </c>
      <c r="E68" s="10" t="inlineStr">
        <is>
          <t>50-23</t>
        </is>
      </c>
      <c r="F68" s="10" t="inlineStr">
        <is>
          <t>Entretien et réparation du réseau d'assainissement et de drainage</t>
        </is>
      </c>
      <c r="G68" s="10" t="inlineStr">
        <is>
          <t>Travaux de curage des canaux en terre</t>
        </is>
      </c>
      <c r="H68" s="10" t="inlineStr">
        <is>
          <t>Curage du canaL d'assainissement CK,</t>
        </is>
      </c>
      <c r="I68" s="11" t="n">
        <v>3000000</v>
      </c>
      <c r="J68" s="12" t="inlineStr">
        <is>
          <t>ml</t>
        </is>
      </c>
      <c r="K68" s="13" t="n">
        <v>1500</v>
      </c>
      <c r="L68" s="51" t="n"/>
      <c r="M68" s="56">
        <f>'S40'!M68+L68</f>
        <v/>
      </c>
      <c r="N68" s="57">
        <f>IFERROR(M68/K68,0)</f>
        <v/>
      </c>
      <c r="O68" s="58">
        <f>'S40'!N68</f>
        <v/>
      </c>
      <c r="P68" s="57">
        <f>N68-O68</f>
        <v/>
      </c>
      <c r="Q68" s="32" t="n"/>
      <c r="R68" s="32" t="n"/>
      <c r="S68" s="32" t="n"/>
      <c r="T68" s="55" t="n"/>
      <c r="U68" s="58">
        <f>'S40'!T68</f>
        <v/>
      </c>
      <c r="V68" s="57">
        <f>T68-U68</f>
        <v/>
      </c>
      <c r="W68" s="57">
        <f>N68-T68</f>
        <v/>
      </c>
      <c r="X68" s="34" t="n"/>
    </row>
    <row r="69" ht="22" customHeight="1">
      <c r="B69" s="5" t="n">
        <v>65</v>
      </c>
      <c r="C69" s="14" t="inlineStr">
        <is>
          <t>Kénitra</t>
        </is>
      </c>
      <c r="D69" s="5" t="inlineStr">
        <is>
          <t>AMEUR SAFLIA</t>
        </is>
      </c>
      <c r="E69" s="5" t="inlineStr">
        <is>
          <t>50-23</t>
        </is>
      </c>
      <c r="F69" s="5" t="inlineStr">
        <is>
          <t>Entretien et réparation du réseau d'assainissement et de drainage</t>
        </is>
      </c>
      <c r="G69" s="5" t="inlineStr">
        <is>
          <t>Travaux de curage des canaux en terre</t>
        </is>
      </c>
      <c r="H69" s="5" t="inlineStr">
        <is>
          <t>Curage des canaux d'assainissement amontTtiflt Sebou,</t>
        </is>
      </c>
      <c r="I69" s="7" t="n">
        <v>1000000</v>
      </c>
      <c r="J69" s="8" t="inlineStr">
        <is>
          <t>ml</t>
        </is>
      </c>
      <c r="K69" s="9" t="n">
        <v>500</v>
      </c>
      <c r="L69" s="51" t="n"/>
      <c r="M69" s="52">
        <f>'S40'!M69+L69</f>
        <v/>
      </c>
      <c r="N69" s="53">
        <f>IFERROR(M69/K69,0)</f>
        <v/>
      </c>
      <c r="O69" s="54">
        <f>'S40'!N69</f>
        <v/>
      </c>
      <c r="P69" s="53">
        <f>N69-O69</f>
        <v/>
      </c>
      <c r="Q69" s="32" t="n"/>
      <c r="R69" s="32" t="n"/>
      <c r="S69" s="32" t="n"/>
      <c r="T69" s="55" t="n"/>
      <c r="U69" s="54">
        <f>'S40'!T69</f>
        <v/>
      </c>
      <c r="V69" s="53">
        <f>T69-U69</f>
        <v/>
      </c>
      <c r="W69" s="53">
        <f>N69-T69</f>
        <v/>
      </c>
      <c r="X69" s="34" t="n"/>
    </row>
    <row r="70" ht="22" customHeight="1">
      <c r="B70" s="10" t="n">
        <v>66</v>
      </c>
      <c r="C70" s="14" t="inlineStr">
        <is>
          <t>Kénitra</t>
        </is>
      </c>
      <c r="D70" s="10" t="inlineStr">
        <is>
          <t>Oulad SLAMA</t>
        </is>
      </c>
      <c r="E70" s="10" t="inlineStr">
        <is>
          <t>50-23</t>
        </is>
      </c>
      <c r="F70" s="10" t="inlineStr">
        <is>
          <t>Entretien et réparation du réseau d'assainissement et de drainage</t>
        </is>
      </c>
      <c r="G70" s="10" t="inlineStr">
        <is>
          <t>Travaux de curage des canaux en terre</t>
        </is>
      </c>
      <c r="H70" s="10" t="inlineStr">
        <is>
          <t>Curage des canaux d'assainissement debouche Tiflt aval,</t>
        </is>
      </c>
      <c r="I70" s="11" t="n">
        <v>1000000</v>
      </c>
      <c r="J70" s="12" t="inlineStr">
        <is>
          <t>ml</t>
        </is>
      </c>
      <c r="K70" s="13" t="n">
        <v>500</v>
      </c>
      <c r="L70" s="51" t="n"/>
      <c r="M70" s="56">
        <f>'S40'!M70+L70</f>
        <v/>
      </c>
      <c r="N70" s="57">
        <f>IFERROR(M70/K70,0)</f>
        <v/>
      </c>
      <c r="O70" s="58">
        <f>'S40'!N70</f>
        <v/>
      </c>
      <c r="P70" s="57">
        <f>N70-O70</f>
        <v/>
      </c>
      <c r="Q70" s="32" t="n"/>
      <c r="R70" s="32" t="n"/>
      <c r="S70" s="32" t="n"/>
      <c r="T70" s="55" t="n"/>
      <c r="U70" s="58">
        <f>'S40'!T70</f>
        <v/>
      </c>
      <c r="V70" s="57">
        <f>T70-U70</f>
        <v/>
      </c>
      <c r="W70" s="57">
        <f>N70-T70</f>
        <v/>
      </c>
      <c r="X70" s="34" t="n"/>
    </row>
    <row r="71" ht="22" customHeight="1">
      <c r="B71" s="5" t="n">
        <v>67</v>
      </c>
      <c r="C71" s="14" t="inlineStr">
        <is>
          <t>Kénitra</t>
        </is>
      </c>
      <c r="D71" s="5" t="inlineStr">
        <is>
          <t>BHARA Oulad AYAD</t>
        </is>
      </c>
      <c r="E71" s="5" t="inlineStr">
        <is>
          <t>50-23</t>
        </is>
      </c>
      <c r="F71" s="5" t="inlineStr">
        <is>
          <t>Entretien et réparation du réseau d'assainissement et de drainage</t>
        </is>
      </c>
      <c r="G71" s="5" t="inlineStr">
        <is>
          <t>Travaux de curage des canaux en terre</t>
        </is>
      </c>
      <c r="H71" s="5" t="inlineStr">
        <is>
          <t>Curage des canaux d'assainissement canal nador bas et haut segmet,</t>
        </is>
      </c>
      <c r="I71" s="7" t="n">
        <v>6600000</v>
      </c>
      <c r="J71" s="8" t="inlineStr">
        <is>
          <t>ml</t>
        </is>
      </c>
      <c r="K71" s="9" t="n">
        <v>3300</v>
      </c>
      <c r="L71" s="51" t="n"/>
      <c r="M71" s="52">
        <f>'S40'!M71+L71</f>
        <v/>
      </c>
      <c r="N71" s="53">
        <f>IFERROR(M71/K71,0)</f>
        <v/>
      </c>
      <c r="O71" s="54">
        <f>'S40'!N71</f>
        <v/>
      </c>
      <c r="P71" s="53">
        <f>N71-O71</f>
        <v/>
      </c>
      <c r="Q71" s="32" t="n"/>
      <c r="R71" s="32" t="n"/>
      <c r="S71" s="32" t="n"/>
      <c r="T71" s="55" t="n"/>
      <c r="U71" s="54">
        <f>'S40'!T71</f>
        <v/>
      </c>
      <c r="V71" s="53">
        <f>T71-U71</f>
        <v/>
      </c>
      <c r="W71" s="53">
        <f>N71-T71</f>
        <v/>
      </c>
      <c r="X71" s="34" t="n"/>
    </row>
    <row r="72" ht="22" customHeight="1">
      <c r="B72" s="10" t="n">
        <v>68</v>
      </c>
      <c r="C72" s="15" t="inlineStr">
        <is>
          <t>Sidi Slimane</t>
        </is>
      </c>
      <c r="D72" s="10" t="inlineStr">
        <is>
          <t>OULED HCEINE</t>
        </is>
      </c>
      <c r="E72" s="10" t="inlineStr">
        <is>
          <t>50-23</t>
        </is>
      </c>
      <c r="F72" s="10" t="inlineStr">
        <is>
          <t>Entretien et réparation du réseau d'assainissement et de drainage</t>
        </is>
      </c>
      <c r="G72" s="10" t="inlineStr">
        <is>
          <t>Travaux de curage des canaux en terre</t>
        </is>
      </c>
      <c r="H72" s="10" t="inlineStr">
        <is>
          <t>Curage des collecteurs d'assainissement du secteur EST4.</t>
        </is>
      </c>
      <c r="I72" s="11" t="n">
        <v>1805475</v>
      </c>
      <c r="J72" s="12" t="inlineStr">
        <is>
          <t>ml</t>
        </is>
      </c>
      <c r="K72" s="13" t="n">
        <v>903</v>
      </c>
      <c r="L72" s="51" t="n"/>
      <c r="M72" s="56">
        <f>'S40'!M72+L72</f>
        <v/>
      </c>
      <c r="N72" s="57">
        <f>IFERROR(M72/K72,0)</f>
        <v/>
      </c>
      <c r="O72" s="58">
        <f>'S40'!N72</f>
        <v/>
      </c>
      <c r="P72" s="57">
        <f>N72-O72</f>
        <v/>
      </c>
      <c r="Q72" s="32" t="n"/>
      <c r="R72" s="32" t="n"/>
      <c r="S72" s="32" t="n"/>
      <c r="T72" s="55" t="n"/>
      <c r="U72" s="58">
        <f>'S40'!T72</f>
        <v/>
      </c>
      <c r="V72" s="57">
        <f>T72-U72</f>
        <v/>
      </c>
      <c r="W72" s="57">
        <f>N72-T72</f>
        <v/>
      </c>
      <c r="X72" s="34" t="n"/>
    </row>
    <row r="73" ht="22" customHeight="1">
      <c r="B73" s="5" t="n">
        <v>69</v>
      </c>
      <c r="C73" s="15" t="inlineStr">
        <is>
          <t>Sidi Slimane</t>
        </is>
      </c>
      <c r="D73" s="5" t="inlineStr">
        <is>
          <t>OULED HCEINE</t>
        </is>
      </c>
      <c r="E73" s="5" t="inlineStr">
        <is>
          <t>50-23</t>
        </is>
      </c>
      <c r="F73" s="5" t="inlineStr">
        <is>
          <t>Entretien et réparation du réseau d'assainissement et de drainage</t>
        </is>
      </c>
      <c r="G73" s="5" t="inlineStr">
        <is>
          <t>Travaux de curage des canaux en terre</t>
        </is>
      </c>
      <c r="H73" s="5" t="inlineStr">
        <is>
          <t>Curage du canal d'assainissement Tihli central.</t>
        </is>
      </c>
      <c r="I73" s="7" t="n">
        <v>2587200</v>
      </c>
      <c r="J73" s="8" t="inlineStr">
        <is>
          <t>ml</t>
        </is>
      </c>
      <c r="K73" s="9" t="n">
        <v>1294</v>
      </c>
      <c r="L73" s="51" t="n"/>
      <c r="M73" s="52">
        <f>'S40'!M73+L73</f>
        <v/>
      </c>
      <c r="N73" s="53">
        <f>IFERROR(M73/K73,0)</f>
        <v/>
      </c>
      <c r="O73" s="54">
        <f>'S40'!N73</f>
        <v/>
      </c>
      <c r="P73" s="53">
        <f>N73-O73</f>
        <v/>
      </c>
      <c r="Q73" s="32" t="n"/>
      <c r="R73" s="32" t="n"/>
      <c r="S73" s="32" t="n"/>
      <c r="T73" s="55" t="n"/>
      <c r="U73" s="54">
        <f>'S40'!T73</f>
        <v/>
      </c>
      <c r="V73" s="53">
        <f>T73-U73</f>
        <v/>
      </c>
      <c r="W73" s="53">
        <f>N73-T73</f>
        <v/>
      </c>
      <c r="X73" s="34" t="n"/>
    </row>
    <row r="74" ht="22" customHeight="1">
      <c r="B74" s="10" t="n">
        <v>70</v>
      </c>
      <c r="C74" s="15" t="inlineStr">
        <is>
          <t>Sidi Slimane</t>
        </is>
      </c>
      <c r="D74" s="10" t="inlineStr">
        <is>
          <t>OULED HCEINE</t>
        </is>
      </c>
      <c r="E74" s="10" t="inlineStr">
        <is>
          <t>40-21</t>
        </is>
      </c>
      <c r="F74" s="10" t="inlineStr">
        <is>
          <t>Travaux de pistes</t>
        </is>
      </c>
      <c r="G74" s="10" t="inlineStr">
        <is>
          <t>Travaux de réhabilitation des pistes agricoles</t>
        </is>
      </c>
      <c r="H74" s="10" t="inlineStr">
        <is>
          <t>Entretien des pistes agricoles</t>
        </is>
      </c>
      <c r="I74" s="11" t="n">
        <v>3500000</v>
      </c>
      <c r="J74" s="12" t="inlineStr">
        <is>
          <t>km</t>
        </is>
      </c>
      <c r="K74" s="13" t="n">
        <v>7</v>
      </c>
      <c r="L74" s="51" t="n"/>
      <c r="M74" s="56">
        <f>'S40'!M74+L74</f>
        <v/>
      </c>
      <c r="N74" s="57">
        <f>IFERROR(M74/K74,0)</f>
        <v/>
      </c>
      <c r="O74" s="58">
        <f>'S40'!N74</f>
        <v/>
      </c>
      <c r="P74" s="57">
        <f>N74-O74</f>
        <v/>
      </c>
      <c r="Q74" s="32" t="n"/>
      <c r="R74" s="32" t="n"/>
      <c r="S74" s="32" t="n"/>
      <c r="T74" s="55" t="n"/>
      <c r="U74" s="58">
        <f>'S40'!T74</f>
        <v/>
      </c>
      <c r="V74" s="57">
        <f>T74-U74</f>
        <v/>
      </c>
      <c r="W74" s="57">
        <f>N74-T74</f>
        <v/>
      </c>
      <c r="X74" s="34" t="n"/>
    </row>
    <row r="75" ht="22" customHeight="1">
      <c r="B75" s="5" t="n">
        <v>71</v>
      </c>
      <c r="C75" s="15" t="inlineStr">
        <is>
          <t>Sidi Slimane</t>
        </is>
      </c>
      <c r="D75" s="5" t="inlineStr">
        <is>
          <t>OULED HCEINE</t>
        </is>
      </c>
      <c r="E75" s="5" t="inlineStr">
        <is>
          <t>50-21</t>
        </is>
      </c>
      <c r="F75" s="5" t="inlineStr">
        <is>
          <t>Entretien et réparation des stations de pompage</t>
        </is>
      </c>
      <c r="G75" s="5" t="inlineStr">
        <is>
          <t>Travaux de réparation des équipements hydromécaniques et éléctriques et entretien de la partie génie civil des stations de pompage.</t>
        </is>
      </c>
      <c r="H75" s="5" t="inlineStr">
        <is>
          <t>Démontage et expertise des roues des  pompes principaux et pompes a vide de la station EST4 et P11/2.
Changement des roulements, tresses et organes d’effectués de la station EST4 et P11/2
Changement deux débitmètre Ø 1200 mm de la station EST4 et un débimétre de la station P11/2.
Changement des capteurs de niveau inondés.
Révision et réparation des moteurs des vannes motorisées inondées.
changement de six contrôleurs de débits DW181 inondés.
Un capteur de débitmètre inondé nécessitent un diagnostic VEGASON  .
Entretien de l'éclairage du local de vide et bâche d’aspiration inondé de la station EST4 et la partie de l’éclairage du local des pompes inondées de la station P11/2.
Pose de gabions et recouvrement du talus par matelas Reno des stations de pompage P11/2</t>
        </is>
      </c>
      <c r="I75" s="7" t="n">
        <v>870000</v>
      </c>
      <c r="J75" s="8" t="inlineStr">
        <is>
          <t>U</t>
        </is>
      </c>
      <c r="K75" s="9" t="n">
        <v>4</v>
      </c>
      <c r="L75" s="51" t="n"/>
      <c r="M75" s="52">
        <f>'S40'!M75+L75</f>
        <v/>
      </c>
      <c r="N75" s="53">
        <f>IFERROR(M75/K75,0)</f>
        <v/>
      </c>
      <c r="O75" s="54">
        <f>'S40'!N75</f>
        <v/>
      </c>
      <c r="P75" s="53">
        <f>N75-O75</f>
        <v/>
      </c>
      <c r="Q75" s="32" t="n"/>
      <c r="R75" s="32" t="n"/>
      <c r="S75" s="32" t="n"/>
      <c r="T75" s="55" t="n"/>
      <c r="U75" s="54">
        <f>'S40'!T75</f>
        <v/>
      </c>
      <c r="V75" s="53">
        <f>T75-U75</f>
        <v/>
      </c>
      <c r="W75" s="53">
        <f>N75-T75</f>
        <v/>
      </c>
      <c r="X75" s="34" t="n"/>
    </row>
    <row r="76" ht="22" customHeight="1">
      <c r="B76" s="10" t="n">
        <v>72</v>
      </c>
      <c r="C76" s="15" t="inlineStr">
        <is>
          <t>Sidi Slimane</t>
        </is>
      </c>
      <c r="D76" s="10" t="inlineStr">
        <is>
          <t>OULED HCEINE</t>
        </is>
      </c>
      <c r="E76" s="10" t="inlineStr">
        <is>
          <t>50-23</t>
        </is>
      </c>
      <c r="F76" s="10" t="inlineStr">
        <is>
          <t>Entretien et réparation du réseau d'assainissement et de drainage</t>
        </is>
      </c>
      <c r="G76" s="10" t="inlineStr">
        <is>
          <t>Travaux de curage des prises des stations de pompage.</t>
        </is>
      </c>
      <c r="H76" s="10" t="inlineStr">
        <is>
          <t>Curage des siphones des station de pompage EST2 et P11/2.</t>
        </is>
      </c>
      <c r="I76" s="11" t="n">
        <v>500000</v>
      </c>
      <c r="J76" s="12" t="inlineStr">
        <is>
          <t>ml</t>
        </is>
      </c>
      <c r="K76" s="13" t="n">
        <v>167</v>
      </c>
      <c r="L76" s="51" t="n"/>
      <c r="M76" s="56">
        <f>'S40'!M76+L76</f>
        <v/>
      </c>
      <c r="N76" s="57">
        <f>IFERROR(M76/K76,0)</f>
        <v/>
      </c>
      <c r="O76" s="58">
        <f>'S40'!N76</f>
        <v/>
      </c>
      <c r="P76" s="57">
        <f>N76-O76</f>
        <v/>
      </c>
      <c r="Q76" s="32" t="n"/>
      <c r="R76" s="32" t="n"/>
      <c r="S76" s="32" t="n"/>
      <c r="T76" s="55" t="n"/>
      <c r="U76" s="58">
        <f>'S40'!T76</f>
        <v/>
      </c>
      <c r="V76" s="57">
        <f>T76-U76</f>
        <v/>
      </c>
      <c r="W76" s="57">
        <f>N76-T76</f>
        <v/>
      </c>
      <c r="X76" s="34" t="n"/>
    </row>
    <row r="77" ht="26" customHeight="1">
      <c r="B77" s="16" t="inlineStr">
        <is>
          <t>TOTAL</t>
        </is>
      </c>
      <c r="C77" s="16" t="n"/>
      <c r="D77" s="16" t="n"/>
      <c r="E77" s="16" t="n"/>
      <c r="F77" s="16" t="n"/>
      <c r="G77" s="16" t="n"/>
      <c r="H77" s="16" t="n"/>
      <c r="I77" s="17">
        <f>SUM(I5:I76)</f>
        <v/>
      </c>
      <c r="J77" s="16" t="n"/>
      <c r="K77" s="16" t="n"/>
      <c r="L77" s="59">
        <f>SUM(L5:L76)</f>
        <v/>
      </c>
      <c r="M77" s="59">
        <f>SUM(M5:M76)</f>
        <v/>
      </c>
      <c r="N77" s="60">
        <f>IFERROR(SUMPRODUCT(N5:N76,I5:I76)/I77,0)</f>
        <v/>
      </c>
      <c r="O77" s="60">
        <f>IFERROR(SUMPRODUCT(O5:O76,I5:I76)/I77,0)</f>
        <v/>
      </c>
      <c r="P77" s="60">
        <f>N77-O77</f>
        <v/>
      </c>
      <c r="Q77" s="17">
        <f>SUM(Q5:Q76)</f>
        <v/>
      </c>
      <c r="R77" s="17">
        <f>SUM(R5:R76)</f>
        <v/>
      </c>
      <c r="S77" s="17">
        <f>SUM(S5:S76)</f>
        <v/>
      </c>
      <c r="T77" s="60">
        <f>IFERROR(SUMPRODUCT(T5:T76,I5:I76)/I77,0)</f>
        <v/>
      </c>
      <c r="U77" s="60">
        <f>IFERROR(SUMPRODUCT(U5:U76,I5:I76)/I77,0)</f>
        <v/>
      </c>
      <c r="V77" s="60">
        <f>T77-U77</f>
        <v/>
      </c>
      <c r="W77" s="60">
        <f>N77-T77</f>
        <v/>
      </c>
      <c r="X77" s="16" t="n"/>
    </row>
  </sheetData>
  <sheetProtection selectLockedCells="0" selectUnlockedCells="0" sheet="1" objects="0" insertRows="1" insertHyperlinks="1" autoFilter="1" scenarios="0" formatColumns="1" deleteColumns="1" insertColumns="1" pivotTables="1" deleteRows="1" formatCells="1" formatRows="1" sort="1" password="CBBE"/>
  <mergeCells count="6">
    <mergeCell ref="E3:I3"/>
    <mergeCell ref="W3:X3"/>
    <mergeCell ref="J3:P3"/>
    <mergeCell ref="B2:X2"/>
    <mergeCell ref="C3:D3"/>
    <mergeCell ref="Q3:V3"/>
  </mergeCells>
  <conditionalFormatting sqref="P5:P76">
    <cfRule type="cellIs" priority="1" operator="greaterThan" dxfId="0">
      <formula>0</formula>
    </cfRule>
    <cfRule type="cellIs" priority="2" operator="lessThan" dxfId="1">
      <formula>0</formula>
    </cfRule>
  </conditionalFormatting>
  <conditionalFormatting sqref="V5:V76">
    <cfRule type="cellIs" priority="3" operator="greaterThan" dxfId="0">
      <formula>0</formula>
    </cfRule>
    <cfRule type="cellIs" priority="4" operator="lessThan" dxfId="1">
      <formula>0</formula>
    </cfRule>
  </conditionalFormatting>
  <conditionalFormatting sqref="W5:W76">
    <cfRule type="cellIs" priority="5" operator="greaterThan" dxfId="0">
      <formula>0.05</formula>
    </cfRule>
    <cfRule type="cellIs" priority="6" operator="lessThan" dxfId="1">
      <formula>-0.05</formula>
    </cfRule>
    <cfRule type="cellIs" priority="7" operator="between" dxfId="2">
      <formula>-0.05</formula>
      <formula>0.05</formula>
    </cfRule>
  </conditionalFormatting>
  <conditionalFormatting sqref="N5:N76">
    <cfRule type="dataBar" priority="8">
      <dataBar showValue="1">
        <cfvo type="num" val="0"/>
        <cfvo type="num" val="1"/>
        <color rgb="001B7D46"/>
      </dataBar>
    </cfRule>
  </conditionalFormatting>
  <conditionalFormatting sqref="T5:T76">
    <cfRule type="dataBar" priority="9">
      <dataBar showValue="1">
        <cfvo type="num" val="0"/>
        <cfvo type="num" val="1"/>
        <color rgb="00D4820A"/>
      </dataBar>
    </cfRule>
  </conditionalFormatting>
  <dataValidations count="2">
    <dataValidation sqref="T5:T76" showDropDown="0" showInputMessage="0" showErrorMessage="0" allowBlank="1" errorTitle="Invalide" error="Valeur entre 0% et 100%" promptTitle="Avancement %" prompt="Entrez 0.25 pour 25%" type="decimal" operator="between">
      <formula1>0</formula1>
      <formula2>1</formula2>
    </dataValidation>
    <dataValidation sqref="L5:L76" showDropDown="0" showInputMessage="0" showErrorMessage="0" allowBlank="1" errorTitle="Invalide" error="Quantité doit être &gt;= 0" promptTitle="Qté Réalisée" prompt="Entrez la quantité réalisée cette semaine" type="decimal" operator="greaterThanOrEqual">
      <formula1>0</formula1>
    </dataValidation>
  </dataValidations>
  <pageMargins left="0.75" right="0.75" top="1" bottom="1" header="0.5" footer="0.5"/>
</worksheet>
</file>

<file path=xl/worksheets/sheet22.xml><?xml version="1.0" encoding="utf-8"?>
<worksheet xmlns="http://schemas.openxmlformats.org/spreadsheetml/2006/main">
  <sheetPr>
    <tabColor rgb="007030A0"/>
    <outlinePr summaryBelow="1" summaryRight="1"/>
    <pageSetUpPr/>
  </sheetPr>
  <dimension ref="B2:X77"/>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5" customWidth="1" min="2" max="2"/>
    <col width="14" customWidth="1" min="3" max="3"/>
    <col width="18" customWidth="1" min="4" max="4"/>
    <col width="9" customWidth="1" min="5" max="5"/>
    <col width="32" customWidth="1" min="6" max="6"/>
    <col width="28" customWidth="1" min="7" max="7"/>
    <col width="34" customWidth="1" min="8" max="8"/>
    <col width="14" customWidth="1" min="9" max="9"/>
    <col width="8" customWidth="1" min="10" max="10"/>
    <col width="12" customWidth="1" min="11" max="11"/>
    <col width="14" customWidth="1" min="12" max="12"/>
    <col width="14" customWidth="1" min="13" max="13"/>
    <col width="14" customWidth="1" min="14" max="14"/>
    <col width="14" customWidth="1" min="15" max="15"/>
    <col width="14" customWidth="1" min="16" max="16"/>
    <col width="16" customWidth="1" min="17" max="17"/>
    <col width="16" customWidth="1" min="18" max="18"/>
    <col width="16" customWidth="1" min="19" max="19"/>
    <col width="14" customWidth="1" min="20" max="20"/>
    <col width="14" customWidth="1" min="21" max="21"/>
    <col width="14" customWidth="1" min="22" max="22"/>
    <col width="14" customWidth="1" min="23" max="23"/>
    <col width="24" customWidth="1" min="24" max="24"/>
  </cols>
  <sheetData>
    <row r="1" ht="15" customHeight="1"/>
    <row r="2" ht="32" customHeight="1">
      <c r="B2" s="1" t="inlineStr">
        <is>
          <t>Suivi Hebdomadaire - Semaine 42 (12/10 - 18/10) — Octobre 2026 - Exécution Physique et Financière</t>
        </is>
      </c>
    </row>
    <row r="3" ht="22" customHeight="1">
      <c r="B3" s="20" t="inlineStr">
        <is>
          <t>Date :</t>
        </is>
      </c>
      <c r="C3" s="49" t="n">
        <v>46307</v>
      </c>
      <c r="D3" s="50" t="n"/>
      <c r="E3" s="22" t="inlineStr">
        <is>
          <t>IDENTIFICATION</t>
        </is>
      </c>
      <c r="J3" s="23" t="inlineStr">
        <is>
          <t>INDICATEURS PHYSIQUES</t>
        </is>
      </c>
      <c r="Q3" s="24" t="inlineStr">
        <is>
          <t>INDICATEURS FINANCIERS</t>
        </is>
      </c>
      <c r="W3" s="25" t="inlineStr">
        <is>
          <t>SYNTHÈSE</t>
        </is>
      </c>
    </row>
    <row r="4" ht="28" customHeight="1">
      <c r="B4" s="4" t="inlineStr">
        <is>
          <t>N°</t>
        </is>
      </c>
      <c r="C4" s="4" t="inlineStr">
        <is>
          <t>Province</t>
        </is>
      </c>
      <c r="D4" s="4" t="inlineStr">
        <is>
          <t>Commune</t>
        </is>
      </c>
      <c r="E4" s="4" t="inlineStr">
        <is>
          <t>Rubrique</t>
        </is>
      </c>
      <c r="F4" s="4" t="inlineStr">
        <is>
          <t>Intitulé Rubrique</t>
        </is>
      </c>
      <c r="G4" s="4" t="inlineStr">
        <is>
          <t>Projet</t>
        </is>
      </c>
      <c r="H4" s="4" t="inlineStr">
        <is>
          <t>Consistance</t>
        </is>
      </c>
      <c r="I4" s="4" t="inlineStr">
        <is>
          <t>Coût Total (DH)</t>
        </is>
      </c>
      <c r="J4" s="26" t="inlineStr">
        <is>
          <t>Unité</t>
        </is>
      </c>
      <c r="K4" s="26" t="inlineStr">
        <is>
          <t>Qté Prévue</t>
        </is>
      </c>
      <c r="L4" s="26" t="inlineStr">
        <is>
          <t>Qté Réalisée Sem.</t>
        </is>
      </c>
      <c r="M4" s="26" t="inlineStr">
        <is>
          <t>Qté Réalisée Cumul</t>
        </is>
      </c>
      <c r="N4" s="26" t="inlineStr">
        <is>
          <t>Avancement Physique %</t>
        </is>
      </c>
      <c r="O4" s="26" t="inlineStr">
        <is>
          <t>% Phys. Sem. Préc.</t>
        </is>
      </c>
      <c r="P4" s="26" t="inlineStr">
        <is>
          <t>Accroissement Phys. %</t>
        </is>
      </c>
      <c r="Q4" s="27" t="inlineStr">
        <is>
          <t>Montant Décaissé (DH)</t>
        </is>
      </c>
      <c r="R4" s="27" t="inlineStr">
        <is>
          <t>Montant Payé (DH)</t>
        </is>
      </c>
      <c r="S4" s="27" t="inlineStr">
        <is>
          <t>Montant Ordonné (DH)</t>
        </is>
      </c>
      <c r="T4" s="27" t="inlineStr">
        <is>
          <t>Avancement Financier %</t>
        </is>
      </c>
      <c r="U4" s="27" t="inlineStr">
        <is>
          <t>% Fin. Sem. Préc.</t>
        </is>
      </c>
      <c r="V4" s="27" t="inlineStr">
        <is>
          <t>Accroissement Fin. %</t>
        </is>
      </c>
      <c r="W4" s="28" t="inlineStr">
        <is>
          <t>Écart Phys.-Fin.</t>
        </is>
      </c>
      <c r="X4" s="28" t="inlineStr">
        <is>
          <t>Observations</t>
        </is>
      </c>
    </row>
    <row r="5" ht="22" customHeight="1">
      <c r="B5" s="5" t="n">
        <v>1</v>
      </c>
      <c r="C5" s="6" t="inlineStr">
        <is>
          <t>Sidi Kacem</t>
        </is>
      </c>
      <c r="D5" s="5" t="inlineStr">
        <is>
          <t>KHENICHET</t>
        </is>
      </c>
      <c r="E5" s="5" t="inlineStr">
        <is>
          <t>50-23</t>
        </is>
      </c>
      <c r="F5" s="5" t="inlineStr">
        <is>
          <t>Entretien et réparation du réseau d'assainissement et de drainage</t>
        </is>
      </c>
      <c r="G5" s="5" t="inlineStr">
        <is>
          <t>Travaux de curage des canaux en terre</t>
        </is>
      </c>
      <c r="H5" s="5" t="inlineStr">
        <is>
          <t>Curage des collecteurs d'assainissement du secteur EST2</t>
        </is>
      </c>
      <c r="I5" s="7" t="n">
        <v>2091568</v>
      </c>
      <c r="J5" s="8" t="inlineStr">
        <is>
          <t>ml</t>
        </is>
      </c>
      <c r="K5" s="9" t="n">
        <v>1046</v>
      </c>
      <c r="L5" s="51" t="n"/>
      <c r="M5" s="52">
        <f>'S41'!M5+L5</f>
        <v/>
      </c>
      <c r="N5" s="53">
        <f>IFERROR(M5/K5,0)</f>
        <v/>
      </c>
      <c r="O5" s="54">
        <f>'S41'!N5</f>
        <v/>
      </c>
      <c r="P5" s="53">
        <f>N5-O5</f>
        <v/>
      </c>
      <c r="Q5" s="32" t="n"/>
      <c r="R5" s="32" t="n"/>
      <c r="S5" s="32" t="n"/>
      <c r="T5" s="55" t="n"/>
      <c r="U5" s="54">
        <f>'S41'!T5</f>
        <v/>
      </c>
      <c r="V5" s="53">
        <f>T5-U5</f>
        <v/>
      </c>
      <c r="W5" s="53">
        <f>N5-T5</f>
        <v/>
      </c>
      <c r="X5" s="34" t="n"/>
    </row>
    <row r="6" ht="22" customHeight="1">
      <c r="B6" s="10" t="n">
        <v>2</v>
      </c>
      <c r="C6" s="6" t="inlineStr">
        <is>
          <t>Sidi Kacem</t>
        </is>
      </c>
      <c r="D6" s="10" t="inlineStr">
        <is>
          <t>KHENICHET</t>
        </is>
      </c>
      <c r="E6" s="10" t="inlineStr">
        <is>
          <t>40-21</t>
        </is>
      </c>
      <c r="F6" s="10" t="inlineStr">
        <is>
          <t>Travaux de pistes</t>
        </is>
      </c>
      <c r="G6" s="10" t="inlineStr">
        <is>
          <t>Travaux de réhabilitation des pistes agricoles</t>
        </is>
      </c>
      <c r="H6" s="10" t="inlineStr">
        <is>
          <t>Entretien des pistes agricoles Douar Nouagra et Douar ouled Salem</t>
        </is>
      </c>
      <c r="I6" s="11" t="n">
        <v>78000</v>
      </c>
      <c r="J6" s="12" t="inlineStr">
        <is>
          <t>km</t>
        </is>
      </c>
      <c r="K6" s="13" t="n">
        <v>1</v>
      </c>
      <c r="L6" s="51" t="n"/>
      <c r="M6" s="56">
        <f>'S41'!M6+L6</f>
        <v/>
      </c>
      <c r="N6" s="57">
        <f>IFERROR(M6/K6,0)</f>
        <v/>
      </c>
      <c r="O6" s="58">
        <f>'S41'!N6</f>
        <v/>
      </c>
      <c r="P6" s="57">
        <f>N6-O6</f>
        <v/>
      </c>
      <c r="Q6" s="32" t="n"/>
      <c r="R6" s="32" t="n"/>
      <c r="S6" s="32" t="n"/>
      <c r="T6" s="55" t="n"/>
      <c r="U6" s="58">
        <f>'S41'!T6</f>
        <v/>
      </c>
      <c r="V6" s="57">
        <f>T6-U6</f>
        <v/>
      </c>
      <c r="W6" s="57">
        <f>N6-T6</f>
        <v/>
      </c>
      <c r="X6" s="34" t="n"/>
    </row>
    <row r="7" ht="22" customHeight="1">
      <c r="B7" s="5" t="n">
        <v>3</v>
      </c>
      <c r="C7" s="6" t="inlineStr">
        <is>
          <t>Sidi Kacem</t>
        </is>
      </c>
      <c r="D7" s="5" t="inlineStr">
        <is>
          <t>KHENICHET</t>
        </is>
      </c>
      <c r="E7" s="5" t="inlineStr">
        <is>
          <t>50-23</t>
        </is>
      </c>
      <c r="F7" s="5" t="inlineStr">
        <is>
          <t>Entretien et réparation du réseau d'assainissement et de drainage</t>
        </is>
      </c>
      <c r="G7" s="5" t="inlineStr">
        <is>
          <t>Curage des prises sur l’oued, bâche d’aspiration et bassin de régulation.</t>
        </is>
      </c>
      <c r="H7" s="5" t="inlineStr">
        <is>
          <t>Curage de la chambre des joints de démontage des siphonnes  de la station de pompage EST2.</t>
        </is>
      </c>
      <c r="I7" s="7" t="n">
        <v>126000</v>
      </c>
      <c r="J7" s="8" t="inlineStr">
        <is>
          <t>ml</t>
        </is>
      </c>
      <c r="K7" s="9" t="n">
        <v>42</v>
      </c>
      <c r="L7" s="51" t="n"/>
      <c r="M7" s="52">
        <f>'S41'!M7+L7</f>
        <v/>
      </c>
      <c r="N7" s="53">
        <f>IFERROR(M7/K7,0)</f>
        <v/>
      </c>
      <c r="O7" s="54">
        <f>'S41'!N7</f>
        <v/>
      </c>
      <c r="P7" s="53">
        <f>N7-O7</f>
        <v/>
      </c>
      <c r="Q7" s="32" t="n"/>
      <c r="R7" s="32" t="n"/>
      <c r="S7" s="32" t="n"/>
      <c r="T7" s="55" t="n"/>
      <c r="U7" s="54">
        <f>'S41'!T7</f>
        <v/>
      </c>
      <c r="V7" s="53">
        <f>T7-U7</f>
        <v/>
      </c>
      <c r="W7" s="53">
        <f>N7-T7</f>
        <v/>
      </c>
      <c r="X7" s="34" t="n"/>
    </row>
    <row r="8" ht="22" customHeight="1">
      <c r="B8" s="10" t="n">
        <v>4</v>
      </c>
      <c r="C8" s="6" t="inlineStr">
        <is>
          <t>Sidi Kacem</t>
        </is>
      </c>
      <c r="D8" s="10" t="inlineStr">
        <is>
          <t>KHENICHET</t>
        </is>
      </c>
      <c r="E8" s="10" t="inlineStr">
        <is>
          <t>50-21</t>
        </is>
      </c>
      <c r="F8" s="10" t="inlineStr">
        <is>
          <t>Entretien et réparation des stations de pompage</t>
        </is>
      </c>
      <c r="G8" s="10" t="inlineStr">
        <is>
          <t>Prestation de maintenance des débitmètres et leurs équipements annexes installés au niveau des station de pompage</t>
        </is>
      </c>
      <c r="H8" s="10" t="inlineStr">
        <is>
          <t>Changement trois débitmètre Ø 600mm inondés de la station de pompage EST 2 et deux capteurs VEGASON 62</t>
        </is>
      </c>
      <c r="I8" s="11" t="n">
        <v>165500</v>
      </c>
      <c r="J8" s="12" t="inlineStr">
        <is>
          <t>U</t>
        </is>
      </c>
      <c r="K8" s="13" t="n">
        <v>3</v>
      </c>
      <c r="L8" s="51" t="n"/>
      <c r="M8" s="56">
        <f>'S41'!M8+L8</f>
        <v/>
      </c>
      <c r="N8" s="57">
        <f>IFERROR(M8/K8,0)</f>
        <v/>
      </c>
      <c r="O8" s="58">
        <f>'S41'!N8</f>
        <v/>
      </c>
      <c r="P8" s="57">
        <f>N8-O8</f>
        <v/>
      </c>
      <c r="Q8" s="32" t="n"/>
      <c r="R8" s="32" t="n"/>
      <c r="S8" s="32" t="n"/>
      <c r="T8" s="55" t="n"/>
      <c r="U8" s="58">
        <f>'S41'!T8</f>
        <v/>
      </c>
      <c r="V8" s="57">
        <f>T8-U8</f>
        <v/>
      </c>
      <c r="W8" s="57">
        <f>N8-T8</f>
        <v/>
      </c>
      <c r="X8" s="34" t="n"/>
    </row>
    <row r="9" ht="22" customHeight="1">
      <c r="B9" s="5" t="n">
        <v>5</v>
      </c>
      <c r="C9" s="6" t="inlineStr">
        <is>
          <t>Sidi Kacem</t>
        </is>
      </c>
      <c r="D9" s="5" t="inlineStr">
        <is>
          <t>BIR TALEB</t>
        </is>
      </c>
      <c r="E9" s="5" t="inlineStr">
        <is>
          <t>50-23</t>
        </is>
      </c>
      <c r="F9" s="5" t="inlineStr">
        <is>
          <t>Entretien et réparation du réseau d'assainissement et de drainage</t>
        </is>
      </c>
      <c r="G9" s="5" t="inlineStr">
        <is>
          <t>Travaux de curage des canaux en terre</t>
        </is>
      </c>
      <c r="H9" s="5" t="inlineStr">
        <is>
          <t>Curage du canal d'assainisement Tihli Aval</t>
        </is>
      </c>
      <c r="I9" s="7" t="n">
        <v>1000000</v>
      </c>
      <c r="J9" s="8" t="inlineStr">
        <is>
          <t>ml</t>
        </is>
      </c>
      <c r="K9" s="9" t="n">
        <v>500</v>
      </c>
      <c r="L9" s="51" t="n"/>
      <c r="M9" s="52">
        <f>'S41'!M9+L9</f>
        <v/>
      </c>
      <c r="N9" s="53">
        <f>IFERROR(M9/K9,0)</f>
        <v/>
      </c>
      <c r="O9" s="54">
        <f>'S41'!N9</f>
        <v/>
      </c>
      <c r="P9" s="53">
        <f>N9-O9</f>
        <v/>
      </c>
      <c r="Q9" s="32" t="n"/>
      <c r="R9" s="32" t="n"/>
      <c r="S9" s="32" t="n"/>
      <c r="T9" s="55" t="n"/>
      <c r="U9" s="54">
        <f>'S41'!T9</f>
        <v/>
      </c>
      <c r="V9" s="53">
        <f>T9-U9</f>
        <v/>
      </c>
      <c r="W9" s="53">
        <f>N9-T9</f>
        <v/>
      </c>
      <c r="X9" s="34" t="n"/>
    </row>
    <row r="10" ht="22" customHeight="1">
      <c r="B10" s="10" t="n">
        <v>6</v>
      </c>
      <c r="C10" s="6" t="inlineStr">
        <is>
          <t>Sidi Kacem</t>
        </is>
      </c>
      <c r="D10" s="10" t="inlineStr">
        <is>
          <t>BIR TALEB</t>
        </is>
      </c>
      <c r="E10" s="10" t="inlineStr">
        <is>
          <t>50-23</t>
        </is>
      </c>
      <c r="F10" s="10" t="inlineStr">
        <is>
          <t>Entretien et réparation du réseau d'assainissement et de drainage</t>
        </is>
      </c>
      <c r="G10" s="10" t="inlineStr"/>
      <c r="H10" s="10" t="inlineStr">
        <is>
          <t>Curage des collecteurs d'assainissement du secteur P11/1</t>
        </is>
      </c>
      <c r="I10" s="11" t="n">
        <v>846731</v>
      </c>
      <c r="J10" s="12" t="inlineStr">
        <is>
          <t>ml</t>
        </is>
      </c>
      <c r="K10" s="13" t="n">
        <v>423</v>
      </c>
      <c r="L10" s="51" t="n"/>
      <c r="M10" s="56">
        <f>'S41'!M10+L10</f>
        <v/>
      </c>
      <c r="N10" s="57">
        <f>IFERROR(M10/K10,0)</f>
        <v/>
      </c>
      <c r="O10" s="58">
        <f>'S41'!N10</f>
        <v/>
      </c>
      <c r="P10" s="57">
        <f>N10-O10</f>
        <v/>
      </c>
      <c r="Q10" s="32" t="n"/>
      <c r="R10" s="32" t="n"/>
      <c r="S10" s="32" t="n"/>
      <c r="T10" s="55" t="n"/>
      <c r="U10" s="58">
        <f>'S41'!T10</f>
        <v/>
      </c>
      <c r="V10" s="57">
        <f>T10-U10</f>
        <v/>
      </c>
      <c r="W10" s="57">
        <f>N10-T10</f>
        <v/>
      </c>
      <c r="X10" s="34" t="n"/>
    </row>
    <row r="11" ht="22" customHeight="1">
      <c r="B11" s="5" t="n">
        <v>7</v>
      </c>
      <c r="C11" s="6" t="inlineStr">
        <is>
          <t>Sidi Kacem</t>
        </is>
      </c>
      <c r="D11" s="5" t="inlineStr">
        <is>
          <t>BIR TALEB</t>
        </is>
      </c>
      <c r="E11" s="5" t="inlineStr">
        <is>
          <t>50-23</t>
        </is>
      </c>
      <c r="F11" s="5" t="inlineStr">
        <is>
          <t>Entretien et réparation du réseau d'assainissement et de drainage</t>
        </is>
      </c>
      <c r="G11" s="5" t="inlineStr">
        <is>
          <t>Curage des prises sur l’oued, bâche d’aspiration et bassin de régulation.</t>
        </is>
      </c>
      <c r="H11" s="5" t="inlineStr">
        <is>
          <t>Curage des prises sur l’oued de la station de pompage P11/1.</t>
        </is>
      </c>
      <c r="I11" s="7" t="n">
        <v>200000</v>
      </c>
      <c r="J11" s="8" t="inlineStr">
        <is>
          <t>ml</t>
        </is>
      </c>
      <c r="K11" s="9" t="n">
        <v>67</v>
      </c>
      <c r="L11" s="51" t="n"/>
      <c r="M11" s="52">
        <f>'S41'!M11+L11</f>
        <v/>
      </c>
      <c r="N11" s="53">
        <f>IFERROR(M11/K11,0)</f>
        <v/>
      </c>
      <c r="O11" s="54">
        <f>'S41'!N11</f>
        <v/>
      </c>
      <c r="P11" s="53">
        <f>N11-O11</f>
        <v/>
      </c>
      <c r="Q11" s="32" t="n"/>
      <c r="R11" s="32" t="n"/>
      <c r="S11" s="32" t="n"/>
      <c r="T11" s="55" t="n"/>
      <c r="U11" s="54">
        <f>'S41'!T11</f>
        <v/>
      </c>
      <c r="V11" s="53">
        <f>T11-U11</f>
        <v/>
      </c>
      <c r="W11" s="53">
        <f>N11-T11</f>
        <v/>
      </c>
      <c r="X11" s="34" t="n"/>
    </row>
    <row r="12" ht="22" customHeight="1">
      <c r="B12" s="10" t="n">
        <v>8</v>
      </c>
      <c r="C12" s="6" t="inlineStr">
        <is>
          <t>Sidi Kacem</t>
        </is>
      </c>
      <c r="D12" s="10" t="inlineStr">
        <is>
          <t>BIR TALEB</t>
        </is>
      </c>
      <c r="E12" s="10" t="inlineStr">
        <is>
          <t>50-21</t>
        </is>
      </c>
      <c r="F12" s="10" t="inlineStr">
        <is>
          <t>Entretien et réparation des stations de pompage</t>
        </is>
      </c>
      <c r="G12" s="10" t="inlineStr">
        <is>
          <t>Prestation de maintenance des débitmètres et leurs équipements annexes installés au niveau des station de pompage</t>
        </is>
      </c>
      <c r="H12" s="10" t="inlineStr">
        <is>
          <t>Changement trois débitmètre Ø 400mm inondés de la station de pompage P11/1</t>
        </is>
      </c>
      <c r="I12" s="11" t="n">
        <v>141900</v>
      </c>
      <c r="J12" s="12" t="inlineStr">
        <is>
          <t>U</t>
        </is>
      </c>
      <c r="K12" s="13" t="n">
        <v>3</v>
      </c>
      <c r="L12" s="51" t="n"/>
      <c r="M12" s="56">
        <f>'S41'!M12+L12</f>
        <v/>
      </c>
      <c r="N12" s="57">
        <f>IFERROR(M12/K12,0)</f>
        <v/>
      </c>
      <c r="O12" s="58">
        <f>'S41'!N12</f>
        <v/>
      </c>
      <c r="P12" s="57">
        <f>N12-O12</f>
        <v/>
      </c>
      <c r="Q12" s="32" t="n"/>
      <c r="R12" s="32" t="n"/>
      <c r="S12" s="32" t="n"/>
      <c r="T12" s="55" t="n"/>
      <c r="U12" s="58">
        <f>'S41'!T12</f>
        <v/>
      </c>
      <c r="V12" s="57">
        <f>T12-U12</f>
        <v/>
      </c>
      <c r="W12" s="57">
        <f>N12-T12</f>
        <v/>
      </c>
      <c r="X12" s="34" t="n"/>
    </row>
    <row r="13" ht="22" customHeight="1">
      <c r="B13" s="5" t="n">
        <v>9</v>
      </c>
      <c r="C13" s="6" t="inlineStr">
        <is>
          <t>Sidi Kacem</t>
        </is>
      </c>
      <c r="D13" s="5" t="inlineStr">
        <is>
          <t>BIR TALEB</t>
        </is>
      </c>
      <c r="E13" s="5" t="inlineStr">
        <is>
          <t>50-21</t>
        </is>
      </c>
      <c r="F13" s="5" t="inlineStr">
        <is>
          <t>Entretien et réparation des stations de pompage</t>
        </is>
      </c>
      <c r="G13" s="5" t="inlineStr">
        <is>
          <t>Prestations de maintenance et de réparation mécanique des pompes et des groupes motopompes submersibles des stations de pompage.</t>
        </is>
      </c>
      <c r="H13" s="5" t="inlineStr">
        <is>
          <t>Démontage et expertise des roues des  pompes principaux et pompes a vide de la station P11/1
Changement des roulements, tresses et organes d’effectués de la station P11/1</t>
        </is>
      </c>
      <c r="I13" s="7" t="n">
        <v>26700</v>
      </c>
      <c r="J13" s="8" t="inlineStr">
        <is>
          <t>U</t>
        </is>
      </c>
      <c r="K13" s="9" t="n">
        <v>1</v>
      </c>
      <c r="L13" s="51" t="n"/>
      <c r="M13" s="52">
        <f>'S41'!M13+L13</f>
        <v/>
      </c>
      <c r="N13" s="53">
        <f>IFERROR(M13/K13,0)</f>
        <v/>
      </c>
      <c r="O13" s="54">
        <f>'S41'!N13</f>
        <v/>
      </c>
      <c r="P13" s="53">
        <f>N13-O13</f>
        <v/>
      </c>
      <c r="Q13" s="32" t="n"/>
      <c r="R13" s="32" t="n"/>
      <c r="S13" s="32" t="n"/>
      <c r="T13" s="55" t="n"/>
      <c r="U13" s="54">
        <f>'S41'!T13</f>
        <v/>
      </c>
      <c r="V13" s="53">
        <f>T13-U13</f>
        <v/>
      </c>
      <c r="W13" s="53">
        <f>N13-T13</f>
        <v/>
      </c>
      <c r="X13" s="34" t="n"/>
    </row>
    <row r="14" ht="22" customHeight="1">
      <c r="B14" s="10" t="n">
        <v>10</v>
      </c>
      <c r="C14" s="6" t="inlineStr">
        <is>
          <t>Sidi Kacem</t>
        </is>
      </c>
      <c r="D14" s="10" t="inlineStr">
        <is>
          <t>BIR TALEB</t>
        </is>
      </c>
      <c r="E14" s="10" t="inlineStr">
        <is>
          <t>50-21</t>
        </is>
      </c>
      <c r="F14" s="10" t="inlineStr">
        <is>
          <t>Entretien et réparation des stations de pompage</t>
        </is>
      </c>
      <c r="G14" s="10" t="inlineStr">
        <is>
          <t>Stabilisation Berge oued</t>
        </is>
      </c>
      <c r="H14" s="10" t="inlineStr">
        <is>
          <t>Pose de  gabions et recouvrement du talus par matelas Reno des stations de pompage P11/1.</t>
        </is>
      </c>
      <c r="I14" s="11" t="n">
        <v>480000</v>
      </c>
      <c r="J14" s="12" t="inlineStr">
        <is>
          <t>m³</t>
        </is>
      </c>
      <c r="K14" s="13" t="n">
        <v>320</v>
      </c>
      <c r="L14" s="51" t="n"/>
      <c r="M14" s="56">
        <f>'S41'!M14+L14</f>
        <v/>
      </c>
      <c r="N14" s="57">
        <f>IFERROR(M14/K14,0)</f>
        <v/>
      </c>
      <c r="O14" s="58">
        <f>'S41'!N14</f>
        <v/>
      </c>
      <c r="P14" s="57">
        <f>N14-O14</f>
        <v/>
      </c>
      <c r="Q14" s="32" t="n"/>
      <c r="R14" s="32" t="n"/>
      <c r="S14" s="32" t="n"/>
      <c r="T14" s="55" t="n"/>
      <c r="U14" s="58">
        <f>'S41'!T14</f>
        <v/>
      </c>
      <c r="V14" s="57">
        <f>T14-U14</f>
        <v/>
      </c>
      <c r="W14" s="57">
        <f>N14-T14</f>
        <v/>
      </c>
      <c r="X14" s="34" t="n"/>
    </row>
    <row r="15" ht="22" customHeight="1">
      <c r="B15" s="5" t="n">
        <v>11</v>
      </c>
      <c r="C15" s="6" t="inlineStr">
        <is>
          <t>Sidi Kacem</t>
        </is>
      </c>
      <c r="D15" s="5" t="inlineStr">
        <is>
          <t>BIR TALEB</t>
        </is>
      </c>
      <c r="E15" s="5" t="inlineStr">
        <is>
          <t>50-21</t>
        </is>
      </c>
      <c r="F15" s="5" t="inlineStr">
        <is>
          <t>Entretien et réparation des stations de pompage</t>
        </is>
      </c>
      <c r="G15" s="5" t="inlineStr">
        <is>
          <t>Génie civile des locaux des stations de pompage.</t>
        </is>
      </c>
      <c r="H15" s="5" t="inlineStr">
        <is>
          <t>Expertise d’état et d’étanchéité des locaux pompes.
Renforcement d’étanchéité des locaux pompe sous niveau des oueds des stations de pompage P11/1.
Entretien des supports en béton des conduites d’aspiration.</t>
        </is>
      </c>
      <c r="I15" s="7" t="n">
        <v>300000</v>
      </c>
      <c r="J15" s="8" t="inlineStr">
        <is>
          <t>U</t>
        </is>
      </c>
      <c r="K15" s="9" t="n">
        <v>1</v>
      </c>
      <c r="L15" s="51" t="n"/>
      <c r="M15" s="52">
        <f>'S41'!M15+L15</f>
        <v/>
      </c>
      <c r="N15" s="53">
        <f>IFERROR(M15/K15,0)</f>
        <v/>
      </c>
      <c r="O15" s="54">
        <f>'S41'!N15</f>
        <v/>
      </c>
      <c r="P15" s="53">
        <f>N15-O15</f>
        <v/>
      </c>
      <c r="Q15" s="32" t="n"/>
      <c r="R15" s="32" t="n"/>
      <c r="S15" s="32" t="n"/>
      <c r="T15" s="55" t="n"/>
      <c r="U15" s="54">
        <f>'S41'!T15</f>
        <v/>
      </c>
      <c r="V15" s="53">
        <f>T15-U15</f>
        <v/>
      </c>
      <c r="W15" s="53">
        <f>N15-T15</f>
        <v/>
      </c>
      <c r="X15" s="34" t="n"/>
    </row>
    <row r="16" ht="22" customHeight="1">
      <c r="B16" s="10" t="n">
        <v>12</v>
      </c>
      <c r="C16" s="6" t="inlineStr">
        <is>
          <t>Sidi Kacem</t>
        </is>
      </c>
      <c r="D16" s="10" t="inlineStr">
        <is>
          <t>CHEBANAT</t>
        </is>
      </c>
      <c r="E16" s="10" t="inlineStr">
        <is>
          <t>50-23</t>
        </is>
      </c>
      <c r="F16" s="10" t="inlineStr">
        <is>
          <t>Entretien et réparation du réseau d'assainissement et de drainage</t>
        </is>
      </c>
      <c r="G16" s="10" t="inlineStr">
        <is>
          <t>Travaux de curage des canaux en terre</t>
        </is>
      </c>
      <c r="H16" s="10" t="inlineStr">
        <is>
          <t>Curage des collecteurs d'assainissement des secteur SH5 et SH6.</t>
        </is>
      </c>
      <c r="I16" s="11" t="n">
        <v>1000000</v>
      </c>
      <c r="J16" s="12" t="inlineStr">
        <is>
          <t>ml</t>
        </is>
      </c>
      <c r="K16" s="13" t="n">
        <v>500</v>
      </c>
      <c r="L16" s="51" t="n"/>
      <c r="M16" s="56">
        <f>'S41'!M16+L16</f>
        <v/>
      </c>
      <c r="N16" s="57">
        <f>IFERROR(M16/K16,0)</f>
        <v/>
      </c>
      <c r="O16" s="58">
        <f>'S41'!N16</f>
        <v/>
      </c>
      <c r="P16" s="57">
        <f>N16-O16</f>
        <v/>
      </c>
      <c r="Q16" s="32" t="n"/>
      <c r="R16" s="32" t="n"/>
      <c r="S16" s="32" t="n"/>
      <c r="T16" s="55" t="n"/>
      <c r="U16" s="58">
        <f>'S41'!T16</f>
        <v/>
      </c>
      <c r="V16" s="57">
        <f>T16-U16</f>
        <v/>
      </c>
      <c r="W16" s="57">
        <f>N16-T16</f>
        <v/>
      </c>
      <c r="X16" s="34" t="n"/>
    </row>
    <row r="17" ht="22" customHeight="1">
      <c r="B17" s="5" t="n">
        <v>13</v>
      </c>
      <c r="C17" s="6" t="inlineStr">
        <is>
          <t>Sidi Kacem</t>
        </is>
      </c>
      <c r="D17" s="5" t="inlineStr">
        <is>
          <t>CHEBANAT</t>
        </is>
      </c>
      <c r="E17" s="5" t="inlineStr">
        <is>
          <t>50-23</t>
        </is>
      </c>
      <c r="F17" s="5" t="inlineStr">
        <is>
          <t>Entretien et réparation du réseau d'assainissement et de drainage</t>
        </is>
      </c>
      <c r="G17" s="5" t="inlineStr">
        <is>
          <t>Travaux de curage des canaux révetus</t>
        </is>
      </c>
      <c r="H17" s="5" t="inlineStr">
        <is>
          <t>Curage du canal principal d'irrigation beht partie aval 1.</t>
        </is>
      </c>
      <c r="I17" s="7" t="n">
        <v>739200</v>
      </c>
      <c r="J17" s="8" t="inlineStr">
        <is>
          <t>ml</t>
        </is>
      </c>
      <c r="K17" s="9" t="n">
        <v>370</v>
      </c>
      <c r="L17" s="51" t="n"/>
      <c r="M17" s="52">
        <f>'S41'!M17+L17</f>
        <v/>
      </c>
      <c r="N17" s="53">
        <f>IFERROR(M17/K17,0)</f>
        <v/>
      </c>
      <c r="O17" s="54">
        <f>'S41'!N17</f>
        <v/>
      </c>
      <c r="P17" s="53">
        <f>N17-O17</f>
        <v/>
      </c>
      <c r="Q17" s="32" t="n"/>
      <c r="R17" s="32" t="n"/>
      <c r="S17" s="32" t="n"/>
      <c r="T17" s="55" t="n"/>
      <c r="U17" s="54">
        <f>'S41'!T17</f>
        <v/>
      </c>
      <c r="V17" s="53">
        <f>T17-U17</f>
        <v/>
      </c>
      <c r="W17" s="53">
        <f>N17-T17</f>
        <v/>
      </c>
      <c r="X17" s="34" t="n"/>
    </row>
    <row r="18" ht="22" customHeight="1">
      <c r="B18" s="10" t="n">
        <v>14</v>
      </c>
      <c r="C18" s="6" t="inlineStr">
        <is>
          <t>Sidi Kacem</t>
        </is>
      </c>
      <c r="D18" s="10" t="inlineStr">
        <is>
          <t>ZIRARA</t>
        </is>
      </c>
      <c r="E18" s="10" t="inlineStr">
        <is>
          <t>50-23</t>
        </is>
      </c>
      <c r="F18" s="10" t="inlineStr">
        <is>
          <t>Entretien et réparation du réseau d'assainissement et de drainage</t>
        </is>
      </c>
      <c r="G18" s="10" t="inlineStr">
        <is>
          <t>Travaux de curage des canaux révetus</t>
        </is>
      </c>
      <c r="H18" s="10" t="inlineStr">
        <is>
          <t>Curage du canal principal d'irrigation beht partie aval 2.</t>
        </is>
      </c>
      <c r="I18" s="11" t="n">
        <v>1276800</v>
      </c>
      <c r="J18" s="12" t="inlineStr">
        <is>
          <t>ml</t>
        </is>
      </c>
      <c r="K18" s="13" t="n">
        <v>638</v>
      </c>
      <c r="L18" s="51" t="n"/>
      <c r="M18" s="56">
        <f>'S41'!M18+L18</f>
        <v/>
      </c>
      <c r="N18" s="57">
        <f>IFERROR(M18/K18,0)</f>
        <v/>
      </c>
      <c r="O18" s="58">
        <f>'S41'!N18</f>
        <v/>
      </c>
      <c r="P18" s="57">
        <f>N18-O18</f>
        <v/>
      </c>
      <c r="Q18" s="32" t="n"/>
      <c r="R18" s="32" t="n"/>
      <c r="S18" s="32" t="n"/>
      <c r="T18" s="55" t="n"/>
      <c r="U18" s="58">
        <f>'S41'!T18</f>
        <v/>
      </c>
      <c r="V18" s="57">
        <f>T18-U18</f>
        <v/>
      </c>
      <c r="W18" s="57">
        <f>N18-T18</f>
        <v/>
      </c>
      <c r="X18" s="34" t="n"/>
    </row>
    <row r="19" ht="22" customHeight="1">
      <c r="B19" s="5" t="n">
        <v>15</v>
      </c>
      <c r="C19" s="6" t="inlineStr">
        <is>
          <t>Sidi Kacem</t>
        </is>
      </c>
      <c r="D19" s="5" t="inlineStr">
        <is>
          <t>DAR LAASLOUJI</t>
        </is>
      </c>
      <c r="E19" s="5" t="inlineStr">
        <is>
          <t>50-23</t>
        </is>
      </c>
      <c r="F19" s="5" t="inlineStr">
        <is>
          <t>Entretien et réparation du réseau d'assainissement et de drainage</t>
        </is>
      </c>
      <c r="G19" s="5" t="inlineStr">
        <is>
          <t>Travaux de curage des canaux en terre</t>
        </is>
      </c>
      <c r="H19" s="5" t="inlineStr">
        <is>
          <t>Curage des collecteurs d'assainissement des secteurs P8-1 et P8-2</t>
        </is>
      </c>
      <c r="I19" s="7" t="n">
        <v>5796360</v>
      </c>
      <c r="J19" s="8" t="inlineStr">
        <is>
          <t>ml</t>
        </is>
      </c>
      <c r="K19" s="9" t="n">
        <v>2898</v>
      </c>
      <c r="L19" s="51" t="n"/>
      <c r="M19" s="52">
        <f>'S41'!M19+L19</f>
        <v/>
      </c>
      <c r="N19" s="53">
        <f>IFERROR(M19/K19,0)</f>
        <v/>
      </c>
      <c r="O19" s="54">
        <f>'S41'!N19</f>
        <v/>
      </c>
      <c r="P19" s="53">
        <f>N19-O19</f>
        <v/>
      </c>
      <c r="Q19" s="32" t="n"/>
      <c r="R19" s="32" t="n"/>
      <c r="S19" s="32" t="n"/>
      <c r="T19" s="55" t="n"/>
      <c r="U19" s="54">
        <f>'S41'!T19</f>
        <v/>
      </c>
      <c r="V19" s="53">
        <f>T19-U19</f>
        <v/>
      </c>
      <c r="W19" s="53">
        <f>N19-T19</f>
        <v/>
      </c>
      <c r="X19" s="34" t="n"/>
    </row>
    <row r="20" ht="22" customHeight="1">
      <c r="B20" s="10" t="n">
        <v>16</v>
      </c>
      <c r="C20" s="6" t="inlineStr">
        <is>
          <t>Sidi Kacem</t>
        </is>
      </c>
      <c r="D20" s="10" t="inlineStr">
        <is>
          <t>DAR LAASLOUJI</t>
        </is>
      </c>
      <c r="E20" s="10" t="inlineStr">
        <is>
          <t>40-21</t>
        </is>
      </c>
      <c r="F20" s="10" t="inlineStr">
        <is>
          <t>Travaux de pistes</t>
        </is>
      </c>
      <c r="G20" s="10" t="inlineStr">
        <is>
          <t>Entretien des pistes agricoles</t>
        </is>
      </c>
      <c r="H20" s="10" t="inlineStr">
        <is>
          <t>Entretien des pistes agricoles</t>
        </is>
      </c>
      <c r="I20" s="11" t="n">
        <v>340000</v>
      </c>
      <c r="J20" s="12" t="inlineStr">
        <is>
          <t>km</t>
        </is>
      </c>
      <c r="K20" s="13" t="n">
        <v>1</v>
      </c>
      <c r="L20" s="51" t="n"/>
      <c r="M20" s="56">
        <f>'S41'!M20+L20</f>
        <v/>
      </c>
      <c r="N20" s="57">
        <f>IFERROR(M20/K20,0)</f>
        <v/>
      </c>
      <c r="O20" s="58">
        <f>'S41'!N20</f>
        <v/>
      </c>
      <c r="P20" s="57">
        <f>N20-O20</f>
        <v/>
      </c>
      <c r="Q20" s="32" t="n"/>
      <c r="R20" s="32" t="n"/>
      <c r="S20" s="32" t="n"/>
      <c r="T20" s="55" t="n"/>
      <c r="U20" s="58">
        <f>'S41'!T20</f>
        <v/>
      </c>
      <c r="V20" s="57">
        <f>T20-U20</f>
        <v/>
      </c>
      <c r="W20" s="57">
        <f>N20-T20</f>
        <v/>
      </c>
      <c r="X20" s="34" t="n"/>
    </row>
    <row r="21" ht="22" customHeight="1">
      <c r="B21" s="5" t="n">
        <v>17</v>
      </c>
      <c r="C21" s="6" t="inlineStr">
        <is>
          <t>Sidi Kacem</t>
        </is>
      </c>
      <c r="D21" s="5" t="inlineStr">
        <is>
          <t>HOUAFATE</t>
        </is>
      </c>
      <c r="E21" s="5" t="inlineStr">
        <is>
          <t>20-11</t>
        </is>
      </c>
      <c r="F21" s="5" t="inlineStr">
        <is>
          <t>Travaux de réhabilitation des équipements</t>
        </is>
      </c>
      <c r="G21" s="5" t="inlineStr">
        <is>
          <t>Travaux de réhabilitation des canaux portés d'irrigation</t>
        </is>
      </c>
      <c r="H21" s="5" t="inlineStr">
        <is>
          <t>Fourniture et de pose de canaux porté et accessoires du réseau S3 du secteur S13</t>
        </is>
      </c>
      <c r="I21" s="7" t="n">
        <v>397934</v>
      </c>
      <c r="J21" s="8" t="inlineStr">
        <is>
          <t>ml</t>
        </is>
      </c>
      <c r="K21" s="9" t="n">
        <v>133</v>
      </c>
      <c r="L21" s="51" t="n"/>
      <c r="M21" s="52">
        <f>'S41'!M21+L21</f>
        <v/>
      </c>
      <c r="N21" s="53">
        <f>IFERROR(M21/K21,0)</f>
        <v/>
      </c>
      <c r="O21" s="54">
        <f>'S41'!N21</f>
        <v/>
      </c>
      <c r="P21" s="53">
        <f>N21-O21</f>
        <v/>
      </c>
      <c r="Q21" s="32" t="n"/>
      <c r="R21" s="32" t="n"/>
      <c r="S21" s="32" t="n"/>
      <c r="T21" s="55" t="n"/>
      <c r="U21" s="54">
        <f>'S41'!T21</f>
        <v/>
      </c>
      <c r="V21" s="53">
        <f>T21-U21</f>
        <v/>
      </c>
      <c r="W21" s="53">
        <f>N21-T21</f>
        <v/>
      </c>
      <c r="X21" s="34" t="n"/>
    </row>
    <row r="22" ht="22" customHeight="1">
      <c r="B22" s="10" t="n">
        <v>18</v>
      </c>
      <c r="C22" s="6" t="inlineStr">
        <is>
          <t>Sidi Kacem</t>
        </is>
      </c>
      <c r="D22" s="10" t="inlineStr">
        <is>
          <t>HOUAFATE</t>
        </is>
      </c>
      <c r="E22" s="10" t="inlineStr">
        <is>
          <t>20-11</t>
        </is>
      </c>
      <c r="F22" s="10" t="inlineStr">
        <is>
          <t>Travaux de réhabilitation des équipements</t>
        </is>
      </c>
      <c r="G22" s="10" t="inlineStr"/>
      <c r="H22" s="10" t="inlineStr">
        <is>
          <t>Fourniture et de pose de canaux porté et accessoires du réseau T2S1 du secteur S13</t>
        </is>
      </c>
      <c r="I22" s="11" t="n">
        <v>207575</v>
      </c>
      <c r="J22" s="12" t="inlineStr">
        <is>
          <t>ml</t>
        </is>
      </c>
      <c r="K22" s="13" t="n">
        <v>69</v>
      </c>
      <c r="L22" s="51" t="n"/>
      <c r="M22" s="56">
        <f>'S41'!M22+L22</f>
        <v/>
      </c>
      <c r="N22" s="57">
        <f>IFERROR(M22/K22,0)</f>
        <v/>
      </c>
      <c r="O22" s="58">
        <f>'S41'!N22</f>
        <v/>
      </c>
      <c r="P22" s="57">
        <f>N22-O22</f>
        <v/>
      </c>
      <c r="Q22" s="32" t="n"/>
      <c r="R22" s="32" t="n"/>
      <c r="S22" s="32" t="n"/>
      <c r="T22" s="55" t="n"/>
      <c r="U22" s="58">
        <f>'S41'!T22</f>
        <v/>
      </c>
      <c r="V22" s="57">
        <f>T22-U22</f>
        <v/>
      </c>
      <c r="W22" s="57">
        <f>N22-T22</f>
        <v/>
      </c>
      <c r="X22" s="34" t="n"/>
    </row>
    <row r="23" ht="22" customHeight="1">
      <c r="B23" s="5" t="n">
        <v>19</v>
      </c>
      <c r="C23" s="6" t="inlineStr">
        <is>
          <t>Sidi Kacem</t>
        </is>
      </c>
      <c r="D23" s="5" t="inlineStr">
        <is>
          <t>HOUAFATE</t>
        </is>
      </c>
      <c r="E23" s="5" t="inlineStr">
        <is>
          <t>40-21</t>
        </is>
      </c>
      <c r="F23" s="5" t="inlineStr">
        <is>
          <t>Travaux de pistes</t>
        </is>
      </c>
      <c r="G23" s="5" t="inlineStr">
        <is>
          <t>Entretien des pistes agricoles</t>
        </is>
      </c>
      <c r="H23" s="5" t="inlineStr">
        <is>
          <t>Entretien des pistes agricoles</t>
        </is>
      </c>
      <c r="I23" s="7" t="n">
        <v>2200000</v>
      </c>
      <c r="J23" s="8" t="inlineStr">
        <is>
          <t>km</t>
        </is>
      </c>
      <c r="K23" s="9" t="n">
        <v>4</v>
      </c>
      <c r="L23" s="51" t="n"/>
      <c r="M23" s="52">
        <f>'S41'!M23+L23</f>
        <v/>
      </c>
      <c r="N23" s="53">
        <f>IFERROR(M23/K23,0)</f>
        <v/>
      </c>
      <c r="O23" s="54">
        <f>'S41'!N23</f>
        <v/>
      </c>
      <c r="P23" s="53">
        <f>N23-O23</f>
        <v/>
      </c>
      <c r="Q23" s="32" t="n"/>
      <c r="R23" s="32" t="n"/>
      <c r="S23" s="32" t="n"/>
      <c r="T23" s="55" t="n"/>
      <c r="U23" s="54">
        <f>'S41'!T23</f>
        <v/>
      </c>
      <c r="V23" s="53">
        <f>T23-U23</f>
        <v/>
      </c>
      <c r="W23" s="53">
        <f>N23-T23</f>
        <v/>
      </c>
      <c r="X23" s="34" t="n"/>
    </row>
    <row r="24" ht="22" customHeight="1">
      <c r="B24" s="10" t="n">
        <v>20</v>
      </c>
      <c r="C24" s="6" t="inlineStr">
        <is>
          <t>Sidi Kacem</t>
        </is>
      </c>
      <c r="D24" s="10" t="inlineStr">
        <is>
          <t>HOUAFATE</t>
        </is>
      </c>
      <c r="E24" s="10" t="inlineStr">
        <is>
          <t>50-23</t>
        </is>
      </c>
      <c r="F24" s="10" t="inlineStr">
        <is>
          <t>Entretien et réparation du réseau d'assainissement et de drainage</t>
        </is>
      </c>
      <c r="G24" s="10" t="inlineStr">
        <is>
          <t>Curage des prises sur l’oued, bâche d’aspiration et bassin de régulation.</t>
        </is>
      </c>
      <c r="H24" s="10" t="inlineStr">
        <is>
          <t>Curage des prises sur l’oued de la station de pompage S17 et S13.
Nettoyage des grilles de préfiltration des boues colmaté de la station de pompage S17 et S13.
Curage de la bâche d’aspiration de la station S17 et S13.</t>
        </is>
      </c>
      <c r="I24" s="11" t="n">
        <v>300000</v>
      </c>
      <c r="J24" s="12" t="inlineStr">
        <is>
          <t>ml</t>
        </is>
      </c>
      <c r="K24" s="13" t="n">
        <v>100</v>
      </c>
      <c r="L24" s="51" t="n"/>
      <c r="M24" s="56">
        <f>'S41'!M24+L24</f>
        <v/>
      </c>
      <c r="N24" s="57">
        <f>IFERROR(M24/K24,0)</f>
        <v/>
      </c>
      <c r="O24" s="58">
        <f>'S41'!N24</f>
        <v/>
      </c>
      <c r="P24" s="57">
        <f>N24-O24</f>
        <v/>
      </c>
      <c r="Q24" s="32" t="n"/>
      <c r="R24" s="32" t="n"/>
      <c r="S24" s="32" t="n"/>
      <c r="T24" s="55" t="n"/>
      <c r="U24" s="58">
        <f>'S41'!T24</f>
        <v/>
      </c>
      <c r="V24" s="57">
        <f>T24-U24</f>
        <v/>
      </c>
      <c r="W24" s="57">
        <f>N24-T24</f>
        <v/>
      </c>
      <c r="X24" s="34" t="n"/>
    </row>
    <row r="25" ht="22" customHeight="1">
      <c r="B25" s="5" t="n">
        <v>21</v>
      </c>
      <c r="C25" s="6" t="inlineStr">
        <is>
          <t>Sidi Kacem</t>
        </is>
      </c>
      <c r="D25" s="5" t="inlineStr">
        <is>
          <t>HOUAFATE</t>
        </is>
      </c>
      <c r="E25" s="5" t="inlineStr">
        <is>
          <t>50-21</t>
        </is>
      </c>
      <c r="F25" s="5" t="inlineStr">
        <is>
          <t>Entretien et réparation des stations de pompage</t>
        </is>
      </c>
      <c r="G25" s="5" t="inlineStr">
        <is>
          <t>Prestation de maintenance des débitmètres et leurs équipements annexes installés au niveau des station de pompage</t>
        </is>
      </c>
      <c r="H25" s="5" t="inlineStr">
        <is>
          <t>Changement trois débitmètre Ø 600mm inondés de la station de pompage S13.</t>
        </is>
      </c>
      <c r="I25" s="7" t="n">
        <v>250000</v>
      </c>
      <c r="J25" s="8" t="inlineStr">
        <is>
          <t>U</t>
        </is>
      </c>
      <c r="K25" s="9" t="n">
        <v>3</v>
      </c>
      <c r="L25" s="51" t="n"/>
      <c r="M25" s="52">
        <f>'S41'!M25+L25</f>
        <v/>
      </c>
      <c r="N25" s="53">
        <f>IFERROR(M25/K25,0)</f>
        <v/>
      </c>
      <c r="O25" s="54">
        <f>'S41'!N25</f>
        <v/>
      </c>
      <c r="P25" s="53">
        <f>N25-O25</f>
        <v/>
      </c>
      <c r="Q25" s="32" t="n"/>
      <c r="R25" s="32" t="n"/>
      <c r="S25" s="32" t="n"/>
      <c r="T25" s="55" t="n"/>
      <c r="U25" s="54">
        <f>'S41'!T25</f>
        <v/>
      </c>
      <c r="V25" s="53">
        <f>T25-U25</f>
        <v/>
      </c>
      <c r="W25" s="53">
        <f>N25-T25</f>
        <v/>
      </c>
      <c r="X25" s="34" t="n"/>
    </row>
    <row r="26" ht="22" customHeight="1">
      <c r="B26" s="10" t="n">
        <v>22</v>
      </c>
      <c r="C26" s="6" t="inlineStr">
        <is>
          <t>Sidi Kacem</t>
        </is>
      </c>
      <c r="D26" s="10" t="inlineStr">
        <is>
          <t>HOUAFATE</t>
        </is>
      </c>
      <c r="E26" s="10" t="inlineStr">
        <is>
          <t>50-21</t>
        </is>
      </c>
      <c r="F26" s="10" t="inlineStr">
        <is>
          <t>Entretien et réparation des stations de pompage</t>
        </is>
      </c>
      <c r="G26" s="10" t="inlineStr">
        <is>
          <t>Prestations de maintenance des moteurs électriques des stations de pompage.</t>
        </is>
      </c>
      <c r="H26" s="10" t="inlineStr">
        <is>
          <t>Révision des trois moteurs électriques 200 KW principaux de la station S13. 
Révision des deux moteurs électriques 5,5 KW groupes vide de la station S13.</t>
        </is>
      </c>
      <c r="I26" s="11" t="n">
        <v>25000</v>
      </c>
      <c r="J26" s="12" t="inlineStr">
        <is>
          <t>U</t>
        </is>
      </c>
      <c r="K26" s="13" t="n">
        <v>3</v>
      </c>
      <c r="L26" s="51" t="n"/>
      <c r="M26" s="56">
        <f>'S41'!M26+L26</f>
        <v/>
      </c>
      <c r="N26" s="57">
        <f>IFERROR(M26/K26,0)</f>
        <v/>
      </c>
      <c r="O26" s="58">
        <f>'S41'!N26</f>
        <v/>
      </c>
      <c r="P26" s="57">
        <f>N26-O26</f>
        <v/>
      </c>
      <c r="Q26" s="32" t="n"/>
      <c r="R26" s="32" t="n"/>
      <c r="S26" s="32" t="n"/>
      <c r="T26" s="55" t="n"/>
      <c r="U26" s="58">
        <f>'S41'!T26</f>
        <v/>
      </c>
      <c r="V26" s="57">
        <f>T26-U26</f>
        <v/>
      </c>
      <c r="W26" s="57">
        <f>N26-T26</f>
        <v/>
      </c>
      <c r="X26" s="34" t="n"/>
    </row>
    <row r="27" ht="22" customHeight="1">
      <c r="B27" s="5" t="n">
        <v>23</v>
      </c>
      <c r="C27" s="6" t="inlineStr">
        <is>
          <t>Sidi Kacem</t>
        </is>
      </c>
      <c r="D27" s="5" t="inlineStr">
        <is>
          <t>HOUAFATE</t>
        </is>
      </c>
      <c r="E27" s="5" t="inlineStr">
        <is>
          <t>50-21</t>
        </is>
      </c>
      <c r="F27" s="5" t="inlineStr">
        <is>
          <t>Entretien et réparation des stations de pompage</t>
        </is>
      </c>
      <c r="G27" s="5" t="inlineStr">
        <is>
          <t>Prestations de maintenance et de réparation mécanique des pompes et des groupes motopompes submersibles des stations de pompage.</t>
        </is>
      </c>
      <c r="H27" s="5" t="inlineStr">
        <is>
          <t>Démontage et expertise des roues des  pompes principaux et pompes a vide de la station S13.
Changement des roulements, tresses et organes d’effectués de la station S13.</t>
        </is>
      </c>
      <c r="I27" s="7" t="n">
        <v>38000</v>
      </c>
      <c r="J27" s="8" t="inlineStr">
        <is>
          <t>U</t>
        </is>
      </c>
      <c r="K27" s="9" t="n">
        <v>1</v>
      </c>
      <c r="L27" s="51" t="n"/>
      <c r="M27" s="52">
        <f>'S41'!M27+L27</f>
        <v/>
      </c>
      <c r="N27" s="53">
        <f>IFERROR(M27/K27,0)</f>
        <v/>
      </c>
      <c r="O27" s="54">
        <f>'S41'!N27</f>
        <v/>
      </c>
      <c r="P27" s="53">
        <f>N27-O27</f>
        <v/>
      </c>
      <c r="Q27" s="32" t="n"/>
      <c r="R27" s="32" t="n"/>
      <c r="S27" s="32" t="n"/>
      <c r="T27" s="55" t="n"/>
      <c r="U27" s="54">
        <f>'S41'!T27</f>
        <v/>
      </c>
      <c r="V27" s="53">
        <f>T27-U27</f>
        <v/>
      </c>
      <c r="W27" s="53">
        <f>N27-T27</f>
        <v/>
      </c>
      <c r="X27" s="34" t="n"/>
    </row>
    <row r="28" ht="22" customHeight="1">
      <c r="B28" s="10" t="n">
        <v>24</v>
      </c>
      <c r="C28" s="6" t="inlineStr">
        <is>
          <t>Sidi Kacem</t>
        </is>
      </c>
      <c r="D28" s="10" t="inlineStr">
        <is>
          <t>HOUAFATE</t>
        </is>
      </c>
      <c r="E28" s="10" t="inlineStr">
        <is>
          <t>50-21</t>
        </is>
      </c>
      <c r="F28" s="10" t="inlineStr">
        <is>
          <t>Entretien et réparation des stations de pompage</t>
        </is>
      </c>
      <c r="G28" s="10" t="inlineStr">
        <is>
          <t>Stabilisation Berge oued</t>
        </is>
      </c>
      <c r="H28" s="10" t="inlineStr">
        <is>
          <t>Pose de  gabions et recouvrement du talus par matelas Reno des stations de pompage S13.</t>
        </is>
      </c>
      <c r="I28" s="11" t="n">
        <v>10560000</v>
      </c>
      <c r="J28" s="12" t="inlineStr">
        <is>
          <t>m³</t>
        </is>
      </c>
      <c r="K28" s="13" t="n">
        <v>7040</v>
      </c>
      <c r="L28" s="51" t="n"/>
      <c r="M28" s="56">
        <f>'S41'!M28+L28</f>
        <v/>
      </c>
      <c r="N28" s="57">
        <f>IFERROR(M28/K28,0)</f>
        <v/>
      </c>
      <c r="O28" s="58">
        <f>'S41'!N28</f>
        <v/>
      </c>
      <c r="P28" s="57">
        <f>N28-O28</f>
        <v/>
      </c>
      <c r="Q28" s="32" t="n"/>
      <c r="R28" s="32" t="n"/>
      <c r="S28" s="32" t="n"/>
      <c r="T28" s="55" t="n"/>
      <c r="U28" s="58">
        <f>'S41'!T28</f>
        <v/>
      </c>
      <c r="V28" s="57">
        <f>T28-U28</f>
        <v/>
      </c>
      <c r="W28" s="57">
        <f>N28-T28</f>
        <v/>
      </c>
      <c r="X28" s="34" t="n"/>
    </row>
    <row r="29" ht="22" customHeight="1">
      <c r="B29" s="5" t="n">
        <v>25</v>
      </c>
      <c r="C29" s="6" t="inlineStr">
        <is>
          <t>Sidi Kacem</t>
        </is>
      </c>
      <c r="D29" s="5" t="inlineStr">
        <is>
          <t>HOUAFATE</t>
        </is>
      </c>
      <c r="E29" s="5" t="inlineStr">
        <is>
          <t>50-21</t>
        </is>
      </c>
      <c r="F29" s="5" t="inlineStr">
        <is>
          <t>Entretien et réparation des stations de pompage</t>
        </is>
      </c>
      <c r="G29" s="5" t="inlineStr">
        <is>
          <t>Mur clôture des stations de pompage.</t>
        </is>
      </c>
      <c r="H29" s="5" t="inlineStr">
        <is>
          <t>Stabilisation du sol et reconstruction des murs clôture (270m) cote oued de la station S17.</t>
        </is>
      </c>
      <c r="I29" s="7" t="n">
        <v>144000</v>
      </c>
      <c r="J29" s="8" t="inlineStr">
        <is>
          <t>ml</t>
        </is>
      </c>
      <c r="K29" s="9" t="n">
        <v>270</v>
      </c>
      <c r="L29" s="51" t="n"/>
      <c r="M29" s="52">
        <f>'S41'!M29+L29</f>
        <v/>
      </c>
      <c r="N29" s="53">
        <f>IFERROR(M29/K29,0)</f>
        <v/>
      </c>
      <c r="O29" s="54">
        <f>'S41'!N29</f>
        <v/>
      </c>
      <c r="P29" s="53">
        <f>N29-O29</f>
        <v/>
      </c>
      <c r="Q29" s="32" t="n"/>
      <c r="R29" s="32" t="n"/>
      <c r="S29" s="32" t="n"/>
      <c r="T29" s="55" t="n"/>
      <c r="U29" s="54">
        <f>'S41'!T29</f>
        <v/>
      </c>
      <c r="V29" s="53">
        <f>T29-U29</f>
        <v/>
      </c>
      <c r="W29" s="53">
        <f>N29-T29</f>
        <v/>
      </c>
      <c r="X29" s="34" t="n"/>
    </row>
    <row r="30" ht="22" customHeight="1">
      <c r="B30" s="10" t="n">
        <v>26</v>
      </c>
      <c r="C30" s="6" t="inlineStr">
        <is>
          <t>Sidi Kacem</t>
        </is>
      </c>
      <c r="D30" s="10" t="inlineStr">
        <is>
          <t>HOUAFATE</t>
        </is>
      </c>
      <c r="E30" s="10" t="inlineStr">
        <is>
          <t>50-21</t>
        </is>
      </c>
      <c r="F30" s="10" t="inlineStr">
        <is>
          <t>Entretien et réparation des stations de pompage</t>
        </is>
      </c>
      <c r="G30" s="10" t="inlineStr">
        <is>
          <t>Génie civile des locaux des stations de pompage.</t>
        </is>
      </c>
      <c r="H30" s="10" t="inlineStr">
        <is>
          <t>Expertise d’état et d’étanchéité des locaux pompes, commande, puissance des stations de pompage S17 et S13.
Renforcement d’étanchéité des locaux pompe sous niveau des oueds des stations de pompage S17 et S13.</t>
        </is>
      </c>
      <c r="I30" s="11" t="n">
        <v>800000</v>
      </c>
      <c r="J30" s="12" t="inlineStr">
        <is>
          <t>U</t>
        </is>
      </c>
      <c r="K30" s="13" t="n">
        <v>1</v>
      </c>
      <c r="L30" s="51" t="n"/>
      <c r="M30" s="56">
        <f>'S41'!M30+L30</f>
        <v/>
      </c>
      <c r="N30" s="57">
        <f>IFERROR(M30/K30,0)</f>
        <v/>
      </c>
      <c r="O30" s="58">
        <f>'S41'!N30</f>
        <v/>
      </c>
      <c r="P30" s="57">
        <f>N30-O30</f>
        <v/>
      </c>
      <c r="Q30" s="32" t="n"/>
      <c r="R30" s="32" t="n"/>
      <c r="S30" s="32" t="n"/>
      <c r="T30" s="55" t="n"/>
      <c r="U30" s="58">
        <f>'S41'!T30</f>
        <v/>
      </c>
      <c r="V30" s="57">
        <f>T30-U30</f>
        <v/>
      </c>
      <c r="W30" s="57">
        <f>N30-T30</f>
        <v/>
      </c>
      <c r="X30" s="34" t="n"/>
    </row>
    <row r="31" ht="22" customHeight="1">
      <c r="B31" s="5" t="n">
        <v>27</v>
      </c>
      <c r="C31" s="6" t="inlineStr">
        <is>
          <t>Sidi Kacem</t>
        </is>
      </c>
      <c r="D31" s="5" t="inlineStr">
        <is>
          <t>NOUIRAT</t>
        </is>
      </c>
      <c r="E31" s="5" t="inlineStr">
        <is>
          <t>50-23</t>
        </is>
      </c>
      <c r="F31" s="5" t="inlineStr">
        <is>
          <t>Entretien et réparation du réseau d'assainissement et de drainage</t>
        </is>
      </c>
      <c r="G31" s="5" t="inlineStr">
        <is>
          <t>Travaux de curage des canaux en terre</t>
        </is>
      </c>
      <c r="H31" s="5" t="inlineStr">
        <is>
          <t>Curage des collecteurs d'assainissement des secteurs EST1 et N5</t>
        </is>
      </c>
      <c r="I31" s="7" t="n">
        <v>1733306</v>
      </c>
      <c r="J31" s="8" t="inlineStr">
        <is>
          <t>ml</t>
        </is>
      </c>
      <c r="K31" s="9" t="n">
        <v>867</v>
      </c>
      <c r="L31" s="51" t="n"/>
      <c r="M31" s="52">
        <f>'S41'!M31+L31</f>
        <v/>
      </c>
      <c r="N31" s="53">
        <f>IFERROR(M31/K31,0)</f>
        <v/>
      </c>
      <c r="O31" s="54">
        <f>'S41'!N31</f>
        <v/>
      </c>
      <c r="P31" s="53">
        <f>N31-O31</f>
        <v/>
      </c>
      <c r="Q31" s="32" t="n"/>
      <c r="R31" s="32" t="n"/>
      <c r="S31" s="32" t="n"/>
      <c r="T31" s="55" t="n"/>
      <c r="U31" s="54">
        <f>'S41'!T31</f>
        <v/>
      </c>
      <c r="V31" s="53">
        <f>T31-U31</f>
        <v/>
      </c>
      <c r="W31" s="53">
        <f>N31-T31</f>
        <v/>
      </c>
      <c r="X31" s="34" t="n"/>
    </row>
    <row r="32" ht="22" customHeight="1">
      <c r="B32" s="10" t="n">
        <v>28</v>
      </c>
      <c r="C32" s="6" t="inlineStr">
        <is>
          <t>Sidi Kacem</t>
        </is>
      </c>
      <c r="D32" s="10" t="inlineStr">
        <is>
          <t>NOUIRAT</t>
        </is>
      </c>
      <c r="E32" s="10" t="inlineStr">
        <is>
          <t>40-21</t>
        </is>
      </c>
      <c r="F32" s="10" t="inlineStr">
        <is>
          <t>Travaux de pistes</t>
        </is>
      </c>
      <c r="G32" s="10" t="inlineStr">
        <is>
          <t>Entretien des pistes agricoles</t>
        </is>
      </c>
      <c r="H32" s="10" t="inlineStr">
        <is>
          <t>Entretien des pistes agricoles</t>
        </is>
      </c>
      <c r="I32" s="11" t="n">
        <v>670000</v>
      </c>
      <c r="J32" s="12" t="inlineStr">
        <is>
          <t>km</t>
        </is>
      </c>
      <c r="K32" s="13" t="n">
        <v>1</v>
      </c>
      <c r="L32" s="51" t="n"/>
      <c r="M32" s="56">
        <f>'S41'!M32+L32</f>
        <v/>
      </c>
      <c r="N32" s="57">
        <f>IFERROR(M32/K32,0)</f>
        <v/>
      </c>
      <c r="O32" s="58">
        <f>'S41'!N32</f>
        <v/>
      </c>
      <c r="P32" s="57">
        <f>N32-O32</f>
        <v/>
      </c>
      <c r="Q32" s="32" t="n"/>
      <c r="R32" s="32" t="n"/>
      <c r="S32" s="32" t="n"/>
      <c r="T32" s="55" t="n"/>
      <c r="U32" s="58">
        <f>'S41'!T32</f>
        <v/>
      </c>
      <c r="V32" s="57">
        <f>T32-U32</f>
        <v/>
      </c>
      <c r="W32" s="57">
        <f>N32-T32</f>
        <v/>
      </c>
      <c r="X32" s="34" t="n"/>
    </row>
    <row r="33" ht="22" customHeight="1">
      <c r="B33" s="5" t="n">
        <v>29</v>
      </c>
      <c r="C33" s="6" t="inlineStr">
        <is>
          <t>Sidi Kacem</t>
        </is>
      </c>
      <c r="D33" s="5" t="inlineStr">
        <is>
          <t>NOUIRAT</t>
        </is>
      </c>
      <c r="E33" s="5" t="inlineStr">
        <is>
          <t>20-11</t>
        </is>
      </c>
      <c r="F33" s="5" t="inlineStr">
        <is>
          <t>Travaux de réhabilitation des équipements</t>
        </is>
      </c>
      <c r="G33" s="5" t="inlineStr">
        <is>
          <t>Travaux de réhabilitation des ouvrages de génie civil</t>
        </is>
      </c>
      <c r="H33" s="5" t="inlineStr">
        <is>
          <t>Réhabilitation de l'ouvrage( genie civil ,gabiollannage,clapet anti retour et buse) de l'ouvrage de débouche SE1</t>
        </is>
      </c>
      <c r="I33" s="7" t="n">
        <v>2500000</v>
      </c>
      <c r="J33" s="8" t="inlineStr">
        <is>
          <t>U</t>
        </is>
      </c>
      <c r="K33" s="9" t="n">
        <v>5</v>
      </c>
      <c r="L33" s="51" t="n"/>
      <c r="M33" s="52">
        <f>'S41'!M33+L33</f>
        <v/>
      </c>
      <c r="N33" s="53">
        <f>IFERROR(M33/K33,0)</f>
        <v/>
      </c>
      <c r="O33" s="54">
        <f>'S41'!N33</f>
        <v/>
      </c>
      <c r="P33" s="53">
        <f>N33-O33</f>
        <v/>
      </c>
      <c r="Q33" s="32" t="n"/>
      <c r="R33" s="32" t="n"/>
      <c r="S33" s="32" t="n"/>
      <c r="T33" s="55" t="n"/>
      <c r="U33" s="54">
        <f>'S41'!T33</f>
        <v/>
      </c>
      <c r="V33" s="53">
        <f>T33-U33</f>
        <v/>
      </c>
      <c r="W33" s="53">
        <f>N33-T33</f>
        <v/>
      </c>
      <c r="X33" s="34" t="n"/>
    </row>
    <row r="34" ht="22" customHeight="1">
      <c r="B34" s="10" t="n">
        <v>30</v>
      </c>
      <c r="C34" s="6" t="inlineStr">
        <is>
          <t>Sidi Kacem</t>
        </is>
      </c>
      <c r="D34" s="10" t="inlineStr">
        <is>
          <t>NOUIRAT</t>
        </is>
      </c>
      <c r="E34" s="10" t="inlineStr">
        <is>
          <t>50-23</t>
        </is>
      </c>
      <c r="F34" s="10" t="inlineStr">
        <is>
          <t>Entretien et réparation du réseau d'assainissement et de drainage</t>
        </is>
      </c>
      <c r="G34" s="10" t="inlineStr">
        <is>
          <t>Curage des prises sur l’oued, bâche d’aspiration et bassin de régulation.</t>
        </is>
      </c>
      <c r="H34" s="10" t="inlineStr">
        <is>
          <t>Curage des prises sur l’oued de la station de pompage E1.
Nettoyage des grilles de préfiltration des boues colmaté de la station de pompage E1.
Curage de la bâche d’aspiration de la station E1.</t>
        </is>
      </c>
      <c r="I34" s="11" t="n">
        <v>800000</v>
      </c>
      <c r="J34" s="12" t="inlineStr">
        <is>
          <t>ml</t>
        </is>
      </c>
      <c r="K34" s="13" t="n">
        <v>267</v>
      </c>
      <c r="L34" s="51" t="n"/>
      <c r="M34" s="56">
        <f>'S41'!M34+L34</f>
        <v/>
      </c>
      <c r="N34" s="57">
        <f>IFERROR(M34/K34,0)</f>
        <v/>
      </c>
      <c r="O34" s="58">
        <f>'S41'!N34</f>
        <v/>
      </c>
      <c r="P34" s="57">
        <f>N34-O34</f>
        <v/>
      </c>
      <c r="Q34" s="32" t="n"/>
      <c r="R34" s="32" t="n"/>
      <c r="S34" s="32" t="n"/>
      <c r="T34" s="55" t="n"/>
      <c r="U34" s="58">
        <f>'S41'!T34</f>
        <v/>
      </c>
      <c r="V34" s="57">
        <f>T34-U34</f>
        <v/>
      </c>
      <c r="W34" s="57">
        <f>N34-T34</f>
        <v/>
      </c>
      <c r="X34" s="34" t="n"/>
    </row>
    <row r="35" ht="22" customHeight="1">
      <c r="B35" s="5" t="n">
        <v>31</v>
      </c>
      <c r="C35" s="6" t="inlineStr">
        <is>
          <t>Sidi Kacem</t>
        </is>
      </c>
      <c r="D35" s="5" t="inlineStr">
        <is>
          <t>NOUIRAT</t>
        </is>
      </c>
      <c r="E35" s="5" t="inlineStr">
        <is>
          <t>50-21</t>
        </is>
      </c>
      <c r="F35" s="5" t="inlineStr">
        <is>
          <t>Entretien et réparation des stations de pompage</t>
        </is>
      </c>
      <c r="G35" s="5" t="inlineStr">
        <is>
          <t>Prestation de maintenance des débitmètres et leurs équipements annexes installés au niveau des station de pompage</t>
        </is>
      </c>
      <c r="H35" s="5" t="inlineStr">
        <is>
          <t>Changement du débitmètre Ø 1200mm inondé de la station de pompage E1.</t>
        </is>
      </c>
      <c r="I35" s="7" t="n">
        <v>195000</v>
      </c>
      <c r="J35" s="8" t="inlineStr">
        <is>
          <t>U</t>
        </is>
      </c>
      <c r="K35" s="9" t="n">
        <v>2</v>
      </c>
      <c r="L35" s="51" t="n"/>
      <c r="M35" s="52">
        <f>'S41'!M35+L35</f>
        <v/>
      </c>
      <c r="N35" s="53">
        <f>IFERROR(M35/K35,0)</f>
        <v/>
      </c>
      <c r="O35" s="54">
        <f>'S41'!N35</f>
        <v/>
      </c>
      <c r="P35" s="53">
        <f>N35-O35</f>
        <v/>
      </c>
      <c r="Q35" s="32" t="n"/>
      <c r="R35" s="32" t="n"/>
      <c r="S35" s="32" t="n"/>
      <c r="T35" s="55" t="n"/>
      <c r="U35" s="54">
        <f>'S41'!T35</f>
        <v/>
      </c>
      <c r="V35" s="53">
        <f>T35-U35</f>
        <v/>
      </c>
      <c r="W35" s="53">
        <f>N35-T35</f>
        <v/>
      </c>
      <c r="X35" s="34" t="n"/>
    </row>
    <row r="36" ht="22" customHeight="1">
      <c r="B36" s="10" t="n">
        <v>32</v>
      </c>
      <c r="C36" s="6" t="inlineStr">
        <is>
          <t>Sidi Kacem</t>
        </is>
      </c>
      <c r="D36" s="10" t="inlineStr">
        <is>
          <t>NOUIRAT</t>
        </is>
      </c>
      <c r="E36" s="10" t="inlineStr">
        <is>
          <t>50-21</t>
        </is>
      </c>
      <c r="F36" s="10" t="inlineStr">
        <is>
          <t>Entretien et réparation des stations de pompage</t>
        </is>
      </c>
      <c r="G36" s="10" t="inlineStr">
        <is>
          <t>Prestations de maintenance des moteurs électriques des stations de pompage.</t>
        </is>
      </c>
      <c r="H36" s="10" t="inlineStr">
        <is>
          <t>Révision des deux moteurs électriques principaux de la station E1.</t>
        </is>
      </c>
      <c r="I36" s="11" t="n">
        <v>50000</v>
      </c>
      <c r="J36" s="12" t="inlineStr">
        <is>
          <t>U</t>
        </is>
      </c>
      <c r="K36" s="13" t="n">
        <v>2</v>
      </c>
      <c r="L36" s="51" t="n"/>
      <c r="M36" s="56">
        <f>'S41'!M36+L36</f>
        <v/>
      </c>
      <c r="N36" s="57">
        <f>IFERROR(M36/K36,0)</f>
        <v/>
      </c>
      <c r="O36" s="58">
        <f>'S41'!N36</f>
        <v/>
      </c>
      <c r="P36" s="57">
        <f>N36-O36</f>
        <v/>
      </c>
      <c r="Q36" s="32" t="n"/>
      <c r="R36" s="32" t="n"/>
      <c r="S36" s="32" t="n"/>
      <c r="T36" s="55" t="n"/>
      <c r="U36" s="58">
        <f>'S41'!T36</f>
        <v/>
      </c>
      <c r="V36" s="57">
        <f>T36-U36</f>
        <v/>
      </c>
      <c r="W36" s="57">
        <f>N36-T36</f>
        <v/>
      </c>
      <c r="X36" s="34" t="n"/>
    </row>
    <row r="37" ht="22" customHeight="1">
      <c r="B37" s="5" t="n">
        <v>33</v>
      </c>
      <c r="C37" s="6" t="inlineStr">
        <is>
          <t>Sidi Kacem</t>
        </is>
      </c>
      <c r="D37" s="5" t="inlineStr">
        <is>
          <t>NOUIRAT</t>
        </is>
      </c>
      <c r="E37" s="5" t="inlineStr">
        <is>
          <t>50-21</t>
        </is>
      </c>
      <c r="F37" s="5" t="inlineStr">
        <is>
          <t>Entretien et réparation des stations de pompage</t>
        </is>
      </c>
      <c r="G37" s="5" t="inlineStr">
        <is>
          <t>Prestations de maintenance et de réparation mécanique des pompes et des groupes motopompes submersibles des stations de pompage.</t>
        </is>
      </c>
      <c r="H37" s="5" t="inlineStr">
        <is>
          <t>Démontage et expertise des cinq pompes principaux et pompes a vide de la station E1.
Changement des roulements, tresses et organes d’effectués de la station E1.</t>
        </is>
      </c>
      <c r="I37" s="7" t="n">
        <v>245000</v>
      </c>
      <c r="J37" s="8" t="inlineStr">
        <is>
          <t>U</t>
        </is>
      </c>
      <c r="K37" s="9" t="n">
        <v>5</v>
      </c>
      <c r="L37" s="51" t="n"/>
      <c r="M37" s="52">
        <f>'S41'!M37+L37</f>
        <v/>
      </c>
      <c r="N37" s="53">
        <f>IFERROR(M37/K37,0)</f>
        <v/>
      </c>
      <c r="O37" s="54">
        <f>'S41'!N37</f>
        <v/>
      </c>
      <c r="P37" s="53">
        <f>N37-O37</f>
        <v/>
      </c>
      <c r="Q37" s="32" t="n"/>
      <c r="R37" s="32" t="n"/>
      <c r="S37" s="32" t="n"/>
      <c r="T37" s="55" t="n"/>
      <c r="U37" s="54">
        <f>'S41'!T37</f>
        <v/>
      </c>
      <c r="V37" s="53">
        <f>T37-U37</f>
        <v/>
      </c>
      <c r="W37" s="53">
        <f>N37-T37</f>
        <v/>
      </c>
      <c r="X37" s="34" t="n"/>
    </row>
    <row r="38" ht="22" customHeight="1">
      <c r="B38" s="10" t="n">
        <v>34</v>
      </c>
      <c r="C38" s="6" t="inlineStr">
        <is>
          <t>Sidi Kacem</t>
        </is>
      </c>
      <c r="D38" s="10" t="inlineStr">
        <is>
          <t>NOUIRAT</t>
        </is>
      </c>
      <c r="E38" s="10" t="inlineStr">
        <is>
          <t>50-21</t>
        </is>
      </c>
      <c r="F38" s="10" t="inlineStr">
        <is>
          <t>Entretien et réparation des stations de pompage</t>
        </is>
      </c>
      <c r="G38" s="10" t="inlineStr">
        <is>
          <t>Génie civile des locaux des stations de pompage.</t>
        </is>
      </c>
      <c r="H38" s="10" t="inlineStr">
        <is>
          <t>Expertise d’état et d’étanchéité des locaux pompes, commande, puissance de la station de pompage E1.
Renforcement d’étanchéité des locaux pompe sous niveau des oueds de la station de pompage E1.</t>
        </is>
      </c>
      <c r="I38" s="11" t="n">
        <v>1000000</v>
      </c>
      <c r="J38" s="12" t="inlineStr">
        <is>
          <t>U</t>
        </is>
      </c>
      <c r="K38" s="13" t="n">
        <v>1</v>
      </c>
      <c r="L38" s="51" t="n"/>
      <c r="M38" s="56">
        <f>'S41'!M38+L38</f>
        <v/>
      </c>
      <c r="N38" s="57">
        <f>IFERROR(M38/K38,0)</f>
        <v/>
      </c>
      <c r="O38" s="58">
        <f>'S41'!N38</f>
        <v/>
      </c>
      <c r="P38" s="57">
        <f>N38-O38</f>
        <v/>
      </c>
      <c r="Q38" s="32" t="n"/>
      <c r="R38" s="32" t="n"/>
      <c r="S38" s="32" t="n"/>
      <c r="T38" s="55" t="n"/>
      <c r="U38" s="58">
        <f>'S41'!T38</f>
        <v/>
      </c>
      <c r="V38" s="57">
        <f>T38-U38</f>
        <v/>
      </c>
      <c r="W38" s="57">
        <f>N38-T38</f>
        <v/>
      </c>
      <c r="X38" s="34" t="n"/>
    </row>
    <row r="39" ht="22" customHeight="1">
      <c r="B39" s="5" t="n">
        <v>35</v>
      </c>
      <c r="C39" s="6" t="inlineStr">
        <is>
          <t>Sidi Kacem</t>
        </is>
      </c>
      <c r="D39" s="5" t="inlineStr">
        <is>
          <t>RMILAT</t>
        </is>
      </c>
      <c r="E39" s="5" t="inlineStr">
        <is>
          <t>50-23</t>
        </is>
      </c>
      <c r="F39" s="5" t="inlineStr">
        <is>
          <t>Entretien et réparation du réseau d'assainissement et de drainage</t>
        </is>
      </c>
      <c r="G39" s="5" t="inlineStr">
        <is>
          <t>Travaux de curage des canaux en terre</t>
        </is>
      </c>
      <c r="H39" s="5" t="inlineStr">
        <is>
          <t>Curage des collecteurs d'assainissement des secteurs P7</t>
        </is>
      </c>
      <c r="I39" s="7" t="n">
        <v>5024032</v>
      </c>
      <c r="J39" s="8" t="inlineStr">
        <is>
          <t>ml</t>
        </is>
      </c>
      <c r="K39" s="9" t="n">
        <v>2512</v>
      </c>
      <c r="L39" s="51" t="n"/>
      <c r="M39" s="52">
        <f>'S41'!M39+L39</f>
        <v/>
      </c>
      <c r="N39" s="53">
        <f>IFERROR(M39/K39,0)</f>
        <v/>
      </c>
      <c r="O39" s="54">
        <f>'S41'!N39</f>
        <v/>
      </c>
      <c r="P39" s="53">
        <f>N39-O39</f>
        <v/>
      </c>
      <c r="Q39" s="32" t="n"/>
      <c r="R39" s="32" t="n"/>
      <c r="S39" s="32" t="n"/>
      <c r="T39" s="55" t="n"/>
      <c r="U39" s="54">
        <f>'S41'!T39</f>
        <v/>
      </c>
      <c r="V39" s="53">
        <f>T39-U39</f>
        <v/>
      </c>
      <c r="W39" s="53">
        <f>N39-T39</f>
        <v/>
      </c>
      <c r="X39" s="34" t="n"/>
    </row>
    <row r="40" ht="22" customHeight="1">
      <c r="B40" s="10" t="n">
        <v>36</v>
      </c>
      <c r="C40" s="6" t="inlineStr">
        <is>
          <t>Sidi Kacem</t>
        </is>
      </c>
      <c r="D40" s="10" t="inlineStr">
        <is>
          <t>RMILAT</t>
        </is>
      </c>
      <c r="E40" s="10" t="inlineStr">
        <is>
          <t>40-21</t>
        </is>
      </c>
      <c r="F40" s="10" t="inlineStr">
        <is>
          <t>Travaux de pistes</t>
        </is>
      </c>
      <c r="G40" s="10" t="inlineStr">
        <is>
          <t>Entretien des pistes agricoles</t>
        </is>
      </c>
      <c r="H40" s="10" t="inlineStr">
        <is>
          <t>Entretien des pistes agricoles</t>
        </is>
      </c>
      <c r="I40" s="11" t="n">
        <v>400000</v>
      </c>
      <c r="J40" s="12" t="inlineStr">
        <is>
          <t>km</t>
        </is>
      </c>
      <c r="K40" s="13" t="n">
        <v>1</v>
      </c>
      <c r="L40" s="51" t="n"/>
      <c r="M40" s="56">
        <f>'S41'!M40+L40</f>
        <v/>
      </c>
      <c r="N40" s="57">
        <f>IFERROR(M40/K40,0)</f>
        <v/>
      </c>
      <c r="O40" s="58">
        <f>'S41'!N40</f>
        <v/>
      </c>
      <c r="P40" s="57">
        <f>N40-O40</f>
        <v/>
      </c>
      <c r="Q40" s="32" t="n"/>
      <c r="R40" s="32" t="n"/>
      <c r="S40" s="32" t="n"/>
      <c r="T40" s="55" t="n"/>
      <c r="U40" s="58">
        <f>'S41'!T40</f>
        <v/>
      </c>
      <c r="V40" s="57">
        <f>T40-U40</f>
        <v/>
      </c>
      <c r="W40" s="57">
        <f>N40-T40</f>
        <v/>
      </c>
      <c r="X40" s="34" t="n"/>
    </row>
    <row r="41" ht="22" customHeight="1">
      <c r="B41" s="5" t="n">
        <v>37</v>
      </c>
      <c r="C41" s="6" t="inlineStr">
        <is>
          <t>Sidi Kacem</t>
        </is>
      </c>
      <c r="D41" s="5" t="inlineStr">
        <is>
          <t>SAFSAF</t>
        </is>
      </c>
      <c r="E41" s="5" t="inlineStr">
        <is>
          <t>50-23</t>
        </is>
      </c>
      <c r="F41" s="5" t="inlineStr">
        <is>
          <t>Entretien et réparation du réseau d'assainissement et de drainage</t>
        </is>
      </c>
      <c r="G41" s="5" t="inlineStr">
        <is>
          <t>Travaux de curage des canaux en terre</t>
        </is>
      </c>
      <c r="H41" s="5" t="inlineStr">
        <is>
          <t>Curage des collecteurs d'assainissement des secteurs S7, S9 et S11</t>
        </is>
      </c>
      <c r="I41" s="7" t="n">
        <v>6000000</v>
      </c>
      <c r="J41" s="8" t="inlineStr">
        <is>
          <t>ml</t>
        </is>
      </c>
      <c r="K41" s="9" t="n">
        <v>3000</v>
      </c>
      <c r="L41" s="51" t="n"/>
      <c r="M41" s="52">
        <f>'S41'!M41+L41</f>
        <v/>
      </c>
      <c r="N41" s="53">
        <f>IFERROR(M41/K41,0)</f>
        <v/>
      </c>
      <c r="O41" s="54">
        <f>'S41'!N41</f>
        <v/>
      </c>
      <c r="P41" s="53">
        <f>N41-O41</f>
        <v/>
      </c>
      <c r="Q41" s="32" t="n"/>
      <c r="R41" s="32" t="n"/>
      <c r="S41" s="32" t="n"/>
      <c r="T41" s="55" t="n"/>
      <c r="U41" s="54">
        <f>'S41'!T41</f>
        <v/>
      </c>
      <c r="V41" s="53">
        <f>T41-U41</f>
        <v/>
      </c>
      <c r="W41" s="53">
        <f>N41-T41</f>
        <v/>
      </c>
      <c r="X41" s="34" t="n"/>
    </row>
    <row r="42" ht="22" customHeight="1">
      <c r="B42" s="10" t="n">
        <v>38</v>
      </c>
      <c r="C42" s="6" t="inlineStr">
        <is>
          <t>Sidi Kacem</t>
        </is>
      </c>
      <c r="D42" s="10" t="inlineStr">
        <is>
          <t>SAFSAF</t>
        </is>
      </c>
      <c r="E42" s="10" t="inlineStr">
        <is>
          <t>20-11</t>
        </is>
      </c>
      <c r="F42" s="10" t="inlineStr">
        <is>
          <t>Travaux de réhabilitation des équipements</t>
        </is>
      </c>
      <c r="G42" s="10" t="inlineStr">
        <is>
          <t>Travaux de réhabilitation des canaux portés d'irrigation</t>
        </is>
      </c>
      <c r="H42" s="10" t="inlineStr">
        <is>
          <t>Fourniture et  pose de canaux porté et accessoires du réseau S4 du secteur S11</t>
        </is>
      </c>
      <c r="I42" s="11" t="n">
        <v>232266</v>
      </c>
      <c r="J42" s="12" t="inlineStr">
        <is>
          <t>ml</t>
        </is>
      </c>
      <c r="K42" s="13" t="n">
        <v>77</v>
      </c>
      <c r="L42" s="51" t="n"/>
      <c r="M42" s="56">
        <f>'S41'!M42+L42</f>
        <v/>
      </c>
      <c r="N42" s="57">
        <f>IFERROR(M42/K42,0)</f>
        <v/>
      </c>
      <c r="O42" s="58">
        <f>'S41'!N42</f>
        <v/>
      </c>
      <c r="P42" s="57">
        <f>N42-O42</f>
        <v/>
      </c>
      <c r="Q42" s="32" t="n"/>
      <c r="R42" s="32" t="n"/>
      <c r="S42" s="32" t="n"/>
      <c r="T42" s="55" t="n"/>
      <c r="U42" s="58">
        <f>'S41'!T42</f>
        <v/>
      </c>
      <c r="V42" s="57">
        <f>T42-U42</f>
        <v/>
      </c>
      <c r="W42" s="57">
        <f>N42-T42</f>
        <v/>
      </c>
      <c r="X42" s="34" t="n"/>
    </row>
    <row r="43" ht="22" customHeight="1">
      <c r="B43" s="5" t="n">
        <v>39</v>
      </c>
      <c r="C43" s="6" t="inlineStr">
        <is>
          <t>Sidi Kacem</t>
        </is>
      </c>
      <c r="D43" s="5" t="inlineStr">
        <is>
          <t>SAFSAF</t>
        </is>
      </c>
      <c r="E43" s="5" t="inlineStr">
        <is>
          <t>20-11</t>
        </is>
      </c>
      <c r="F43" s="5" t="inlineStr">
        <is>
          <t>Travaux de réhabilitation des équipements</t>
        </is>
      </c>
      <c r="G43" s="5" t="inlineStr"/>
      <c r="H43" s="5" t="inlineStr">
        <is>
          <t>Recalage des canaux portés du réseau T5S5 du secteur S9</t>
        </is>
      </c>
      <c r="I43" s="7" t="n">
        <v>1055025</v>
      </c>
      <c r="J43" s="8" t="inlineStr">
        <is>
          <t>ml</t>
        </is>
      </c>
      <c r="K43" s="9" t="n">
        <v>352</v>
      </c>
      <c r="L43" s="51" t="n"/>
      <c r="M43" s="52">
        <f>'S41'!M43+L43</f>
        <v/>
      </c>
      <c r="N43" s="53">
        <f>IFERROR(M43/K43,0)</f>
        <v/>
      </c>
      <c r="O43" s="54">
        <f>'S41'!N43</f>
        <v/>
      </c>
      <c r="P43" s="53">
        <f>N43-O43</f>
        <v/>
      </c>
      <c r="Q43" s="32" t="n"/>
      <c r="R43" s="32" t="n"/>
      <c r="S43" s="32" t="n"/>
      <c r="T43" s="55" t="n"/>
      <c r="U43" s="54">
        <f>'S41'!T43</f>
        <v/>
      </c>
      <c r="V43" s="53">
        <f>T43-U43</f>
        <v/>
      </c>
      <c r="W43" s="53">
        <f>N43-T43</f>
        <v/>
      </c>
      <c r="X43" s="34" t="n"/>
    </row>
    <row r="44" ht="22" customHeight="1">
      <c r="B44" s="10" t="n">
        <v>40</v>
      </c>
      <c r="C44" s="6" t="inlineStr">
        <is>
          <t>Sidi Kacem</t>
        </is>
      </c>
      <c r="D44" s="10" t="inlineStr">
        <is>
          <t>SAFSAF</t>
        </is>
      </c>
      <c r="E44" s="10" t="inlineStr">
        <is>
          <t>20-11</t>
        </is>
      </c>
      <c r="F44" s="10" t="inlineStr">
        <is>
          <t>Travaux de réhabilitation des équipements</t>
        </is>
      </c>
      <c r="G44" s="10" t="inlineStr"/>
      <c r="H44" s="10" t="inlineStr">
        <is>
          <t>Recalage des canaux portés du réseau T7S5 du secteur S9</t>
        </is>
      </c>
      <c r="I44" s="11" t="n">
        <v>1004535</v>
      </c>
      <c r="J44" s="12" t="inlineStr">
        <is>
          <t>ml</t>
        </is>
      </c>
      <c r="K44" s="13" t="n">
        <v>335</v>
      </c>
      <c r="L44" s="51" t="n"/>
      <c r="M44" s="56">
        <f>'S41'!M44+L44</f>
        <v/>
      </c>
      <c r="N44" s="57">
        <f>IFERROR(M44/K44,0)</f>
        <v/>
      </c>
      <c r="O44" s="58">
        <f>'S41'!N44</f>
        <v/>
      </c>
      <c r="P44" s="57">
        <f>N44-O44</f>
        <v/>
      </c>
      <c r="Q44" s="32" t="n"/>
      <c r="R44" s="32" t="n"/>
      <c r="S44" s="32" t="n"/>
      <c r="T44" s="55" t="n"/>
      <c r="U44" s="58">
        <f>'S41'!T44</f>
        <v/>
      </c>
      <c r="V44" s="57">
        <f>T44-U44</f>
        <v/>
      </c>
      <c r="W44" s="57">
        <f>N44-T44</f>
        <v/>
      </c>
      <c r="X44" s="34" t="n"/>
    </row>
    <row r="45" ht="22" customHeight="1">
      <c r="B45" s="5" t="n">
        <v>41</v>
      </c>
      <c r="C45" s="6" t="inlineStr">
        <is>
          <t>Sidi Kacem</t>
        </is>
      </c>
      <c r="D45" s="5" t="inlineStr">
        <is>
          <t>SAFSAF</t>
        </is>
      </c>
      <c r="E45" s="5" t="inlineStr">
        <is>
          <t>20-11</t>
        </is>
      </c>
      <c r="F45" s="5" t="inlineStr">
        <is>
          <t>Travaux de réhabilitation des équipements</t>
        </is>
      </c>
      <c r="G45" s="5" t="inlineStr"/>
      <c r="H45" s="5" t="inlineStr">
        <is>
          <t>Recalage des canaux portés du réseau T2S5 du secteur S9</t>
        </is>
      </c>
      <c r="I45" s="7" t="n">
        <v>793830</v>
      </c>
      <c r="J45" s="8" t="inlineStr">
        <is>
          <t>ml</t>
        </is>
      </c>
      <c r="K45" s="9" t="n">
        <v>265</v>
      </c>
      <c r="L45" s="51" t="n"/>
      <c r="M45" s="52">
        <f>'S41'!M45+L45</f>
        <v/>
      </c>
      <c r="N45" s="53">
        <f>IFERROR(M45/K45,0)</f>
        <v/>
      </c>
      <c r="O45" s="54">
        <f>'S41'!N45</f>
        <v/>
      </c>
      <c r="P45" s="53">
        <f>N45-O45</f>
        <v/>
      </c>
      <c r="Q45" s="32" t="n"/>
      <c r="R45" s="32" t="n"/>
      <c r="S45" s="32" t="n"/>
      <c r="T45" s="55" t="n"/>
      <c r="U45" s="54">
        <f>'S41'!T45</f>
        <v/>
      </c>
      <c r="V45" s="53">
        <f>T45-U45</f>
        <v/>
      </c>
      <c r="W45" s="53">
        <f>N45-T45</f>
        <v/>
      </c>
      <c r="X45" s="34" t="n"/>
    </row>
    <row r="46" ht="22" customHeight="1">
      <c r="B46" s="10" t="n">
        <v>42</v>
      </c>
      <c r="C46" s="6" t="inlineStr">
        <is>
          <t>Sidi Kacem</t>
        </is>
      </c>
      <c r="D46" s="10" t="inlineStr">
        <is>
          <t>SAFSAF</t>
        </is>
      </c>
      <c r="E46" s="10" t="inlineStr">
        <is>
          <t>40-21</t>
        </is>
      </c>
      <c r="F46" s="10" t="inlineStr">
        <is>
          <t>Travaux de pistes</t>
        </is>
      </c>
      <c r="G46" s="10" t="inlineStr">
        <is>
          <t>Entretien des pistes agricoles</t>
        </is>
      </c>
      <c r="H46" s="10" t="inlineStr">
        <is>
          <t>Entretien des pistes agricoles</t>
        </is>
      </c>
      <c r="I46" s="11" t="n">
        <v>2000000</v>
      </c>
      <c r="J46" s="12" t="inlineStr">
        <is>
          <t>km</t>
        </is>
      </c>
      <c r="K46" s="13" t="n">
        <v>4</v>
      </c>
      <c r="L46" s="51" t="n"/>
      <c r="M46" s="56">
        <f>'S41'!M46+L46</f>
        <v/>
      </c>
      <c r="N46" s="57">
        <f>IFERROR(M46/K46,0)</f>
        <v/>
      </c>
      <c r="O46" s="58">
        <f>'S41'!N46</f>
        <v/>
      </c>
      <c r="P46" s="57">
        <f>N46-O46</f>
        <v/>
      </c>
      <c r="Q46" s="32" t="n"/>
      <c r="R46" s="32" t="n"/>
      <c r="S46" s="32" t="n"/>
      <c r="T46" s="55" t="n"/>
      <c r="U46" s="58">
        <f>'S41'!T46</f>
        <v/>
      </c>
      <c r="V46" s="57">
        <f>T46-U46</f>
        <v/>
      </c>
      <c r="W46" s="57">
        <f>N46-T46</f>
        <v/>
      </c>
      <c r="X46" s="34" t="n"/>
    </row>
    <row r="47" ht="22" customHeight="1">
      <c r="B47" s="5" t="n">
        <v>43</v>
      </c>
      <c r="C47" s="6" t="inlineStr">
        <is>
          <t>Sidi Kacem</t>
        </is>
      </c>
      <c r="D47" s="5" t="inlineStr">
        <is>
          <t>SAFSAF</t>
        </is>
      </c>
      <c r="E47" s="5" t="inlineStr">
        <is>
          <t>50-23</t>
        </is>
      </c>
      <c r="F47" s="5" t="inlineStr">
        <is>
          <t>Entretien et réparation du réseau d'assainissement et de drainage</t>
        </is>
      </c>
      <c r="G47" s="5" t="inlineStr">
        <is>
          <t>Curage des prises sur l’oued, bâche d’aspiration et bassin de régulation.</t>
        </is>
      </c>
      <c r="H47" s="5" t="inlineStr">
        <is>
          <t>Curage des prises sur l’oued des stations de pompage S11, S9, 7D et 7B.
Nettoyage des grilles de préfiltration des boues colmaté des stations de pompage S11, S9, 7D et 7B.
Nettoyage des crépines des boues colmaté de station pompage 7D.
Curage des dalots et bâche d’aspiration des stations de pompage S11, S9, 7B.</t>
        </is>
      </c>
      <c r="I47" s="7" t="n">
        <v>200000</v>
      </c>
      <c r="J47" s="8" t="inlineStr">
        <is>
          <t>ml</t>
        </is>
      </c>
      <c r="K47" s="9" t="n">
        <v>67</v>
      </c>
      <c r="L47" s="51" t="n"/>
      <c r="M47" s="52">
        <f>'S41'!M47+L47</f>
        <v/>
      </c>
      <c r="N47" s="53">
        <f>IFERROR(M47/K47,0)</f>
        <v/>
      </c>
      <c r="O47" s="54">
        <f>'S41'!N47</f>
        <v/>
      </c>
      <c r="P47" s="53">
        <f>N47-O47</f>
        <v/>
      </c>
      <c r="Q47" s="32" t="n"/>
      <c r="R47" s="32" t="n"/>
      <c r="S47" s="32" t="n"/>
      <c r="T47" s="55" t="n"/>
      <c r="U47" s="54">
        <f>'S41'!T47</f>
        <v/>
      </c>
      <c r="V47" s="53">
        <f>T47-U47</f>
        <v/>
      </c>
      <c r="W47" s="53">
        <f>N47-T47</f>
        <v/>
      </c>
      <c r="X47" s="34" t="n"/>
    </row>
    <row r="48" ht="22" customHeight="1">
      <c r="B48" s="10" t="n">
        <v>44</v>
      </c>
      <c r="C48" s="6" t="inlineStr">
        <is>
          <t>Sidi Kacem</t>
        </is>
      </c>
      <c r="D48" s="10" t="inlineStr">
        <is>
          <t>SAFSAF</t>
        </is>
      </c>
      <c r="E48" s="10" t="inlineStr">
        <is>
          <t>50-21</t>
        </is>
      </c>
      <c r="F48" s="10" t="inlineStr">
        <is>
          <t>Entretien et réparation des stations de pompage</t>
        </is>
      </c>
      <c r="G48" s="10" t="inlineStr">
        <is>
          <t>Prestation de maintenance des débitmètres et leurs équipements annexes installés au niveau des station de pompage</t>
        </is>
      </c>
      <c r="H48" s="10" t="inlineStr">
        <is>
          <t>Changements Sept des débitmètres Ø 600mm inondé des deux stations de pompage S11 et S9.</t>
        </is>
      </c>
      <c r="I48" s="11" t="n">
        <v>580000</v>
      </c>
      <c r="J48" s="12" t="inlineStr">
        <is>
          <t>U</t>
        </is>
      </c>
      <c r="K48" s="13" t="n">
        <v>7</v>
      </c>
      <c r="L48" s="51" t="n"/>
      <c r="M48" s="56">
        <f>'S41'!M48+L48</f>
        <v/>
      </c>
      <c r="N48" s="57">
        <f>IFERROR(M48/K48,0)</f>
        <v/>
      </c>
      <c r="O48" s="58">
        <f>'S41'!N48</f>
        <v/>
      </c>
      <c r="P48" s="57">
        <f>N48-O48</f>
        <v/>
      </c>
      <c r="Q48" s="32" t="n"/>
      <c r="R48" s="32" t="n"/>
      <c r="S48" s="32" t="n"/>
      <c r="T48" s="55" t="n"/>
      <c r="U48" s="58">
        <f>'S41'!T48</f>
        <v/>
      </c>
      <c r="V48" s="57">
        <f>T48-U48</f>
        <v/>
      </c>
      <c r="W48" s="57">
        <f>N48-T48</f>
        <v/>
      </c>
      <c r="X48" s="34" t="n"/>
    </row>
    <row r="49" ht="22" customHeight="1">
      <c r="B49" s="5" t="n">
        <v>45</v>
      </c>
      <c r="C49" s="6" t="inlineStr">
        <is>
          <t>Sidi Kacem</t>
        </is>
      </c>
      <c r="D49" s="5" t="inlineStr">
        <is>
          <t>SAFSAF</t>
        </is>
      </c>
      <c r="E49" s="5" t="inlineStr">
        <is>
          <t>50-21</t>
        </is>
      </c>
      <c r="F49" s="5" t="inlineStr">
        <is>
          <t>Entretien et réparation des stations de pompage</t>
        </is>
      </c>
      <c r="G49" s="5" t="inlineStr">
        <is>
          <t>Stabilisation Berge oued</t>
        </is>
      </c>
      <c r="H49" s="5" t="inlineStr">
        <is>
          <t>Pose de murs en gabions et recouvrement du talus par matelas Reno des stations de pompage S11, S9, 7D et 7B .</t>
        </is>
      </c>
      <c r="I49" s="7" t="n">
        <v>4000000</v>
      </c>
      <c r="J49" s="8" t="inlineStr">
        <is>
          <t>m³</t>
        </is>
      </c>
      <c r="K49" s="9" t="n">
        <v>2667</v>
      </c>
      <c r="L49" s="51" t="n"/>
      <c r="M49" s="52">
        <f>'S41'!M49+L49</f>
        <v/>
      </c>
      <c r="N49" s="53">
        <f>IFERROR(M49/K49,0)</f>
        <v/>
      </c>
      <c r="O49" s="54">
        <f>'S41'!N49</f>
        <v/>
      </c>
      <c r="P49" s="53">
        <f>N49-O49</f>
        <v/>
      </c>
      <c r="Q49" s="32" t="n"/>
      <c r="R49" s="32" t="n"/>
      <c r="S49" s="32" t="n"/>
      <c r="T49" s="55" t="n"/>
      <c r="U49" s="54">
        <f>'S41'!T49</f>
        <v/>
      </c>
      <c r="V49" s="53">
        <f>T49-U49</f>
        <v/>
      </c>
      <c r="W49" s="53">
        <f>N49-T49</f>
        <v/>
      </c>
      <c r="X49" s="34" t="n"/>
    </row>
    <row r="50" ht="22" customHeight="1">
      <c r="B50" s="10" t="n">
        <v>46</v>
      </c>
      <c r="C50" s="6" t="inlineStr">
        <is>
          <t>Sidi Kacem</t>
        </is>
      </c>
      <c r="D50" s="10" t="inlineStr">
        <is>
          <t>SIDI AZZOUZ</t>
        </is>
      </c>
      <c r="E50" s="10" t="inlineStr">
        <is>
          <t>40-21</t>
        </is>
      </c>
      <c r="F50" s="10" t="inlineStr">
        <is>
          <t>Travaux de pistes</t>
        </is>
      </c>
      <c r="G50" s="10" t="inlineStr">
        <is>
          <t>Entretien des pistes agricoles</t>
        </is>
      </c>
      <c r="H50" s="10" t="inlineStr">
        <is>
          <t>Entretien des pistes agricoles</t>
        </is>
      </c>
      <c r="I50" s="11" t="n">
        <v>655000</v>
      </c>
      <c r="J50" s="12" t="inlineStr">
        <is>
          <t>km</t>
        </is>
      </c>
      <c r="K50" s="13" t="n">
        <v>1</v>
      </c>
      <c r="L50" s="51" t="n"/>
      <c r="M50" s="56">
        <f>'S41'!M50+L50</f>
        <v/>
      </c>
      <c r="N50" s="57">
        <f>IFERROR(M50/K50,0)</f>
        <v/>
      </c>
      <c r="O50" s="58">
        <f>'S41'!N50</f>
        <v/>
      </c>
      <c r="P50" s="57">
        <f>N50-O50</f>
        <v/>
      </c>
      <c r="Q50" s="32" t="n"/>
      <c r="R50" s="32" t="n"/>
      <c r="S50" s="32" t="n"/>
      <c r="T50" s="55" t="n"/>
      <c r="U50" s="58">
        <f>'S41'!T50</f>
        <v/>
      </c>
      <c r="V50" s="57">
        <f>T50-U50</f>
        <v/>
      </c>
      <c r="W50" s="57">
        <f>N50-T50</f>
        <v/>
      </c>
      <c r="X50" s="34" t="n"/>
    </row>
    <row r="51" ht="22" customHeight="1">
      <c r="B51" s="5" t="n">
        <v>47</v>
      </c>
      <c r="C51" s="6" t="inlineStr">
        <is>
          <t>Sidi Kacem</t>
        </is>
      </c>
      <c r="D51" s="5" t="inlineStr">
        <is>
          <t>SIDI EL KAMEL</t>
        </is>
      </c>
      <c r="E51" s="5" t="inlineStr">
        <is>
          <t>20-11</t>
        </is>
      </c>
      <c r="F51" s="5" t="inlineStr">
        <is>
          <t>Travaux de réhabilitation des équipements</t>
        </is>
      </c>
      <c r="G51" s="5" t="inlineStr">
        <is>
          <t>Travaux de réhabilitation des canaux portés d'irrigation</t>
        </is>
      </c>
      <c r="H51" s="5" t="inlineStr">
        <is>
          <t>Fourniture et de pose de canaux porté et accessoires du réseau SR4 du secteur S3R</t>
        </is>
      </c>
      <c r="I51" s="7" t="n">
        <v>5182920</v>
      </c>
      <c r="J51" s="8" t="inlineStr">
        <is>
          <t>ml</t>
        </is>
      </c>
      <c r="K51" s="9" t="n">
        <v>1728</v>
      </c>
      <c r="L51" s="51" t="n"/>
      <c r="M51" s="52">
        <f>'S41'!M51+L51</f>
        <v/>
      </c>
      <c r="N51" s="53">
        <f>IFERROR(M51/K51,0)</f>
        <v/>
      </c>
      <c r="O51" s="54">
        <f>'S41'!N51</f>
        <v/>
      </c>
      <c r="P51" s="53">
        <f>N51-O51</f>
        <v/>
      </c>
      <c r="Q51" s="32" t="n"/>
      <c r="R51" s="32" t="n"/>
      <c r="S51" s="32" t="n"/>
      <c r="T51" s="55" t="n"/>
      <c r="U51" s="54">
        <f>'S41'!T51</f>
        <v/>
      </c>
      <c r="V51" s="53">
        <f>T51-U51</f>
        <v/>
      </c>
      <c r="W51" s="53">
        <f>N51-T51</f>
        <v/>
      </c>
      <c r="X51" s="34" t="n"/>
    </row>
    <row r="52" ht="22" customHeight="1">
      <c r="B52" s="10" t="n">
        <v>48</v>
      </c>
      <c r="C52" s="6" t="inlineStr">
        <is>
          <t>Sidi Kacem</t>
        </is>
      </c>
      <c r="D52" s="10" t="inlineStr">
        <is>
          <t>SIDI EL KAMEL</t>
        </is>
      </c>
      <c r="E52" s="10" t="inlineStr">
        <is>
          <t>20-11</t>
        </is>
      </c>
      <c r="F52" s="10" t="inlineStr">
        <is>
          <t>Travaux de réhabilitation des équipements</t>
        </is>
      </c>
      <c r="G52" s="10" t="inlineStr"/>
      <c r="H52" s="10" t="inlineStr">
        <is>
          <t>Fourniture et de pose de canaux porté et accessoires du réseau SR6 du secteur S1RIZ</t>
        </is>
      </c>
      <c r="I52" s="11" t="n">
        <v>152818</v>
      </c>
      <c r="J52" s="12" t="inlineStr">
        <is>
          <t>ml</t>
        </is>
      </c>
      <c r="K52" s="13" t="n">
        <v>51</v>
      </c>
      <c r="L52" s="51" t="n"/>
      <c r="M52" s="56">
        <f>'S41'!M52+L52</f>
        <v/>
      </c>
      <c r="N52" s="57">
        <f>IFERROR(M52/K52,0)</f>
        <v/>
      </c>
      <c r="O52" s="58">
        <f>'S41'!N52</f>
        <v/>
      </c>
      <c r="P52" s="57">
        <f>N52-O52</f>
        <v/>
      </c>
      <c r="Q52" s="32" t="n"/>
      <c r="R52" s="32" t="n"/>
      <c r="S52" s="32" t="n"/>
      <c r="T52" s="55" t="n"/>
      <c r="U52" s="58">
        <f>'S41'!T52</f>
        <v/>
      </c>
      <c r="V52" s="57">
        <f>T52-U52</f>
        <v/>
      </c>
      <c r="W52" s="57">
        <f>N52-T52</f>
        <v/>
      </c>
      <c r="X52" s="34" t="n"/>
    </row>
    <row r="53" ht="22" customHeight="1">
      <c r="B53" s="5" t="n">
        <v>49</v>
      </c>
      <c r="C53" s="6" t="inlineStr">
        <is>
          <t>Sidi Kacem</t>
        </is>
      </c>
      <c r="D53" s="5" t="inlineStr">
        <is>
          <t>SIDI EL KAMEL</t>
        </is>
      </c>
      <c r="E53" s="5" t="inlineStr">
        <is>
          <t>20-11</t>
        </is>
      </c>
      <c r="F53" s="5" t="inlineStr">
        <is>
          <t>Travaux de réhabilitation des équipements</t>
        </is>
      </c>
      <c r="G53" s="5" t="inlineStr"/>
      <c r="H53" s="5" t="inlineStr">
        <is>
          <t>Recalage des canaux portés du réseau SR4 du secteur S3R</t>
        </is>
      </c>
      <c r="I53" s="7" t="n">
        <v>1418000</v>
      </c>
      <c r="J53" s="8" t="inlineStr">
        <is>
          <t>ml</t>
        </is>
      </c>
      <c r="K53" s="9" t="n">
        <v>473</v>
      </c>
      <c r="L53" s="51" t="n"/>
      <c r="M53" s="52">
        <f>'S41'!M53+L53</f>
        <v/>
      </c>
      <c r="N53" s="53">
        <f>IFERROR(M53/K53,0)</f>
        <v/>
      </c>
      <c r="O53" s="54">
        <f>'S41'!N53</f>
        <v/>
      </c>
      <c r="P53" s="53">
        <f>N53-O53</f>
        <v/>
      </c>
      <c r="Q53" s="32" t="n"/>
      <c r="R53" s="32" t="n"/>
      <c r="S53" s="32" t="n"/>
      <c r="T53" s="55" t="n"/>
      <c r="U53" s="54">
        <f>'S41'!T53</f>
        <v/>
      </c>
      <c r="V53" s="53">
        <f>T53-U53</f>
        <v/>
      </c>
      <c r="W53" s="53">
        <f>N53-T53</f>
        <v/>
      </c>
      <c r="X53" s="34" t="n"/>
    </row>
    <row r="54" ht="22" customHeight="1">
      <c r="B54" s="10" t="n">
        <v>50</v>
      </c>
      <c r="C54" s="6" t="inlineStr">
        <is>
          <t>Sidi Kacem</t>
        </is>
      </c>
      <c r="D54" s="10" t="inlineStr">
        <is>
          <t>SIDI EL KAMEL</t>
        </is>
      </c>
      <c r="E54" s="10" t="inlineStr">
        <is>
          <t>20-11</t>
        </is>
      </c>
      <c r="F54" s="10" t="inlineStr">
        <is>
          <t>Travaux de réhabilitation des équipements</t>
        </is>
      </c>
      <c r="G54" s="10" t="inlineStr">
        <is>
          <t>Travaux de réhabilitation des ouvrages de génie civil</t>
        </is>
      </c>
      <c r="H54" s="10" t="inlineStr">
        <is>
          <t>Réhabilitation des murs de soutènements des ouvrages de franchissements du canal d'assainissement CS3 secteur S3 et de l’ouvrage de franchissement du canal primaire d’irrigation du secteur S1R au niveau de la route provinciale P4234</t>
        </is>
      </c>
      <c r="I54" s="11" t="n">
        <v>800000</v>
      </c>
      <c r="J54" s="12" t="inlineStr">
        <is>
          <t>ml</t>
        </is>
      </c>
      <c r="K54" s="13" t="n">
        <v>400</v>
      </c>
      <c r="L54" s="51" t="n"/>
      <c r="M54" s="56">
        <f>'S41'!M54+L54</f>
        <v/>
      </c>
      <c r="N54" s="57">
        <f>IFERROR(M54/K54,0)</f>
        <v/>
      </c>
      <c r="O54" s="58">
        <f>'S41'!N54</f>
        <v/>
      </c>
      <c r="P54" s="57">
        <f>N54-O54</f>
        <v/>
      </c>
      <c r="Q54" s="32" t="n"/>
      <c r="R54" s="32" t="n"/>
      <c r="S54" s="32" t="n"/>
      <c r="T54" s="55" t="n"/>
      <c r="U54" s="58">
        <f>'S41'!T54</f>
        <v/>
      </c>
      <c r="V54" s="57">
        <f>T54-U54</f>
        <v/>
      </c>
      <c r="W54" s="57">
        <f>N54-T54</f>
        <v/>
      </c>
      <c r="X54" s="34" t="n"/>
    </row>
    <row r="55" ht="22" customHeight="1">
      <c r="B55" s="5" t="n">
        <v>51</v>
      </c>
      <c r="C55" s="6" t="inlineStr">
        <is>
          <t>Sidi Kacem</t>
        </is>
      </c>
      <c r="D55" s="5" t="inlineStr">
        <is>
          <t>SIDI EL KAMEL</t>
        </is>
      </c>
      <c r="E55" s="5" t="inlineStr">
        <is>
          <t>40-21</t>
        </is>
      </c>
      <c r="F55" s="5" t="inlineStr">
        <is>
          <t>Travaux de pistes</t>
        </is>
      </c>
      <c r="G55" s="5" t="inlineStr">
        <is>
          <t>Entretien des pistes agricoles</t>
        </is>
      </c>
      <c r="H55" s="5" t="inlineStr">
        <is>
          <t>Entretien des pistes agricoles</t>
        </is>
      </c>
      <c r="I55" s="7" t="n">
        <v>3700000</v>
      </c>
      <c r="J55" s="8" t="inlineStr">
        <is>
          <t>km</t>
        </is>
      </c>
      <c r="K55" s="9" t="n">
        <v>7</v>
      </c>
      <c r="L55" s="51" t="n"/>
      <c r="M55" s="52">
        <f>'S41'!M55+L55</f>
        <v/>
      </c>
      <c r="N55" s="53">
        <f>IFERROR(M55/K55,0)</f>
        <v/>
      </c>
      <c r="O55" s="54">
        <f>'S41'!N55</f>
        <v/>
      </c>
      <c r="P55" s="53">
        <f>N55-O55</f>
        <v/>
      </c>
      <c r="Q55" s="32" t="n"/>
      <c r="R55" s="32" t="n"/>
      <c r="S55" s="32" t="n"/>
      <c r="T55" s="55" t="n"/>
      <c r="U55" s="54">
        <f>'S41'!T55</f>
        <v/>
      </c>
      <c r="V55" s="53">
        <f>T55-U55</f>
        <v/>
      </c>
      <c r="W55" s="53">
        <f>N55-T55</f>
        <v/>
      </c>
      <c r="X55" s="34" t="n"/>
    </row>
    <row r="56" ht="22" customHeight="1">
      <c r="B56" s="10" t="n">
        <v>52</v>
      </c>
      <c r="C56" s="6" t="inlineStr">
        <is>
          <t>Sidi Kacem</t>
        </is>
      </c>
      <c r="D56" s="10" t="inlineStr">
        <is>
          <t>SIDI EL KAMEL</t>
        </is>
      </c>
      <c r="E56" s="10" t="inlineStr">
        <is>
          <t>50-21</t>
        </is>
      </c>
      <c r="F56" s="10" t="inlineStr">
        <is>
          <t>Entretien et réparation des stations de pompage</t>
        </is>
      </c>
      <c r="G56" s="10" t="inlineStr">
        <is>
          <t>Prestation de maintenance des débitmètres et leurs équipements annexes installés au niveau des station de pompage</t>
        </is>
      </c>
      <c r="H56" s="10" t="inlineStr">
        <is>
          <t>Changement de quatre débitmètres Ø 500mm et trois Ø 800mm inondé des stations de pompage 1R, 3R et 5R.</t>
        </is>
      </c>
      <c r="I56" s="11" t="n">
        <v>705000</v>
      </c>
      <c r="J56" s="12" t="inlineStr">
        <is>
          <t>U</t>
        </is>
      </c>
      <c r="K56" s="13" t="n">
        <v>3</v>
      </c>
      <c r="L56" s="51" t="n"/>
      <c r="M56" s="56">
        <f>'S41'!M56+L56</f>
        <v/>
      </c>
      <c r="N56" s="57">
        <f>IFERROR(M56/K56,0)</f>
        <v/>
      </c>
      <c r="O56" s="58">
        <f>'S41'!N56</f>
        <v/>
      </c>
      <c r="P56" s="57">
        <f>N56-O56</f>
        <v/>
      </c>
      <c r="Q56" s="32" t="n"/>
      <c r="R56" s="32" t="n"/>
      <c r="S56" s="32" t="n"/>
      <c r="T56" s="55" t="n"/>
      <c r="U56" s="58">
        <f>'S41'!T56</f>
        <v/>
      </c>
      <c r="V56" s="57">
        <f>T56-U56</f>
        <v/>
      </c>
      <c r="W56" s="57">
        <f>N56-T56</f>
        <v/>
      </c>
      <c r="X56" s="34" t="n"/>
    </row>
    <row r="57" ht="22" customHeight="1">
      <c r="B57" s="5" t="n">
        <v>53</v>
      </c>
      <c r="C57" s="6" t="inlineStr">
        <is>
          <t>Sidi Kacem</t>
        </is>
      </c>
      <c r="D57" s="5" t="inlineStr">
        <is>
          <t>SIDI EL KAMEL</t>
        </is>
      </c>
      <c r="E57" s="5" t="inlineStr">
        <is>
          <t>50-21</t>
        </is>
      </c>
      <c r="F57" s="5" t="inlineStr">
        <is>
          <t>Entretien et réparation des stations de pompage</t>
        </is>
      </c>
      <c r="G57" s="5" t="inlineStr">
        <is>
          <t>Mur clôture des stations de pompage.</t>
        </is>
      </c>
      <c r="H57" s="5" t="inlineStr">
        <is>
          <t>Stabilisation et reconstruction des murs clôture cote oued des stations de pompage 7A, 3R et 1R.</t>
        </is>
      </c>
      <c r="I57" s="7" t="n">
        <v>372000</v>
      </c>
      <c r="J57" s="8" t="inlineStr">
        <is>
          <t>ml</t>
        </is>
      </c>
      <c r="K57" s="9" t="n">
        <v>124</v>
      </c>
      <c r="L57" s="51" t="n"/>
      <c r="M57" s="52">
        <f>'S41'!M57+L57</f>
        <v/>
      </c>
      <c r="N57" s="53">
        <f>IFERROR(M57/K57,0)</f>
        <v/>
      </c>
      <c r="O57" s="54">
        <f>'S41'!N57</f>
        <v/>
      </c>
      <c r="P57" s="53">
        <f>N57-O57</f>
        <v/>
      </c>
      <c r="Q57" s="32" t="n"/>
      <c r="R57" s="32" t="n"/>
      <c r="S57" s="32" t="n"/>
      <c r="T57" s="55" t="n"/>
      <c r="U57" s="54">
        <f>'S41'!T57</f>
        <v/>
      </c>
      <c r="V57" s="53">
        <f>T57-U57</f>
        <v/>
      </c>
      <c r="W57" s="53">
        <f>N57-T57</f>
        <v/>
      </c>
      <c r="X57" s="34" t="n"/>
    </row>
    <row r="58" ht="22" customHeight="1">
      <c r="B58" s="10" t="n">
        <v>54</v>
      </c>
      <c r="C58" s="14" t="inlineStr">
        <is>
          <t>Kénitra</t>
        </is>
      </c>
      <c r="D58" s="10" t="inlineStr">
        <is>
          <t>Bni malek</t>
        </is>
      </c>
      <c r="E58" s="10" t="inlineStr">
        <is>
          <t>50-23</t>
        </is>
      </c>
      <c r="F58" s="10" t="inlineStr">
        <is>
          <t>Entretien et réparation du réseau d'assainissement et de drainage</t>
        </is>
      </c>
      <c r="G58" s="10" t="inlineStr">
        <is>
          <t>Travaux de curage des canaux en terre</t>
        </is>
      </c>
      <c r="H58" s="10" t="inlineStr">
        <is>
          <t>Curage des emissaires et colatures secondaire au niveau des secteurs MDA ET N9</t>
        </is>
      </c>
      <c r="I58" s="11" t="n">
        <v>10000000</v>
      </c>
      <c r="J58" s="12" t="inlineStr">
        <is>
          <t>ml</t>
        </is>
      </c>
      <c r="K58" s="13" t="n">
        <v>5000</v>
      </c>
      <c r="L58" s="51" t="n"/>
      <c r="M58" s="56">
        <f>'S41'!M58+L58</f>
        <v/>
      </c>
      <c r="N58" s="57">
        <f>IFERROR(M58/K58,0)</f>
        <v/>
      </c>
      <c r="O58" s="58">
        <f>'S41'!N58</f>
        <v/>
      </c>
      <c r="P58" s="57">
        <f>N58-O58</f>
        <v/>
      </c>
      <c r="Q58" s="32" t="n"/>
      <c r="R58" s="32" t="n"/>
      <c r="S58" s="32" t="n"/>
      <c r="T58" s="55" t="n"/>
      <c r="U58" s="58">
        <f>'S41'!T58</f>
        <v/>
      </c>
      <c r="V58" s="57">
        <f>T58-U58</f>
        <v/>
      </c>
      <c r="W58" s="57">
        <f>N58-T58</f>
        <v/>
      </c>
      <c r="X58" s="34" t="n"/>
    </row>
    <row r="59" ht="22" customHeight="1">
      <c r="B59" s="5" t="n">
        <v>55</v>
      </c>
      <c r="C59" s="14" t="inlineStr">
        <is>
          <t>Kénitra</t>
        </is>
      </c>
      <c r="D59" s="5" t="inlineStr">
        <is>
          <t>Bni malek</t>
        </is>
      </c>
      <c r="E59" s="5" t="inlineStr">
        <is>
          <t>40-21</t>
        </is>
      </c>
      <c r="F59" s="5" t="inlineStr">
        <is>
          <t>Travaux de pistes</t>
        </is>
      </c>
      <c r="G59" s="5" t="inlineStr">
        <is>
          <t>Travaux de réhabilitation des pistes agricoles</t>
        </is>
      </c>
      <c r="H59" s="5" t="inlineStr">
        <is>
          <t>Entretien des pistes agricoles des secteurs MDA et N3</t>
        </is>
      </c>
      <c r="I59" s="7" t="n">
        <v>2000000</v>
      </c>
      <c r="J59" s="8" t="inlineStr">
        <is>
          <t>km</t>
        </is>
      </c>
      <c r="K59" s="9" t="n">
        <v>4</v>
      </c>
      <c r="L59" s="51" t="n"/>
      <c r="M59" s="52">
        <f>'S41'!M59+L59</f>
        <v/>
      </c>
      <c r="N59" s="53">
        <f>IFERROR(M59/K59,0)</f>
        <v/>
      </c>
      <c r="O59" s="54">
        <f>'S41'!N59</f>
        <v/>
      </c>
      <c r="P59" s="53">
        <f>N59-O59</f>
        <v/>
      </c>
      <c r="Q59" s="32" t="n"/>
      <c r="R59" s="32" t="n"/>
      <c r="S59" s="32" t="n"/>
      <c r="T59" s="55" t="n"/>
      <c r="U59" s="54">
        <f>'S41'!T59</f>
        <v/>
      </c>
      <c r="V59" s="53">
        <f>T59-U59</f>
        <v/>
      </c>
      <c r="W59" s="53">
        <f>N59-T59</f>
        <v/>
      </c>
      <c r="X59" s="34" t="n"/>
    </row>
    <row r="60" ht="22" customHeight="1">
      <c r="B60" s="10" t="n">
        <v>56</v>
      </c>
      <c r="C60" s="14" t="inlineStr">
        <is>
          <t>Kénitra</t>
        </is>
      </c>
      <c r="D60" s="10" t="inlineStr">
        <is>
          <t>Bni malek</t>
        </is>
      </c>
      <c r="E60" s="10" t="inlineStr">
        <is>
          <t>50-21</t>
        </is>
      </c>
      <c r="F60" s="10" t="inlineStr">
        <is>
          <t>Entretien et réparation des stations de pompage</t>
        </is>
      </c>
      <c r="G60" s="10" t="inlineStr">
        <is>
          <t>Prestations de maintenance et de réparation mécanique des pompes et des groupes motopompes submersibles des stations de pompage.</t>
        </is>
      </c>
      <c r="H60" s="10" t="inlineStr">
        <is>
          <t>station de pompage MDA secteur MDA</t>
        </is>
      </c>
      <c r="I60" s="11" t="n">
        <v>300000</v>
      </c>
      <c r="J60" s="12" t="inlineStr">
        <is>
          <t>U</t>
        </is>
      </c>
      <c r="K60" s="13" t="n">
        <v>1</v>
      </c>
      <c r="L60" s="51" t="n"/>
      <c r="M60" s="56">
        <f>'S41'!M60+L60</f>
        <v/>
      </c>
      <c r="N60" s="57">
        <f>IFERROR(M60/K60,0)</f>
        <v/>
      </c>
      <c r="O60" s="58">
        <f>'S41'!N60</f>
        <v/>
      </c>
      <c r="P60" s="57">
        <f>N60-O60</f>
        <v/>
      </c>
      <c r="Q60" s="32" t="n"/>
      <c r="R60" s="32" t="n"/>
      <c r="S60" s="32" t="n"/>
      <c r="T60" s="55" t="n"/>
      <c r="U60" s="58">
        <f>'S41'!T60</f>
        <v/>
      </c>
      <c r="V60" s="57">
        <f>T60-U60</f>
        <v/>
      </c>
      <c r="W60" s="57">
        <f>N60-T60</f>
        <v/>
      </c>
      <c r="X60" s="34" t="n"/>
    </row>
    <row r="61" ht="22" customHeight="1">
      <c r="B61" s="5" t="n">
        <v>57</v>
      </c>
      <c r="C61" s="14" t="inlineStr">
        <is>
          <t>Kénitra</t>
        </is>
      </c>
      <c r="D61" s="5" t="inlineStr">
        <is>
          <t>Bni malek</t>
        </is>
      </c>
      <c r="E61" s="5" t="inlineStr">
        <is>
          <t>20-11</t>
        </is>
      </c>
      <c r="F61" s="5" t="inlineStr">
        <is>
          <t>Travaux de réhabilitation des équipements</t>
        </is>
      </c>
      <c r="G61" s="5" t="inlineStr">
        <is>
          <t>Travaux de réhabilitation des ouvrages de génie civil</t>
        </is>
      </c>
      <c r="H61" s="5" t="inlineStr">
        <is>
          <t>Rétablissement des bornes affaissées des secteurs N2 et N3</t>
        </is>
      </c>
      <c r="I61" s="7" t="n">
        <v>100000</v>
      </c>
      <c r="J61" s="8" t="inlineStr">
        <is>
          <t>U</t>
        </is>
      </c>
      <c r="K61" s="9" t="n">
        <v>200</v>
      </c>
      <c r="L61" s="51" t="n"/>
      <c r="M61" s="52">
        <f>'S41'!M61+L61</f>
        <v/>
      </c>
      <c r="N61" s="53">
        <f>IFERROR(M61/K61,0)</f>
        <v/>
      </c>
      <c r="O61" s="54">
        <f>'S41'!N61</f>
        <v/>
      </c>
      <c r="P61" s="53">
        <f>N61-O61</f>
        <v/>
      </c>
      <c r="Q61" s="32" t="n"/>
      <c r="R61" s="32" t="n"/>
      <c r="S61" s="32" t="n"/>
      <c r="T61" s="55" t="n"/>
      <c r="U61" s="54">
        <f>'S41'!T61</f>
        <v/>
      </c>
      <c r="V61" s="53">
        <f>T61-U61</f>
        <v/>
      </c>
      <c r="W61" s="53">
        <f>N61-T61</f>
        <v/>
      </c>
      <c r="X61" s="34" t="n"/>
    </row>
    <row r="62" ht="22" customHeight="1">
      <c r="B62" s="10" t="n">
        <v>58</v>
      </c>
      <c r="C62" s="14" t="inlineStr">
        <is>
          <t>Kénitra</t>
        </is>
      </c>
      <c r="D62" s="10" t="inlineStr">
        <is>
          <t>SOUK TLET</t>
        </is>
      </c>
      <c r="E62" s="10" t="inlineStr">
        <is>
          <t>50-23</t>
        </is>
      </c>
      <c r="F62" s="10" t="inlineStr">
        <is>
          <t>Entretien et réparation du réseau d'assainissement et de drainage</t>
        </is>
      </c>
      <c r="G62" s="10" t="inlineStr">
        <is>
          <t>Travaux de curage des canaux en terre</t>
        </is>
      </c>
      <c r="H62" s="10" t="inlineStr">
        <is>
          <t>curage des emissaires et colatures secondaire au niveau des secteurs N2,N3 ET N4,</t>
        </is>
      </c>
      <c r="I62" s="11" t="n">
        <v>3000000</v>
      </c>
      <c r="J62" s="12" t="inlineStr">
        <is>
          <t>ml</t>
        </is>
      </c>
      <c r="K62" s="13" t="n">
        <v>1500</v>
      </c>
      <c r="L62" s="51" t="n"/>
      <c r="M62" s="56">
        <f>'S41'!M62+L62</f>
        <v/>
      </c>
      <c r="N62" s="57">
        <f>IFERROR(M62/K62,0)</f>
        <v/>
      </c>
      <c r="O62" s="58">
        <f>'S41'!N62</f>
        <v/>
      </c>
      <c r="P62" s="57">
        <f>N62-O62</f>
        <v/>
      </c>
      <c r="Q62" s="32" t="n"/>
      <c r="R62" s="32" t="n"/>
      <c r="S62" s="32" t="n"/>
      <c r="T62" s="55" t="n"/>
      <c r="U62" s="58">
        <f>'S41'!T62</f>
        <v/>
      </c>
      <c r="V62" s="57">
        <f>T62-U62</f>
        <v/>
      </c>
      <c r="W62" s="57">
        <f>N62-T62</f>
        <v/>
      </c>
      <c r="X62" s="34" t="n"/>
    </row>
    <row r="63" ht="22" customHeight="1">
      <c r="B63" s="5" t="n">
        <v>59</v>
      </c>
      <c r="C63" s="14" t="inlineStr">
        <is>
          <t>Kénitra</t>
        </is>
      </c>
      <c r="D63" s="5" t="inlineStr">
        <is>
          <t>SOUK TLET</t>
        </is>
      </c>
      <c r="E63" s="5" t="inlineStr">
        <is>
          <t>40-21</t>
        </is>
      </c>
      <c r="F63" s="5" t="inlineStr">
        <is>
          <t>Travaux de pistes</t>
        </is>
      </c>
      <c r="G63" s="5" t="inlineStr">
        <is>
          <t>Travaux de réhabilitation des pistes agricoles</t>
        </is>
      </c>
      <c r="H63" s="5" t="inlineStr">
        <is>
          <t>Entretien des pistes des secteurs N2,N3,N4 et C4R,</t>
        </is>
      </c>
      <c r="I63" s="7" t="n">
        <v>5000000</v>
      </c>
      <c r="J63" s="8" t="inlineStr">
        <is>
          <t>U</t>
        </is>
      </c>
      <c r="K63" s="9" t="n">
        <v>1</v>
      </c>
      <c r="L63" s="51" t="n"/>
      <c r="M63" s="52">
        <f>'S41'!M63+L63</f>
        <v/>
      </c>
      <c r="N63" s="53">
        <f>IFERROR(M63/K63,0)</f>
        <v/>
      </c>
      <c r="O63" s="54">
        <f>'S41'!N63</f>
        <v/>
      </c>
      <c r="P63" s="53">
        <f>N63-O63</f>
        <v/>
      </c>
      <c r="Q63" s="32" t="n"/>
      <c r="R63" s="32" t="n"/>
      <c r="S63" s="32" t="n"/>
      <c r="T63" s="55" t="n"/>
      <c r="U63" s="54">
        <f>'S41'!T63</f>
        <v/>
      </c>
      <c r="V63" s="53">
        <f>T63-U63</f>
        <v/>
      </c>
      <c r="W63" s="53">
        <f>N63-T63</f>
        <v/>
      </c>
      <c r="X63" s="34" t="n"/>
    </row>
    <row r="64" ht="22" customHeight="1">
      <c r="B64" s="10" t="n">
        <v>60</v>
      </c>
      <c r="C64" s="14" t="inlineStr">
        <is>
          <t>Kénitra</t>
        </is>
      </c>
      <c r="D64" s="10" t="inlineStr">
        <is>
          <t>Sidi Med Lahmar</t>
        </is>
      </c>
      <c r="E64" s="10" t="inlineStr">
        <is>
          <t>50-23</t>
        </is>
      </c>
      <c r="F64" s="10" t="inlineStr">
        <is>
          <t>Entretien et réparation du réseau d'assainissement et de drainage</t>
        </is>
      </c>
      <c r="G64" s="10" t="inlineStr">
        <is>
          <t>Travaux de curage des canaux en terre</t>
        </is>
      </c>
      <c r="H64" s="10" t="inlineStr">
        <is>
          <t>Curage des emissaires et colatures secondaires secteurs N1</t>
        </is>
      </c>
      <c r="I64" s="11" t="n">
        <v>3000000</v>
      </c>
      <c r="J64" s="12" t="inlineStr">
        <is>
          <t>ml</t>
        </is>
      </c>
      <c r="K64" s="13" t="n">
        <v>1500</v>
      </c>
      <c r="L64" s="51" t="n"/>
      <c r="M64" s="56">
        <f>'S41'!M64+L64</f>
        <v/>
      </c>
      <c r="N64" s="57">
        <f>IFERROR(M64/K64,0)</f>
        <v/>
      </c>
      <c r="O64" s="58">
        <f>'S41'!N64</f>
        <v/>
      </c>
      <c r="P64" s="57">
        <f>N64-O64</f>
        <v/>
      </c>
      <c r="Q64" s="32" t="n"/>
      <c r="R64" s="32" t="n"/>
      <c r="S64" s="32" t="n"/>
      <c r="T64" s="55" t="n"/>
      <c r="U64" s="58">
        <f>'S41'!T64</f>
        <v/>
      </c>
      <c r="V64" s="57">
        <f>T64-U64</f>
        <v/>
      </c>
      <c r="W64" s="57">
        <f>N64-T64</f>
        <v/>
      </c>
      <c r="X64" s="34" t="n"/>
    </row>
    <row r="65" ht="22" customHeight="1">
      <c r="B65" s="5" t="n">
        <v>61</v>
      </c>
      <c r="C65" s="14" t="inlineStr">
        <is>
          <t>Kénitra</t>
        </is>
      </c>
      <c r="D65" s="5" t="inlineStr">
        <is>
          <t>Sidi Med Lahmar</t>
        </is>
      </c>
      <c r="E65" s="5" t="inlineStr">
        <is>
          <t>40-21</t>
        </is>
      </c>
      <c r="F65" s="5" t="inlineStr">
        <is>
          <t>Travaux de pistes</t>
        </is>
      </c>
      <c r="G65" s="5" t="inlineStr">
        <is>
          <t>Travaux de réhabilitation des pistes agricoles</t>
        </is>
      </c>
      <c r="H65" s="5" t="inlineStr">
        <is>
          <t>Entretien des pistes agricoles des secteurs N9 et N1</t>
        </is>
      </c>
      <c r="I65" s="7" t="n">
        <v>3000000</v>
      </c>
      <c r="J65" s="8" t="inlineStr">
        <is>
          <t>km</t>
        </is>
      </c>
      <c r="K65" s="9" t="n">
        <v>6</v>
      </c>
      <c r="L65" s="51" t="n"/>
      <c r="M65" s="52">
        <f>'S41'!M65+L65</f>
        <v/>
      </c>
      <c r="N65" s="53">
        <f>IFERROR(M65/K65,0)</f>
        <v/>
      </c>
      <c r="O65" s="54">
        <f>'S41'!N65</f>
        <v/>
      </c>
      <c r="P65" s="53">
        <f>N65-O65</f>
        <v/>
      </c>
      <c r="Q65" s="32" t="n"/>
      <c r="R65" s="32" t="n"/>
      <c r="S65" s="32" t="n"/>
      <c r="T65" s="55" t="n"/>
      <c r="U65" s="54">
        <f>'S41'!T65</f>
        <v/>
      </c>
      <c r="V65" s="53">
        <f>T65-U65</f>
        <v/>
      </c>
      <c r="W65" s="53">
        <f>N65-T65</f>
        <v/>
      </c>
      <c r="X65" s="34" t="n"/>
    </row>
    <row r="66" ht="22" customHeight="1">
      <c r="B66" s="10" t="n">
        <v>62</v>
      </c>
      <c r="C66" s="14" t="inlineStr">
        <is>
          <t>Kénitra</t>
        </is>
      </c>
      <c r="D66" s="10" t="inlineStr">
        <is>
          <t>Mograne</t>
        </is>
      </c>
      <c r="E66" s="10" t="inlineStr">
        <is>
          <t>50-23</t>
        </is>
      </c>
      <c r="F66" s="10" t="inlineStr">
        <is>
          <t>Entretien et réparation du réseau d'assainissement et de drainage</t>
        </is>
      </c>
      <c r="G66" s="10" t="inlineStr">
        <is>
          <t>Travaux de curage des canaux en terre</t>
        </is>
      </c>
      <c r="H66" s="10" t="inlineStr">
        <is>
          <t>Curage des canaux d'assainissement Hors secteur équipé ghoufera et laison beht sebou ,</t>
        </is>
      </c>
      <c r="I66" s="11" t="n">
        <v>6000000</v>
      </c>
      <c r="J66" s="12" t="inlineStr">
        <is>
          <t>ml</t>
        </is>
      </c>
      <c r="K66" s="13" t="n">
        <v>3000</v>
      </c>
      <c r="L66" s="51" t="n"/>
      <c r="M66" s="56">
        <f>'S41'!M66+L66</f>
        <v/>
      </c>
      <c r="N66" s="57">
        <f>IFERROR(M66/K66,0)</f>
        <v/>
      </c>
      <c r="O66" s="58">
        <f>'S41'!N66</f>
        <v/>
      </c>
      <c r="P66" s="57">
        <f>N66-O66</f>
        <v/>
      </c>
      <c r="Q66" s="32" t="n"/>
      <c r="R66" s="32" t="n"/>
      <c r="S66" s="32" t="n"/>
      <c r="T66" s="55" t="n"/>
      <c r="U66" s="58">
        <f>'S41'!T66</f>
        <v/>
      </c>
      <c r="V66" s="57">
        <f>T66-U66</f>
        <v/>
      </c>
      <c r="W66" s="57">
        <f>N66-T66</f>
        <v/>
      </c>
      <c r="X66" s="34" t="n"/>
    </row>
    <row r="67" ht="22" customHeight="1">
      <c r="B67" s="5" t="n">
        <v>63</v>
      </c>
      <c r="C67" s="14" t="inlineStr">
        <is>
          <t>Kénitra</t>
        </is>
      </c>
      <c r="D67" s="5" t="inlineStr">
        <is>
          <t>Mograne</t>
        </is>
      </c>
      <c r="E67" s="5" t="inlineStr">
        <is>
          <t>40-21</t>
        </is>
      </c>
      <c r="F67" s="5" t="inlineStr">
        <is>
          <t>Travaux de pistes</t>
        </is>
      </c>
      <c r="G67" s="5" t="inlineStr">
        <is>
          <t>Travaux de réhabilitation des pistes agricoles</t>
        </is>
      </c>
      <c r="H67" s="5" t="inlineStr">
        <is>
          <t>Entretien des pistes agricoles des secteurs SEBOU1,SEBOU2? BEHT3 et BEHT4</t>
        </is>
      </c>
      <c r="I67" s="7" t="n">
        <v>6000000</v>
      </c>
      <c r="J67" s="8" t="inlineStr">
        <is>
          <t>km</t>
        </is>
      </c>
      <c r="K67" s="9" t="n">
        <v>12</v>
      </c>
      <c r="L67" s="51" t="n"/>
      <c r="M67" s="52">
        <f>'S41'!M67+L67</f>
        <v/>
      </c>
      <c r="N67" s="53">
        <f>IFERROR(M67/K67,0)</f>
        <v/>
      </c>
      <c r="O67" s="54">
        <f>'S41'!N67</f>
        <v/>
      </c>
      <c r="P67" s="53">
        <f>N67-O67</f>
        <v/>
      </c>
      <c r="Q67" s="32" t="n"/>
      <c r="R67" s="32" t="n"/>
      <c r="S67" s="32" t="n"/>
      <c r="T67" s="55" t="n"/>
      <c r="U67" s="54">
        <f>'S41'!T67</f>
        <v/>
      </c>
      <c r="V67" s="53">
        <f>T67-U67</f>
        <v/>
      </c>
      <c r="W67" s="53">
        <f>N67-T67</f>
        <v/>
      </c>
      <c r="X67" s="34" t="n"/>
    </row>
    <row r="68" ht="22" customHeight="1">
      <c r="B68" s="10" t="n">
        <v>64</v>
      </c>
      <c r="C68" s="14" t="inlineStr">
        <is>
          <t>Kénitra</t>
        </is>
      </c>
      <c r="D68" s="10" t="inlineStr">
        <is>
          <t>Sidi allal tazi</t>
        </is>
      </c>
      <c r="E68" s="10" t="inlineStr">
        <is>
          <t>50-23</t>
        </is>
      </c>
      <c r="F68" s="10" t="inlineStr">
        <is>
          <t>Entretien et réparation du réseau d'assainissement et de drainage</t>
        </is>
      </c>
      <c r="G68" s="10" t="inlineStr">
        <is>
          <t>Travaux de curage des canaux en terre</t>
        </is>
      </c>
      <c r="H68" s="10" t="inlineStr">
        <is>
          <t>Curage du canaL d'assainissement CK,</t>
        </is>
      </c>
      <c r="I68" s="11" t="n">
        <v>3000000</v>
      </c>
      <c r="J68" s="12" t="inlineStr">
        <is>
          <t>ml</t>
        </is>
      </c>
      <c r="K68" s="13" t="n">
        <v>1500</v>
      </c>
      <c r="L68" s="51" t="n"/>
      <c r="M68" s="56">
        <f>'S41'!M68+L68</f>
        <v/>
      </c>
      <c r="N68" s="57">
        <f>IFERROR(M68/K68,0)</f>
        <v/>
      </c>
      <c r="O68" s="58">
        <f>'S41'!N68</f>
        <v/>
      </c>
      <c r="P68" s="57">
        <f>N68-O68</f>
        <v/>
      </c>
      <c r="Q68" s="32" t="n"/>
      <c r="R68" s="32" t="n"/>
      <c r="S68" s="32" t="n"/>
      <c r="T68" s="55" t="n"/>
      <c r="U68" s="58">
        <f>'S41'!T68</f>
        <v/>
      </c>
      <c r="V68" s="57">
        <f>T68-U68</f>
        <v/>
      </c>
      <c r="W68" s="57">
        <f>N68-T68</f>
        <v/>
      </c>
      <c r="X68" s="34" t="n"/>
    </row>
    <row r="69" ht="22" customHeight="1">
      <c r="B69" s="5" t="n">
        <v>65</v>
      </c>
      <c r="C69" s="14" t="inlineStr">
        <is>
          <t>Kénitra</t>
        </is>
      </c>
      <c r="D69" s="5" t="inlineStr">
        <is>
          <t>AMEUR SAFLIA</t>
        </is>
      </c>
      <c r="E69" s="5" t="inlineStr">
        <is>
          <t>50-23</t>
        </is>
      </c>
      <c r="F69" s="5" t="inlineStr">
        <is>
          <t>Entretien et réparation du réseau d'assainissement et de drainage</t>
        </is>
      </c>
      <c r="G69" s="5" t="inlineStr">
        <is>
          <t>Travaux de curage des canaux en terre</t>
        </is>
      </c>
      <c r="H69" s="5" t="inlineStr">
        <is>
          <t>Curage des canaux d'assainissement amontTtiflt Sebou,</t>
        </is>
      </c>
      <c r="I69" s="7" t="n">
        <v>1000000</v>
      </c>
      <c r="J69" s="8" t="inlineStr">
        <is>
          <t>ml</t>
        </is>
      </c>
      <c r="K69" s="9" t="n">
        <v>500</v>
      </c>
      <c r="L69" s="51" t="n"/>
      <c r="M69" s="52">
        <f>'S41'!M69+L69</f>
        <v/>
      </c>
      <c r="N69" s="53">
        <f>IFERROR(M69/K69,0)</f>
        <v/>
      </c>
      <c r="O69" s="54">
        <f>'S41'!N69</f>
        <v/>
      </c>
      <c r="P69" s="53">
        <f>N69-O69</f>
        <v/>
      </c>
      <c r="Q69" s="32" t="n"/>
      <c r="R69" s="32" t="n"/>
      <c r="S69" s="32" t="n"/>
      <c r="T69" s="55" t="n"/>
      <c r="U69" s="54">
        <f>'S41'!T69</f>
        <v/>
      </c>
      <c r="V69" s="53">
        <f>T69-U69</f>
        <v/>
      </c>
      <c r="W69" s="53">
        <f>N69-T69</f>
        <v/>
      </c>
      <c r="X69" s="34" t="n"/>
    </row>
    <row r="70" ht="22" customHeight="1">
      <c r="B70" s="10" t="n">
        <v>66</v>
      </c>
      <c r="C70" s="14" t="inlineStr">
        <is>
          <t>Kénitra</t>
        </is>
      </c>
      <c r="D70" s="10" t="inlineStr">
        <is>
          <t>Oulad SLAMA</t>
        </is>
      </c>
      <c r="E70" s="10" t="inlineStr">
        <is>
          <t>50-23</t>
        </is>
      </c>
      <c r="F70" s="10" t="inlineStr">
        <is>
          <t>Entretien et réparation du réseau d'assainissement et de drainage</t>
        </is>
      </c>
      <c r="G70" s="10" t="inlineStr">
        <is>
          <t>Travaux de curage des canaux en terre</t>
        </is>
      </c>
      <c r="H70" s="10" t="inlineStr">
        <is>
          <t>Curage des canaux d'assainissement debouche Tiflt aval,</t>
        </is>
      </c>
      <c r="I70" s="11" t="n">
        <v>1000000</v>
      </c>
      <c r="J70" s="12" t="inlineStr">
        <is>
          <t>ml</t>
        </is>
      </c>
      <c r="K70" s="13" t="n">
        <v>500</v>
      </c>
      <c r="L70" s="51" t="n"/>
      <c r="M70" s="56">
        <f>'S41'!M70+L70</f>
        <v/>
      </c>
      <c r="N70" s="57">
        <f>IFERROR(M70/K70,0)</f>
        <v/>
      </c>
      <c r="O70" s="58">
        <f>'S41'!N70</f>
        <v/>
      </c>
      <c r="P70" s="57">
        <f>N70-O70</f>
        <v/>
      </c>
      <c r="Q70" s="32" t="n"/>
      <c r="R70" s="32" t="n"/>
      <c r="S70" s="32" t="n"/>
      <c r="T70" s="55" t="n"/>
      <c r="U70" s="58">
        <f>'S41'!T70</f>
        <v/>
      </c>
      <c r="V70" s="57">
        <f>T70-U70</f>
        <v/>
      </c>
      <c r="W70" s="57">
        <f>N70-T70</f>
        <v/>
      </c>
      <c r="X70" s="34" t="n"/>
    </row>
    <row r="71" ht="22" customHeight="1">
      <c r="B71" s="5" t="n">
        <v>67</v>
      </c>
      <c r="C71" s="14" t="inlineStr">
        <is>
          <t>Kénitra</t>
        </is>
      </c>
      <c r="D71" s="5" t="inlineStr">
        <is>
          <t>BHARA Oulad AYAD</t>
        </is>
      </c>
      <c r="E71" s="5" t="inlineStr">
        <is>
          <t>50-23</t>
        </is>
      </c>
      <c r="F71" s="5" t="inlineStr">
        <is>
          <t>Entretien et réparation du réseau d'assainissement et de drainage</t>
        </is>
      </c>
      <c r="G71" s="5" t="inlineStr">
        <is>
          <t>Travaux de curage des canaux en terre</t>
        </is>
      </c>
      <c r="H71" s="5" t="inlineStr">
        <is>
          <t>Curage des canaux d'assainissement canal nador bas et haut segmet,</t>
        </is>
      </c>
      <c r="I71" s="7" t="n">
        <v>6600000</v>
      </c>
      <c r="J71" s="8" t="inlineStr">
        <is>
          <t>ml</t>
        </is>
      </c>
      <c r="K71" s="9" t="n">
        <v>3300</v>
      </c>
      <c r="L71" s="51" t="n"/>
      <c r="M71" s="52">
        <f>'S41'!M71+L71</f>
        <v/>
      </c>
      <c r="N71" s="53">
        <f>IFERROR(M71/K71,0)</f>
        <v/>
      </c>
      <c r="O71" s="54">
        <f>'S41'!N71</f>
        <v/>
      </c>
      <c r="P71" s="53">
        <f>N71-O71</f>
        <v/>
      </c>
      <c r="Q71" s="32" t="n"/>
      <c r="R71" s="32" t="n"/>
      <c r="S71" s="32" t="n"/>
      <c r="T71" s="55" t="n"/>
      <c r="U71" s="54">
        <f>'S41'!T71</f>
        <v/>
      </c>
      <c r="V71" s="53">
        <f>T71-U71</f>
        <v/>
      </c>
      <c r="W71" s="53">
        <f>N71-T71</f>
        <v/>
      </c>
      <c r="X71" s="34" t="n"/>
    </row>
    <row r="72" ht="22" customHeight="1">
      <c r="B72" s="10" t="n">
        <v>68</v>
      </c>
      <c r="C72" s="15" t="inlineStr">
        <is>
          <t>Sidi Slimane</t>
        </is>
      </c>
      <c r="D72" s="10" t="inlineStr">
        <is>
          <t>OULED HCEINE</t>
        </is>
      </c>
      <c r="E72" s="10" t="inlineStr">
        <is>
          <t>50-23</t>
        </is>
      </c>
      <c r="F72" s="10" t="inlineStr">
        <is>
          <t>Entretien et réparation du réseau d'assainissement et de drainage</t>
        </is>
      </c>
      <c r="G72" s="10" t="inlineStr">
        <is>
          <t>Travaux de curage des canaux en terre</t>
        </is>
      </c>
      <c r="H72" s="10" t="inlineStr">
        <is>
          <t>Curage des collecteurs d'assainissement du secteur EST4.</t>
        </is>
      </c>
      <c r="I72" s="11" t="n">
        <v>1805475</v>
      </c>
      <c r="J72" s="12" t="inlineStr">
        <is>
          <t>ml</t>
        </is>
      </c>
      <c r="K72" s="13" t="n">
        <v>903</v>
      </c>
      <c r="L72" s="51" t="n"/>
      <c r="M72" s="56">
        <f>'S41'!M72+L72</f>
        <v/>
      </c>
      <c r="N72" s="57">
        <f>IFERROR(M72/K72,0)</f>
        <v/>
      </c>
      <c r="O72" s="58">
        <f>'S41'!N72</f>
        <v/>
      </c>
      <c r="P72" s="57">
        <f>N72-O72</f>
        <v/>
      </c>
      <c r="Q72" s="32" t="n"/>
      <c r="R72" s="32" t="n"/>
      <c r="S72" s="32" t="n"/>
      <c r="T72" s="55" t="n"/>
      <c r="U72" s="58">
        <f>'S41'!T72</f>
        <v/>
      </c>
      <c r="V72" s="57">
        <f>T72-U72</f>
        <v/>
      </c>
      <c r="W72" s="57">
        <f>N72-T72</f>
        <v/>
      </c>
      <c r="X72" s="34" t="n"/>
    </row>
    <row r="73" ht="22" customHeight="1">
      <c r="B73" s="5" t="n">
        <v>69</v>
      </c>
      <c r="C73" s="15" t="inlineStr">
        <is>
          <t>Sidi Slimane</t>
        </is>
      </c>
      <c r="D73" s="5" t="inlineStr">
        <is>
          <t>OULED HCEINE</t>
        </is>
      </c>
      <c r="E73" s="5" t="inlineStr">
        <is>
          <t>50-23</t>
        </is>
      </c>
      <c r="F73" s="5" t="inlineStr">
        <is>
          <t>Entretien et réparation du réseau d'assainissement et de drainage</t>
        </is>
      </c>
      <c r="G73" s="5" t="inlineStr">
        <is>
          <t>Travaux de curage des canaux en terre</t>
        </is>
      </c>
      <c r="H73" s="5" t="inlineStr">
        <is>
          <t>Curage du canal d'assainissement Tihli central.</t>
        </is>
      </c>
      <c r="I73" s="7" t="n">
        <v>2587200</v>
      </c>
      <c r="J73" s="8" t="inlineStr">
        <is>
          <t>ml</t>
        </is>
      </c>
      <c r="K73" s="9" t="n">
        <v>1294</v>
      </c>
      <c r="L73" s="51" t="n"/>
      <c r="M73" s="52">
        <f>'S41'!M73+L73</f>
        <v/>
      </c>
      <c r="N73" s="53">
        <f>IFERROR(M73/K73,0)</f>
        <v/>
      </c>
      <c r="O73" s="54">
        <f>'S41'!N73</f>
        <v/>
      </c>
      <c r="P73" s="53">
        <f>N73-O73</f>
        <v/>
      </c>
      <c r="Q73" s="32" t="n"/>
      <c r="R73" s="32" t="n"/>
      <c r="S73" s="32" t="n"/>
      <c r="T73" s="55" t="n"/>
      <c r="U73" s="54">
        <f>'S41'!T73</f>
        <v/>
      </c>
      <c r="V73" s="53">
        <f>T73-U73</f>
        <v/>
      </c>
      <c r="W73" s="53">
        <f>N73-T73</f>
        <v/>
      </c>
      <c r="X73" s="34" t="n"/>
    </row>
    <row r="74" ht="22" customHeight="1">
      <c r="B74" s="10" t="n">
        <v>70</v>
      </c>
      <c r="C74" s="15" t="inlineStr">
        <is>
          <t>Sidi Slimane</t>
        </is>
      </c>
      <c r="D74" s="10" t="inlineStr">
        <is>
          <t>OULED HCEINE</t>
        </is>
      </c>
      <c r="E74" s="10" t="inlineStr">
        <is>
          <t>40-21</t>
        </is>
      </c>
      <c r="F74" s="10" t="inlineStr">
        <is>
          <t>Travaux de pistes</t>
        </is>
      </c>
      <c r="G74" s="10" t="inlineStr">
        <is>
          <t>Travaux de réhabilitation des pistes agricoles</t>
        </is>
      </c>
      <c r="H74" s="10" t="inlineStr">
        <is>
          <t>Entretien des pistes agricoles</t>
        </is>
      </c>
      <c r="I74" s="11" t="n">
        <v>3500000</v>
      </c>
      <c r="J74" s="12" t="inlineStr">
        <is>
          <t>km</t>
        </is>
      </c>
      <c r="K74" s="13" t="n">
        <v>7</v>
      </c>
      <c r="L74" s="51" t="n"/>
      <c r="M74" s="56">
        <f>'S41'!M74+L74</f>
        <v/>
      </c>
      <c r="N74" s="57">
        <f>IFERROR(M74/K74,0)</f>
        <v/>
      </c>
      <c r="O74" s="58">
        <f>'S41'!N74</f>
        <v/>
      </c>
      <c r="P74" s="57">
        <f>N74-O74</f>
        <v/>
      </c>
      <c r="Q74" s="32" t="n"/>
      <c r="R74" s="32" t="n"/>
      <c r="S74" s="32" t="n"/>
      <c r="T74" s="55" t="n"/>
      <c r="U74" s="58">
        <f>'S41'!T74</f>
        <v/>
      </c>
      <c r="V74" s="57">
        <f>T74-U74</f>
        <v/>
      </c>
      <c r="W74" s="57">
        <f>N74-T74</f>
        <v/>
      </c>
      <c r="X74" s="34" t="n"/>
    </row>
    <row r="75" ht="22" customHeight="1">
      <c r="B75" s="5" t="n">
        <v>71</v>
      </c>
      <c r="C75" s="15" t="inlineStr">
        <is>
          <t>Sidi Slimane</t>
        </is>
      </c>
      <c r="D75" s="5" t="inlineStr">
        <is>
          <t>OULED HCEINE</t>
        </is>
      </c>
      <c r="E75" s="5" t="inlineStr">
        <is>
          <t>50-21</t>
        </is>
      </c>
      <c r="F75" s="5" t="inlineStr">
        <is>
          <t>Entretien et réparation des stations de pompage</t>
        </is>
      </c>
      <c r="G75" s="5" t="inlineStr">
        <is>
          <t>Travaux de réparation des équipements hydromécaniques et éléctriques et entretien de la partie génie civil des stations de pompage.</t>
        </is>
      </c>
      <c r="H75" s="5" t="inlineStr">
        <is>
          <t>Démontage et expertise des roues des  pompes principaux et pompes a vide de la station EST4 et P11/2.
Changement des roulements, tresses et organes d’effectués de la station EST4 et P11/2
Changement deux débitmètre Ø 1200 mm de la station EST4 et un débimétre de la station P11/2.
Changement des capteurs de niveau inondés.
Révision et réparation des moteurs des vannes motorisées inondées.
changement de six contrôleurs de débits DW181 inondés.
Un capteur de débitmètre inondé nécessitent un diagnostic VEGASON  .
Entretien de l'éclairage du local de vide et bâche d’aspiration inondé de la station EST4 et la partie de l’éclairage du local des pompes inondées de la station P11/2.
Pose de gabions et recouvrement du talus par matelas Reno des stations de pompage P11/2</t>
        </is>
      </c>
      <c r="I75" s="7" t="n">
        <v>870000</v>
      </c>
      <c r="J75" s="8" t="inlineStr">
        <is>
          <t>U</t>
        </is>
      </c>
      <c r="K75" s="9" t="n">
        <v>4</v>
      </c>
      <c r="L75" s="51" t="n"/>
      <c r="M75" s="52">
        <f>'S41'!M75+L75</f>
        <v/>
      </c>
      <c r="N75" s="53">
        <f>IFERROR(M75/K75,0)</f>
        <v/>
      </c>
      <c r="O75" s="54">
        <f>'S41'!N75</f>
        <v/>
      </c>
      <c r="P75" s="53">
        <f>N75-O75</f>
        <v/>
      </c>
      <c r="Q75" s="32" t="n"/>
      <c r="R75" s="32" t="n"/>
      <c r="S75" s="32" t="n"/>
      <c r="T75" s="55" t="n"/>
      <c r="U75" s="54">
        <f>'S41'!T75</f>
        <v/>
      </c>
      <c r="V75" s="53">
        <f>T75-U75</f>
        <v/>
      </c>
      <c r="W75" s="53">
        <f>N75-T75</f>
        <v/>
      </c>
      <c r="X75" s="34" t="n"/>
    </row>
    <row r="76" ht="22" customHeight="1">
      <c r="B76" s="10" t="n">
        <v>72</v>
      </c>
      <c r="C76" s="15" t="inlineStr">
        <is>
          <t>Sidi Slimane</t>
        </is>
      </c>
      <c r="D76" s="10" t="inlineStr">
        <is>
          <t>OULED HCEINE</t>
        </is>
      </c>
      <c r="E76" s="10" t="inlineStr">
        <is>
          <t>50-23</t>
        </is>
      </c>
      <c r="F76" s="10" t="inlineStr">
        <is>
          <t>Entretien et réparation du réseau d'assainissement et de drainage</t>
        </is>
      </c>
      <c r="G76" s="10" t="inlineStr">
        <is>
          <t>Travaux de curage des prises des stations de pompage.</t>
        </is>
      </c>
      <c r="H76" s="10" t="inlineStr">
        <is>
          <t>Curage des siphones des station de pompage EST2 et P11/2.</t>
        </is>
      </c>
      <c r="I76" s="11" t="n">
        <v>500000</v>
      </c>
      <c r="J76" s="12" t="inlineStr">
        <is>
          <t>ml</t>
        </is>
      </c>
      <c r="K76" s="13" t="n">
        <v>167</v>
      </c>
      <c r="L76" s="51" t="n"/>
      <c r="M76" s="56">
        <f>'S41'!M76+L76</f>
        <v/>
      </c>
      <c r="N76" s="57">
        <f>IFERROR(M76/K76,0)</f>
        <v/>
      </c>
      <c r="O76" s="58">
        <f>'S41'!N76</f>
        <v/>
      </c>
      <c r="P76" s="57">
        <f>N76-O76</f>
        <v/>
      </c>
      <c r="Q76" s="32" t="n"/>
      <c r="R76" s="32" t="n"/>
      <c r="S76" s="32" t="n"/>
      <c r="T76" s="55" t="n"/>
      <c r="U76" s="58">
        <f>'S41'!T76</f>
        <v/>
      </c>
      <c r="V76" s="57">
        <f>T76-U76</f>
        <v/>
      </c>
      <c r="W76" s="57">
        <f>N76-T76</f>
        <v/>
      </c>
      <c r="X76" s="34" t="n"/>
    </row>
    <row r="77" ht="26" customHeight="1">
      <c r="B77" s="16" t="inlineStr">
        <is>
          <t>TOTAL</t>
        </is>
      </c>
      <c r="C77" s="16" t="n"/>
      <c r="D77" s="16" t="n"/>
      <c r="E77" s="16" t="n"/>
      <c r="F77" s="16" t="n"/>
      <c r="G77" s="16" t="n"/>
      <c r="H77" s="16" t="n"/>
      <c r="I77" s="17">
        <f>SUM(I5:I76)</f>
        <v/>
      </c>
      <c r="J77" s="16" t="n"/>
      <c r="K77" s="16" t="n"/>
      <c r="L77" s="59">
        <f>SUM(L5:L76)</f>
        <v/>
      </c>
      <c r="M77" s="59">
        <f>SUM(M5:M76)</f>
        <v/>
      </c>
      <c r="N77" s="60">
        <f>IFERROR(SUMPRODUCT(N5:N76,I5:I76)/I77,0)</f>
        <v/>
      </c>
      <c r="O77" s="60">
        <f>IFERROR(SUMPRODUCT(O5:O76,I5:I76)/I77,0)</f>
        <v/>
      </c>
      <c r="P77" s="60">
        <f>N77-O77</f>
        <v/>
      </c>
      <c r="Q77" s="17">
        <f>SUM(Q5:Q76)</f>
        <v/>
      </c>
      <c r="R77" s="17">
        <f>SUM(R5:R76)</f>
        <v/>
      </c>
      <c r="S77" s="17">
        <f>SUM(S5:S76)</f>
        <v/>
      </c>
      <c r="T77" s="60">
        <f>IFERROR(SUMPRODUCT(T5:T76,I5:I76)/I77,0)</f>
        <v/>
      </c>
      <c r="U77" s="60">
        <f>IFERROR(SUMPRODUCT(U5:U76,I5:I76)/I77,0)</f>
        <v/>
      </c>
      <c r="V77" s="60">
        <f>T77-U77</f>
        <v/>
      </c>
      <c r="W77" s="60">
        <f>N77-T77</f>
        <v/>
      </c>
      <c r="X77" s="16" t="n"/>
    </row>
  </sheetData>
  <sheetProtection selectLockedCells="0" selectUnlockedCells="0" sheet="1" objects="0" insertRows="1" insertHyperlinks="1" autoFilter="1" scenarios="0" formatColumns="1" deleteColumns="1" insertColumns="1" pivotTables="1" deleteRows="1" formatCells="1" formatRows="1" sort="1" password="CBBE"/>
  <mergeCells count="6">
    <mergeCell ref="E3:I3"/>
    <mergeCell ref="W3:X3"/>
    <mergeCell ref="J3:P3"/>
    <mergeCell ref="B2:X2"/>
    <mergeCell ref="C3:D3"/>
    <mergeCell ref="Q3:V3"/>
  </mergeCells>
  <conditionalFormatting sqref="P5:P76">
    <cfRule type="cellIs" priority="1" operator="greaterThan" dxfId="0">
      <formula>0</formula>
    </cfRule>
    <cfRule type="cellIs" priority="2" operator="lessThan" dxfId="1">
      <formula>0</formula>
    </cfRule>
  </conditionalFormatting>
  <conditionalFormatting sqref="V5:V76">
    <cfRule type="cellIs" priority="3" operator="greaterThan" dxfId="0">
      <formula>0</formula>
    </cfRule>
    <cfRule type="cellIs" priority="4" operator="lessThan" dxfId="1">
      <formula>0</formula>
    </cfRule>
  </conditionalFormatting>
  <conditionalFormatting sqref="W5:W76">
    <cfRule type="cellIs" priority="5" operator="greaterThan" dxfId="0">
      <formula>0.05</formula>
    </cfRule>
    <cfRule type="cellIs" priority="6" operator="lessThan" dxfId="1">
      <formula>-0.05</formula>
    </cfRule>
    <cfRule type="cellIs" priority="7" operator="between" dxfId="2">
      <formula>-0.05</formula>
      <formula>0.05</formula>
    </cfRule>
  </conditionalFormatting>
  <conditionalFormatting sqref="N5:N76">
    <cfRule type="dataBar" priority="8">
      <dataBar showValue="1">
        <cfvo type="num" val="0"/>
        <cfvo type="num" val="1"/>
        <color rgb="001B7D46"/>
      </dataBar>
    </cfRule>
  </conditionalFormatting>
  <conditionalFormatting sqref="T5:T76">
    <cfRule type="dataBar" priority="9">
      <dataBar showValue="1">
        <cfvo type="num" val="0"/>
        <cfvo type="num" val="1"/>
        <color rgb="00D4820A"/>
      </dataBar>
    </cfRule>
  </conditionalFormatting>
  <dataValidations count="2">
    <dataValidation sqref="T5:T76" showDropDown="0" showInputMessage="0" showErrorMessage="0" allowBlank="1" errorTitle="Invalide" error="Valeur entre 0% et 100%" promptTitle="Avancement %" prompt="Entrez 0.25 pour 25%" type="decimal" operator="between">
      <formula1>0</formula1>
      <formula2>1</formula2>
    </dataValidation>
    <dataValidation sqref="L5:L76" showDropDown="0" showInputMessage="0" showErrorMessage="0" allowBlank="1" errorTitle="Invalide" error="Quantité doit être &gt;= 0" promptTitle="Qté Réalisée" prompt="Entrez la quantité réalisée cette semaine" type="decimal" operator="greaterThanOrEqual">
      <formula1>0</formula1>
    </dataValidation>
  </dataValidations>
  <pageMargins left="0.75" right="0.75" top="1" bottom="1" header="0.5" footer="0.5"/>
</worksheet>
</file>

<file path=xl/worksheets/sheet23.xml><?xml version="1.0" encoding="utf-8"?>
<worksheet xmlns="http://schemas.openxmlformats.org/spreadsheetml/2006/main">
  <sheetPr>
    <tabColor rgb="007030A0"/>
    <outlinePr summaryBelow="1" summaryRight="1"/>
    <pageSetUpPr/>
  </sheetPr>
  <dimension ref="B2:X77"/>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5" customWidth="1" min="2" max="2"/>
    <col width="14" customWidth="1" min="3" max="3"/>
    <col width="18" customWidth="1" min="4" max="4"/>
    <col width="9" customWidth="1" min="5" max="5"/>
    <col width="32" customWidth="1" min="6" max="6"/>
    <col width="28" customWidth="1" min="7" max="7"/>
    <col width="34" customWidth="1" min="8" max="8"/>
    <col width="14" customWidth="1" min="9" max="9"/>
    <col width="8" customWidth="1" min="10" max="10"/>
    <col width="12" customWidth="1" min="11" max="11"/>
    <col width="14" customWidth="1" min="12" max="12"/>
    <col width="14" customWidth="1" min="13" max="13"/>
    <col width="14" customWidth="1" min="14" max="14"/>
    <col width="14" customWidth="1" min="15" max="15"/>
    <col width="14" customWidth="1" min="16" max="16"/>
    <col width="16" customWidth="1" min="17" max="17"/>
    <col width="16" customWidth="1" min="18" max="18"/>
    <col width="16" customWidth="1" min="19" max="19"/>
    <col width="14" customWidth="1" min="20" max="20"/>
    <col width="14" customWidth="1" min="21" max="21"/>
    <col width="14" customWidth="1" min="22" max="22"/>
    <col width="14" customWidth="1" min="23" max="23"/>
    <col width="24" customWidth="1" min="24" max="24"/>
  </cols>
  <sheetData>
    <row r="1" ht="15" customHeight="1"/>
    <row r="2" ht="32" customHeight="1">
      <c r="B2" s="1" t="inlineStr">
        <is>
          <t>Suivi Hebdomadaire - Semaine 43 (19/10 - 25/10) — Octobre 2026 - Exécution Physique et Financière</t>
        </is>
      </c>
    </row>
    <row r="3" ht="22" customHeight="1">
      <c r="B3" s="20" t="inlineStr">
        <is>
          <t>Date :</t>
        </is>
      </c>
      <c r="C3" s="49" t="n">
        <v>46314</v>
      </c>
      <c r="D3" s="50" t="n"/>
      <c r="E3" s="22" t="inlineStr">
        <is>
          <t>IDENTIFICATION</t>
        </is>
      </c>
      <c r="J3" s="23" t="inlineStr">
        <is>
          <t>INDICATEURS PHYSIQUES</t>
        </is>
      </c>
      <c r="Q3" s="24" t="inlineStr">
        <is>
          <t>INDICATEURS FINANCIERS</t>
        </is>
      </c>
      <c r="W3" s="25" t="inlineStr">
        <is>
          <t>SYNTHÈSE</t>
        </is>
      </c>
    </row>
    <row r="4" ht="28" customHeight="1">
      <c r="B4" s="4" t="inlineStr">
        <is>
          <t>N°</t>
        </is>
      </c>
      <c r="C4" s="4" t="inlineStr">
        <is>
          <t>Province</t>
        </is>
      </c>
      <c r="D4" s="4" t="inlineStr">
        <is>
          <t>Commune</t>
        </is>
      </c>
      <c r="E4" s="4" t="inlineStr">
        <is>
          <t>Rubrique</t>
        </is>
      </c>
      <c r="F4" s="4" t="inlineStr">
        <is>
          <t>Intitulé Rubrique</t>
        </is>
      </c>
      <c r="G4" s="4" t="inlineStr">
        <is>
          <t>Projet</t>
        </is>
      </c>
      <c r="H4" s="4" t="inlineStr">
        <is>
          <t>Consistance</t>
        </is>
      </c>
      <c r="I4" s="4" t="inlineStr">
        <is>
          <t>Coût Total (DH)</t>
        </is>
      </c>
      <c r="J4" s="26" t="inlineStr">
        <is>
          <t>Unité</t>
        </is>
      </c>
      <c r="K4" s="26" t="inlineStr">
        <is>
          <t>Qté Prévue</t>
        </is>
      </c>
      <c r="L4" s="26" t="inlineStr">
        <is>
          <t>Qté Réalisée Sem.</t>
        </is>
      </c>
      <c r="M4" s="26" t="inlineStr">
        <is>
          <t>Qté Réalisée Cumul</t>
        </is>
      </c>
      <c r="N4" s="26" t="inlineStr">
        <is>
          <t>Avancement Physique %</t>
        </is>
      </c>
      <c r="O4" s="26" t="inlineStr">
        <is>
          <t>% Phys. Sem. Préc.</t>
        </is>
      </c>
      <c r="P4" s="26" t="inlineStr">
        <is>
          <t>Accroissement Phys. %</t>
        </is>
      </c>
      <c r="Q4" s="27" t="inlineStr">
        <is>
          <t>Montant Décaissé (DH)</t>
        </is>
      </c>
      <c r="R4" s="27" t="inlineStr">
        <is>
          <t>Montant Payé (DH)</t>
        </is>
      </c>
      <c r="S4" s="27" t="inlineStr">
        <is>
          <t>Montant Ordonné (DH)</t>
        </is>
      </c>
      <c r="T4" s="27" t="inlineStr">
        <is>
          <t>Avancement Financier %</t>
        </is>
      </c>
      <c r="U4" s="27" t="inlineStr">
        <is>
          <t>% Fin. Sem. Préc.</t>
        </is>
      </c>
      <c r="V4" s="27" t="inlineStr">
        <is>
          <t>Accroissement Fin. %</t>
        </is>
      </c>
      <c r="W4" s="28" t="inlineStr">
        <is>
          <t>Écart Phys.-Fin.</t>
        </is>
      </c>
      <c r="X4" s="28" t="inlineStr">
        <is>
          <t>Observations</t>
        </is>
      </c>
    </row>
    <row r="5" ht="22" customHeight="1">
      <c r="B5" s="5" t="n">
        <v>1</v>
      </c>
      <c r="C5" s="6" t="inlineStr">
        <is>
          <t>Sidi Kacem</t>
        </is>
      </c>
      <c r="D5" s="5" t="inlineStr">
        <is>
          <t>KHENICHET</t>
        </is>
      </c>
      <c r="E5" s="5" t="inlineStr">
        <is>
          <t>50-23</t>
        </is>
      </c>
      <c r="F5" s="5" t="inlineStr">
        <is>
          <t>Entretien et réparation du réseau d'assainissement et de drainage</t>
        </is>
      </c>
      <c r="G5" s="5" t="inlineStr">
        <is>
          <t>Travaux de curage des canaux en terre</t>
        </is>
      </c>
      <c r="H5" s="5" t="inlineStr">
        <is>
          <t>Curage des collecteurs d'assainissement du secteur EST2</t>
        </is>
      </c>
      <c r="I5" s="7" t="n">
        <v>2091568</v>
      </c>
      <c r="J5" s="8" t="inlineStr">
        <is>
          <t>ml</t>
        </is>
      </c>
      <c r="K5" s="9" t="n">
        <v>1046</v>
      </c>
      <c r="L5" s="51" t="n"/>
      <c r="M5" s="52">
        <f>'S42'!M5+L5</f>
        <v/>
      </c>
      <c r="N5" s="53">
        <f>IFERROR(M5/K5,0)</f>
        <v/>
      </c>
      <c r="O5" s="54">
        <f>'S42'!N5</f>
        <v/>
      </c>
      <c r="P5" s="53">
        <f>N5-O5</f>
        <v/>
      </c>
      <c r="Q5" s="32" t="n"/>
      <c r="R5" s="32" t="n"/>
      <c r="S5" s="32" t="n"/>
      <c r="T5" s="55" t="n"/>
      <c r="U5" s="54">
        <f>'S42'!T5</f>
        <v/>
      </c>
      <c r="V5" s="53">
        <f>T5-U5</f>
        <v/>
      </c>
      <c r="W5" s="53">
        <f>N5-T5</f>
        <v/>
      </c>
      <c r="X5" s="34" t="n"/>
    </row>
    <row r="6" ht="22" customHeight="1">
      <c r="B6" s="10" t="n">
        <v>2</v>
      </c>
      <c r="C6" s="6" t="inlineStr">
        <is>
          <t>Sidi Kacem</t>
        </is>
      </c>
      <c r="D6" s="10" t="inlineStr">
        <is>
          <t>KHENICHET</t>
        </is>
      </c>
      <c r="E6" s="10" t="inlineStr">
        <is>
          <t>40-21</t>
        </is>
      </c>
      <c r="F6" s="10" t="inlineStr">
        <is>
          <t>Travaux de pistes</t>
        </is>
      </c>
      <c r="G6" s="10" t="inlineStr">
        <is>
          <t>Travaux de réhabilitation des pistes agricoles</t>
        </is>
      </c>
      <c r="H6" s="10" t="inlineStr">
        <is>
          <t>Entretien des pistes agricoles Douar Nouagra et Douar ouled Salem</t>
        </is>
      </c>
      <c r="I6" s="11" t="n">
        <v>78000</v>
      </c>
      <c r="J6" s="12" t="inlineStr">
        <is>
          <t>km</t>
        </is>
      </c>
      <c r="K6" s="13" t="n">
        <v>1</v>
      </c>
      <c r="L6" s="51" t="n"/>
      <c r="M6" s="56">
        <f>'S42'!M6+L6</f>
        <v/>
      </c>
      <c r="N6" s="57">
        <f>IFERROR(M6/K6,0)</f>
        <v/>
      </c>
      <c r="O6" s="58">
        <f>'S42'!N6</f>
        <v/>
      </c>
      <c r="P6" s="57">
        <f>N6-O6</f>
        <v/>
      </c>
      <c r="Q6" s="32" t="n"/>
      <c r="R6" s="32" t="n"/>
      <c r="S6" s="32" t="n"/>
      <c r="T6" s="55" t="n"/>
      <c r="U6" s="58">
        <f>'S42'!T6</f>
        <v/>
      </c>
      <c r="V6" s="57">
        <f>T6-U6</f>
        <v/>
      </c>
      <c r="W6" s="57">
        <f>N6-T6</f>
        <v/>
      </c>
      <c r="X6" s="34" t="n"/>
    </row>
    <row r="7" ht="22" customHeight="1">
      <c r="B7" s="5" t="n">
        <v>3</v>
      </c>
      <c r="C7" s="6" t="inlineStr">
        <is>
          <t>Sidi Kacem</t>
        </is>
      </c>
      <c r="D7" s="5" t="inlineStr">
        <is>
          <t>KHENICHET</t>
        </is>
      </c>
      <c r="E7" s="5" t="inlineStr">
        <is>
          <t>50-23</t>
        </is>
      </c>
      <c r="F7" s="5" t="inlineStr">
        <is>
          <t>Entretien et réparation du réseau d'assainissement et de drainage</t>
        </is>
      </c>
      <c r="G7" s="5" t="inlineStr">
        <is>
          <t>Curage des prises sur l’oued, bâche d’aspiration et bassin de régulation.</t>
        </is>
      </c>
      <c r="H7" s="5" t="inlineStr">
        <is>
          <t>Curage de la chambre des joints de démontage des siphonnes  de la station de pompage EST2.</t>
        </is>
      </c>
      <c r="I7" s="7" t="n">
        <v>126000</v>
      </c>
      <c r="J7" s="8" t="inlineStr">
        <is>
          <t>ml</t>
        </is>
      </c>
      <c r="K7" s="9" t="n">
        <v>42</v>
      </c>
      <c r="L7" s="51" t="n"/>
      <c r="M7" s="52">
        <f>'S42'!M7+L7</f>
        <v/>
      </c>
      <c r="N7" s="53">
        <f>IFERROR(M7/K7,0)</f>
        <v/>
      </c>
      <c r="O7" s="54">
        <f>'S42'!N7</f>
        <v/>
      </c>
      <c r="P7" s="53">
        <f>N7-O7</f>
        <v/>
      </c>
      <c r="Q7" s="32" t="n"/>
      <c r="R7" s="32" t="n"/>
      <c r="S7" s="32" t="n"/>
      <c r="T7" s="55" t="n"/>
      <c r="U7" s="54">
        <f>'S42'!T7</f>
        <v/>
      </c>
      <c r="V7" s="53">
        <f>T7-U7</f>
        <v/>
      </c>
      <c r="W7" s="53">
        <f>N7-T7</f>
        <v/>
      </c>
      <c r="X7" s="34" t="n"/>
    </row>
    <row r="8" ht="22" customHeight="1">
      <c r="B8" s="10" t="n">
        <v>4</v>
      </c>
      <c r="C8" s="6" t="inlineStr">
        <is>
          <t>Sidi Kacem</t>
        </is>
      </c>
      <c r="D8" s="10" t="inlineStr">
        <is>
          <t>KHENICHET</t>
        </is>
      </c>
      <c r="E8" s="10" t="inlineStr">
        <is>
          <t>50-21</t>
        </is>
      </c>
      <c r="F8" s="10" t="inlineStr">
        <is>
          <t>Entretien et réparation des stations de pompage</t>
        </is>
      </c>
      <c r="G8" s="10" t="inlineStr">
        <is>
          <t>Prestation de maintenance des débitmètres et leurs équipements annexes installés au niveau des station de pompage</t>
        </is>
      </c>
      <c r="H8" s="10" t="inlineStr">
        <is>
          <t>Changement trois débitmètre Ø 600mm inondés de la station de pompage EST 2 et deux capteurs VEGASON 62</t>
        </is>
      </c>
      <c r="I8" s="11" t="n">
        <v>165500</v>
      </c>
      <c r="J8" s="12" t="inlineStr">
        <is>
          <t>U</t>
        </is>
      </c>
      <c r="K8" s="13" t="n">
        <v>3</v>
      </c>
      <c r="L8" s="51" t="n"/>
      <c r="M8" s="56">
        <f>'S42'!M8+L8</f>
        <v/>
      </c>
      <c r="N8" s="57">
        <f>IFERROR(M8/K8,0)</f>
        <v/>
      </c>
      <c r="O8" s="58">
        <f>'S42'!N8</f>
        <v/>
      </c>
      <c r="P8" s="57">
        <f>N8-O8</f>
        <v/>
      </c>
      <c r="Q8" s="32" t="n"/>
      <c r="R8" s="32" t="n"/>
      <c r="S8" s="32" t="n"/>
      <c r="T8" s="55" t="n"/>
      <c r="U8" s="58">
        <f>'S42'!T8</f>
        <v/>
      </c>
      <c r="V8" s="57">
        <f>T8-U8</f>
        <v/>
      </c>
      <c r="W8" s="57">
        <f>N8-T8</f>
        <v/>
      </c>
      <c r="X8" s="34" t="n"/>
    </row>
    <row r="9" ht="22" customHeight="1">
      <c r="B9" s="5" t="n">
        <v>5</v>
      </c>
      <c r="C9" s="6" t="inlineStr">
        <is>
          <t>Sidi Kacem</t>
        </is>
      </c>
      <c r="D9" s="5" t="inlineStr">
        <is>
          <t>BIR TALEB</t>
        </is>
      </c>
      <c r="E9" s="5" t="inlineStr">
        <is>
          <t>50-23</t>
        </is>
      </c>
      <c r="F9" s="5" t="inlineStr">
        <is>
          <t>Entretien et réparation du réseau d'assainissement et de drainage</t>
        </is>
      </c>
      <c r="G9" s="5" t="inlineStr">
        <is>
          <t>Travaux de curage des canaux en terre</t>
        </is>
      </c>
      <c r="H9" s="5" t="inlineStr">
        <is>
          <t>Curage du canal d'assainisement Tihli Aval</t>
        </is>
      </c>
      <c r="I9" s="7" t="n">
        <v>1000000</v>
      </c>
      <c r="J9" s="8" t="inlineStr">
        <is>
          <t>ml</t>
        </is>
      </c>
      <c r="K9" s="9" t="n">
        <v>500</v>
      </c>
      <c r="L9" s="51" t="n"/>
      <c r="M9" s="52">
        <f>'S42'!M9+L9</f>
        <v/>
      </c>
      <c r="N9" s="53">
        <f>IFERROR(M9/K9,0)</f>
        <v/>
      </c>
      <c r="O9" s="54">
        <f>'S42'!N9</f>
        <v/>
      </c>
      <c r="P9" s="53">
        <f>N9-O9</f>
        <v/>
      </c>
      <c r="Q9" s="32" t="n"/>
      <c r="R9" s="32" t="n"/>
      <c r="S9" s="32" t="n"/>
      <c r="T9" s="55" t="n"/>
      <c r="U9" s="54">
        <f>'S42'!T9</f>
        <v/>
      </c>
      <c r="V9" s="53">
        <f>T9-U9</f>
        <v/>
      </c>
      <c r="W9" s="53">
        <f>N9-T9</f>
        <v/>
      </c>
      <c r="X9" s="34" t="n"/>
    </row>
    <row r="10" ht="22" customHeight="1">
      <c r="B10" s="10" t="n">
        <v>6</v>
      </c>
      <c r="C10" s="6" t="inlineStr">
        <is>
          <t>Sidi Kacem</t>
        </is>
      </c>
      <c r="D10" s="10" t="inlineStr">
        <is>
          <t>BIR TALEB</t>
        </is>
      </c>
      <c r="E10" s="10" t="inlineStr">
        <is>
          <t>50-23</t>
        </is>
      </c>
      <c r="F10" s="10" t="inlineStr">
        <is>
          <t>Entretien et réparation du réseau d'assainissement et de drainage</t>
        </is>
      </c>
      <c r="G10" s="10" t="inlineStr"/>
      <c r="H10" s="10" t="inlineStr">
        <is>
          <t>Curage des collecteurs d'assainissement du secteur P11/1</t>
        </is>
      </c>
      <c r="I10" s="11" t="n">
        <v>846731</v>
      </c>
      <c r="J10" s="12" t="inlineStr">
        <is>
          <t>ml</t>
        </is>
      </c>
      <c r="K10" s="13" t="n">
        <v>423</v>
      </c>
      <c r="L10" s="51" t="n"/>
      <c r="M10" s="56">
        <f>'S42'!M10+L10</f>
        <v/>
      </c>
      <c r="N10" s="57">
        <f>IFERROR(M10/K10,0)</f>
        <v/>
      </c>
      <c r="O10" s="58">
        <f>'S42'!N10</f>
        <v/>
      </c>
      <c r="P10" s="57">
        <f>N10-O10</f>
        <v/>
      </c>
      <c r="Q10" s="32" t="n"/>
      <c r="R10" s="32" t="n"/>
      <c r="S10" s="32" t="n"/>
      <c r="T10" s="55" t="n"/>
      <c r="U10" s="58">
        <f>'S42'!T10</f>
        <v/>
      </c>
      <c r="V10" s="57">
        <f>T10-U10</f>
        <v/>
      </c>
      <c r="W10" s="57">
        <f>N10-T10</f>
        <v/>
      </c>
      <c r="X10" s="34" t="n"/>
    </row>
    <row r="11" ht="22" customHeight="1">
      <c r="B11" s="5" t="n">
        <v>7</v>
      </c>
      <c r="C11" s="6" t="inlineStr">
        <is>
          <t>Sidi Kacem</t>
        </is>
      </c>
      <c r="D11" s="5" t="inlineStr">
        <is>
          <t>BIR TALEB</t>
        </is>
      </c>
      <c r="E11" s="5" t="inlineStr">
        <is>
          <t>50-23</t>
        </is>
      </c>
      <c r="F11" s="5" t="inlineStr">
        <is>
          <t>Entretien et réparation du réseau d'assainissement et de drainage</t>
        </is>
      </c>
      <c r="G11" s="5" t="inlineStr">
        <is>
          <t>Curage des prises sur l’oued, bâche d’aspiration et bassin de régulation.</t>
        </is>
      </c>
      <c r="H11" s="5" t="inlineStr">
        <is>
          <t>Curage des prises sur l’oued de la station de pompage P11/1.</t>
        </is>
      </c>
      <c r="I11" s="7" t="n">
        <v>200000</v>
      </c>
      <c r="J11" s="8" t="inlineStr">
        <is>
          <t>ml</t>
        </is>
      </c>
      <c r="K11" s="9" t="n">
        <v>67</v>
      </c>
      <c r="L11" s="51" t="n"/>
      <c r="M11" s="52">
        <f>'S42'!M11+L11</f>
        <v/>
      </c>
      <c r="N11" s="53">
        <f>IFERROR(M11/K11,0)</f>
        <v/>
      </c>
      <c r="O11" s="54">
        <f>'S42'!N11</f>
        <v/>
      </c>
      <c r="P11" s="53">
        <f>N11-O11</f>
        <v/>
      </c>
      <c r="Q11" s="32" t="n"/>
      <c r="R11" s="32" t="n"/>
      <c r="S11" s="32" t="n"/>
      <c r="T11" s="55" t="n"/>
      <c r="U11" s="54">
        <f>'S42'!T11</f>
        <v/>
      </c>
      <c r="V11" s="53">
        <f>T11-U11</f>
        <v/>
      </c>
      <c r="W11" s="53">
        <f>N11-T11</f>
        <v/>
      </c>
      <c r="X11" s="34" t="n"/>
    </row>
    <row r="12" ht="22" customHeight="1">
      <c r="B12" s="10" t="n">
        <v>8</v>
      </c>
      <c r="C12" s="6" t="inlineStr">
        <is>
          <t>Sidi Kacem</t>
        </is>
      </c>
      <c r="D12" s="10" t="inlineStr">
        <is>
          <t>BIR TALEB</t>
        </is>
      </c>
      <c r="E12" s="10" t="inlineStr">
        <is>
          <t>50-21</t>
        </is>
      </c>
      <c r="F12" s="10" t="inlineStr">
        <is>
          <t>Entretien et réparation des stations de pompage</t>
        </is>
      </c>
      <c r="G12" s="10" t="inlineStr">
        <is>
          <t>Prestation de maintenance des débitmètres et leurs équipements annexes installés au niveau des station de pompage</t>
        </is>
      </c>
      <c r="H12" s="10" t="inlineStr">
        <is>
          <t>Changement trois débitmètre Ø 400mm inondés de la station de pompage P11/1</t>
        </is>
      </c>
      <c r="I12" s="11" t="n">
        <v>141900</v>
      </c>
      <c r="J12" s="12" t="inlineStr">
        <is>
          <t>U</t>
        </is>
      </c>
      <c r="K12" s="13" t="n">
        <v>3</v>
      </c>
      <c r="L12" s="51" t="n"/>
      <c r="M12" s="56">
        <f>'S42'!M12+L12</f>
        <v/>
      </c>
      <c r="N12" s="57">
        <f>IFERROR(M12/K12,0)</f>
        <v/>
      </c>
      <c r="O12" s="58">
        <f>'S42'!N12</f>
        <v/>
      </c>
      <c r="P12" s="57">
        <f>N12-O12</f>
        <v/>
      </c>
      <c r="Q12" s="32" t="n"/>
      <c r="R12" s="32" t="n"/>
      <c r="S12" s="32" t="n"/>
      <c r="T12" s="55" t="n"/>
      <c r="U12" s="58">
        <f>'S42'!T12</f>
        <v/>
      </c>
      <c r="V12" s="57">
        <f>T12-U12</f>
        <v/>
      </c>
      <c r="W12" s="57">
        <f>N12-T12</f>
        <v/>
      </c>
      <c r="X12" s="34" t="n"/>
    </row>
    <row r="13" ht="22" customHeight="1">
      <c r="B13" s="5" t="n">
        <v>9</v>
      </c>
      <c r="C13" s="6" t="inlineStr">
        <is>
          <t>Sidi Kacem</t>
        </is>
      </c>
      <c r="D13" s="5" t="inlineStr">
        <is>
          <t>BIR TALEB</t>
        </is>
      </c>
      <c r="E13" s="5" t="inlineStr">
        <is>
          <t>50-21</t>
        </is>
      </c>
      <c r="F13" s="5" t="inlineStr">
        <is>
          <t>Entretien et réparation des stations de pompage</t>
        </is>
      </c>
      <c r="G13" s="5" t="inlineStr">
        <is>
          <t>Prestations de maintenance et de réparation mécanique des pompes et des groupes motopompes submersibles des stations de pompage.</t>
        </is>
      </c>
      <c r="H13" s="5" t="inlineStr">
        <is>
          <t>Démontage et expertise des roues des  pompes principaux et pompes a vide de la station P11/1
Changement des roulements, tresses et organes d’effectués de la station P11/1</t>
        </is>
      </c>
      <c r="I13" s="7" t="n">
        <v>26700</v>
      </c>
      <c r="J13" s="8" t="inlineStr">
        <is>
          <t>U</t>
        </is>
      </c>
      <c r="K13" s="9" t="n">
        <v>1</v>
      </c>
      <c r="L13" s="51" t="n"/>
      <c r="M13" s="52">
        <f>'S42'!M13+L13</f>
        <v/>
      </c>
      <c r="N13" s="53">
        <f>IFERROR(M13/K13,0)</f>
        <v/>
      </c>
      <c r="O13" s="54">
        <f>'S42'!N13</f>
        <v/>
      </c>
      <c r="P13" s="53">
        <f>N13-O13</f>
        <v/>
      </c>
      <c r="Q13" s="32" t="n"/>
      <c r="R13" s="32" t="n"/>
      <c r="S13" s="32" t="n"/>
      <c r="T13" s="55" t="n"/>
      <c r="U13" s="54">
        <f>'S42'!T13</f>
        <v/>
      </c>
      <c r="V13" s="53">
        <f>T13-U13</f>
        <v/>
      </c>
      <c r="W13" s="53">
        <f>N13-T13</f>
        <v/>
      </c>
      <c r="X13" s="34" t="n"/>
    </row>
    <row r="14" ht="22" customHeight="1">
      <c r="B14" s="10" t="n">
        <v>10</v>
      </c>
      <c r="C14" s="6" t="inlineStr">
        <is>
          <t>Sidi Kacem</t>
        </is>
      </c>
      <c r="D14" s="10" t="inlineStr">
        <is>
          <t>BIR TALEB</t>
        </is>
      </c>
      <c r="E14" s="10" t="inlineStr">
        <is>
          <t>50-21</t>
        </is>
      </c>
      <c r="F14" s="10" t="inlineStr">
        <is>
          <t>Entretien et réparation des stations de pompage</t>
        </is>
      </c>
      <c r="G14" s="10" t="inlineStr">
        <is>
          <t>Stabilisation Berge oued</t>
        </is>
      </c>
      <c r="H14" s="10" t="inlineStr">
        <is>
          <t>Pose de  gabions et recouvrement du talus par matelas Reno des stations de pompage P11/1.</t>
        </is>
      </c>
      <c r="I14" s="11" t="n">
        <v>480000</v>
      </c>
      <c r="J14" s="12" t="inlineStr">
        <is>
          <t>m³</t>
        </is>
      </c>
      <c r="K14" s="13" t="n">
        <v>320</v>
      </c>
      <c r="L14" s="51" t="n"/>
      <c r="M14" s="56">
        <f>'S42'!M14+L14</f>
        <v/>
      </c>
      <c r="N14" s="57">
        <f>IFERROR(M14/K14,0)</f>
        <v/>
      </c>
      <c r="O14" s="58">
        <f>'S42'!N14</f>
        <v/>
      </c>
      <c r="P14" s="57">
        <f>N14-O14</f>
        <v/>
      </c>
      <c r="Q14" s="32" t="n"/>
      <c r="R14" s="32" t="n"/>
      <c r="S14" s="32" t="n"/>
      <c r="T14" s="55" t="n"/>
      <c r="U14" s="58">
        <f>'S42'!T14</f>
        <v/>
      </c>
      <c r="V14" s="57">
        <f>T14-U14</f>
        <v/>
      </c>
      <c r="W14" s="57">
        <f>N14-T14</f>
        <v/>
      </c>
      <c r="X14" s="34" t="n"/>
    </row>
    <row r="15" ht="22" customHeight="1">
      <c r="B15" s="5" t="n">
        <v>11</v>
      </c>
      <c r="C15" s="6" t="inlineStr">
        <is>
          <t>Sidi Kacem</t>
        </is>
      </c>
      <c r="D15" s="5" t="inlineStr">
        <is>
          <t>BIR TALEB</t>
        </is>
      </c>
      <c r="E15" s="5" t="inlineStr">
        <is>
          <t>50-21</t>
        </is>
      </c>
      <c r="F15" s="5" t="inlineStr">
        <is>
          <t>Entretien et réparation des stations de pompage</t>
        </is>
      </c>
      <c r="G15" s="5" t="inlineStr">
        <is>
          <t>Génie civile des locaux des stations de pompage.</t>
        </is>
      </c>
      <c r="H15" s="5" t="inlineStr">
        <is>
          <t>Expertise d’état et d’étanchéité des locaux pompes.
Renforcement d’étanchéité des locaux pompe sous niveau des oueds des stations de pompage P11/1.
Entretien des supports en béton des conduites d’aspiration.</t>
        </is>
      </c>
      <c r="I15" s="7" t="n">
        <v>300000</v>
      </c>
      <c r="J15" s="8" t="inlineStr">
        <is>
          <t>U</t>
        </is>
      </c>
      <c r="K15" s="9" t="n">
        <v>1</v>
      </c>
      <c r="L15" s="51" t="n"/>
      <c r="M15" s="52">
        <f>'S42'!M15+L15</f>
        <v/>
      </c>
      <c r="N15" s="53">
        <f>IFERROR(M15/K15,0)</f>
        <v/>
      </c>
      <c r="O15" s="54">
        <f>'S42'!N15</f>
        <v/>
      </c>
      <c r="P15" s="53">
        <f>N15-O15</f>
        <v/>
      </c>
      <c r="Q15" s="32" t="n"/>
      <c r="R15" s="32" t="n"/>
      <c r="S15" s="32" t="n"/>
      <c r="T15" s="55" t="n"/>
      <c r="U15" s="54">
        <f>'S42'!T15</f>
        <v/>
      </c>
      <c r="V15" s="53">
        <f>T15-U15</f>
        <v/>
      </c>
      <c r="W15" s="53">
        <f>N15-T15</f>
        <v/>
      </c>
      <c r="X15" s="34" t="n"/>
    </row>
    <row r="16" ht="22" customHeight="1">
      <c r="B16" s="10" t="n">
        <v>12</v>
      </c>
      <c r="C16" s="6" t="inlineStr">
        <is>
          <t>Sidi Kacem</t>
        </is>
      </c>
      <c r="D16" s="10" t="inlineStr">
        <is>
          <t>CHEBANAT</t>
        </is>
      </c>
      <c r="E16" s="10" t="inlineStr">
        <is>
          <t>50-23</t>
        </is>
      </c>
      <c r="F16" s="10" t="inlineStr">
        <is>
          <t>Entretien et réparation du réseau d'assainissement et de drainage</t>
        </is>
      </c>
      <c r="G16" s="10" t="inlineStr">
        <is>
          <t>Travaux de curage des canaux en terre</t>
        </is>
      </c>
      <c r="H16" s="10" t="inlineStr">
        <is>
          <t>Curage des collecteurs d'assainissement des secteur SH5 et SH6.</t>
        </is>
      </c>
      <c r="I16" s="11" t="n">
        <v>1000000</v>
      </c>
      <c r="J16" s="12" t="inlineStr">
        <is>
          <t>ml</t>
        </is>
      </c>
      <c r="K16" s="13" t="n">
        <v>500</v>
      </c>
      <c r="L16" s="51" t="n"/>
      <c r="M16" s="56">
        <f>'S42'!M16+L16</f>
        <v/>
      </c>
      <c r="N16" s="57">
        <f>IFERROR(M16/K16,0)</f>
        <v/>
      </c>
      <c r="O16" s="58">
        <f>'S42'!N16</f>
        <v/>
      </c>
      <c r="P16" s="57">
        <f>N16-O16</f>
        <v/>
      </c>
      <c r="Q16" s="32" t="n"/>
      <c r="R16" s="32" t="n"/>
      <c r="S16" s="32" t="n"/>
      <c r="T16" s="55" t="n"/>
      <c r="U16" s="58">
        <f>'S42'!T16</f>
        <v/>
      </c>
      <c r="V16" s="57">
        <f>T16-U16</f>
        <v/>
      </c>
      <c r="W16" s="57">
        <f>N16-T16</f>
        <v/>
      </c>
      <c r="X16" s="34" t="n"/>
    </row>
    <row r="17" ht="22" customHeight="1">
      <c r="B17" s="5" t="n">
        <v>13</v>
      </c>
      <c r="C17" s="6" t="inlineStr">
        <is>
          <t>Sidi Kacem</t>
        </is>
      </c>
      <c r="D17" s="5" t="inlineStr">
        <is>
          <t>CHEBANAT</t>
        </is>
      </c>
      <c r="E17" s="5" t="inlineStr">
        <is>
          <t>50-23</t>
        </is>
      </c>
      <c r="F17" s="5" t="inlineStr">
        <is>
          <t>Entretien et réparation du réseau d'assainissement et de drainage</t>
        </is>
      </c>
      <c r="G17" s="5" t="inlineStr">
        <is>
          <t>Travaux de curage des canaux révetus</t>
        </is>
      </c>
      <c r="H17" s="5" t="inlineStr">
        <is>
          <t>Curage du canal principal d'irrigation beht partie aval 1.</t>
        </is>
      </c>
      <c r="I17" s="7" t="n">
        <v>739200</v>
      </c>
      <c r="J17" s="8" t="inlineStr">
        <is>
          <t>ml</t>
        </is>
      </c>
      <c r="K17" s="9" t="n">
        <v>370</v>
      </c>
      <c r="L17" s="51" t="n"/>
      <c r="M17" s="52">
        <f>'S42'!M17+L17</f>
        <v/>
      </c>
      <c r="N17" s="53">
        <f>IFERROR(M17/K17,0)</f>
        <v/>
      </c>
      <c r="O17" s="54">
        <f>'S42'!N17</f>
        <v/>
      </c>
      <c r="P17" s="53">
        <f>N17-O17</f>
        <v/>
      </c>
      <c r="Q17" s="32" t="n"/>
      <c r="R17" s="32" t="n"/>
      <c r="S17" s="32" t="n"/>
      <c r="T17" s="55" t="n"/>
      <c r="U17" s="54">
        <f>'S42'!T17</f>
        <v/>
      </c>
      <c r="V17" s="53">
        <f>T17-U17</f>
        <v/>
      </c>
      <c r="W17" s="53">
        <f>N17-T17</f>
        <v/>
      </c>
      <c r="X17" s="34" t="n"/>
    </row>
    <row r="18" ht="22" customHeight="1">
      <c r="B18" s="10" t="n">
        <v>14</v>
      </c>
      <c r="C18" s="6" t="inlineStr">
        <is>
          <t>Sidi Kacem</t>
        </is>
      </c>
      <c r="D18" s="10" t="inlineStr">
        <is>
          <t>ZIRARA</t>
        </is>
      </c>
      <c r="E18" s="10" t="inlineStr">
        <is>
          <t>50-23</t>
        </is>
      </c>
      <c r="F18" s="10" t="inlineStr">
        <is>
          <t>Entretien et réparation du réseau d'assainissement et de drainage</t>
        </is>
      </c>
      <c r="G18" s="10" t="inlineStr">
        <is>
          <t>Travaux de curage des canaux révetus</t>
        </is>
      </c>
      <c r="H18" s="10" t="inlineStr">
        <is>
          <t>Curage du canal principal d'irrigation beht partie aval 2.</t>
        </is>
      </c>
      <c r="I18" s="11" t="n">
        <v>1276800</v>
      </c>
      <c r="J18" s="12" t="inlineStr">
        <is>
          <t>ml</t>
        </is>
      </c>
      <c r="K18" s="13" t="n">
        <v>638</v>
      </c>
      <c r="L18" s="51" t="n"/>
      <c r="M18" s="56">
        <f>'S42'!M18+L18</f>
        <v/>
      </c>
      <c r="N18" s="57">
        <f>IFERROR(M18/K18,0)</f>
        <v/>
      </c>
      <c r="O18" s="58">
        <f>'S42'!N18</f>
        <v/>
      </c>
      <c r="P18" s="57">
        <f>N18-O18</f>
        <v/>
      </c>
      <c r="Q18" s="32" t="n"/>
      <c r="R18" s="32" t="n"/>
      <c r="S18" s="32" t="n"/>
      <c r="T18" s="55" t="n"/>
      <c r="U18" s="58">
        <f>'S42'!T18</f>
        <v/>
      </c>
      <c r="V18" s="57">
        <f>T18-U18</f>
        <v/>
      </c>
      <c r="W18" s="57">
        <f>N18-T18</f>
        <v/>
      </c>
      <c r="X18" s="34" t="n"/>
    </row>
    <row r="19" ht="22" customHeight="1">
      <c r="B19" s="5" t="n">
        <v>15</v>
      </c>
      <c r="C19" s="6" t="inlineStr">
        <is>
          <t>Sidi Kacem</t>
        </is>
      </c>
      <c r="D19" s="5" t="inlineStr">
        <is>
          <t>DAR LAASLOUJI</t>
        </is>
      </c>
      <c r="E19" s="5" t="inlineStr">
        <is>
          <t>50-23</t>
        </is>
      </c>
      <c r="F19" s="5" t="inlineStr">
        <is>
          <t>Entretien et réparation du réseau d'assainissement et de drainage</t>
        </is>
      </c>
      <c r="G19" s="5" t="inlineStr">
        <is>
          <t>Travaux de curage des canaux en terre</t>
        </is>
      </c>
      <c r="H19" s="5" t="inlineStr">
        <is>
          <t>Curage des collecteurs d'assainissement des secteurs P8-1 et P8-2</t>
        </is>
      </c>
      <c r="I19" s="7" t="n">
        <v>5796360</v>
      </c>
      <c r="J19" s="8" t="inlineStr">
        <is>
          <t>ml</t>
        </is>
      </c>
      <c r="K19" s="9" t="n">
        <v>2898</v>
      </c>
      <c r="L19" s="51" t="n"/>
      <c r="M19" s="52">
        <f>'S42'!M19+L19</f>
        <v/>
      </c>
      <c r="N19" s="53">
        <f>IFERROR(M19/K19,0)</f>
        <v/>
      </c>
      <c r="O19" s="54">
        <f>'S42'!N19</f>
        <v/>
      </c>
      <c r="P19" s="53">
        <f>N19-O19</f>
        <v/>
      </c>
      <c r="Q19" s="32" t="n"/>
      <c r="R19" s="32" t="n"/>
      <c r="S19" s="32" t="n"/>
      <c r="T19" s="55" t="n"/>
      <c r="U19" s="54">
        <f>'S42'!T19</f>
        <v/>
      </c>
      <c r="V19" s="53">
        <f>T19-U19</f>
        <v/>
      </c>
      <c r="W19" s="53">
        <f>N19-T19</f>
        <v/>
      </c>
      <c r="X19" s="34" t="n"/>
    </row>
    <row r="20" ht="22" customHeight="1">
      <c r="B20" s="10" t="n">
        <v>16</v>
      </c>
      <c r="C20" s="6" t="inlineStr">
        <is>
          <t>Sidi Kacem</t>
        </is>
      </c>
      <c r="D20" s="10" t="inlineStr">
        <is>
          <t>DAR LAASLOUJI</t>
        </is>
      </c>
      <c r="E20" s="10" t="inlineStr">
        <is>
          <t>40-21</t>
        </is>
      </c>
      <c r="F20" s="10" t="inlineStr">
        <is>
          <t>Travaux de pistes</t>
        </is>
      </c>
      <c r="G20" s="10" t="inlineStr">
        <is>
          <t>Entretien des pistes agricoles</t>
        </is>
      </c>
      <c r="H20" s="10" t="inlineStr">
        <is>
          <t>Entretien des pistes agricoles</t>
        </is>
      </c>
      <c r="I20" s="11" t="n">
        <v>340000</v>
      </c>
      <c r="J20" s="12" t="inlineStr">
        <is>
          <t>km</t>
        </is>
      </c>
      <c r="K20" s="13" t="n">
        <v>1</v>
      </c>
      <c r="L20" s="51" t="n"/>
      <c r="M20" s="56">
        <f>'S42'!M20+L20</f>
        <v/>
      </c>
      <c r="N20" s="57">
        <f>IFERROR(M20/K20,0)</f>
        <v/>
      </c>
      <c r="O20" s="58">
        <f>'S42'!N20</f>
        <v/>
      </c>
      <c r="P20" s="57">
        <f>N20-O20</f>
        <v/>
      </c>
      <c r="Q20" s="32" t="n"/>
      <c r="R20" s="32" t="n"/>
      <c r="S20" s="32" t="n"/>
      <c r="T20" s="55" t="n"/>
      <c r="U20" s="58">
        <f>'S42'!T20</f>
        <v/>
      </c>
      <c r="V20" s="57">
        <f>T20-U20</f>
        <v/>
      </c>
      <c r="W20" s="57">
        <f>N20-T20</f>
        <v/>
      </c>
      <c r="X20" s="34" t="n"/>
    </row>
    <row r="21" ht="22" customHeight="1">
      <c r="B21" s="5" t="n">
        <v>17</v>
      </c>
      <c r="C21" s="6" t="inlineStr">
        <is>
          <t>Sidi Kacem</t>
        </is>
      </c>
      <c r="D21" s="5" t="inlineStr">
        <is>
          <t>HOUAFATE</t>
        </is>
      </c>
      <c r="E21" s="5" t="inlineStr">
        <is>
          <t>20-11</t>
        </is>
      </c>
      <c r="F21" s="5" t="inlineStr">
        <is>
          <t>Travaux de réhabilitation des équipements</t>
        </is>
      </c>
      <c r="G21" s="5" t="inlineStr">
        <is>
          <t>Travaux de réhabilitation des canaux portés d'irrigation</t>
        </is>
      </c>
      <c r="H21" s="5" t="inlineStr">
        <is>
          <t>Fourniture et de pose de canaux porté et accessoires du réseau S3 du secteur S13</t>
        </is>
      </c>
      <c r="I21" s="7" t="n">
        <v>397934</v>
      </c>
      <c r="J21" s="8" t="inlineStr">
        <is>
          <t>ml</t>
        </is>
      </c>
      <c r="K21" s="9" t="n">
        <v>133</v>
      </c>
      <c r="L21" s="51" t="n"/>
      <c r="M21" s="52">
        <f>'S42'!M21+L21</f>
        <v/>
      </c>
      <c r="N21" s="53">
        <f>IFERROR(M21/K21,0)</f>
        <v/>
      </c>
      <c r="O21" s="54">
        <f>'S42'!N21</f>
        <v/>
      </c>
      <c r="P21" s="53">
        <f>N21-O21</f>
        <v/>
      </c>
      <c r="Q21" s="32" t="n"/>
      <c r="R21" s="32" t="n"/>
      <c r="S21" s="32" t="n"/>
      <c r="T21" s="55" t="n"/>
      <c r="U21" s="54">
        <f>'S42'!T21</f>
        <v/>
      </c>
      <c r="V21" s="53">
        <f>T21-U21</f>
        <v/>
      </c>
      <c r="W21" s="53">
        <f>N21-T21</f>
        <v/>
      </c>
      <c r="X21" s="34" t="n"/>
    </row>
    <row r="22" ht="22" customHeight="1">
      <c r="B22" s="10" t="n">
        <v>18</v>
      </c>
      <c r="C22" s="6" t="inlineStr">
        <is>
          <t>Sidi Kacem</t>
        </is>
      </c>
      <c r="D22" s="10" t="inlineStr">
        <is>
          <t>HOUAFATE</t>
        </is>
      </c>
      <c r="E22" s="10" t="inlineStr">
        <is>
          <t>20-11</t>
        </is>
      </c>
      <c r="F22" s="10" t="inlineStr">
        <is>
          <t>Travaux de réhabilitation des équipements</t>
        </is>
      </c>
      <c r="G22" s="10" t="inlineStr"/>
      <c r="H22" s="10" t="inlineStr">
        <is>
          <t>Fourniture et de pose de canaux porté et accessoires du réseau T2S1 du secteur S13</t>
        </is>
      </c>
      <c r="I22" s="11" t="n">
        <v>207575</v>
      </c>
      <c r="J22" s="12" t="inlineStr">
        <is>
          <t>ml</t>
        </is>
      </c>
      <c r="K22" s="13" t="n">
        <v>69</v>
      </c>
      <c r="L22" s="51" t="n"/>
      <c r="M22" s="56">
        <f>'S42'!M22+L22</f>
        <v/>
      </c>
      <c r="N22" s="57">
        <f>IFERROR(M22/K22,0)</f>
        <v/>
      </c>
      <c r="O22" s="58">
        <f>'S42'!N22</f>
        <v/>
      </c>
      <c r="P22" s="57">
        <f>N22-O22</f>
        <v/>
      </c>
      <c r="Q22" s="32" t="n"/>
      <c r="R22" s="32" t="n"/>
      <c r="S22" s="32" t="n"/>
      <c r="T22" s="55" t="n"/>
      <c r="U22" s="58">
        <f>'S42'!T22</f>
        <v/>
      </c>
      <c r="V22" s="57">
        <f>T22-U22</f>
        <v/>
      </c>
      <c r="W22" s="57">
        <f>N22-T22</f>
        <v/>
      </c>
      <c r="X22" s="34" t="n"/>
    </row>
    <row r="23" ht="22" customHeight="1">
      <c r="B23" s="5" t="n">
        <v>19</v>
      </c>
      <c r="C23" s="6" t="inlineStr">
        <is>
          <t>Sidi Kacem</t>
        </is>
      </c>
      <c r="D23" s="5" t="inlineStr">
        <is>
          <t>HOUAFATE</t>
        </is>
      </c>
      <c r="E23" s="5" t="inlineStr">
        <is>
          <t>40-21</t>
        </is>
      </c>
      <c r="F23" s="5" t="inlineStr">
        <is>
          <t>Travaux de pistes</t>
        </is>
      </c>
      <c r="G23" s="5" t="inlineStr">
        <is>
          <t>Entretien des pistes agricoles</t>
        </is>
      </c>
      <c r="H23" s="5" t="inlineStr">
        <is>
          <t>Entretien des pistes agricoles</t>
        </is>
      </c>
      <c r="I23" s="7" t="n">
        <v>2200000</v>
      </c>
      <c r="J23" s="8" t="inlineStr">
        <is>
          <t>km</t>
        </is>
      </c>
      <c r="K23" s="9" t="n">
        <v>4</v>
      </c>
      <c r="L23" s="51" t="n"/>
      <c r="M23" s="52">
        <f>'S42'!M23+L23</f>
        <v/>
      </c>
      <c r="N23" s="53">
        <f>IFERROR(M23/K23,0)</f>
        <v/>
      </c>
      <c r="O23" s="54">
        <f>'S42'!N23</f>
        <v/>
      </c>
      <c r="P23" s="53">
        <f>N23-O23</f>
        <v/>
      </c>
      <c r="Q23" s="32" t="n"/>
      <c r="R23" s="32" t="n"/>
      <c r="S23" s="32" t="n"/>
      <c r="T23" s="55" t="n"/>
      <c r="U23" s="54">
        <f>'S42'!T23</f>
        <v/>
      </c>
      <c r="V23" s="53">
        <f>T23-U23</f>
        <v/>
      </c>
      <c r="W23" s="53">
        <f>N23-T23</f>
        <v/>
      </c>
      <c r="X23" s="34" t="n"/>
    </row>
    <row r="24" ht="22" customHeight="1">
      <c r="B24" s="10" t="n">
        <v>20</v>
      </c>
      <c r="C24" s="6" t="inlineStr">
        <is>
          <t>Sidi Kacem</t>
        </is>
      </c>
      <c r="D24" s="10" t="inlineStr">
        <is>
          <t>HOUAFATE</t>
        </is>
      </c>
      <c r="E24" s="10" t="inlineStr">
        <is>
          <t>50-23</t>
        </is>
      </c>
      <c r="F24" s="10" t="inlineStr">
        <is>
          <t>Entretien et réparation du réseau d'assainissement et de drainage</t>
        </is>
      </c>
      <c r="G24" s="10" t="inlineStr">
        <is>
          <t>Curage des prises sur l’oued, bâche d’aspiration et bassin de régulation.</t>
        </is>
      </c>
      <c r="H24" s="10" t="inlineStr">
        <is>
          <t>Curage des prises sur l’oued de la station de pompage S17 et S13.
Nettoyage des grilles de préfiltration des boues colmaté de la station de pompage S17 et S13.
Curage de la bâche d’aspiration de la station S17 et S13.</t>
        </is>
      </c>
      <c r="I24" s="11" t="n">
        <v>300000</v>
      </c>
      <c r="J24" s="12" t="inlineStr">
        <is>
          <t>ml</t>
        </is>
      </c>
      <c r="K24" s="13" t="n">
        <v>100</v>
      </c>
      <c r="L24" s="51" t="n"/>
      <c r="M24" s="56">
        <f>'S42'!M24+L24</f>
        <v/>
      </c>
      <c r="N24" s="57">
        <f>IFERROR(M24/K24,0)</f>
        <v/>
      </c>
      <c r="O24" s="58">
        <f>'S42'!N24</f>
        <v/>
      </c>
      <c r="P24" s="57">
        <f>N24-O24</f>
        <v/>
      </c>
      <c r="Q24" s="32" t="n"/>
      <c r="R24" s="32" t="n"/>
      <c r="S24" s="32" t="n"/>
      <c r="T24" s="55" t="n"/>
      <c r="U24" s="58">
        <f>'S42'!T24</f>
        <v/>
      </c>
      <c r="V24" s="57">
        <f>T24-U24</f>
        <v/>
      </c>
      <c r="W24" s="57">
        <f>N24-T24</f>
        <v/>
      </c>
      <c r="X24" s="34" t="n"/>
    </row>
    <row r="25" ht="22" customHeight="1">
      <c r="B25" s="5" t="n">
        <v>21</v>
      </c>
      <c r="C25" s="6" t="inlineStr">
        <is>
          <t>Sidi Kacem</t>
        </is>
      </c>
      <c r="D25" s="5" t="inlineStr">
        <is>
          <t>HOUAFATE</t>
        </is>
      </c>
      <c r="E25" s="5" t="inlineStr">
        <is>
          <t>50-21</t>
        </is>
      </c>
      <c r="F25" s="5" t="inlineStr">
        <is>
          <t>Entretien et réparation des stations de pompage</t>
        </is>
      </c>
      <c r="G25" s="5" t="inlineStr">
        <is>
          <t>Prestation de maintenance des débitmètres et leurs équipements annexes installés au niveau des station de pompage</t>
        </is>
      </c>
      <c r="H25" s="5" t="inlineStr">
        <is>
          <t>Changement trois débitmètre Ø 600mm inondés de la station de pompage S13.</t>
        </is>
      </c>
      <c r="I25" s="7" t="n">
        <v>250000</v>
      </c>
      <c r="J25" s="8" t="inlineStr">
        <is>
          <t>U</t>
        </is>
      </c>
      <c r="K25" s="9" t="n">
        <v>3</v>
      </c>
      <c r="L25" s="51" t="n"/>
      <c r="M25" s="52">
        <f>'S42'!M25+L25</f>
        <v/>
      </c>
      <c r="N25" s="53">
        <f>IFERROR(M25/K25,0)</f>
        <v/>
      </c>
      <c r="O25" s="54">
        <f>'S42'!N25</f>
        <v/>
      </c>
      <c r="P25" s="53">
        <f>N25-O25</f>
        <v/>
      </c>
      <c r="Q25" s="32" t="n"/>
      <c r="R25" s="32" t="n"/>
      <c r="S25" s="32" t="n"/>
      <c r="T25" s="55" t="n"/>
      <c r="U25" s="54">
        <f>'S42'!T25</f>
        <v/>
      </c>
      <c r="V25" s="53">
        <f>T25-U25</f>
        <v/>
      </c>
      <c r="W25" s="53">
        <f>N25-T25</f>
        <v/>
      </c>
      <c r="X25" s="34" t="n"/>
    </row>
    <row r="26" ht="22" customHeight="1">
      <c r="B26" s="10" t="n">
        <v>22</v>
      </c>
      <c r="C26" s="6" t="inlineStr">
        <is>
          <t>Sidi Kacem</t>
        </is>
      </c>
      <c r="D26" s="10" t="inlineStr">
        <is>
          <t>HOUAFATE</t>
        </is>
      </c>
      <c r="E26" s="10" t="inlineStr">
        <is>
          <t>50-21</t>
        </is>
      </c>
      <c r="F26" s="10" t="inlineStr">
        <is>
          <t>Entretien et réparation des stations de pompage</t>
        </is>
      </c>
      <c r="G26" s="10" t="inlineStr">
        <is>
          <t>Prestations de maintenance des moteurs électriques des stations de pompage.</t>
        </is>
      </c>
      <c r="H26" s="10" t="inlineStr">
        <is>
          <t>Révision des trois moteurs électriques 200 KW principaux de la station S13. 
Révision des deux moteurs électriques 5,5 KW groupes vide de la station S13.</t>
        </is>
      </c>
      <c r="I26" s="11" t="n">
        <v>25000</v>
      </c>
      <c r="J26" s="12" t="inlineStr">
        <is>
          <t>U</t>
        </is>
      </c>
      <c r="K26" s="13" t="n">
        <v>3</v>
      </c>
      <c r="L26" s="51" t="n"/>
      <c r="M26" s="56">
        <f>'S42'!M26+L26</f>
        <v/>
      </c>
      <c r="N26" s="57">
        <f>IFERROR(M26/K26,0)</f>
        <v/>
      </c>
      <c r="O26" s="58">
        <f>'S42'!N26</f>
        <v/>
      </c>
      <c r="P26" s="57">
        <f>N26-O26</f>
        <v/>
      </c>
      <c r="Q26" s="32" t="n"/>
      <c r="R26" s="32" t="n"/>
      <c r="S26" s="32" t="n"/>
      <c r="T26" s="55" t="n"/>
      <c r="U26" s="58">
        <f>'S42'!T26</f>
        <v/>
      </c>
      <c r="V26" s="57">
        <f>T26-U26</f>
        <v/>
      </c>
      <c r="W26" s="57">
        <f>N26-T26</f>
        <v/>
      </c>
      <c r="X26" s="34" t="n"/>
    </row>
    <row r="27" ht="22" customHeight="1">
      <c r="B27" s="5" t="n">
        <v>23</v>
      </c>
      <c r="C27" s="6" t="inlineStr">
        <is>
          <t>Sidi Kacem</t>
        </is>
      </c>
      <c r="D27" s="5" t="inlineStr">
        <is>
          <t>HOUAFATE</t>
        </is>
      </c>
      <c r="E27" s="5" t="inlineStr">
        <is>
          <t>50-21</t>
        </is>
      </c>
      <c r="F27" s="5" t="inlineStr">
        <is>
          <t>Entretien et réparation des stations de pompage</t>
        </is>
      </c>
      <c r="G27" s="5" t="inlineStr">
        <is>
          <t>Prestations de maintenance et de réparation mécanique des pompes et des groupes motopompes submersibles des stations de pompage.</t>
        </is>
      </c>
      <c r="H27" s="5" t="inlineStr">
        <is>
          <t>Démontage et expertise des roues des  pompes principaux et pompes a vide de la station S13.
Changement des roulements, tresses et organes d’effectués de la station S13.</t>
        </is>
      </c>
      <c r="I27" s="7" t="n">
        <v>38000</v>
      </c>
      <c r="J27" s="8" t="inlineStr">
        <is>
          <t>U</t>
        </is>
      </c>
      <c r="K27" s="9" t="n">
        <v>1</v>
      </c>
      <c r="L27" s="51" t="n"/>
      <c r="M27" s="52">
        <f>'S42'!M27+L27</f>
        <v/>
      </c>
      <c r="N27" s="53">
        <f>IFERROR(M27/K27,0)</f>
        <v/>
      </c>
      <c r="O27" s="54">
        <f>'S42'!N27</f>
        <v/>
      </c>
      <c r="P27" s="53">
        <f>N27-O27</f>
        <v/>
      </c>
      <c r="Q27" s="32" t="n"/>
      <c r="R27" s="32" t="n"/>
      <c r="S27" s="32" t="n"/>
      <c r="T27" s="55" t="n"/>
      <c r="U27" s="54">
        <f>'S42'!T27</f>
        <v/>
      </c>
      <c r="V27" s="53">
        <f>T27-U27</f>
        <v/>
      </c>
      <c r="W27" s="53">
        <f>N27-T27</f>
        <v/>
      </c>
      <c r="X27" s="34" t="n"/>
    </row>
    <row r="28" ht="22" customHeight="1">
      <c r="B28" s="10" t="n">
        <v>24</v>
      </c>
      <c r="C28" s="6" t="inlineStr">
        <is>
          <t>Sidi Kacem</t>
        </is>
      </c>
      <c r="D28" s="10" t="inlineStr">
        <is>
          <t>HOUAFATE</t>
        </is>
      </c>
      <c r="E28" s="10" t="inlineStr">
        <is>
          <t>50-21</t>
        </is>
      </c>
      <c r="F28" s="10" t="inlineStr">
        <is>
          <t>Entretien et réparation des stations de pompage</t>
        </is>
      </c>
      <c r="G28" s="10" t="inlineStr">
        <is>
          <t>Stabilisation Berge oued</t>
        </is>
      </c>
      <c r="H28" s="10" t="inlineStr">
        <is>
          <t>Pose de  gabions et recouvrement du talus par matelas Reno des stations de pompage S13.</t>
        </is>
      </c>
      <c r="I28" s="11" t="n">
        <v>10560000</v>
      </c>
      <c r="J28" s="12" t="inlineStr">
        <is>
          <t>m³</t>
        </is>
      </c>
      <c r="K28" s="13" t="n">
        <v>7040</v>
      </c>
      <c r="L28" s="51" t="n"/>
      <c r="M28" s="56">
        <f>'S42'!M28+L28</f>
        <v/>
      </c>
      <c r="N28" s="57">
        <f>IFERROR(M28/K28,0)</f>
        <v/>
      </c>
      <c r="O28" s="58">
        <f>'S42'!N28</f>
        <v/>
      </c>
      <c r="P28" s="57">
        <f>N28-O28</f>
        <v/>
      </c>
      <c r="Q28" s="32" t="n"/>
      <c r="R28" s="32" t="n"/>
      <c r="S28" s="32" t="n"/>
      <c r="T28" s="55" t="n"/>
      <c r="U28" s="58">
        <f>'S42'!T28</f>
        <v/>
      </c>
      <c r="V28" s="57">
        <f>T28-U28</f>
        <v/>
      </c>
      <c r="W28" s="57">
        <f>N28-T28</f>
        <v/>
      </c>
      <c r="X28" s="34" t="n"/>
    </row>
    <row r="29" ht="22" customHeight="1">
      <c r="B29" s="5" t="n">
        <v>25</v>
      </c>
      <c r="C29" s="6" t="inlineStr">
        <is>
          <t>Sidi Kacem</t>
        </is>
      </c>
      <c r="D29" s="5" t="inlineStr">
        <is>
          <t>HOUAFATE</t>
        </is>
      </c>
      <c r="E29" s="5" t="inlineStr">
        <is>
          <t>50-21</t>
        </is>
      </c>
      <c r="F29" s="5" t="inlineStr">
        <is>
          <t>Entretien et réparation des stations de pompage</t>
        </is>
      </c>
      <c r="G29" s="5" t="inlineStr">
        <is>
          <t>Mur clôture des stations de pompage.</t>
        </is>
      </c>
      <c r="H29" s="5" t="inlineStr">
        <is>
          <t>Stabilisation du sol et reconstruction des murs clôture (270m) cote oued de la station S17.</t>
        </is>
      </c>
      <c r="I29" s="7" t="n">
        <v>144000</v>
      </c>
      <c r="J29" s="8" t="inlineStr">
        <is>
          <t>ml</t>
        </is>
      </c>
      <c r="K29" s="9" t="n">
        <v>270</v>
      </c>
      <c r="L29" s="51" t="n"/>
      <c r="M29" s="52">
        <f>'S42'!M29+L29</f>
        <v/>
      </c>
      <c r="N29" s="53">
        <f>IFERROR(M29/K29,0)</f>
        <v/>
      </c>
      <c r="O29" s="54">
        <f>'S42'!N29</f>
        <v/>
      </c>
      <c r="P29" s="53">
        <f>N29-O29</f>
        <v/>
      </c>
      <c r="Q29" s="32" t="n"/>
      <c r="R29" s="32" t="n"/>
      <c r="S29" s="32" t="n"/>
      <c r="T29" s="55" t="n"/>
      <c r="U29" s="54">
        <f>'S42'!T29</f>
        <v/>
      </c>
      <c r="V29" s="53">
        <f>T29-U29</f>
        <v/>
      </c>
      <c r="W29" s="53">
        <f>N29-T29</f>
        <v/>
      </c>
      <c r="X29" s="34" t="n"/>
    </row>
    <row r="30" ht="22" customHeight="1">
      <c r="B30" s="10" t="n">
        <v>26</v>
      </c>
      <c r="C30" s="6" t="inlineStr">
        <is>
          <t>Sidi Kacem</t>
        </is>
      </c>
      <c r="D30" s="10" t="inlineStr">
        <is>
          <t>HOUAFATE</t>
        </is>
      </c>
      <c r="E30" s="10" t="inlineStr">
        <is>
          <t>50-21</t>
        </is>
      </c>
      <c r="F30" s="10" t="inlineStr">
        <is>
          <t>Entretien et réparation des stations de pompage</t>
        </is>
      </c>
      <c r="G30" s="10" t="inlineStr">
        <is>
          <t>Génie civile des locaux des stations de pompage.</t>
        </is>
      </c>
      <c r="H30" s="10" t="inlineStr">
        <is>
          <t>Expertise d’état et d’étanchéité des locaux pompes, commande, puissance des stations de pompage S17 et S13.
Renforcement d’étanchéité des locaux pompe sous niveau des oueds des stations de pompage S17 et S13.</t>
        </is>
      </c>
      <c r="I30" s="11" t="n">
        <v>800000</v>
      </c>
      <c r="J30" s="12" t="inlineStr">
        <is>
          <t>U</t>
        </is>
      </c>
      <c r="K30" s="13" t="n">
        <v>1</v>
      </c>
      <c r="L30" s="51" t="n"/>
      <c r="M30" s="56">
        <f>'S42'!M30+L30</f>
        <v/>
      </c>
      <c r="N30" s="57">
        <f>IFERROR(M30/K30,0)</f>
        <v/>
      </c>
      <c r="O30" s="58">
        <f>'S42'!N30</f>
        <v/>
      </c>
      <c r="P30" s="57">
        <f>N30-O30</f>
        <v/>
      </c>
      <c r="Q30" s="32" t="n"/>
      <c r="R30" s="32" t="n"/>
      <c r="S30" s="32" t="n"/>
      <c r="T30" s="55" t="n"/>
      <c r="U30" s="58">
        <f>'S42'!T30</f>
        <v/>
      </c>
      <c r="V30" s="57">
        <f>T30-U30</f>
        <v/>
      </c>
      <c r="W30" s="57">
        <f>N30-T30</f>
        <v/>
      </c>
      <c r="X30" s="34" t="n"/>
    </row>
    <row r="31" ht="22" customHeight="1">
      <c r="B31" s="5" t="n">
        <v>27</v>
      </c>
      <c r="C31" s="6" t="inlineStr">
        <is>
          <t>Sidi Kacem</t>
        </is>
      </c>
      <c r="D31" s="5" t="inlineStr">
        <is>
          <t>NOUIRAT</t>
        </is>
      </c>
      <c r="E31" s="5" t="inlineStr">
        <is>
          <t>50-23</t>
        </is>
      </c>
      <c r="F31" s="5" t="inlineStr">
        <is>
          <t>Entretien et réparation du réseau d'assainissement et de drainage</t>
        </is>
      </c>
      <c r="G31" s="5" t="inlineStr">
        <is>
          <t>Travaux de curage des canaux en terre</t>
        </is>
      </c>
      <c r="H31" s="5" t="inlineStr">
        <is>
          <t>Curage des collecteurs d'assainissement des secteurs EST1 et N5</t>
        </is>
      </c>
      <c r="I31" s="7" t="n">
        <v>1733306</v>
      </c>
      <c r="J31" s="8" t="inlineStr">
        <is>
          <t>ml</t>
        </is>
      </c>
      <c r="K31" s="9" t="n">
        <v>867</v>
      </c>
      <c r="L31" s="51" t="n"/>
      <c r="M31" s="52">
        <f>'S42'!M31+L31</f>
        <v/>
      </c>
      <c r="N31" s="53">
        <f>IFERROR(M31/K31,0)</f>
        <v/>
      </c>
      <c r="O31" s="54">
        <f>'S42'!N31</f>
        <v/>
      </c>
      <c r="P31" s="53">
        <f>N31-O31</f>
        <v/>
      </c>
      <c r="Q31" s="32" t="n"/>
      <c r="R31" s="32" t="n"/>
      <c r="S31" s="32" t="n"/>
      <c r="T31" s="55" t="n"/>
      <c r="U31" s="54">
        <f>'S42'!T31</f>
        <v/>
      </c>
      <c r="V31" s="53">
        <f>T31-U31</f>
        <v/>
      </c>
      <c r="W31" s="53">
        <f>N31-T31</f>
        <v/>
      </c>
      <c r="X31" s="34" t="n"/>
    </row>
    <row r="32" ht="22" customHeight="1">
      <c r="B32" s="10" t="n">
        <v>28</v>
      </c>
      <c r="C32" s="6" t="inlineStr">
        <is>
          <t>Sidi Kacem</t>
        </is>
      </c>
      <c r="D32" s="10" t="inlineStr">
        <is>
          <t>NOUIRAT</t>
        </is>
      </c>
      <c r="E32" s="10" t="inlineStr">
        <is>
          <t>40-21</t>
        </is>
      </c>
      <c r="F32" s="10" t="inlineStr">
        <is>
          <t>Travaux de pistes</t>
        </is>
      </c>
      <c r="G32" s="10" t="inlineStr">
        <is>
          <t>Entretien des pistes agricoles</t>
        </is>
      </c>
      <c r="H32" s="10" t="inlineStr">
        <is>
          <t>Entretien des pistes agricoles</t>
        </is>
      </c>
      <c r="I32" s="11" t="n">
        <v>670000</v>
      </c>
      <c r="J32" s="12" t="inlineStr">
        <is>
          <t>km</t>
        </is>
      </c>
      <c r="K32" s="13" t="n">
        <v>1</v>
      </c>
      <c r="L32" s="51" t="n"/>
      <c r="M32" s="56">
        <f>'S42'!M32+L32</f>
        <v/>
      </c>
      <c r="N32" s="57">
        <f>IFERROR(M32/K32,0)</f>
        <v/>
      </c>
      <c r="O32" s="58">
        <f>'S42'!N32</f>
        <v/>
      </c>
      <c r="P32" s="57">
        <f>N32-O32</f>
        <v/>
      </c>
      <c r="Q32" s="32" t="n"/>
      <c r="R32" s="32" t="n"/>
      <c r="S32" s="32" t="n"/>
      <c r="T32" s="55" t="n"/>
      <c r="U32" s="58">
        <f>'S42'!T32</f>
        <v/>
      </c>
      <c r="V32" s="57">
        <f>T32-U32</f>
        <v/>
      </c>
      <c r="W32" s="57">
        <f>N32-T32</f>
        <v/>
      </c>
      <c r="X32" s="34" t="n"/>
    </row>
    <row r="33" ht="22" customHeight="1">
      <c r="B33" s="5" t="n">
        <v>29</v>
      </c>
      <c r="C33" s="6" t="inlineStr">
        <is>
          <t>Sidi Kacem</t>
        </is>
      </c>
      <c r="D33" s="5" t="inlineStr">
        <is>
          <t>NOUIRAT</t>
        </is>
      </c>
      <c r="E33" s="5" t="inlineStr">
        <is>
          <t>20-11</t>
        </is>
      </c>
      <c r="F33" s="5" t="inlineStr">
        <is>
          <t>Travaux de réhabilitation des équipements</t>
        </is>
      </c>
      <c r="G33" s="5" t="inlineStr">
        <is>
          <t>Travaux de réhabilitation des ouvrages de génie civil</t>
        </is>
      </c>
      <c r="H33" s="5" t="inlineStr">
        <is>
          <t>Réhabilitation de l'ouvrage( genie civil ,gabiollannage,clapet anti retour et buse) de l'ouvrage de débouche SE1</t>
        </is>
      </c>
      <c r="I33" s="7" t="n">
        <v>2500000</v>
      </c>
      <c r="J33" s="8" t="inlineStr">
        <is>
          <t>U</t>
        </is>
      </c>
      <c r="K33" s="9" t="n">
        <v>5</v>
      </c>
      <c r="L33" s="51" t="n"/>
      <c r="M33" s="52">
        <f>'S42'!M33+L33</f>
        <v/>
      </c>
      <c r="N33" s="53">
        <f>IFERROR(M33/K33,0)</f>
        <v/>
      </c>
      <c r="O33" s="54">
        <f>'S42'!N33</f>
        <v/>
      </c>
      <c r="P33" s="53">
        <f>N33-O33</f>
        <v/>
      </c>
      <c r="Q33" s="32" t="n"/>
      <c r="R33" s="32" t="n"/>
      <c r="S33" s="32" t="n"/>
      <c r="T33" s="55" t="n"/>
      <c r="U33" s="54">
        <f>'S42'!T33</f>
        <v/>
      </c>
      <c r="V33" s="53">
        <f>T33-U33</f>
        <v/>
      </c>
      <c r="W33" s="53">
        <f>N33-T33</f>
        <v/>
      </c>
      <c r="X33" s="34" t="n"/>
    </row>
    <row r="34" ht="22" customHeight="1">
      <c r="B34" s="10" t="n">
        <v>30</v>
      </c>
      <c r="C34" s="6" t="inlineStr">
        <is>
          <t>Sidi Kacem</t>
        </is>
      </c>
      <c r="D34" s="10" t="inlineStr">
        <is>
          <t>NOUIRAT</t>
        </is>
      </c>
      <c r="E34" s="10" t="inlineStr">
        <is>
          <t>50-23</t>
        </is>
      </c>
      <c r="F34" s="10" t="inlineStr">
        <is>
          <t>Entretien et réparation du réseau d'assainissement et de drainage</t>
        </is>
      </c>
      <c r="G34" s="10" t="inlineStr">
        <is>
          <t>Curage des prises sur l’oued, bâche d’aspiration et bassin de régulation.</t>
        </is>
      </c>
      <c r="H34" s="10" t="inlineStr">
        <is>
          <t>Curage des prises sur l’oued de la station de pompage E1.
Nettoyage des grilles de préfiltration des boues colmaté de la station de pompage E1.
Curage de la bâche d’aspiration de la station E1.</t>
        </is>
      </c>
      <c r="I34" s="11" t="n">
        <v>800000</v>
      </c>
      <c r="J34" s="12" t="inlineStr">
        <is>
          <t>ml</t>
        </is>
      </c>
      <c r="K34" s="13" t="n">
        <v>267</v>
      </c>
      <c r="L34" s="51" t="n"/>
      <c r="M34" s="56">
        <f>'S42'!M34+L34</f>
        <v/>
      </c>
      <c r="N34" s="57">
        <f>IFERROR(M34/K34,0)</f>
        <v/>
      </c>
      <c r="O34" s="58">
        <f>'S42'!N34</f>
        <v/>
      </c>
      <c r="P34" s="57">
        <f>N34-O34</f>
        <v/>
      </c>
      <c r="Q34" s="32" t="n"/>
      <c r="R34" s="32" t="n"/>
      <c r="S34" s="32" t="n"/>
      <c r="T34" s="55" t="n"/>
      <c r="U34" s="58">
        <f>'S42'!T34</f>
        <v/>
      </c>
      <c r="V34" s="57">
        <f>T34-U34</f>
        <v/>
      </c>
      <c r="W34" s="57">
        <f>N34-T34</f>
        <v/>
      </c>
      <c r="X34" s="34" t="n"/>
    </row>
    <row r="35" ht="22" customHeight="1">
      <c r="B35" s="5" t="n">
        <v>31</v>
      </c>
      <c r="C35" s="6" t="inlineStr">
        <is>
          <t>Sidi Kacem</t>
        </is>
      </c>
      <c r="D35" s="5" t="inlineStr">
        <is>
          <t>NOUIRAT</t>
        </is>
      </c>
      <c r="E35" s="5" t="inlineStr">
        <is>
          <t>50-21</t>
        </is>
      </c>
      <c r="F35" s="5" t="inlineStr">
        <is>
          <t>Entretien et réparation des stations de pompage</t>
        </is>
      </c>
      <c r="G35" s="5" t="inlineStr">
        <is>
          <t>Prestation de maintenance des débitmètres et leurs équipements annexes installés au niveau des station de pompage</t>
        </is>
      </c>
      <c r="H35" s="5" t="inlineStr">
        <is>
          <t>Changement du débitmètre Ø 1200mm inondé de la station de pompage E1.</t>
        </is>
      </c>
      <c r="I35" s="7" t="n">
        <v>195000</v>
      </c>
      <c r="J35" s="8" t="inlineStr">
        <is>
          <t>U</t>
        </is>
      </c>
      <c r="K35" s="9" t="n">
        <v>2</v>
      </c>
      <c r="L35" s="51" t="n"/>
      <c r="M35" s="52">
        <f>'S42'!M35+L35</f>
        <v/>
      </c>
      <c r="N35" s="53">
        <f>IFERROR(M35/K35,0)</f>
        <v/>
      </c>
      <c r="O35" s="54">
        <f>'S42'!N35</f>
        <v/>
      </c>
      <c r="P35" s="53">
        <f>N35-O35</f>
        <v/>
      </c>
      <c r="Q35" s="32" t="n"/>
      <c r="R35" s="32" t="n"/>
      <c r="S35" s="32" t="n"/>
      <c r="T35" s="55" t="n"/>
      <c r="U35" s="54">
        <f>'S42'!T35</f>
        <v/>
      </c>
      <c r="V35" s="53">
        <f>T35-U35</f>
        <v/>
      </c>
      <c r="W35" s="53">
        <f>N35-T35</f>
        <v/>
      </c>
      <c r="X35" s="34" t="n"/>
    </row>
    <row r="36" ht="22" customHeight="1">
      <c r="B36" s="10" t="n">
        <v>32</v>
      </c>
      <c r="C36" s="6" t="inlineStr">
        <is>
          <t>Sidi Kacem</t>
        </is>
      </c>
      <c r="D36" s="10" t="inlineStr">
        <is>
          <t>NOUIRAT</t>
        </is>
      </c>
      <c r="E36" s="10" t="inlineStr">
        <is>
          <t>50-21</t>
        </is>
      </c>
      <c r="F36" s="10" t="inlineStr">
        <is>
          <t>Entretien et réparation des stations de pompage</t>
        </is>
      </c>
      <c r="G36" s="10" t="inlineStr">
        <is>
          <t>Prestations de maintenance des moteurs électriques des stations de pompage.</t>
        </is>
      </c>
      <c r="H36" s="10" t="inlineStr">
        <is>
          <t>Révision des deux moteurs électriques principaux de la station E1.</t>
        </is>
      </c>
      <c r="I36" s="11" t="n">
        <v>50000</v>
      </c>
      <c r="J36" s="12" t="inlineStr">
        <is>
          <t>U</t>
        </is>
      </c>
      <c r="K36" s="13" t="n">
        <v>2</v>
      </c>
      <c r="L36" s="51" t="n"/>
      <c r="M36" s="56">
        <f>'S42'!M36+L36</f>
        <v/>
      </c>
      <c r="N36" s="57">
        <f>IFERROR(M36/K36,0)</f>
        <v/>
      </c>
      <c r="O36" s="58">
        <f>'S42'!N36</f>
        <v/>
      </c>
      <c r="P36" s="57">
        <f>N36-O36</f>
        <v/>
      </c>
      <c r="Q36" s="32" t="n"/>
      <c r="R36" s="32" t="n"/>
      <c r="S36" s="32" t="n"/>
      <c r="T36" s="55" t="n"/>
      <c r="U36" s="58">
        <f>'S42'!T36</f>
        <v/>
      </c>
      <c r="V36" s="57">
        <f>T36-U36</f>
        <v/>
      </c>
      <c r="W36" s="57">
        <f>N36-T36</f>
        <v/>
      </c>
      <c r="X36" s="34" t="n"/>
    </row>
    <row r="37" ht="22" customHeight="1">
      <c r="B37" s="5" t="n">
        <v>33</v>
      </c>
      <c r="C37" s="6" t="inlineStr">
        <is>
          <t>Sidi Kacem</t>
        </is>
      </c>
      <c r="D37" s="5" t="inlineStr">
        <is>
          <t>NOUIRAT</t>
        </is>
      </c>
      <c r="E37" s="5" t="inlineStr">
        <is>
          <t>50-21</t>
        </is>
      </c>
      <c r="F37" s="5" t="inlineStr">
        <is>
          <t>Entretien et réparation des stations de pompage</t>
        </is>
      </c>
      <c r="G37" s="5" t="inlineStr">
        <is>
          <t>Prestations de maintenance et de réparation mécanique des pompes et des groupes motopompes submersibles des stations de pompage.</t>
        </is>
      </c>
      <c r="H37" s="5" t="inlineStr">
        <is>
          <t>Démontage et expertise des cinq pompes principaux et pompes a vide de la station E1.
Changement des roulements, tresses et organes d’effectués de la station E1.</t>
        </is>
      </c>
      <c r="I37" s="7" t="n">
        <v>245000</v>
      </c>
      <c r="J37" s="8" t="inlineStr">
        <is>
          <t>U</t>
        </is>
      </c>
      <c r="K37" s="9" t="n">
        <v>5</v>
      </c>
      <c r="L37" s="51" t="n"/>
      <c r="M37" s="52">
        <f>'S42'!M37+L37</f>
        <v/>
      </c>
      <c r="N37" s="53">
        <f>IFERROR(M37/K37,0)</f>
        <v/>
      </c>
      <c r="O37" s="54">
        <f>'S42'!N37</f>
        <v/>
      </c>
      <c r="P37" s="53">
        <f>N37-O37</f>
        <v/>
      </c>
      <c r="Q37" s="32" t="n"/>
      <c r="R37" s="32" t="n"/>
      <c r="S37" s="32" t="n"/>
      <c r="T37" s="55" t="n"/>
      <c r="U37" s="54">
        <f>'S42'!T37</f>
        <v/>
      </c>
      <c r="V37" s="53">
        <f>T37-U37</f>
        <v/>
      </c>
      <c r="W37" s="53">
        <f>N37-T37</f>
        <v/>
      </c>
      <c r="X37" s="34" t="n"/>
    </row>
    <row r="38" ht="22" customHeight="1">
      <c r="B38" s="10" t="n">
        <v>34</v>
      </c>
      <c r="C38" s="6" t="inlineStr">
        <is>
          <t>Sidi Kacem</t>
        </is>
      </c>
      <c r="D38" s="10" t="inlineStr">
        <is>
          <t>NOUIRAT</t>
        </is>
      </c>
      <c r="E38" s="10" t="inlineStr">
        <is>
          <t>50-21</t>
        </is>
      </c>
      <c r="F38" s="10" t="inlineStr">
        <is>
          <t>Entretien et réparation des stations de pompage</t>
        </is>
      </c>
      <c r="G38" s="10" t="inlineStr">
        <is>
          <t>Génie civile des locaux des stations de pompage.</t>
        </is>
      </c>
      <c r="H38" s="10" t="inlineStr">
        <is>
          <t>Expertise d’état et d’étanchéité des locaux pompes, commande, puissance de la station de pompage E1.
Renforcement d’étanchéité des locaux pompe sous niveau des oueds de la station de pompage E1.</t>
        </is>
      </c>
      <c r="I38" s="11" t="n">
        <v>1000000</v>
      </c>
      <c r="J38" s="12" t="inlineStr">
        <is>
          <t>U</t>
        </is>
      </c>
      <c r="K38" s="13" t="n">
        <v>1</v>
      </c>
      <c r="L38" s="51" t="n"/>
      <c r="M38" s="56">
        <f>'S42'!M38+L38</f>
        <v/>
      </c>
      <c r="N38" s="57">
        <f>IFERROR(M38/K38,0)</f>
        <v/>
      </c>
      <c r="O38" s="58">
        <f>'S42'!N38</f>
        <v/>
      </c>
      <c r="P38" s="57">
        <f>N38-O38</f>
        <v/>
      </c>
      <c r="Q38" s="32" t="n"/>
      <c r="R38" s="32" t="n"/>
      <c r="S38" s="32" t="n"/>
      <c r="T38" s="55" t="n"/>
      <c r="U38" s="58">
        <f>'S42'!T38</f>
        <v/>
      </c>
      <c r="V38" s="57">
        <f>T38-U38</f>
        <v/>
      </c>
      <c r="W38" s="57">
        <f>N38-T38</f>
        <v/>
      </c>
      <c r="X38" s="34" t="n"/>
    </row>
    <row r="39" ht="22" customHeight="1">
      <c r="B39" s="5" t="n">
        <v>35</v>
      </c>
      <c r="C39" s="6" t="inlineStr">
        <is>
          <t>Sidi Kacem</t>
        </is>
      </c>
      <c r="D39" s="5" t="inlineStr">
        <is>
          <t>RMILAT</t>
        </is>
      </c>
      <c r="E39" s="5" t="inlineStr">
        <is>
          <t>50-23</t>
        </is>
      </c>
      <c r="F39" s="5" t="inlineStr">
        <is>
          <t>Entretien et réparation du réseau d'assainissement et de drainage</t>
        </is>
      </c>
      <c r="G39" s="5" t="inlineStr">
        <is>
          <t>Travaux de curage des canaux en terre</t>
        </is>
      </c>
      <c r="H39" s="5" t="inlineStr">
        <is>
          <t>Curage des collecteurs d'assainissement des secteurs P7</t>
        </is>
      </c>
      <c r="I39" s="7" t="n">
        <v>5024032</v>
      </c>
      <c r="J39" s="8" t="inlineStr">
        <is>
          <t>ml</t>
        </is>
      </c>
      <c r="K39" s="9" t="n">
        <v>2512</v>
      </c>
      <c r="L39" s="51" t="n"/>
      <c r="M39" s="52">
        <f>'S42'!M39+L39</f>
        <v/>
      </c>
      <c r="N39" s="53">
        <f>IFERROR(M39/K39,0)</f>
        <v/>
      </c>
      <c r="O39" s="54">
        <f>'S42'!N39</f>
        <v/>
      </c>
      <c r="P39" s="53">
        <f>N39-O39</f>
        <v/>
      </c>
      <c r="Q39" s="32" t="n"/>
      <c r="R39" s="32" t="n"/>
      <c r="S39" s="32" t="n"/>
      <c r="T39" s="55" t="n"/>
      <c r="U39" s="54">
        <f>'S42'!T39</f>
        <v/>
      </c>
      <c r="V39" s="53">
        <f>T39-U39</f>
        <v/>
      </c>
      <c r="W39" s="53">
        <f>N39-T39</f>
        <v/>
      </c>
      <c r="X39" s="34" t="n"/>
    </row>
    <row r="40" ht="22" customHeight="1">
      <c r="B40" s="10" t="n">
        <v>36</v>
      </c>
      <c r="C40" s="6" t="inlineStr">
        <is>
          <t>Sidi Kacem</t>
        </is>
      </c>
      <c r="D40" s="10" t="inlineStr">
        <is>
          <t>RMILAT</t>
        </is>
      </c>
      <c r="E40" s="10" t="inlineStr">
        <is>
          <t>40-21</t>
        </is>
      </c>
      <c r="F40" s="10" t="inlineStr">
        <is>
          <t>Travaux de pistes</t>
        </is>
      </c>
      <c r="G40" s="10" t="inlineStr">
        <is>
          <t>Entretien des pistes agricoles</t>
        </is>
      </c>
      <c r="H40" s="10" t="inlineStr">
        <is>
          <t>Entretien des pistes agricoles</t>
        </is>
      </c>
      <c r="I40" s="11" t="n">
        <v>400000</v>
      </c>
      <c r="J40" s="12" t="inlineStr">
        <is>
          <t>km</t>
        </is>
      </c>
      <c r="K40" s="13" t="n">
        <v>1</v>
      </c>
      <c r="L40" s="51" t="n"/>
      <c r="M40" s="56">
        <f>'S42'!M40+L40</f>
        <v/>
      </c>
      <c r="N40" s="57">
        <f>IFERROR(M40/K40,0)</f>
        <v/>
      </c>
      <c r="O40" s="58">
        <f>'S42'!N40</f>
        <v/>
      </c>
      <c r="P40" s="57">
        <f>N40-O40</f>
        <v/>
      </c>
      <c r="Q40" s="32" t="n"/>
      <c r="R40" s="32" t="n"/>
      <c r="S40" s="32" t="n"/>
      <c r="T40" s="55" t="n"/>
      <c r="U40" s="58">
        <f>'S42'!T40</f>
        <v/>
      </c>
      <c r="V40" s="57">
        <f>T40-U40</f>
        <v/>
      </c>
      <c r="W40" s="57">
        <f>N40-T40</f>
        <v/>
      </c>
      <c r="X40" s="34" t="n"/>
    </row>
    <row r="41" ht="22" customHeight="1">
      <c r="B41" s="5" t="n">
        <v>37</v>
      </c>
      <c r="C41" s="6" t="inlineStr">
        <is>
          <t>Sidi Kacem</t>
        </is>
      </c>
      <c r="D41" s="5" t="inlineStr">
        <is>
          <t>SAFSAF</t>
        </is>
      </c>
      <c r="E41" s="5" t="inlineStr">
        <is>
          <t>50-23</t>
        </is>
      </c>
      <c r="F41" s="5" t="inlineStr">
        <is>
          <t>Entretien et réparation du réseau d'assainissement et de drainage</t>
        </is>
      </c>
      <c r="G41" s="5" t="inlineStr">
        <is>
          <t>Travaux de curage des canaux en terre</t>
        </is>
      </c>
      <c r="H41" s="5" t="inlineStr">
        <is>
          <t>Curage des collecteurs d'assainissement des secteurs S7, S9 et S11</t>
        </is>
      </c>
      <c r="I41" s="7" t="n">
        <v>6000000</v>
      </c>
      <c r="J41" s="8" t="inlineStr">
        <is>
          <t>ml</t>
        </is>
      </c>
      <c r="K41" s="9" t="n">
        <v>3000</v>
      </c>
      <c r="L41" s="51" t="n"/>
      <c r="M41" s="52">
        <f>'S42'!M41+L41</f>
        <v/>
      </c>
      <c r="N41" s="53">
        <f>IFERROR(M41/K41,0)</f>
        <v/>
      </c>
      <c r="O41" s="54">
        <f>'S42'!N41</f>
        <v/>
      </c>
      <c r="P41" s="53">
        <f>N41-O41</f>
        <v/>
      </c>
      <c r="Q41" s="32" t="n"/>
      <c r="R41" s="32" t="n"/>
      <c r="S41" s="32" t="n"/>
      <c r="T41" s="55" t="n"/>
      <c r="U41" s="54">
        <f>'S42'!T41</f>
        <v/>
      </c>
      <c r="V41" s="53">
        <f>T41-U41</f>
        <v/>
      </c>
      <c r="W41" s="53">
        <f>N41-T41</f>
        <v/>
      </c>
      <c r="X41" s="34" t="n"/>
    </row>
    <row r="42" ht="22" customHeight="1">
      <c r="B42" s="10" t="n">
        <v>38</v>
      </c>
      <c r="C42" s="6" t="inlineStr">
        <is>
          <t>Sidi Kacem</t>
        </is>
      </c>
      <c r="D42" s="10" t="inlineStr">
        <is>
          <t>SAFSAF</t>
        </is>
      </c>
      <c r="E42" s="10" t="inlineStr">
        <is>
          <t>20-11</t>
        </is>
      </c>
      <c r="F42" s="10" t="inlineStr">
        <is>
          <t>Travaux de réhabilitation des équipements</t>
        </is>
      </c>
      <c r="G42" s="10" t="inlineStr">
        <is>
          <t>Travaux de réhabilitation des canaux portés d'irrigation</t>
        </is>
      </c>
      <c r="H42" s="10" t="inlineStr">
        <is>
          <t>Fourniture et  pose de canaux porté et accessoires du réseau S4 du secteur S11</t>
        </is>
      </c>
      <c r="I42" s="11" t="n">
        <v>232266</v>
      </c>
      <c r="J42" s="12" t="inlineStr">
        <is>
          <t>ml</t>
        </is>
      </c>
      <c r="K42" s="13" t="n">
        <v>77</v>
      </c>
      <c r="L42" s="51" t="n"/>
      <c r="M42" s="56">
        <f>'S42'!M42+L42</f>
        <v/>
      </c>
      <c r="N42" s="57">
        <f>IFERROR(M42/K42,0)</f>
        <v/>
      </c>
      <c r="O42" s="58">
        <f>'S42'!N42</f>
        <v/>
      </c>
      <c r="P42" s="57">
        <f>N42-O42</f>
        <v/>
      </c>
      <c r="Q42" s="32" t="n"/>
      <c r="R42" s="32" t="n"/>
      <c r="S42" s="32" t="n"/>
      <c r="T42" s="55" t="n"/>
      <c r="U42" s="58">
        <f>'S42'!T42</f>
        <v/>
      </c>
      <c r="V42" s="57">
        <f>T42-U42</f>
        <v/>
      </c>
      <c r="W42" s="57">
        <f>N42-T42</f>
        <v/>
      </c>
      <c r="X42" s="34" t="n"/>
    </row>
    <row r="43" ht="22" customHeight="1">
      <c r="B43" s="5" t="n">
        <v>39</v>
      </c>
      <c r="C43" s="6" t="inlineStr">
        <is>
          <t>Sidi Kacem</t>
        </is>
      </c>
      <c r="D43" s="5" t="inlineStr">
        <is>
          <t>SAFSAF</t>
        </is>
      </c>
      <c r="E43" s="5" t="inlineStr">
        <is>
          <t>20-11</t>
        </is>
      </c>
      <c r="F43" s="5" t="inlineStr">
        <is>
          <t>Travaux de réhabilitation des équipements</t>
        </is>
      </c>
      <c r="G43" s="5" t="inlineStr"/>
      <c r="H43" s="5" t="inlineStr">
        <is>
          <t>Recalage des canaux portés du réseau T5S5 du secteur S9</t>
        </is>
      </c>
      <c r="I43" s="7" t="n">
        <v>1055025</v>
      </c>
      <c r="J43" s="8" t="inlineStr">
        <is>
          <t>ml</t>
        </is>
      </c>
      <c r="K43" s="9" t="n">
        <v>352</v>
      </c>
      <c r="L43" s="51" t="n"/>
      <c r="M43" s="52">
        <f>'S42'!M43+L43</f>
        <v/>
      </c>
      <c r="N43" s="53">
        <f>IFERROR(M43/K43,0)</f>
        <v/>
      </c>
      <c r="O43" s="54">
        <f>'S42'!N43</f>
        <v/>
      </c>
      <c r="P43" s="53">
        <f>N43-O43</f>
        <v/>
      </c>
      <c r="Q43" s="32" t="n"/>
      <c r="R43" s="32" t="n"/>
      <c r="S43" s="32" t="n"/>
      <c r="T43" s="55" t="n"/>
      <c r="U43" s="54">
        <f>'S42'!T43</f>
        <v/>
      </c>
      <c r="V43" s="53">
        <f>T43-U43</f>
        <v/>
      </c>
      <c r="W43" s="53">
        <f>N43-T43</f>
        <v/>
      </c>
      <c r="X43" s="34" t="n"/>
    </row>
    <row r="44" ht="22" customHeight="1">
      <c r="B44" s="10" t="n">
        <v>40</v>
      </c>
      <c r="C44" s="6" t="inlineStr">
        <is>
          <t>Sidi Kacem</t>
        </is>
      </c>
      <c r="D44" s="10" t="inlineStr">
        <is>
          <t>SAFSAF</t>
        </is>
      </c>
      <c r="E44" s="10" t="inlineStr">
        <is>
          <t>20-11</t>
        </is>
      </c>
      <c r="F44" s="10" t="inlineStr">
        <is>
          <t>Travaux de réhabilitation des équipements</t>
        </is>
      </c>
      <c r="G44" s="10" t="inlineStr"/>
      <c r="H44" s="10" t="inlineStr">
        <is>
          <t>Recalage des canaux portés du réseau T7S5 du secteur S9</t>
        </is>
      </c>
      <c r="I44" s="11" t="n">
        <v>1004535</v>
      </c>
      <c r="J44" s="12" t="inlineStr">
        <is>
          <t>ml</t>
        </is>
      </c>
      <c r="K44" s="13" t="n">
        <v>335</v>
      </c>
      <c r="L44" s="51" t="n"/>
      <c r="M44" s="56">
        <f>'S42'!M44+L44</f>
        <v/>
      </c>
      <c r="N44" s="57">
        <f>IFERROR(M44/K44,0)</f>
        <v/>
      </c>
      <c r="O44" s="58">
        <f>'S42'!N44</f>
        <v/>
      </c>
      <c r="P44" s="57">
        <f>N44-O44</f>
        <v/>
      </c>
      <c r="Q44" s="32" t="n"/>
      <c r="R44" s="32" t="n"/>
      <c r="S44" s="32" t="n"/>
      <c r="T44" s="55" t="n"/>
      <c r="U44" s="58">
        <f>'S42'!T44</f>
        <v/>
      </c>
      <c r="V44" s="57">
        <f>T44-U44</f>
        <v/>
      </c>
      <c r="W44" s="57">
        <f>N44-T44</f>
        <v/>
      </c>
      <c r="X44" s="34" t="n"/>
    </row>
    <row r="45" ht="22" customHeight="1">
      <c r="B45" s="5" t="n">
        <v>41</v>
      </c>
      <c r="C45" s="6" t="inlineStr">
        <is>
          <t>Sidi Kacem</t>
        </is>
      </c>
      <c r="D45" s="5" t="inlineStr">
        <is>
          <t>SAFSAF</t>
        </is>
      </c>
      <c r="E45" s="5" t="inlineStr">
        <is>
          <t>20-11</t>
        </is>
      </c>
      <c r="F45" s="5" t="inlineStr">
        <is>
          <t>Travaux de réhabilitation des équipements</t>
        </is>
      </c>
      <c r="G45" s="5" t="inlineStr"/>
      <c r="H45" s="5" t="inlineStr">
        <is>
          <t>Recalage des canaux portés du réseau T2S5 du secteur S9</t>
        </is>
      </c>
      <c r="I45" s="7" t="n">
        <v>793830</v>
      </c>
      <c r="J45" s="8" t="inlineStr">
        <is>
          <t>ml</t>
        </is>
      </c>
      <c r="K45" s="9" t="n">
        <v>265</v>
      </c>
      <c r="L45" s="51" t="n"/>
      <c r="M45" s="52">
        <f>'S42'!M45+L45</f>
        <v/>
      </c>
      <c r="N45" s="53">
        <f>IFERROR(M45/K45,0)</f>
        <v/>
      </c>
      <c r="O45" s="54">
        <f>'S42'!N45</f>
        <v/>
      </c>
      <c r="P45" s="53">
        <f>N45-O45</f>
        <v/>
      </c>
      <c r="Q45" s="32" t="n"/>
      <c r="R45" s="32" t="n"/>
      <c r="S45" s="32" t="n"/>
      <c r="T45" s="55" t="n"/>
      <c r="U45" s="54">
        <f>'S42'!T45</f>
        <v/>
      </c>
      <c r="V45" s="53">
        <f>T45-U45</f>
        <v/>
      </c>
      <c r="W45" s="53">
        <f>N45-T45</f>
        <v/>
      </c>
      <c r="X45" s="34" t="n"/>
    </row>
    <row r="46" ht="22" customHeight="1">
      <c r="B46" s="10" t="n">
        <v>42</v>
      </c>
      <c r="C46" s="6" t="inlineStr">
        <is>
          <t>Sidi Kacem</t>
        </is>
      </c>
      <c r="D46" s="10" t="inlineStr">
        <is>
          <t>SAFSAF</t>
        </is>
      </c>
      <c r="E46" s="10" t="inlineStr">
        <is>
          <t>40-21</t>
        </is>
      </c>
      <c r="F46" s="10" t="inlineStr">
        <is>
          <t>Travaux de pistes</t>
        </is>
      </c>
      <c r="G46" s="10" t="inlineStr">
        <is>
          <t>Entretien des pistes agricoles</t>
        </is>
      </c>
      <c r="H46" s="10" t="inlineStr">
        <is>
          <t>Entretien des pistes agricoles</t>
        </is>
      </c>
      <c r="I46" s="11" t="n">
        <v>2000000</v>
      </c>
      <c r="J46" s="12" t="inlineStr">
        <is>
          <t>km</t>
        </is>
      </c>
      <c r="K46" s="13" t="n">
        <v>4</v>
      </c>
      <c r="L46" s="51" t="n"/>
      <c r="M46" s="56">
        <f>'S42'!M46+L46</f>
        <v/>
      </c>
      <c r="N46" s="57">
        <f>IFERROR(M46/K46,0)</f>
        <v/>
      </c>
      <c r="O46" s="58">
        <f>'S42'!N46</f>
        <v/>
      </c>
      <c r="P46" s="57">
        <f>N46-O46</f>
        <v/>
      </c>
      <c r="Q46" s="32" t="n"/>
      <c r="R46" s="32" t="n"/>
      <c r="S46" s="32" t="n"/>
      <c r="T46" s="55" t="n"/>
      <c r="U46" s="58">
        <f>'S42'!T46</f>
        <v/>
      </c>
      <c r="V46" s="57">
        <f>T46-U46</f>
        <v/>
      </c>
      <c r="W46" s="57">
        <f>N46-T46</f>
        <v/>
      </c>
      <c r="X46" s="34" t="n"/>
    </row>
    <row r="47" ht="22" customHeight="1">
      <c r="B47" s="5" t="n">
        <v>43</v>
      </c>
      <c r="C47" s="6" t="inlineStr">
        <is>
          <t>Sidi Kacem</t>
        </is>
      </c>
      <c r="D47" s="5" t="inlineStr">
        <is>
          <t>SAFSAF</t>
        </is>
      </c>
      <c r="E47" s="5" t="inlineStr">
        <is>
          <t>50-23</t>
        </is>
      </c>
      <c r="F47" s="5" t="inlineStr">
        <is>
          <t>Entretien et réparation du réseau d'assainissement et de drainage</t>
        </is>
      </c>
      <c r="G47" s="5" t="inlineStr">
        <is>
          <t>Curage des prises sur l’oued, bâche d’aspiration et bassin de régulation.</t>
        </is>
      </c>
      <c r="H47" s="5" t="inlineStr">
        <is>
          <t>Curage des prises sur l’oued des stations de pompage S11, S9, 7D et 7B.
Nettoyage des grilles de préfiltration des boues colmaté des stations de pompage S11, S9, 7D et 7B.
Nettoyage des crépines des boues colmaté de station pompage 7D.
Curage des dalots et bâche d’aspiration des stations de pompage S11, S9, 7B.</t>
        </is>
      </c>
      <c r="I47" s="7" t="n">
        <v>200000</v>
      </c>
      <c r="J47" s="8" t="inlineStr">
        <is>
          <t>ml</t>
        </is>
      </c>
      <c r="K47" s="9" t="n">
        <v>67</v>
      </c>
      <c r="L47" s="51" t="n"/>
      <c r="M47" s="52">
        <f>'S42'!M47+L47</f>
        <v/>
      </c>
      <c r="N47" s="53">
        <f>IFERROR(M47/K47,0)</f>
        <v/>
      </c>
      <c r="O47" s="54">
        <f>'S42'!N47</f>
        <v/>
      </c>
      <c r="P47" s="53">
        <f>N47-O47</f>
        <v/>
      </c>
      <c r="Q47" s="32" t="n"/>
      <c r="R47" s="32" t="n"/>
      <c r="S47" s="32" t="n"/>
      <c r="T47" s="55" t="n"/>
      <c r="U47" s="54">
        <f>'S42'!T47</f>
        <v/>
      </c>
      <c r="V47" s="53">
        <f>T47-U47</f>
        <v/>
      </c>
      <c r="W47" s="53">
        <f>N47-T47</f>
        <v/>
      </c>
      <c r="X47" s="34" t="n"/>
    </row>
    <row r="48" ht="22" customHeight="1">
      <c r="B48" s="10" t="n">
        <v>44</v>
      </c>
      <c r="C48" s="6" t="inlineStr">
        <is>
          <t>Sidi Kacem</t>
        </is>
      </c>
      <c r="D48" s="10" t="inlineStr">
        <is>
          <t>SAFSAF</t>
        </is>
      </c>
      <c r="E48" s="10" t="inlineStr">
        <is>
          <t>50-21</t>
        </is>
      </c>
      <c r="F48" s="10" t="inlineStr">
        <is>
          <t>Entretien et réparation des stations de pompage</t>
        </is>
      </c>
      <c r="G48" s="10" t="inlineStr">
        <is>
          <t>Prestation de maintenance des débitmètres et leurs équipements annexes installés au niveau des station de pompage</t>
        </is>
      </c>
      <c r="H48" s="10" t="inlineStr">
        <is>
          <t>Changements Sept des débitmètres Ø 600mm inondé des deux stations de pompage S11 et S9.</t>
        </is>
      </c>
      <c r="I48" s="11" t="n">
        <v>580000</v>
      </c>
      <c r="J48" s="12" t="inlineStr">
        <is>
          <t>U</t>
        </is>
      </c>
      <c r="K48" s="13" t="n">
        <v>7</v>
      </c>
      <c r="L48" s="51" t="n"/>
      <c r="M48" s="56">
        <f>'S42'!M48+L48</f>
        <v/>
      </c>
      <c r="N48" s="57">
        <f>IFERROR(M48/K48,0)</f>
        <v/>
      </c>
      <c r="O48" s="58">
        <f>'S42'!N48</f>
        <v/>
      </c>
      <c r="P48" s="57">
        <f>N48-O48</f>
        <v/>
      </c>
      <c r="Q48" s="32" t="n"/>
      <c r="R48" s="32" t="n"/>
      <c r="S48" s="32" t="n"/>
      <c r="T48" s="55" t="n"/>
      <c r="U48" s="58">
        <f>'S42'!T48</f>
        <v/>
      </c>
      <c r="V48" s="57">
        <f>T48-U48</f>
        <v/>
      </c>
      <c r="W48" s="57">
        <f>N48-T48</f>
        <v/>
      </c>
      <c r="X48" s="34" t="n"/>
    </row>
    <row r="49" ht="22" customHeight="1">
      <c r="B49" s="5" t="n">
        <v>45</v>
      </c>
      <c r="C49" s="6" t="inlineStr">
        <is>
          <t>Sidi Kacem</t>
        </is>
      </c>
      <c r="D49" s="5" t="inlineStr">
        <is>
          <t>SAFSAF</t>
        </is>
      </c>
      <c r="E49" s="5" t="inlineStr">
        <is>
          <t>50-21</t>
        </is>
      </c>
      <c r="F49" s="5" t="inlineStr">
        <is>
          <t>Entretien et réparation des stations de pompage</t>
        </is>
      </c>
      <c r="G49" s="5" t="inlineStr">
        <is>
          <t>Stabilisation Berge oued</t>
        </is>
      </c>
      <c r="H49" s="5" t="inlineStr">
        <is>
          <t>Pose de murs en gabions et recouvrement du talus par matelas Reno des stations de pompage S11, S9, 7D et 7B .</t>
        </is>
      </c>
      <c r="I49" s="7" t="n">
        <v>4000000</v>
      </c>
      <c r="J49" s="8" t="inlineStr">
        <is>
          <t>m³</t>
        </is>
      </c>
      <c r="K49" s="9" t="n">
        <v>2667</v>
      </c>
      <c r="L49" s="51" t="n"/>
      <c r="M49" s="52">
        <f>'S42'!M49+L49</f>
        <v/>
      </c>
      <c r="N49" s="53">
        <f>IFERROR(M49/K49,0)</f>
        <v/>
      </c>
      <c r="O49" s="54">
        <f>'S42'!N49</f>
        <v/>
      </c>
      <c r="P49" s="53">
        <f>N49-O49</f>
        <v/>
      </c>
      <c r="Q49" s="32" t="n"/>
      <c r="R49" s="32" t="n"/>
      <c r="S49" s="32" t="n"/>
      <c r="T49" s="55" t="n"/>
      <c r="U49" s="54">
        <f>'S42'!T49</f>
        <v/>
      </c>
      <c r="V49" s="53">
        <f>T49-U49</f>
        <v/>
      </c>
      <c r="W49" s="53">
        <f>N49-T49</f>
        <v/>
      </c>
      <c r="X49" s="34" t="n"/>
    </row>
    <row r="50" ht="22" customHeight="1">
      <c r="B50" s="10" t="n">
        <v>46</v>
      </c>
      <c r="C50" s="6" t="inlineStr">
        <is>
          <t>Sidi Kacem</t>
        </is>
      </c>
      <c r="D50" s="10" t="inlineStr">
        <is>
          <t>SIDI AZZOUZ</t>
        </is>
      </c>
      <c r="E50" s="10" t="inlineStr">
        <is>
          <t>40-21</t>
        </is>
      </c>
      <c r="F50" s="10" t="inlineStr">
        <is>
          <t>Travaux de pistes</t>
        </is>
      </c>
      <c r="G50" s="10" t="inlineStr">
        <is>
          <t>Entretien des pistes agricoles</t>
        </is>
      </c>
      <c r="H50" s="10" t="inlineStr">
        <is>
          <t>Entretien des pistes agricoles</t>
        </is>
      </c>
      <c r="I50" s="11" t="n">
        <v>655000</v>
      </c>
      <c r="J50" s="12" t="inlineStr">
        <is>
          <t>km</t>
        </is>
      </c>
      <c r="K50" s="13" t="n">
        <v>1</v>
      </c>
      <c r="L50" s="51" t="n"/>
      <c r="M50" s="56">
        <f>'S42'!M50+L50</f>
        <v/>
      </c>
      <c r="N50" s="57">
        <f>IFERROR(M50/K50,0)</f>
        <v/>
      </c>
      <c r="O50" s="58">
        <f>'S42'!N50</f>
        <v/>
      </c>
      <c r="P50" s="57">
        <f>N50-O50</f>
        <v/>
      </c>
      <c r="Q50" s="32" t="n"/>
      <c r="R50" s="32" t="n"/>
      <c r="S50" s="32" t="n"/>
      <c r="T50" s="55" t="n"/>
      <c r="U50" s="58">
        <f>'S42'!T50</f>
        <v/>
      </c>
      <c r="V50" s="57">
        <f>T50-U50</f>
        <v/>
      </c>
      <c r="W50" s="57">
        <f>N50-T50</f>
        <v/>
      </c>
      <c r="X50" s="34" t="n"/>
    </row>
    <row r="51" ht="22" customHeight="1">
      <c r="B51" s="5" t="n">
        <v>47</v>
      </c>
      <c r="C51" s="6" t="inlineStr">
        <is>
          <t>Sidi Kacem</t>
        </is>
      </c>
      <c r="D51" s="5" t="inlineStr">
        <is>
          <t>SIDI EL KAMEL</t>
        </is>
      </c>
      <c r="E51" s="5" t="inlineStr">
        <is>
          <t>20-11</t>
        </is>
      </c>
      <c r="F51" s="5" t="inlineStr">
        <is>
          <t>Travaux de réhabilitation des équipements</t>
        </is>
      </c>
      <c r="G51" s="5" t="inlineStr">
        <is>
          <t>Travaux de réhabilitation des canaux portés d'irrigation</t>
        </is>
      </c>
      <c r="H51" s="5" t="inlineStr">
        <is>
          <t>Fourniture et de pose de canaux porté et accessoires du réseau SR4 du secteur S3R</t>
        </is>
      </c>
      <c r="I51" s="7" t="n">
        <v>5182920</v>
      </c>
      <c r="J51" s="8" t="inlineStr">
        <is>
          <t>ml</t>
        </is>
      </c>
      <c r="K51" s="9" t="n">
        <v>1728</v>
      </c>
      <c r="L51" s="51" t="n"/>
      <c r="M51" s="52">
        <f>'S42'!M51+L51</f>
        <v/>
      </c>
      <c r="N51" s="53">
        <f>IFERROR(M51/K51,0)</f>
        <v/>
      </c>
      <c r="O51" s="54">
        <f>'S42'!N51</f>
        <v/>
      </c>
      <c r="P51" s="53">
        <f>N51-O51</f>
        <v/>
      </c>
      <c r="Q51" s="32" t="n"/>
      <c r="R51" s="32" t="n"/>
      <c r="S51" s="32" t="n"/>
      <c r="T51" s="55" t="n"/>
      <c r="U51" s="54">
        <f>'S42'!T51</f>
        <v/>
      </c>
      <c r="V51" s="53">
        <f>T51-U51</f>
        <v/>
      </c>
      <c r="W51" s="53">
        <f>N51-T51</f>
        <v/>
      </c>
      <c r="X51" s="34" t="n"/>
    </row>
    <row r="52" ht="22" customHeight="1">
      <c r="B52" s="10" t="n">
        <v>48</v>
      </c>
      <c r="C52" s="6" t="inlineStr">
        <is>
          <t>Sidi Kacem</t>
        </is>
      </c>
      <c r="D52" s="10" t="inlineStr">
        <is>
          <t>SIDI EL KAMEL</t>
        </is>
      </c>
      <c r="E52" s="10" t="inlineStr">
        <is>
          <t>20-11</t>
        </is>
      </c>
      <c r="F52" s="10" t="inlineStr">
        <is>
          <t>Travaux de réhabilitation des équipements</t>
        </is>
      </c>
      <c r="G52" s="10" t="inlineStr"/>
      <c r="H52" s="10" t="inlineStr">
        <is>
          <t>Fourniture et de pose de canaux porté et accessoires du réseau SR6 du secteur S1RIZ</t>
        </is>
      </c>
      <c r="I52" s="11" t="n">
        <v>152818</v>
      </c>
      <c r="J52" s="12" t="inlineStr">
        <is>
          <t>ml</t>
        </is>
      </c>
      <c r="K52" s="13" t="n">
        <v>51</v>
      </c>
      <c r="L52" s="51" t="n"/>
      <c r="M52" s="56">
        <f>'S42'!M52+L52</f>
        <v/>
      </c>
      <c r="N52" s="57">
        <f>IFERROR(M52/K52,0)</f>
        <v/>
      </c>
      <c r="O52" s="58">
        <f>'S42'!N52</f>
        <v/>
      </c>
      <c r="P52" s="57">
        <f>N52-O52</f>
        <v/>
      </c>
      <c r="Q52" s="32" t="n"/>
      <c r="R52" s="32" t="n"/>
      <c r="S52" s="32" t="n"/>
      <c r="T52" s="55" t="n"/>
      <c r="U52" s="58">
        <f>'S42'!T52</f>
        <v/>
      </c>
      <c r="V52" s="57">
        <f>T52-U52</f>
        <v/>
      </c>
      <c r="W52" s="57">
        <f>N52-T52</f>
        <v/>
      </c>
      <c r="X52" s="34" t="n"/>
    </row>
    <row r="53" ht="22" customHeight="1">
      <c r="B53" s="5" t="n">
        <v>49</v>
      </c>
      <c r="C53" s="6" t="inlineStr">
        <is>
          <t>Sidi Kacem</t>
        </is>
      </c>
      <c r="D53" s="5" t="inlineStr">
        <is>
          <t>SIDI EL KAMEL</t>
        </is>
      </c>
      <c r="E53" s="5" t="inlineStr">
        <is>
          <t>20-11</t>
        </is>
      </c>
      <c r="F53" s="5" t="inlineStr">
        <is>
          <t>Travaux de réhabilitation des équipements</t>
        </is>
      </c>
      <c r="G53" s="5" t="inlineStr"/>
      <c r="H53" s="5" t="inlineStr">
        <is>
          <t>Recalage des canaux portés du réseau SR4 du secteur S3R</t>
        </is>
      </c>
      <c r="I53" s="7" t="n">
        <v>1418000</v>
      </c>
      <c r="J53" s="8" t="inlineStr">
        <is>
          <t>ml</t>
        </is>
      </c>
      <c r="K53" s="9" t="n">
        <v>473</v>
      </c>
      <c r="L53" s="51" t="n"/>
      <c r="M53" s="52">
        <f>'S42'!M53+L53</f>
        <v/>
      </c>
      <c r="N53" s="53">
        <f>IFERROR(M53/K53,0)</f>
        <v/>
      </c>
      <c r="O53" s="54">
        <f>'S42'!N53</f>
        <v/>
      </c>
      <c r="P53" s="53">
        <f>N53-O53</f>
        <v/>
      </c>
      <c r="Q53" s="32" t="n"/>
      <c r="R53" s="32" t="n"/>
      <c r="S53" s="32" t="n"/>
      <c r="T53" s="55" t="n"/>
      <c r="U53" s="54">
        <f>'S42'!T53</f>
        <v/>
      </c>
      <c r="V53" s="53">
        <f>T53-U53</f>
        <v/>
      </c>
      <c r="W53" s="53">
        <f>N53-T53</f>
        <v/>
      </c>
      <c r="X53" s="34" t="n"/>
    </row>
    <row r="54" ht="22" customHeight="1">
      <c r="B54" s="10" t="n">
        <v>50</v>
      </c>
      <c r="C54" s="6" t="inlineStr">
        <is>
          <t>Sidi Kacem</t>
        </is>
      </c>
      <c r="D54" s="10" t="inlineStr">
        <is>
          <t>SIDI EL KAMEL</t>
        </is>
      </c>
      <c r="E54" s="10" t="inlineStr">
        <is>
          <t>20-11</t>
        </is>
      </c>
      <c r="F54" s="10" t="inlineStr">
        <is>
          <t>Travaux de réhabilitation des équipements</t>
        </is>
      </c>
      <c r="G54" s="10" t="inlineStr">
        <is>
          <t>Travaux de réhabilitation des ouvrages de génie civil</t>
        </is>
      </c>
      <c r="H54" s="10" t="inlineStr">
        <is>
          <t>Réhabilitation des murs de soutènements des ouvrages de franchissements du canal d'assainissement CS3 secteur S3 et de l’ouvrage de franchissement du canal primaire d’irrigation du secteur S1R au niveau de la route provinciale P4234</t>
        </is>
      </c>
      <c r="I54" s="11" t="n">
        <v>800000</v>
      </c>
      <c r="J54" s="12" t="inlineStr">
        <is>
          <t>ml</t>
        </is>
      </c>
      <c r="K54" s="13" t="n">
        <v>400</v>
      </c>
      <c r="L54" s="51" t="n"/>
      <c r="M54" s="56">
        <f>'S42'!M54+L54</f>
        <v/>
      </c>
      <c r="N54" s="57">
        <f>IFERROR(M54/K54,0)</f>
        <v/>
      </c>
      <c r="O54" s="58">
        <f>'S42'!N54</f>
        <v/>
      </c>
      <c r="P54" s="57">
        <f>N54-O54</f>
        <v/>
      </c>
      <c r="Q54" s="32" t="n"/>
      <c r="R54" s="32" t="n"/>
      <c r="S54" s="32" t="n"/>
      <c r="T54" s="55" t="n"/>
      <c r="U54" s="58">
        <f>'S42'!T54</f>
        <v/>
      </c>
      <c r="V54" s="57">
        <f>T54-U54</f>
        <v/>
      </c>
      <c r="W54" s="57">
        <f>N54-T54</f>
        <v/>
      </c>
      <c r="X54" s="34" t="n"/>
    </row>
    <row r="55" ht="22" customHeight="1">
      <c r="B55" s="5" t="n">
        <v>51</v>
      </c>
      <c r="C55" s="6" t="inlineStr">
        <is>
          <t>Sidi Kacem</t>
        </is>
      </c>
      <c r="D55" s="5" t="inlineStr">
        <is>
          <t>SIDI EL KAMEL</t>
        </is>
      </c>
      <c r="E55" s="5" t="inlineStr">
        <is>
          <t>40-21</t>
        </is>
      </c>
      <c r="F55" s="5" t="inlineStr">
        <is>
          <t>Travaux de pistes</t>
        </is>
      </c>
      <c r="G55" s="5" t="inlineStr">
        <is>
          <t>Entretien des pistes agricoles</t>
        </is>
      </c>
      <c r="H55" s="5" t="inlineStr">
        <is>
          <t>Entretien des pistes agricoles</t>
        </is>
      </c>
      <c r="I55" s="7" t="n">
        <v>3700000</v>
      </c>
      <c r="J55" s="8" t="inlineStr">
        <is>
          <t>km</t>
        </is>
      </c>
      <c r="K55" s="9" t="n">
        <v>7</v>
      </c>
      <c r="L55" s="51" t="n"/>
      <c r="M55" s="52">
        <f>'S42'!M55+L55</f>
        <v/>
      </c>
      <c r="N55" s="53">
        <f>IFERROR(M55/K55,0)</f>
        <v/>
      </c>
      <c r="O55" s="54">
        <f>'S42'!N55</f>
        <v/>
      </c>
      <c r="P55" s="53">
        <f>N55-O55</f>
        <v/>
      </c>
      <c r="Q55" s="32" t="n"/>
      <c r="R55" s="32" t="n"/>
      <c r="S55" s="32" t="n"/>
      <c r="T55" s="55" t="n"/>
      <c r="U55" s="54">
        <f>'S42'!T55</f>
        <v/>
      </c>
      <c r="V55" s="53">
        <f>T55-U55</f>
        <v/>
      </c>
      <c r="W55" s="53">
        <f>N55-T55</f>
        <v/>
      </c>
      <c r="X55" s="34" t="n"/>
    </row>
    <row r="56" ht="22" customHeight="1">
      <c r="B56" s="10" t="n">
        <v>52</v>
      </c>
      <c r="C56" s="6" t="inlineStr">
        <is>
          <t>Sidi Kacem</t>
        </is>
      </c>
      <c r="D56" s="10" t="inlineStr">
        <is>
          <t>SIDI EL KAMEL</t>
        </is>
      </c>
      <c r="E56" s="10" t="inlineStr">
        <is>
          <t>50-21</t>
        </is>
      </c>
      <c r="F56" s="10" t="inlineStr">
        <is>
          <t>Entretien et réparation des stations de pompage</t>
        </is>
      </c>
      <c r="G56" s="10" t="inlineStr">
        <is>
          <t>Prestation de maintenance des débitmètres et leurs équipements annexes installés au niveau des station de pompage</t>
        </is>
      </c>
      <c r="H56" s="10" t="inlineStr">
        <is>
          <t>Changement de quatre débitmètres Ø 500mm et trois Ø 800mm inondé des stations de pompage 1R, 3R et 5R.</t>
        </is>
      </c>
      <c r="I56" s="11" t="n">
        <v>705000</v>
      </c>
      <c r="J56" s="12" t="inlineStr">
        <is>
          <t>U</t>
        </is>
      </c>
      <c r="K56" s="13" t="n">
        <v>3</v>
      </c>
      <c r="L56" s="51" t="n"/>
      <c r="M56" s="56">
        <f>'S42'!M56+L56</f>
        <v/>
      </c>
      <c r="N56" s="57">
        <f>IFERROR(M56/K56,0)</f>
        <v/>
      </c>
      <c r="O56" s="58">
        <f>'S42'!N56</f>
        <v/>
      </c>
      <c r="P56" s="57">
        <f>N56-O56</f>
        <v/>
      </c>
      <c r="Q56" s="32" t="n"/>
      <c r="R56" s="32" t="n"/>
      <c r="S56" s="32" t="n"/>
      <c r="T56" s="55" t="n"/>
      <c r="U56" s="58">
        <f>'S42'!T56</f>
        <v/>
      </c>
      <c r="V56" s="57">
        <f>T56-U56</f>
        <v/>
      </c>
      <c r="W56" s="57">
        <f>N56-T56</f>
        <v/>
      </c>
      <c r="X56" s="34" t="n"/>
    </row>
    <row r="57" ht="22" customHeight="1">
      <c r="B57" s="5" t="n">
        <v>53</v>
      </c>
      <c r="C57" s="6" t="inlineStr">
        <is>
          <t>Sidi Kacem</t>
        </is>
      </c>
      <c r="D57" s="5" t="inlineStr">
        <is>
          <t>SIDI EL KAMEL</t>
        </is>
      </c>
      <c r="E57" s="5" t="inlineStr">
        <is>
          <t>50-21</t>
        </is>
      </c>
      <c r="F57" s="5" t="inlineStr">
        <is>
          <t>Entretien et réparation des stations de pompage</t>
        </is>
      </c>
      <c r="G57" s="5" t="inlineStr">
        <is>
          <t>Mur clôture des stations de pompage.</t>
        </is>
      </c>
      <c r="H57" s="5" t="inlineStr">
        <is>
          <t>Stabilisation et reconstruction des murs clôture cote oued des stations de pompage 7A, 3R et 1R.</t>
        </is>
      </c>
      <c r="I57" s="7" t="n">
        <v>372000</v>
      </c>
      <c r="J57" s="8" t="inlineStr">
        <is>
          <t>ml</t>
        </is>
      </c>
      <c r="K57" s="9" t="n">
        <v>124</v>
      </c>
      <c r="L57" s="51" t="n"/>
      <c r="M57" s="52">
        <f>'S42'!M57+L57</f>
        <v/>
      </c>
      <c r="N57" s="53">
        <f>IFERROR(M57/K57,0)</f>
        <v/>
      </c>
      <c r="O57" s="54">
        <f>'S42'!N57</f>
        <v/>
      </c>
      <c r="P57" s="53">
        <f>N57-O57</f>
        <v/>
      </c>
      <c r="Q57" s="32" t="n"/>
      <c r="R57" s="32" t="n"/>
      <c r="S57" s="32" t="n"/>
      <c r="T57" s="55" t="n"/>
      <c r="U57" s="54">
        <f>'S42'!T57</f>
        <v/>
      </c>
      <c r="V57" s="53">
        <f>T57-U57</f>
        <v/>
      </c>
      <c r="W57" s="53">
        <f>N57-T57</f>
        <v/>
      </c>
      <c r="X57" s="34" t="n"/>
    </row>
    <row r="58" ht="22" customHeight="1">
      <c r="B58" s="10" t="n">
        <v>54</v>
      </c>
      <c r="C58" s="14" t="inlineStr">
        <is>
          <t>Kénitra</t>
        </is>
      </c>
      <c r="D58" s="10" t="inlineStr">
        <is>
          <t>Bni malek</t>
        </is>
      </c>
      <c r="E58" s="10" t="inlineStr">
        <is>
          <t>50-23</t>
        </is>
      </c>
      <c r="F58" s="10" t="inlineStr">
        <is>
          <t>Entretien et réparation du réseau d'assainissement et de drainage</t>
        </is>
      </c>
      <c r="G58" s="10" t="inlineStr">
        <is>
          <t>Travaux de curage des canaux en terre</t>
        </is>
      </c>
      <c r="H58" s="10" t="inlineStr">
        <is>
          <t>Curage des emissaires et colatures secondaire au niveau des secteurs MDA ET N9</t>
        </is>
      </c>
      <c r="I58" s="11" t="n">
        <v>10000000</v>
      </c>
      <c r="J58" s="12" t="inlineStr">
        <is>
          <t>ml</t>
        </is>
      </c>
      <c r="K58" s="13" t="n">
        <v>5000</v>
      </c>
      <c r="L58" s="51" t="n"/>
      <c r="M58" s="56">
        <f>'S42'!M58+L58</f>
        <v/>
      </c>
      <c r="N58" s="57">
        <f>IFERROR(M58/K58,0)</f>
        <v/>
      </c>
      <c r="O58" s="58">
        <f>'S42'!N58</f>
        <v/>
      </c>
      <c r="P58" s="57">
        <f>N58-O58</f>
        <v/>
      </c>
      <c r="Q58" s="32" t="n"/>
      <c r="R58" s="32" t="n"/>
      <c r="S58" s="32" t="n"/>
      <c r="T58" s="55" t="n"/>
      <c r="U58" s="58">
        <f>'S42'!T58</f>
        <v/>
      </c>
      <c r="V58" s="57">
        <f>T58-U58</f>
        <v/>
      </c>
      <c r="W58" s="57">
        <f>N58-T58</f>
        <v/>
      </c>
      <c r="X58" s="34" t="n"/>
    </row>
    <row r="59" ht="22" customHeight="1">
      <c r="B59" s="5" t="n">
        <v>55</v>
      </c>
      <c r="C59" s="14" t="inlineStr">
        <is>
          <t>Kénitra</t>
        </is>
      </c>
      <c r="D59" s="5" t="inlineStr">
        <is>
          <t>Bni malek</t>
        </is>
      </c>
      <c r="E59" s="5" t="inlineStr">
        <is>
          <t>40-21</t>
        </is>
      </c>
      <c r="F59" s="5" t="inlineStr">
        <is>
          <t>Travaux de pistes</t>
        </is>
      </c>
      <c r="G59" s="5" t="inlineStr">
        <is>
          <t>Travaux de réhabilitation des pistes agricoles</t>
        </is>
      </c>
      <c r="H59" s="5" t="inlineStr">
        <is>
          <t>Entretien des pistes agricoles des secteurs MDA et N3</t>
        </is>
      </c>
      <c r="I59" s="7" t="n">
        <v>2000000</v>
      </c>
      <c r="J59" s="8" t="inlineStr">
        <is>
          <t>km</t>
        </is>
      </c>
      <c r="K59" s="9" t="n">
        <v>4</v>
      </c>
      <c r="L59" s="51" t="n"/>
      <c r="M59" s="52">
        <f>'S42'!M59+L59</f>
        <v/>
      </c>
      <c r="N59" s="53">
        <f>IFERROR(M59/K59,0)</f>
        <v/>
      </c>
      <c r="O59" s="54">
        <f>'S42'!N59</f>
        <v/>
      </c>
      <c r="P59" s="53">
        <f>N59-O59</f>
        <v/>
      </c>
      <c r="Q59" s="32" t="n"/>
      <c r="R59" s="32" t="n"/>
      <c r="S59" s="32" t="n"/>
      <c r="T59" s="55" t="n"/>
      <c r="U59" s="54">
        <f>'S42'!T59</f>
        <v/>
      </c>
      <c r="V59" s="53">
        <f>T59-U59</f>
        <v/>
      </c>
      <c r="W59" s="53">
        <f>N59-T59</f>
        <v/>
      </c>
      <c r="X59" s="34" t="n"/>
    </row>
    <row r="60" ht="22" customHeight="1">
      <c r="B60" s="10" t="n">
        <v>56</v>
      </c>
      <c r="C60" s="14" t="inlineStr">
        <is>
          <t>Kénitra</t>
        </is>
      </c>
      <c r="D60" s="10" t="inlineStr">
        <is>
          <t>Bni malek</t>
        </is>
      </c>
      <c r="E60" s="10" t="inlineStr">
        <is>
          <t>50-21</t>
        </is>
      </c>
      <c r="F60" s="10" t="inlineStr">
        <is>
          <t>Entretien et réparation des stations de pompage</t>
        </is>
      </c>
      <c r="G60" s="10" t="inlineStr">
        <is>
          <t>Prestations de maintenance et de réparation mécanique des pompes et des groupes motopompes submersibles des stations de pompage.</t>
        </is>
      </c>
      <c r="H60" s="10" t="inlineStr">
        <is>
          <t>station de pompage MDA secteur MDA</t>
        </is>
      </c>
      <c r="I60" s="11" t="n">
        <v>300000</v>
      </c>
      <c r="J60" s="12" t="inlineStr">
        <is>
          <t>U</t>
        </is>
      </c>
      <c r="K60" s="13" t="n">
        <v>1</v>
      </c>
      <c r="L60" s="51" t="n"/>
      <c r="M60" s="56">
        <f>'S42'!M60+L60</f>
        <v/>
      </c>
      <c r="N60" s="57">
        <f>IFERROR(M60/K60,0)</f>
        <v/>
      </c>
      <c r="O60" s="58">
        <f>'S42'!N60</f>
        <v/>
      </c>
      <c r="P60" s="57">
        <f>N60-O60</f>
        <v/>
      </c>
      <c r="Q60" s="32" t="n"/>
      <c r="R60" s="32" t="n"/>
      <c r="S60" s="32" t="n"/>
      <c r="T60" s="55" t="n"/>
      <c r="U60" s="58">
        <f>'S42'!T60</f>
        <v/>
      </c>
      <c r="V60" s="57">
        <f>T60-U60</f>
        <v/>
      </c>
      <c r="W60" s="57">
        <f>N60-T60</f>
        <v/>
      </c>
      <c r="X60" s="34" t="n"/>
    </row>
    <row r="61" ht="22" customHeight="1">
      <c r="B61" s="5" t="n">
        <v>57</v>
      </c>
      <c r="C61" s="14" t="inlineStr">
        <is>
          <t>Kénitra</t>
        </is>
      </c>
      <c r="D61" s="5" t="inlineStr">
        <is>
          <t>Bni malek</t>
        </is>
      </c>
      <c r="E61" s="5" t="inlineStr">
        <is>
          <t>20-11</t>
        </is>
      </c>
      <c r="F61" s="5" t="inlineStr">
        <is>
          <t>Travaux de réhabilitation des équipements</t>
        </is>
      </c>
      <c r="G61" s="5" t="inlineStr">
        <is>
          <t>Travaux de réhabilitation des ouvrages de génie civil</t>
        </is>
      </c>
      <c r="H61" s="5" t="inlineStr">
        <is>
          <t>Rétablissement des bornes affaissées des secteurs N2 et N3</t>
        </is>
      </c>
      <c r="I61" s="7" t="n">
        <v>100000</v>
      </c>
      <c r="J61" s="8" t="inlineStr">
        <is>
          <t>U</t>
        </is>
      </c>
      <c r="K61" s="9" t="n">
        <v>200</v>
      </c>
      <c r="L61" s="51" t="n"/>
      <c r="M61" s="52">
        <f>'S42'!M61+L61</f>
        <v/>
      </c>
      <c r="N61" s="53">
        <f>IFERROR(M61/K61,0)</f>
        <v/>
      </c>
      <c r="O61" s="54">
        <f>'S42'!N61</f>
        <v/>
      </c>
      <c r="P61" s="53">
        <f>N61-O61</f>
        <v/>
      </c>
      <c r="Q61" s="32" t="n"/>
      <c r="R61" s="32" t="n"/>
      <c r="S61" s="32" t="n"/>
      <c r="T61" s="55" t="n"/>
      <c r="U61" s="54">
        <f>'S42'!T61</f>
        <v/>
      </c>
      <c r="V61" s="53">
        <f>T61-U61</f>
        <v/>
      </c>
      <c r="W61" s="53">
        <f>N61-T61</f>
        <v/>
      </c>
      <c r="X61" s="34" t="n"/>
    </row>
    <row r="62" ht="22" customHeight="1">
      <c r="B62" s="10" t="n">
        <v>58</v>
      </c>
      <c r="C62" s="14" t="inlineStr">
        <is>
          <t>Kénitra</t>
        </is>
      </c>
      <c r="D62" s="10" t="inlineStr">
        <is>
          <t>SOUK TLET</t>
        </is>
      </c>
      <c r="E62" s="10" t="inlineStr">
        <is>
          <t>50-23</t>
        </is>
      </c>
      <c r="F62" s="10" t="inlineStr">
        <is>
          <t>Entretien et réparation du réseau d'assainissement et de drainage</t>
        </is>
      </c>
      <c r="G62" s="10" t="inlineStr">
        <is>
          <t>Travaux de curage des canaux en terre</t>
        </is>
      </c>
      <c r="H62" s="10" t="inlineStr">
        <is>
          <t>curage des emissaires et colatures secondaire au niveau des secteurs N2,N3 ET N4,</t>
        </is>
      </c>
      <c r="I62" s="11" t="n">
        <v>3000000</v>
      </c>
      <c r="J62" s="12" t="inlineStr">
        <is>
          <t>ml</t>
        </is>
      </c>
      <c r="K62" s="13" t="n">
        <v>1500</v>
      </c>
      <c r="L62" s="51" t="n"/>
      <c r="M62" s="56">
        <f>'S42'!M62+L62</f>
        <v/>
      </c>
      <c r="N62" s="57">
        <f>IFERROR(M62/K62,0)</f>
        <v/>
      </c>
      <c r="O62" s="58">
        <f>'S42'!N62</f>
        <v/>
      </c>
      <c r="P62" s="57">
        <f>N62-O62</f>
        <v/>
      </c>
      <c r="Q62" s="32" t="n"/>
      <c r="R62" s="32" t="n"/>
      <c r="S62" s="32" t="n"/>
      <c r="T62" s="55" t="n"/>
      <c r="U62" s="58">
        <f>'S42'!T62</f>
        <v/>
      </c>
      <c r="V62" s="57">
        <f>T62-U62</f>
        <v/>
      </c>
      <c r="W62" s="57">
        <f>N62-T62</f>
        <v/>
      </c>
      <c r="X62" s="34" t="n"/>
    </row>
    <row r="63" ht="22" customHeight="1">
      <c r="B63" s="5" t="n">
        <v>59</v>
      </c>
      <c r="C63" s="14" t="inlineStr">
        <is>
          <t>Kénitra</t>
        </is>
      </c>
      <c r="D63" s="5" t="inlineStr">
        <is>
          <t>SOUK TLET</t>
        </is>
      </c>
      <c r="E63" s="5" t="inlineStr">
        <is>
          <t>40-21</t>
        </is>
      </c>
      <c r="F63" s="5" t="inlineStr">
        <is>
          <t>Travaux de pistes</t>
        </is>
      </c>
      <c r="G63" s="5" t="inlineStr">
        <is>
          <t>Travaux de réhabilitation des pistes agricoles</t>
        </is>
      </c>
      <c r="H63" s="5" t="inlineStr">
        <is>
          <t>Entretien des pistes des secteurs N2,N3,N4 et C4R,</t>
        </is>
      </c>
      <c r="I63" s="7" t="n">
        <v>5000000</v>
      </c>
      <c r="J63" s="8" t="inlineStr">
        <is>
          <t>U</t>
        </is>
      </c>
      <c r="K63" s="9" t="n">
        <v>1</v>
      </c>
      <c r="L63" s="51" t="n"/>
      <c r="M63" s="52">
        <f>'S42'!M63+L63</f>
        <v/>
      </c>
      <c r="N63" s="53">
        <f>IFERROR(M63/K63,0)</f>
        <v/>
      </c>
      <c r="O63" s="54">
        <f>'S42'!N63</f>
        <v/>
      </c>
      <c r="P63" s="53">
        <f>N63-O63</f>
        <v/>
      </c>
      <c r="Q63" s="32" t="n"/>
      <c r="R63" s="32" t="n"/>
      <c r="S63" s="32" t="n"/>
      <c r="T63" s="55" t="n"/>
      <c r="U63" s="54">
        <f>'S42'!T63</f>
        <v/>
      </c>
      <c r="V63" s="53">
        <f>T63-U63</f>
        <v/>
      </c>
      <c r="W63" s="53">
        <f>N63-T63</f>
        <v/>
      </c>
      <c r="X63" s="34" t="n"/>
    </row>
    <row r="64" ht="22" customHeight="1">
      <c r="B64" s="10" t="n">
        <v>60</v>
      </c>
      <c r="C64" s="14" t="inlineStr">
        <is>
          <t>Kénitra</t>
        </is>
      </c>
      <c r="D64" s="10" t="inlineStr">
        <is>
          <t>Sidi Med Lahmar</t>
        </is>
      </c>
      <c r="E64" s="10" t="inlineStr">
        <is>
          <t>50-23</t>
        </is>
      </c>
      <c r="F64" s="10" t="inlineStr">
        <is>
          <t>Entretien et réparation du réseau d'assainissement et de drainage</t>
        </is>
      </c>
      <c r="G64" s="10" t="inlineStr">
        <is>
          <t>Travaux de curage des canaux en terre</t>
        </is>
      </c>
      <c r="H64" s="10" t="inlineStr">
        <is>
          <t>Curage des emissaires et colatures secondaires secteurs N1</t>
        </is>
      </c>
      <c r="I64" s="11" t="n">
        <v>3000000</v>
      </c>
      <c r="J64" s="12" t="inlineStr">
        <is>
          <t>ml</t>
        </is>
      </c>
      <c r="K64" s="13" t="n">
        <v>1500</v>
      </c>
      <c r="L64" s="51" t="n"/>
      <c r="M64" s="56">
        <f>'S42'!M64+L64</f>
        <v/>
      </c>
      <c r="N64" s="57">
        <f>IFERROR(M64/K64,0)</f>
        <v/>
      </c>
      <c r="O64" s="58">
        <f>'S42'!N64</f>
        <v/>
      </c>
      <c r="P64" s="57">
        <f>N64-O64</f>
        <v/>
      </c>
      <c r="Q64" s="32" t="n"/>
      <c r="R64" s="32" t="n"/>
      <c r="S64" s="32" t="n"/>
      <c r="T64" s="55" t="n"/>
      <c r="U64" s="58">
        <f>'S42'!T64</f>
        <v/>
      </c>
      <c r="V64" s="57">
        <f>T64-U64</f>
        <v/>
      </c>
      <c r="W64" s="57">
        <f>N64-T64</f>
        <v/>
      </c>
      <c r="X64" s="34" t="n"/>
    </row>
    <row r="65" ht="22" customHeight="1">
      <c r="B65" s="5" t="n">
        <v>61</v>
      </c>
      <c r="C65" s="14" t="inlineStr">
        <is>
          <t>Kénitra</t>
        </is>
      </c>
      <c r="D65" s="5" t="inlineStr">
        <is>
          <t>Sidi Med Lahmar</t>
        </is>
      </c>
      <c r="E65" s="5" t="inlineStr">
        <is>
          <t>40-21</t>
        </is>
      </c>
      <c r="F65" s="5" t="inlineStr">
        <is>
          <t>Travaux de pistes</t>
        </is>
      </c>
      <c r="G65" s="5" t="inlineStr">
        <is>
          <t>Travaux de réhabilitation des pistes agricoles</t>
        </is>
      </c>
      <c r="H65" s="5" t="inlineStr">
        <is>
          <t>Entretien des pistes agricoles des secteurs N9 et N1</t>
        </is>
      </c>
      <c r="I65" s="7" t="n">
        <v>3000000</v>
      </c>
      <c r="J65" s="8" t="inlineStr">
        <is>
          <t>km</t>
        </is>
      </c>
      <c r="K65" s="9" t="n">
        <v>6</v>
      </c>
      <c r="L65" s="51" t="n"/>
      <c r="M65" s="52">
        <f>'S42'!M65+L65</f>
        <v/>
      </c>
      <c r="N65" s="53">
        <f>IFERROR(M65/K65,0)</f>
        <v/>
      </c>
      <c r="O65" s="54">
        <f>'S42'!N65</f>
        <v/>
      </c>
      <c r="P65" s="53">
        <f>N65-O65</f>
        <v/>
      </c>
      <c r="Q65" s="32" t="n"/>
      <c r="R65" s="32" t="n"/>
      <c r="S65" s="32" t="n"/>
      <c r="T65" s="55" t="n"/>
      <c r="U65" s="54">
        <f>'S42'!T65</f>
        <v/>
      </c>
      <c r="V65" s="53">
        <f>T65-U65</f>
        <v/>
      </c>
      <c r="W65" s="53">
        <f>N65-T65</f>
        <v/>
      </c>
      <c r="X65" s="34" t="n"/>
    </row>
    <row r="66" ht="22" customHeight="1">
      <c r="B66" s="10" t="n">
        <v>62</v>
      </c>
      <c r="C66" s="14" t="inlineStr">
        <is>
          <t>Kénitra</t>
        </is>
      </c>
      <c r="D66" s="10" t="inlineStr">
        <is>
          <t>Mograne</t>
        </is>
      </c>
      <c r="E66" s="10" t="inlineStr">
        <is>
          <t>50-23</t>
        </is>
      </c>
      <c r="F66" s="10" t="inlineStr">
        <is>
          <t>Entretien et réparation du réseau d'assainissement et de drainage</t>
        </is>
      </c>
      <c r="G66" s="10" t="inlineStr">
        <is>
          <t>Travaux de curage des canaux en terre</t>
        </is>
      </c>
      <c r="H66" s="10" t="inlineStr">
        <is>
          <t>Curage des canaux d'assainissement Hors secteur équipé ghoufera et laison beht sebou ,</t>
        </is>
      </c>
      <c r="I66" s="11" t="n">
        <v>6000000</v>
      </c>
      <c r="J66" s="12" t="inlineStr">
        <is>
          <t>ml</t>
        </is>
      </c>
      <c r="K66" s="13" t="n">
        <v>3000</v>
      </c>
      <c r="L66" s="51" t="n"/>
      <c r="M66" s="56">
        <f>'S42'!M66+L66</f>
        <v/>
      </c>
      <c r="N66" s="57">
        <f>IFERROR(M66/K66,0)</f>
        <v/>
      </c>
      <c r="O66" s="58">
        <f>'S42'!N66</f>
        <v/>
      </c>
      <c r="P66" s="57">
        <f>N66-O66</f>
        <v/>
      </c>
      <c r="Q66" s="32" t="n"/>
      <c r="R66" s="32" t="n"/>
      <c r="S66" s="32" t="n"/>
      <c r="T66" s="55" t="n"/>
      <c r="U66" s="58">
        <f>'S42'!T66</f>
        <v/>
      </c>
      <c r="V66" s="57">
        <f>T66-U66</f>
        <v/>
      </c>
      <c r="W66" s="57">
        <f>N66-T66</f>
        <v/>
      </c>
      <c r="X66" s="34" t="n"/>
    </row>
    <row r="67" ht="22" customHeight="1">
      <c r="B67" s="5" t="n">
        <v>63</v>
      </c>
      <c r="C67" s="14" t="inlineStr">
        <is>
          <t>Kénitra</t>
        </is>
      </c>
      <c r="D67" s="5" t="inlineStr">
        <is>
          <t>Mograne</t>
        </is>
      </c>
      <c r="E67" s="5" t="inlineStr">
        <is>
          <t>40-21</t>
        </is>
      </c>
      <c r="F67" s="5" t="inlineStr">
        <is>
          <t>Travaux de pistes</t>
        </is>
      </c>
      <c r="G67" s="5" t="inlineStr">
        <is>
          <t>Travaux de réhabilitation des pistes agricoles</t>
        </is>
      </c>
      <c r="H67" s="5" t="inlineStr">
        <is>
          <t>Entretien des pistes agricoles des secteurs SEBOU1,SEBOU2? BEHT3 et BEHT4</t>
        </is>
      </c>
      <c r="I67" s="7" t="n">
        <v>6000000</v>
      </c>
      <c r="J67" s="8" t="inlineStr">
        <is>
          <t>km</t>
        </is>
      </c>
      <c r="K67" s="9" t="n">
        <v>12</v>
      </c>
      <c r="L67" s="51" t="n"/>
      <c r="M67" s="52">
        <f>'S42'!M67+L67</f>
        <v/>
      </c>
      <c r="N67" s="53">
        <f>IFERROR(M67/K67,0)</f>
        <v/>
      </c>
      <c r="O67" s="54">
        <f>'S42'!N67</f>
        <v/>
      </c>
      <c r="P67" s="53">
        <f>N67-O67</f>
        <v/>
      </c>
      <c r="Q67" s="32" t="n"/>
      <c r="R67" s="32" t="n"/>
      <c r="S67" s="32" t="n"/>
      <c r="T67" s="55" t="n"/>
      <c r="U67" s="54">
        <f>'S42'!T67</f>
        <v/>
      </c>
      <c r="V67" s="53">
        <f>T67-U67</f>
        <v/>
      </c>
      <c r="W67" s="53">
        <f>N67-T67</f>
        <v/>
      </c>
      <c r="X67" s="34" t="n"/>
    </row>
    <row r="68" ht="22" customHeight="1">
      <c r="B68" s="10" t="n">
        <v>64</v>
      </c>
      <c r="C68" s="14" t="inlineStr">
        <is>
          <t>Kénitra</t>
        </is>
      </c>
      <c r="D68" s="10" t="inlineStr">
        <is>
          <t>Sidi allal tazi</t>
        </is>
      </c>
      <c r="E68" s="10" t="inlineStr">
        <is>
          <t>50-23</t>
        </is>
      </c>
      <c r="F68" s="10" t="inlineStr">
        <is>
          <t>Entretien et réparation du réseau d'assainissement et de drainage</t>
        </is>
      </c>
      <c r="G68" s="10" t="inlineStr">
        <is>
          <t>Travaux de curage des canaux en terre</t>
        </is>
      </c>
      <c r="H68" s="10" t="inlineStr">
        <is>
          <t>Curage du canaL d'assainissement CK,</t>
        </is>
      </c>
      <c r="I68" s="11" t="n">
        <v>3000000</v>
      </c>
      <c r="J68" s="12" t="inlineStr">
        <is>
          <t>ml</t>
        </is>
      </c>
      <c r="K68" s="13" t="n">
        <v>1500</v>
      </c>
      <c r="L68" s="51" t="n"/>
      <c r="M68" s="56">
        <f>'S42'!M68+L68</f>
        <v/>
      </c>
      <c r="N68" s="57">
        <f>IFERROR(M68/K68,0)</f>
        <v/>
      </c>
      <c r="O68" s="58">
        <f>'S42'!N68</f>
        <v/>
      </c>
      <c r="P68" s="57">
        <f>N68-O68</f>
        <v/>
      </c>
      <c r="Q68" s="32" t="n"/>
      <c r="R68" s="32" t="n"/>
      <c r="S68" s="32" t="n"/>
      <c r="T68" s="55" t="n"/>
      <c r="U68" s="58">
        <f>'S42'!T68</f>
        <v/>
      </c>
      <c r="V68" s="57">
        <f>T68-U68</f>
        <v/>
      </c>
      <c r="W68" s="57">
        <f>N68-T68</f>
        <v/>
      </c>
      <c r="X68" s="34" t="n"/>
    </row>
    <row r="69" ht="22" customHeight="1">
      <c r="B69" s="5" t="n">
        <v>65</v>
      </c>
      <c r="C69" s="14" t="inlineStr">
        <is>
          <t>Kénitra</t>
        </is>
      </c>
      <c r="D69" s="5" t="inlineStr">
        <is>
          <t>AMEUR SAFLIA</t>
        </is>
      </c>
      <c r="E69" s="5" t="inlineStr">
        <is>
          <t>50-23</t>
        </is>
      </c>
      <c r="F69" s="5" t="inlineStr">
        <is>
          <t>Entretien et réparation du réseau d'assainissement et de drainage</t>
        </is>
      </c>
      <c r="G69" s="5" t="inlineStr">
        <is>
          <t>Travaux de curage des canaux en terre</t>
        </is>
      </c>
      <c r="H69" s="5" t="inlineStr">
        <is>
          <t>Curage des canaux d'assainissement amontTtiflt Sebou,</t>
        </is>
      </c>
      <c r="I69" s="7" t="n">
        <v>1000000</v>
      </c>
      <c r="J69" s="8" t="inlineStr">
        <is>
          <t>ml</t>
        </is>
      </c>
      <c r="K69" s="9" t="n">
        <v>500</v>
      </c>
      <c r="L69" s="51" t="n"/>
      <c r="M69" s="52">
        <f>'S42'!M69+L69</f>
        <v/>
      </c>
      <c r="N69" s="53">
        <f>IFERROR(M69/K69,0)</f>
        <v/>
      </c>
      <c r="O69" s="54">
        <f>'S42'!N69</f>
        <v/>
      </c>
      <c r="P69" s="53">
        <f>N69-O69</f>
        <v/>
      </c>
      <c r="Q69" s="32" t="n"/>
      <c r="R69" s="32" t="n"/>
      <c r="S69" s="32" t="n"/>
      <c r="T69" s="55" t="n"/>
      <c r="U69" s="54">
        <f>'S42'!T69</f>
        <v/>
      </c>
      <c r="V69" s="53">
        <f>T69-U69</f>
        <v/>
      </c>
      <c r="W69" s="53">
        <f>N69-T69</f>
        <v/>
      </c>
      <c r="X69" s="34" t="n"/>
    </row>
    <row r="70" ht="22" customHeight="1">
      <c r="B70" s="10" t="n">
        <v>66</v>
      </c>
      <c r="C70" s="14" t="inlineStr">
        <is>
          <t>Kénitra</t>
        </is>
      </c>
      <c r="D70" s="10" t="inlineStr">
        <is>
          <t>Oulad SLAMA</t>
        </is>
      </c>
      <c r="E70" s="10" t="inlineStr">
        <is>
          <t>50-23</t>
        </is>
      </c>
      <c r="F70" s="10" t="inlineStr">
        <is>
          <t>Entretien et réparation du réseau d'assainissement et de drainage</t>
        </is>
      </c>
      <c r="G70" s="10" t="inlineStr">
        <is>
          <t>Travaux de curage des canaux en terre</t>
        </is>
      </c>
      <c r="H70" s="10" t="inlineStr">
        <is>
          <t>Curage des canaux d'assainissement debouche Tiflt aval,</t>
        </is>
      </c>
      <c r="I70" s="11" t="n">
        <v>1000000</v>
      </c>
      <c r="J70" s="12" t="inlineStr">
        <is>
          <t>ml</t>
        </is>
      </c>
      <c r="K70" s="13" t="n">
        <v>500</v>
      </c>
      <c r="L70" s="51" t="n"/>
      <c r="M70" s="56">
        <f>'S42'!M70+L70</f>
        <v/>
      </c>
      <c r="N70" s="57">
        <f>IFERROR(M70/K70,0)</f>
        <v/>
      </c>
      <c r="O70" s="58">
        <f>'S42'!N70</f>
        <v/>
      </c>
      <c r="P70" s="57">
        <f>N70-O70</f>
        <v/>
      </c>
      <c r="Q70" s="32" t="n"/>
      <c r="R70" s="32" t="n"/>
      <c r="S70" s="32" t="n"/>
      <c r="T70" s="55" t="n"/>
      <c r="U70" s="58">
        <f>'S42'!T70</f>
        <v/>
      </c>
      <c r="V70" s="57">
        <f>T70-U70</f>
        <v/>
      </c>
      <c r="W70" s="57">
        <f>N70-T70</f>
        <v/>
      </c>
      <c r="X70" s="34" t="n"/>
    </row>
    <row r="71" ht="22" customHeight="1">
      <c r="B71" s="5" t="n">
        <v>67</v>
      </c>
      <c r="C71" s="14" t="inlineStr">
        <is>
          <t>Kénitra</t>
        </is>
      </c>
      <c r="D71" s="5" t="inlineStr">
        <is>
          <t>BHARA Oulad AYAD</t>
        </is>
      </c>
      <c r="E71" s="5" t="inlineStr">
        <is>
          <t>50-23</t>
        </is>
      </c>
      <c r="F71" s="5" t="inlineStr">
        <is>
          <t>Entretien et réparation du réseau d'assainissement et de drainage</t>
        </is>
      </c>
      <c r="G71" s="5" t="inlineStr">
        <is>
          <t>Travaux de curage des canaux en terre</t>
        </is>
      </c>
      <c r="H71" s="5" t="inlineStr">
        <is>
          <t>Curage des canaux d'assainissement canal nador bas et haut segmet,</t>
        </is>
      </c>
      <c r="I71" s="7" t="n">
        <v>6600000</v>
      </c>
      <c r="J71" s="8" t="inlineStr">
        <is>
          <t>ml</t>
        </is>
      </c>
      <c r="K71" s="9" t="n">
        <v>3300</v>
      </c>
      <c r="L71" s="51" t="n"/>
      <c r="M71" s="52">
        <f>'S42'!M71+L71</f>
        <v/>
      </c>
      <c r="N71" s="53">
        <f>IFERROR(M71/K71,0)</f>
        <v/>
      </c>
      <c r="O71" s="54">
        <f>'S42'!N71</f>
        <v/>
      </c>
      <c r="P71" s="53">
        <f>N71-O71</f>
        <v/>
      </c>
      <c r="Q71" s="32" t="n"/>
      <c r="R71" s="32" t="n"/>
      <c r="S71" s="32" t="n"/>
      <c r="T71" s="55" t="n"/>
      <c r="U71" s="54">
        <f>'S42'!T71</f>
        <v/>
      </c>
      <c r="V71" s="53">
        <f>T71-U71</f>
        <v/>
      </c>
      <c r="W71" s="53">
        <f>N71-T71</f>
        <v/>
      </c>
      <c r="X71" s="34" t="n"/>
    </row>
    <row r="72" ht="22" customHeight="1">
      <c r="B72" s="10" t="n">
        <v>68</v>
      </c>
      <c r="C72" s="15" t="inlineStr">
        <is>
          <t>Sidi Slimane</t>
        </is>
      </c>
      <c r="D72" s="10" t="inlineStr">
        <is>
          <t>OULED HCEINE</t>
        </is>
      </c>
      <c r="E72" s="10" t="inlineStr">
        <is>
          <t>50-23</t>
        </is>
      </c>
      <c r="F72" s="10" t="inlineStr">
        <is>
          <t>Entretien et réparation du réseau d'assainissement et de drainage</t>
        </is>
      </c>
      <c r="G72" s="10" t="inlineStr">
        <is>
          <t>Travaux de curage des canaux en terre</t>
        </is>
      </c>
      <c r="H72" s="10" t="inlineStr">
        <is>
          <t>Curage des collecteurs d'assainissement du secteur EST4.</t>
        </is>
      </c>
      <c r="I72" s="11" t="n">
        <v>1805475</v>
      </c>
      <c r="J72" s="12" t="inlineStr">
        <is>
          <t>ml</t>
        </is>
      </c>
      <c r="K72" s="13" t="n">
        <v>903</v>
      </c>
      <c r="L72" s="51" t="n"/>
      <c r="M72" s="56">
        <f>'S42'!M72+L72</f>
        <v/>
      </c>
      <c r="N72" s="57">
        <f>IFERROR(M72/K72,0)</f>
        <v/>
      </c>
      <c r="O72" s="58">
        <f>'S42'!N72</f>
        <v/>
      </c>
      <c r="P72" s="57">
        <f>N72-O72</f>
        <v/>
      </c>
      <c r="Q72" s="32" t="n"/>
      <c r="R72" s="32" t="n"/>
      <c r="S72" s="32" t="n"/>
      <c r="T72" s="55" t="n"/>
      <c r="U72" s="58">
        <f>'S42'!T72</f>
        <v/>
      </c>
      <c r="V72" s="57">
        <f>T72-U72</f>
        <v/>
      </c>
      <c r="W72" s="57">
        <f>N72-T72</f>
        <v/>
      </c>
      <c r="X72" s="34" t="n"/>
    </row>
    <row r="73" ht="22" customHeight="1">
      <c r="B73" s="5" t="n">
        <v>69</v>
      </c>
      <c r="C73" s="15" t="inlineStr">
        <is>
          <t>Sidi Slimane</t>
        </is>
      </c>
      <c r="D73" s="5" t="inlineStr">
        <is>
          <t>OULED HCEINE</t>
        </is>
      </c>
      <c r="E73" s="5" t="inlineStr">
        <is>
          <t>50-23</t>
        </is>
      </c>
      <c r="F73" s="5" t="inlineStr">
        <is>
          <t>Entretien et réparation du réseau d'assainissement et de drainage</t>
        </is>
      </c>
      <c r="G73" s="5" t="inlineStr">
        <is>
          <t>Travaux de curage des canaux en terre</t>
        </is>
      </c>
      <c r="H73" s="5" t="inlineStr">
        <is>
          <t>Curage du canal d'assainissement Tihli central.</t>
        </is>
      </c>
      <c r="I73" s="7" t="n">
        <v>2587200</v>
      </c>
      <c r="J73" s="8" t="inlineStr">
        <is>
          <t>ml</t>
        </is>
      </c>
      <c r="K73" s="9" t="n">
        <v>1294</v>
      </c>
      <c r="L73" s="51" t="n"/>
      <c r="M73" s="52">
        <f>'S42'!M73+L73</f>
        <v/>
      </c>
      <c r="N73" s="53">
        <f>IFERROR(M73/K73,0)</f>
        <v/>
      </c>
      <c r="O73" s="54">
        <f>'S42'!N73</f>
        <v/>
      </c>
      <c r="P73" s="53">
        <f>N73-O73</f>
        <v/>
      </c>
      <c r="Q73" s="32" t="n"/>
      <c r="R73" s="32" t="n"/>
      <c r="S73" s="32" t="n"/>
      <c r="T73" s="55" t="n"/>
      <c r="U73" s="54">
        <f>'S42'!T73</f>
        <v/>
      </c>
      <c r="V73" s="53">
        <f>T73-U73</f>
        <v/>
      </c>
      <c r="W73" s="53">
        <f>N73-T73</f>
        <v/>
      </c>
      <c r="X73" s="34" t="n"/>
    </row>
    <row r="74" ht="22" customHeight="1">
      <c r="B74" s="10" t="n">
        <v>70</v>
      </c>
      <c r="C74" s="15" t="inlineStr">
        <is>
          <t>Sidi Slimane</t>
        </is>
      </c>
      <c r="D74" s="10" t="inlineStr">
        <is>
          <t>OULED HCEINE</t>
        </is>
      </c>
      <c r="E74" s="10" t="inlineStr">
        <is>
          <t>40-21</t>
        </is>
      </c>
      <c r="F74" s="10" t="inlineStr">
        <is>
          <t>Travaux de pistes</t>
        </is>
      </c>
      <c r="G74" s="10" t="inlineStr">
        <is>
          <t>Travaux de réhabilitation des pistes agricoles</t>
        </is>
      </c>
      <c r="H74" s="10" t="inlineStr">
        <is>
          <t>Entretien des pistes agricoles</t>
        </is>
      </c>
      <c r="I74" s="11" t="n">
        <v>3500000</v>
      </c>
      <c r="J74" s="12" t="inlineStr">
        <is>
          <t>km</t>
        </is>
      </c>
      <c r="K74" s="13" t="n">
        <v>7</v>
      </c>
      <c r="L74" s="51" t="n"/>
      <c r="M74" s="56">
        <f>'S42'!M74+L74</f>
        <v/>
      </c>
      <c r="N74" s="57">
        <f>IFERROR(M74/K74,0)</f>
        <v/>
      </c>
      <c r="O74" s="58">
        <f>'S42'!N74</f>
        <v/>
      </c>
      <c r="P74" s="57">
        <f>N74-O74</f>
        <v/>
      </c>
      <c r="Q74" s="32" t="n"/>
      <c r="R74" s="32" t="n"/>
      <c r="S74" s="32" t="n"/>
      <c r="T74" s="55" t="n"/>
      <c r="U74" s="58">
        <f>'S42'!T74</f>
        <v/>
      </c>
      <c r="V74" s="57">
        <f>T74-U74</f>
        <v/>
      </c>
      <c r="W74" s="57">
        <f>N74-T74</f>
        <v/>
      </c>
      <c r="X74" s="34" t="n"/>
    </row>
    <row r="75" ht="22" customHeight="1">
      <c r="B75" s="5" t="n">
        <v>71</v>
      </c>
      <c r="C75" s="15" t="inlineStr">
        <is>
          <t>Sidi Slimane</t>
        </is>
      </c>
      <c r="D75" s="5" t="inlineStr">
        <is>
          <t>OULED HCEINE</t>
        </is>
      </c>
      <c r="E75" s="5" t="inlineStr">
        <is>
          <t>50-21</t>
        </is>
      </c>
      <c r="F75" s="5" t="inlineStr">
        <is>
          <t>Entretien et réparation des stations de pompage</t>
        </is>
      </c>
      <c r="G75" s="5" t="inlineStr">
        <is>
          <t>Travaux de réparation des équipements hydromécaniques et éléctriques et entretien de la partie génie civil des stations de pompage.</t>
        </is>
      </c>
      <c r="H75" s="5" t="inlineStr">
        <is>
          <t>Démontage et expertise des roues des  pompes principaux et pompes a vide de la station EST4 et P11/2.
Changement des roulements, tresses et organes d’effectués de la station EST4 et P11/2
Changement deux débitmètre Ø 1200 mm de la station EST4 et un débimétre de la station P11/2.
Changement des capteurs de niveau inondés.
Révision et réparation des moteurs des vannes motorisées inondées.
changement de six contrôleurs de débits DW181 inondés.
Un capteur de débitmètre inondé nécessitent un diagnostic VEGASON  .
Entretien de l'éclairage du local de vide et bâche d’aspiration inondé de la station EST4 et la partie de l’éclairage du local des pompes inondées de la station P11/2.
Pose de gabions et recouvrement du talus par matelas Reno des stations de pompage P11/2</t>
        </is>
      </c>
      <c r="I75" s="7" t="n">
        <v>870000</v>
      </c>
      <c r="J75" s="8" t="inlineStr">
        <is>
          <t>U</t>
        </is>
      </c>
      <c r="K75" s="9" t="n">
        <v>4</v>
      </c>
      <c r="L75" s="51" t="n"/>
      <c r="M75" s="52">
        <f>'S42'!M75+L75</f>
        <v/>
      </c>
      <c r="N75" s="53">
        <f>IFERROR(M75/K75,0)</f>
        <v/>
      </c>
      <c r="O75" s="54">
        <f>'S42'!N75</f>
        <v/>
      </c>
      <c r="P75" s="53">
        <f>N75-O75</f>
        <v/>
      </c>
      <c r="Q75" s="32" t="n"/>
      <c r="R75" s="32" t="n"/>
      <c r="S75" s="32" t="n"/>
      <c r="T75" s="55" t="n"/>
      <c r="U75" s="54">
        <f>'S42'!T75</f>
        <v/>
      </c>
      <c r="V75" s="53">
        <f>T75-U75</f>
        <v/>
      </c>
      <c r="W75" s="53">
        <f>N75-T75</f>
        <v/>
      </c>
      <c r="X75" s="34" t="n"/>
    </row>
    <row r="76" ht="22" customHeight="1">
      <c r="B76" s="10" t="n">
        <v>72</v>
      </c>
      <c r="C76" s="15" t="inlineStr">
        <is>
          <t>Sidi Slimane</t>
        </is>
      </c>
      <c r="D76" s="10" t="inlineStr">
        <is>
          <t>OULED HCEINE</t>
        </is>
      </c>
      <c r="E76" s="10" t="inlineStr">
        <is>
          <t>50-23</t>
        </is>
      </c>
      <c r="F76" s="10" t="inlineStr">
        <is>
          <t>Entretien et réparation du réseau d'assainissement et de drainage</t>
        </is>
      </c>
      <c r="G76" s="10" t="inlineStr">
        <is>
          <t>Travaux de curage des prises des stations de pompage.</t>
        </is>
      </c>
      <c r="H76" s="10" t="inlineStr">
        <is>
          <t>Curage des siphones des station de pompage EST2 et P11/2.</t>
        </is>
      </c>
      <c r="I76" s="11" t="n">
        <v>500000</v>
      </c>
      <c r="J76" s="12" t="inlineStr">
        <is>
          <t>ml</t>
        </is>
      </c>
      <c r="K76" s="13" t="n">
        <v>167</v>
      </c>
      <c r="L76" s="51" t="n"/>
      <c r="M76" s="56">
        <f>'S42'!M76+L76</f>
        <v/>
      </c>
      <c r="N76" s="57">
        <f>IFERROR(M76/K76,0)</f>
        <v/>
      </c>
      <c r="O76" s="58">
        <f>'S42'!N76</f>
        <v/>
      </c>
      <c r="P76" s="57">
        <f>N76-O76</f>
        <v/>
      </c>
      <c r="Q76" s="32" t="n"/>
      <c r="R76" s="32" t="n"/>
      <c r="S76" s="32" t="n"/>
      <c r="T76" s="55" t="n"/>
      <c r="U76" s="58">
        <f>'S42'!T76</f>
        <v/>
      </c>
      <c r="V76" s="57">
        <f>T76-U76</f>
        <v/>
      </c>
      <c r="W76" s="57">
        <f>N76-T76</f>
        <v/>
      </c>
      <c r="X76" s="34" t="n"/>
    </row>
    <row r="77" ht="26" customHeight="1">
      <c r="B77" s="16" t="inlineStr">
        <is>
          <t>TOTAL</t>
        </is>
      </c>
      <c r="C77" s="16" t="n"/>
      <c r="D77" s="16" t="n"/>
      <c r="E77" s="16" t="n"/>
      <c r="F77" s="16" t="n"/>
      <c r="G77" s="16" t="n"/>
      <c r="H77" s="16" t="n"/>
      <c r="I77" s="17">
        <f>SUM(I5:I76)</f>
        <v/>
      </c>
      <c r="J77" s="16" t="n"/>
      <c r="K77" s="16" t="n"/>
      <c r="L77" s="59">
        <f>SUM(L5:L76)</f>
        <v/>
      </c>
      <c r="M77" s="59">
        <f>SUM(M5:M76)</f>
        <v/>
      </c>
      <c r="N77" s="60">
        <f>IFERROR(SUMPRODUCT(N5:N76,I5:I76)/I77,0)</f>
        <v/>
      </c>
      <c r="O77" s="60">
        <f>IFERROR(SUMPRODUCT(O5:O76,I5:I76)/I77,0)</f>
        <v/>
      </c>
      <c r="P77" s="60">
        <f>N77-O77</f>
        <v/>
      </c>
      <c r="Q77" s="17">
        <f>SUM(Q5:Q76)</f>
        <v/>
      </c>
      <c r="R77" s="17">
        <f>SUM(R5:R76)</f>
        <v/>
      </c>
      <c r="S77" s="17">
        <f>SUM(S5:S76)</f>
        <v/>
      </c>
      <c r="T77" s="60">
        <f>IFERROR(SUMPRODUCT(T5:T76,I5:I76)/I77,0)</f>
        <v/>
      </c>
      <c r="U77" s="60">
        <f>IFERROR(SUMPRODUCT(U5:U76,I5:I76)/I77,0)</f>
        <v/>
      </c>
      <c r="V77" s="60">
        <f>T77-U77</f>
        <v/>
      </c>
      <c r="W77" s="60">
        <f>N77-T77</f>
        <v/>
      </c>
      <c r="X77" s="16" t="n"/>
    </row>
  </sheetData>
  <sheetProtection selectLockedCells="0" selectUnlockedCells="0" sheet="1" objects="0" insertRows="1" insertHyperlinks="1" autoFilter="1" scenarios="0" formatColumns="1" deleteColumns="1" insertColumns="1" pivotTables="1" deleteRows="1" formatCells="1" formatRows="1" sort="1" password="CBBE"/>
  <mergeCells count="6">
    <mergeCell ref="E3:I3"/>
    <mergeCell ref="W3:X3"/>
    <mergeCell ref="J3:P3"/>
    <mergeCell ref="B2:X2"/>
    <mergeCell ref="C3:D3"/>
    <mergeCell ref="Q3:V3"/>
  </mergeCells>
  <conditionalFormatting sqref="P5:P76">
    <cfRule type="cellIs" priority="1" operator="greaterThan" dxfId="0">
      <formula>0</formula>
    </cfRule>
    <cfRule type="cellIs" priority="2" operator="lessThan" dxfId="1">
      <formula>0</formula>
    </cfRule>
  </conditionalFormatting>
  <conditionalFormatting sqref="V5:V76">
    <cfRule type="cellIs" priority="3" operator="greaterThan" dxfId="0">
      <formula>0</formula>
    </cfRule>
    <cfRule type="cellIs" priority="4" operator="lessThan" dxfId="1">
      <formula>0</formula>
    </cfRule>
  </conditionalFormatting>
  <conditionalFormatting sqref="W5:W76">
    <cfRule type="cellIs" priority="5" operator="greaterThan" dxfId="0">
      <formula>0.05</formula>
    </cfRule>
    <cfRule type="cellIs" priority="6" operator="lessThan" dxfId="1">
      <formula>-0.05</formula>
    </cfRule>
    <cfRule type="cellIs" priority="7" operator="between" dxfId="2">
      <formula>-0.05</formula>
      <formula>0.05</formula>
    </cfRule>
  </conditionalFormatting>
  <conditionalFormatting sqref="N5:N76">
    <cfRule type="dataBar" priority="8">
      <dataBar showValue="1">
        <cfvo type="num" val="0"/>
        <cfvo type="num" val="1"/>
        <color rgb="001B7D46"/>
      </dataBar>
    </cfRule>
  </conditionalFormatting>
  <conditionalFormatting sqref="T5:T76">
    <cfRule type="dataBar" priority="9">
      <dataBar showValue="1">
        <cfvo type="num" val="0"/>
        <cfvo type="num" val="1"/>
        <color rgb="00D4820A"/>
      </dataBar>
    </cfRule>
  </conditionalFormatting>
  <dataValidations count="2">
    <dataValidation sqref="T5:T76" showDropDown="0" showInputMessage="0" showErrorMessage="0" allowBlank="1" errorTitle="Invalide" error="Valeur entre 0% et 100%" promptTitle="Avancement %" prompt="Entrez 0.25 pour 25%" type="decimal" operator="between">
      <formula1>0</formula1>
      <formula2>1</formula2>
    </dataValidation>
    <dataValidation sqref="L5:L76" showDropDown="0" showInputMessage="0" showErrorMessage="0" allowBlank="1" errorTitle="Invalide" error="Quantité doit être &gt;= 0" promptTitle="Qté Réalisée" prompt="Entrez la quantité réalisée cette semaine" type="decimal" operator="greaterThanOrEqual">
      <formula1>0</formula1>
    </dataValidation>
  </dataValidations>
  <pageMargins left="0.75" right="0.75" top="1" bottom="1" header="0.5" footer="0.5"/>
</worksheet>
</file>

<file path=xl/worksheets/sheet24.xml><?xml version="1.0" encoding="utf-8"?>
<worksheet xmlns="http://schemas.openxmlformats.org/spreadsheetml/2006/main">
  <sheetPr>
    <tabColor rgb="007030A0"/>
    <outlinePr summaryBelow="1" summaryRight="1"/>
    <pageSetUpPr/>
  </sheetPr>
  <dimension ref="B2:X77"/>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5" customWidth="1" min="2" max="2"/>
    <col width="14" customWidth="1" min="3" max="3"/>
    <col width="18" customWidth="1" min="4" max="4"/>
    <col width="9" customWidth="1" min="5" max="5"/>
    <col width="32" customWidth="1" min="6" max="6"/>
    <col width="28" customWidth="1" min="7" max="7"/>
    <col width="34" customWidth="1" min="8" max="8"/>
    <col width="14" customWidth="1" min="9" max="9"/>
    <col width="8" customWidth="1" min="10" max="10"/>
    <col width="12" customWidth="1" min="11" max="11"/>
    <col width="14" customWidth="1" min="12" max="12"/>
    <col width="14" customWidth="1" min="13" max="13"/>
    <col width="14" customWidth="1" min="14" max="14"/>
    <col width="14" customWidth="1" min="15" max="15"/>
    <col width="14" customWidth="1" min="16" max="16"/>
    <col width="16" customWidth="1" min="17" max="17"/>
    <col width="16" customWidth="1" min="18" max="18"/>
    <col width="16" customWidth="1" min="19" max="19"/>
    <col width="14" customWidth="1" min="20" max="20"/>
    <col width="14" customWidth="1" min="21" max="21"/>
    <col width="14" customWidth="1" min="22" max="22"/>
    <col width="14" customWidth="1" min="23" max="23"/>
    <col width="24" customWidth="1" min="24" max="24"/>
  </cols>
  <sheetData>
    <row r="1" ht="15" customHeight="1"/>
    <row r="2" ht="32" customHeight="1">
      <c r="B2" s="1" t="inlineStr">
        <is>
          <t>Suivi Hebdomadaire - Semaine 44 (26/10 - 01/11) — Octobre 2026 - Exécution Physique et Financière</t>
        </is>
      </c>
    </row>
    <row r="3" ht="22" customHeight="1">
      <c r="B3" s="20" t="inlineStr">
        <is>
          <t>Date :</t>
        </is>
      </c>
      <c r="C3" s="49" t="n">
        <v>46321</v>
      </c>
      <c r="D3" s="50" t="n"/>
      <c r="E3" s="22" t="inlineStr">
        <is>
          <t>IDENTIFICATION</t>
        </is>
      </c>
      <c r="J3" s="23" t="inlineStr">
        <is>
          <t>INDICATEURS PHYSIQUES</t>
        </is>
      </c>
      <c r="Q3" s="24" t="inlineStr">
        <is>
          <t>INDICATEURS FINANCIERS</t>
        </is>
      </c>
      <c r="W3" s="25" t="inlineStr">
        <is>
          <t>SYNTHÈSE</t>
        </is>
      </c>
    </row>
    <row r="4" ht="28" customHeight="1">
      <c r="B4" s="4" t="inlineStr">
        <is>
          <t>N°</t>
        </is>
      </c>
      <c r="C4" s="4" t="inlineStr">
        <is>
          <t>Province</t>
        </is>
      </c>
      <c r="D4" s="4" t="inlineStr">
        <is>
          <t>Commune</t>
        </is>
      </c>
      <c r="E4" s="4" t="inlineStr">
        <is>
          <t>Rubrique</t>
        </is>
      </c>
      <c r="F4" s="4" t="inlineStr">
        <is>
          <t>Intitulé Rubrique</t>
        </is>
      </c>
      <c r="G4" s="4" t="inlineStr">
        <is>
          <t>Projet</t>
        </is>
      </c>
      <c r="H4" s="4" t="inlineStr">
        <is>
          <t>Consistance</t>
        </is>
      </c>
      <c r="I4" s="4" t="inlineStr">
        <is>
          <t>Coût Total (DH)</t>
        </is>
      </c>
      <c r="J4" s="26" t="inlineStr">
        <is>
          <t>Unité</t>
        </is>
      </c>
      <c r="K4" s="26" t="inlineStr">
        <is>
          <t>Qté Prévue</t>
        </is>
      </c>
      <c r="L4" s="26" t="inlineStr">
        <is>
          <t>Qté Réalisée Sem.</t>
        </is>
      </c>
      <c r="M4" s="26" t="inlineStr">
        <is>
          <t>Qté Réalisée Cumul</t>
        </is>
      </c>
      <c r="N4" s="26" t="inlineStr">
        <is>
          <t>Avancement Physique %</t>
        </is>
      </c>
      <c r="O4" s="26" t="inlineStr">
        <is>
          <t>% Phys. Sem. Préc.</t>
        </is>
      </c>
      <c r="P4" s="26" t="inlineStr">
        <is>
          <t>Accroissement Phys. %</t>
        </is>
      </c>
      <c r="Q4" s="27" t="inlineStr">
        <is>
          <t>Montant Décaissé (DH)</t>
        </is>
      </c>
      <c r="R4" s="27" t="inlineStr">
        <is>
          <t>Montant Payé (DH)</t>
        </is>
      </c>
      <c r="S4" s="27" t="inlineStr">
        <is>
          <t>Montant Ordonné (DH)</t>
        </is>
      </c>
      <c r="T4" s="27" t="inlineStr">
        <is>
          <t>Avancement Financier %</t>
        </is>
      </c>
      <c r="U4" s="27" t="inlineStr">
        <is>
          <t>% Fin. Sem. Préc.</t>
        </is>
      </c>
      <c r="V4" s="27" t="inlineStr">
        <is>
          <t>Accroissement Fin. %</t>
        </is>
      </c>
      <c r="W4" s="28" t="inlineStr">
        <is>
          <t>Écart Phys.-Fin.</t>
        </is>
      </c>
      <c r="X4" s="28" t="inlineStr">
        <is>
          <t>Observations</t>
        </is>
      </c>
    </row>
    <row r="5" ht="22" customHeight="1">
      <c r="B5" s="5" t="n">
        <v>1</v>
      </c>
      <c r="C5" s="6" t="inlineStr">
        <is>
          <t>Sidi Kacem</t>
        </is>
      </c>
      <c r="D5" s="5" t="inlineStr">
        <is>
          <t>KHENICHET</t>
        </is>
      </c>
      <c r="E5" s="5" t="inlineStr">
        <is>
          <t>50-23</t>
        </is>
      </c>
      <c r="F5" s="5" t="inlineStr">
        <is>
          <t>Entretien et réparation du réseau d'assainissement et de drainage</t>
        </is>
      </c>
      <c r="G5" s="5" t="inlineStr">
        <is>
          <t>Travaux de curage des canaux en terre</t>
        </is>
      </c>
      <c r="H5" s="5" t="inlineStr">
        <is>
          <t>Curage des collecteurs d'assainissement du secteur EST2</t>
        </is>
      </c>
      <c r="I5" s="7" t="n">
        <v>2091568</v>
      </c>
      <c r="J5" s="8" t="inlineStr">
        <is>
          <t>ml</t>
        </is>
      </c>
      <c r="K5" s="9" t="n">
        <v>1046</v>
      </c>
      <c r="L5" s="51" t="n"/>
      <c r="M5" s="52">
        <f>'S43'!M5+L5</f>
        <v/>
      </c>
      <c r="N5" s="53">
        <f>IFERROR(M5/K5,0)</f>
        <v/>
      </c>
      <c r="O5" s="54">
        <f>'S43'!N5</f>
        <v/>
      </c>
      <c r="P5" s="53">
        <f>N5-O5</f>
        <v/>
      </c>
      <c r="Q5" s="32" t="n"/>
      <c r="R5" s="32" t="n"/>
      <c r="S5" s="32" t="n"/>
      <c r="T5" s="55" t="n"/>
      <c r="U5" s="54">
        <f>'S43'!T5</f>
        <v/>
      </c>
      <c r="V5" s="53">
        <f>T5-U5</f>
        <v/>
      </c>
      <c r="W5" s="53">
        <f>N5-T5</f>
        <v/>
      </c>
      <c r="X5" s="34" t="n"/>
    </row>
    <row r="6" ht="22" customHeight="1">
      <c r="B6" s="10" t="n">
        <v>2</v>
      </c>
      <c r="C6" s="6" t="inlineStr">
        <is>
          <t>Sidi Kacem</t>
        </is>
      </c>
      <c r="D6" s="10" t="inlineStr">
        <is>
          <t>KHENICHET</t>
        </is>
      </c>
      <c r="E6" s="10" t="inlineStr">
        <is>
          <t>40-21</t>
        </is>
      </c>
      <c r="F6" s="10" t="inlineStr">
        <is>
          <t>Travaux de pistes</t>
        </is>
      </c>
      <c r="G6" s="10" t="inlineStr">
        <is>
          <t>Travaux de réhabilitation des pistes agricoles</t>
        </is>
      </c>
      <c r="H6" s="10" t="inlineStr">
        <is>
          <t>Entretien des pistes agricoles Douar Nouagra et Douar ouled Salem</t>
        </is>
      </c>
      <c r="I6" s="11" t="n">
        <v>78000</v>
      </c>
      <c r="J6" s="12" t="inlineStr">
        <is>
          <t>km</t>
        </is>
      </c>
      <c r="K6" s="13" t="n">
        <v>1</v>
      </c>
      <c r="L6" s="51" t="n"/>
      <c r="M6" s="56">
        <f>'S43'!M6+L6</f>
        <v/>
      </c>
      <c r="N6" s="57">
        <f>IFERROR(M6/K6,0)</f>
        <v/>
      </c>
      <c r="O6" s="58">
        <f>'S43'!N6</f>
        <v/>
      </c>
      <c r="P6" s="57">
        <f>N6-O6</f>
        <v/>
      </c>
      <c r="Q6" s="32" t="n"/>
      <c r="R6" s="32" t="n"/>
      <c r="S6" s="32" t="n"/>
      <c r="T6" s="55" t="n"/>
      <c r="U6" s="58">
        <f>'S43'!T6</f>
        <v/>
      </c>
      <c r="V6" s="57">
        <f>T6-U6</f>
        <v/>
      </c>
      <c r="W6" s="57">
        <f>N6-T6</f>
        <v/>
      </c>
      <c r="X6" s="34" t="n"/>
    </row>
    <row r="7" ht="22" customHeight="1">
      <c r="B7" s="5" t="n">
        <v>3</v>
      </c>
      <c r="C7" s="6" t="inlineStr">
        <is>
          <t>Sidi Kacem</t>
        </is>
      </c>
      <c r="D7" s="5" t="inlineStr">
        <is>
          <t>KHENICHET</t>
        </is>
      </c>
      <c r="E7" s="5" t="inlineStr">
        <is>
          <t>50-23</t>
        </is>
      </c>
      <c r="F7" s="5" t="inlineStr">
        <is>
          <t>Entretien et réparation du réseau d'assainissement et de drainage</t>
        </is>
      </c>
      <c r="G7" s="5" t="inlineStr">
        <is>
          <t>Curage des prises sur l’oued, bâche d’aspiration et bassin de régulation.</t>
        </is>
      </c>
      <c r="H7" s="5" t="inlineStr">
        <is>
          <t>Curage de la chambre des joints de démontage des siphonnes  de la station de pompage EST2.</t>
        </is>
      </c>
      <c r="I7" s="7" t="n">
        <v>126000</v>
      </c>
      <c r="J7" s="8" t="inlineStr">
        <is>
          <t>ml</t>
        </is>
      </c>
      <c r="K7" s="9" t="n">
        <v>42</v>
      </c>
      <c r="L7" s="51" t="n"/>
      <c r="M7" s="52">
        <f>'S43'!M7+L7</f>
        <v/>
      </c>
      <c r="N7" s="53">
        <f>IFERROR(M7/K7,0)</f>
        <v/>
      </c>
      <c r="O7" s="54">
        <f>'S43'!N7</f>
        <v/>
      </c>
      <c r="P7" s="53">
        <f>N7-O7</f>
        <v/>
      </c>
      <c r="Q7" s="32" t="n"/>
      <c r="R7" s="32" t="n"/>
      <c r="S7" s="32" t="n"/>
      <c r="T7" s="55" t="n"/>
      <c r="U7" s="54">
        <f>'S43'!T7</f>
        <v/>
      </c>
      <c r="V7" s="53">
        <f>T7-U7</f>
        <v/>
      </c>
      <c r="W7" s="53">
        <f>N7-T7</f>
        <v/>
      </c>
      <c r="X7" s="34" t="n"/>
    </row>
    <row r="8" ht="22" customHeight="1">
      <c r="B8" s="10" t="n">
        <v>4</v>
      </c>
      <c r="C8" s="6" t="inlineStr">
        <is>
          <t>Sidi Kacem</t>
        </is>
      </c>
      <c r="D8" s="10" t="inlineStr">
        <is>
          <t>KHENICHET</t>
        </is>
      </c>
      <c r="E8" s="10" t="inlineStr">
        <is>
          <t>50-21</t>
        </is>
      </c>
      <c r="F8" s="10" t="inlineStr">
        <is>
          <t>Entretien et réparation des stations de pompage</t>
        </is>
      </c>
      <c r="G8" s="10" t="inlineStr">
        <is>
          <t>Prestation de maintenance des débitmètres et leurs équipements annexes installés au niveau des station de pompage</t>
        </is>
      </c>
      <c r="H8" s="10" t="inlineStr">
        <is>
          <t>Changement trois débitmètre Ø 600mm inondés de la station de pompage EST 2 et deux capteurs VEGASON 62</t>
        </is>
      </c>
      <c r="I8" s="11" t="n">
        <v>165500</v>
      </c>
      <c r="J8" s="12" t="inlineStr">
        <is>
          <t>U</t>
        </is>
      </c>
      <c r="K8" s="13" t="n">
        <v>3</v>
      </c>
      <c r="L8" s="51" t="n"/>
      <c r="M8" s="56">
        <f>'S43'!M8+L8</f>
        <v/>
      </c>
      <c r="N8" s="57">
        <f>IFERROR(M8/K8,0)</f>
        <v/>
      </c>
      <c r="O8" s="58">
        <f>'S43'!N8</f>
        <v/>
      </c>
      <c r="P8" s="57">
        <f>N8-O8</f>
        <v/>
      </c>
      <c r="Q8" s="32" t="n"/>
      <c r="R8" s="32" t="n"/>
      <c r="S8" s="32" t="n"/>
      <c r="T8" s="55" t="n"/>
      <c r="U8" s="58">
        <f>'S43'!T8</f>
        <v/>
      </c>
      <c r="V8" s="57">
        <f>T8-U8</f>
        <v/>
      </c>
      <c r="W8" s="57">
        <f>N8-T8</f>
        <v/>
      </c>
      <c r="X8" s="34" t="n"/>
    </row>
    <row r="9" ht="22" customHeight="1">
      <c r="B9" s="5" t="n">
        <v>5</v>
      </c>
      <c r="C9" s="6" t="inlineStr">
        <is>
          <t>Sidi Kacem</t>
        </is>
      </c>
      <c r="D9" s="5" t="inlineStr">
        <is>
          <t>BIR TALEB</t>
        </is>
      </c>
      <c r="E9" s="5" t="inlineStr">
        <is>
          <t>50-23</t>
        </is>
      </c>
      <c r="F9" s="5" t="inlineStr">
        <is>
          <t>Entretien et réparation du réseau d'assainissement et de drainage</t>
        </is>
      </c>
      <c r="G9" s="5" t="inlineStr">
        <is>
          <t>Travaux de curage des canaux en terre</t>
        </is>
      </c>
      <c r="H9" s="5" t="inlineStr">
        <is>
          <t>Curage du canal d'assainisement Tihli Aval</t>
        </is>
      </c>
      <c r="I9" s="7" t="n">
        <v>1000000</v>
      </c>
      <c r="J9" s="8" t="inlineStr">
        <is>
          <t>ml</t>
        </is>
      </c>
      <c r="K9" s="9" t="n">
        <v>500</v>
      </c>
      <c r="L9" s="51" t="n"/>
      <c r="M9" s="52">
        <f>'S43'!M9+L9</f>
        <v/>
      </c>
      <c r="N9" s="53">
        <f>IFERROR(M9/K9,0)</f>
        <v/>
      </c>
      <c r="O9" s="54">
        <f>'S43'!N9</f>
        <v/>
      </c>
      <c r="P9" s="53">
        <f>N9-O9</f>
        <v/>
      </c>
      <c r="Q9" s="32" t="n"/>
      <c r="R9" s="32" t="n"/>
      <c r="S9" s="32" t="n"/>
      <c r="T9" s="55" t="n"/>
      <c r="U9" s="54">
        <f>'S43'!T9</f>
        <v/>
      </c>
      <c r="V9" s="53">
        <f>T9-U9</f>
        <v/>
      </c>
      <c r="W9" s="53">
        <f>N9-T9</f>
        <v/>
      </c>
      <c r="X9" s="34" t="n"/>
    </row>
    <row r="10" ht="22" customHeight="1">
      <c r="B10" s="10" t="n">
        <v>6</v>
      </c>
      <c r="C10" s="6" t="inlineStr">
        <is>
          <t>Sidi Kacem</t>
        </is>
      </c>
      <c r="D10" s="10" t="inlineStr">
        <is>
          <t>BIR TALEB</t>
        </is>
      </c>
      <c r="E10" s="10" t="inlineStr">
        <is>
          <t>50-23</t>
        </is>
      </c>
      <c r="F10" s="10" t="inlineStr">
        <is>
          <t>Entretien et réparation du réseau d'assainissement et de drainage</t>
        </is>
      </c>
      <c r="G10" s="10" t="inlineStr"/>
      <c r="H10" s="10" t="inlineStr">
        <is>
          <t>Curage des collecteurs d'assainissement du secteur P11/1</t>
        </is>
      </c>
      <c r="I10" s="11" t="n">
        <v>846731</v>
      </c>
      <c r="J10" s="12" t="inlineStr">
        <is>
          <t>ml</t>
        </is>
      </c>
      <c r="K10" s="13" t="n">
        <v>423</v>
      </c>
      <c r="L10" s="51" t="n"/>
      <c r="M10" s="56">
        <f>'S43'!M10+L10</f>
        <v/>
      </c>
      <c r="N10" s="57">
        <f>IFERROR(M10/K10,0)</f>
        <v/>
      </c>
      <c r="O10" s="58">
        <f>'S43'!N10</f>
        <v/>
      </c>
      <c r="P10" s="57">
        <f>N10-O10</f>
        <v/>
      </c>
      <c r="Q10" s="32" t="n"/>
      <c r="R10" s="32" t="n"/>
      <c r="S10" s="32" t="n"/>
      <c r="T10" s="55" t="n"/>
      <c r="U10" s="58">
        <f>'S43'!T10</f>
        <v/>
      </c>
      <c r="V10" s="57">
        <f>T10-U10</f>
        <v/>
      </c>
      <c r="W10" s="57">
        <f>N10-T10</f>
        <v/>
      </c>
      <c r="X10" s="34" t="n"/>
    </row>
    <row r="11" ht="22" customHeight="1">
      <c r="B11" s="5" t="n">
        <v>7</v>
      </c>
      <c r="C11" s="6" t="inlineStr">
        <is>
          <t>Sidi Kacem</t>
        </is>
      </c>
      <c r="D11" s="5" t="inlineStr">
        <is>
          <t>BIR TALEB</t>
        </is>
      </c>
      <c r="E11" s="5" t="inlineStr">
        <is>
          <t>50-23</t>
        </is>
      </c>
      <c r="F11" s="5" t="inlineStr">
        <is>
          <t>Entretien et réparation du réseau d'assainissement et de drainage</t>
        </is>
      </c>
      <c r="G11" s="5" t="inlineStr">
        <is>
          <t>Curage des prises sur l’oued, bâche d’aspiration et bassin de régulation.</t>
        </is>
      </c>
      <c r="H11" s="5" t="inlineStr">
        <is>
          <t>Curage des prises sur l’oued de la station de pompage P11/1.</t>
        </is>
      </c>
      <c r="I11" s="7" t="n">
        <v>200000</v>
      </c>
      <c r="J11" s="8" t="inlineStr">
        <is>
          <t>ml</t>
        </is>
      </c>
      <c r="K11" s="9" t="n">
        <v>67</v>
      </c>
      <c r="L11" s="51" t="n"/>
      <c r="M11" s="52">
        <f>'S43'!M11+L11</f>
        <v/>
      </c>
      <c r="N11" s="53">
        <f>IFERROR(M11/K11,0)</f>
        <v/>
      </c>
      <c r="O11" s="54">
        <f>'S43'!N11</f>
        <v/>
      </c>
      <c r="P11" s="53">
        <f>N11-O11</f>
        <v/>
      </c>
      <c r="Q11" s="32" t="n"/>
      <c r="R11" s="32" t="n"/>
      <c r="S11" s="32" t="n"/>
      <c r="T11" s="55" t="n"/>
      <c r="U11" s="54">
        <f>'S43'!T11</f>
        <v/>
      </c>
      <c r="V11" s="53">
        <f>T11-U11</f>
        <v/>
      </c>
      <c r="W11" s="53">
        <f>N11-T11</f>
        <v/>
      </c>
      <c r="X11" s="34" t="n"/>
    </row>
    <row r="12" ht="22" customHeight="1">
      <c r="B12" s="10" t="n">
        <v>8</v>
      </c>
      <c r="C12" s="6" t="inlineStr">
        <is>
          <t>Sidi Kacem</t>
        </is>
      </c>
      <c r="D12" s="10" t="inlineStr">
        <is>
          <t>BIR TALEB</t>
        </is>
      </c>
      <c r="E12" s="10" t="inlineStr">
        <is>
          <t>50-21</t>
        </is>
      </c>
      <c r="F12" s="10" t="inlineStr">
        <is>
          <t>Entretien et réparation des stations de pompage</t>
        </is>
      </c>
      <c r="G12" s="10" t="inlineStr">
        <is>
          <t>Prestation de maintenance des débitmètres et leurs équipements annexes installés au niveau des station de pompage</t>
        </is>
      </c>
      <c r="H12" s="10" t="inlineStr">
        <is>
          <t>Changement trois débitmètre Ø 400mm inondés de la station de pompage P11/1</t>
        </is>
      </c>
      <c r="I12" s="11" t="n">
        <v>141900</v>
      </c>
      <c r="J12" s="12" t="inlineStr">
        <is>
          <t>U</t>
        </is>
      </c>
      <c r="K12" s="13" t="n">
        <v>3</v>
      </c>
      <c r="L12" s="51" t="n"/>
      <c r="M12" s="56">
        <f>'S43'!M12+L12</f>
        <v/>
      </c>
      <c r="N12" s="57">
        <f>IFERROR(M12/K12,0)</f>
        <v/>
      </c>
      <c r="O12" s="58">
        <f>'S43'!N12</f>
        <v/>
      </c>
      <c r="P12" s="57">
        <f>N12-O12</f>
        <v/>
      </c>
      <c r="Q12" s="32" t="n"/>
      <c r="R12" s="32" t="n"/>
      <c r="S12" s="32" t="n"/>
      <c r="T12" s="55" t="n"/>
      <c r="U12" s="58">
        <f>'S43'!T12</f>
        <v/>
      </c>
      <c r="V12" s="57">
        <f>T12-U12</f>
        <v/>
      </c>
      <c r="W12" s="57">
        <f>N12-T12</f>
        <v/>
      </c>
      <c r="X12" s="34" t="n"/>
    </row>
    <row r="13" ht="22" customHeight="1">
      <c r="B13" s="5" t="n">
        <v>9</v>
      </c>
      <c r="C13" s="6" t="inlineStr">
        <is>
          <t>Sidi Kacem</t>
        </is>
      </c>
      <c r="D13" s="5" t="inlineStr">
        <is>
          <t>BIR TALEB</t>
        </is>
      </c>
      <c r="E13" s="5" t="inlineStr">
        <is>
          <t>50-21</t>
        </is>
      </c>
      <c r="F13" s="5" t="inlineStr">
        <is>
          <t>Entretien et réparation des stations de pompage</t>
        </is>
      </c>
      <c r="G13" s="5" t="inlineStr">
        <is>
          <t>Prestations de maintenance et de réparation mécanique des pompes et des groupes motopompes submersibles des stations de pompage.</t>
        </is>
      </c>
      <c r="H13" s="5" t="inlineStr">
        <is>
          <t>Démontage et expertise des roues des  pompes principaux et pompes a vide de la station P11/1
Changement des roulements, tresses et organes d’effectués de la station P11/1</t>
        </is>
      </c>
      <c r="I13" s="7" t="n">
        <v>26700</v>
      </c>
      <c r="J13" s="8" t="inlineStr">
        <is>
          <t>U</t>
        </is>
      </c>
      <c r="K13" s="9" t="n">
        <v>1</v>
      </c>
      <c r="L13" s="51" t="n"/>
      <c r="M13" s="52">
        <f>'S43'!M13+L13</f>
        <v/>
      </c>
      <c r="N13" s="53">
        <f>IFERROR(M13/K13,0)</f>
        <v/>
      </c>
      <c r="O13" s="54">
        <f>'S43'!N13</f>
        <v/>
      </c>
      <c r="P13" s="53">
        <f>N13-O13</f>
        <v/>
      </c>
      <c r="Q13" s="32" t="n"/>
      <c r="R13" s="32" t="n"/>
      <c r="S13" s="32" t="n"/>
      <c r="T13" s="55" t="n"/>
      <c r="U13" s="54">
        <f>'S43'!T13</f>
        <v/>
      </c>
      <c r="V13" s="53">
        <f>T13-U13</f>
        <v/>
      </c>
      <c r="W13" s="53">
        <f>N13-T13</f>
        <v/>
      </c>
      <c r="X13" s="34" t="n"/>
    </row>
    <row r="14" ht="22" customHeight="1">
      <c r="B14" s="10" t="n">
        <v>10</v>
      </c>
      <c r="C14" s="6" t="inlineStr">
        <is>
          <t>Sidi Kacem</t>
        </is>
      </c>
      <c r="D14" s="10" t="inlineStr">
        <is>
          <t>BIR TALEB</t>
        </is>
      </c>
      <c r="E14" s="10" t="inlineStr">
        <is>
          <t>50-21</t>
        </is>
      </c>
      <c r="F14" s="10" t="inlineStr">
        <is>
          <t>Entretien et réparation des stations de pompage</t>
        </is>
      </c>
      <c r="G14" s="10" t="inlineStr">
        <is>
          <t>Stabilisation Berge oued</t>
        </is>
      </c>
      <c r="H14" s="10" t="inlineStr">
        <is>
          <t>Pose de  gabions et recouvrement du talus par matelas Reno des stations de pompage P11/1.</t>
        </is>
      </c>
      <c r="I14" s="11" t="n">
        <v>480000</v>
      </c>
      <c r="J14" s="12" t="inlineStr">
        <is>
          <t>m³</t>
        </is>
      </c>
      <c r="K14" s="13" t="n">
        <v>320</v>
      </c>
      <c r="L14" s="51" t="n"/>
      <c r="M14" s="56">
        <f>'S43'!M14+L14</f>
        <v/>
      </c>
      <c r="N14" s="57">
        <f>IFERROR(M14/K14,0)</f>
        <v/>
      </c>
      <c r="O14" s="58">
        <f>'S43'!N14</f>
        <v/>
      </c>
      <c r="P14" s="57">
        <f>N14-O14</f>
        <v/>
      </c>
      <c r="Q14" s="32" t="n"/>
      <c r="R14" s="32" t="n"/>
      <c r="S14" s="32" t="n"/>
      <c r="T14" s="55" t="n"/>
      <c r="U14" s="58">
        <f>'S43'!T14</f>
        <v/>
      </c>
      <c r="V14" s="57">
        <f>T14-U14</f>
        <v/>
      </c>
      <c r="W14" s="57">
        <f>N14-T14</f>
        <v/>
      </c>
      <c r="X14" s="34" t="n"/>
    </row>
    <row r="15" ht="22" customHeight="1">
      <c r="B15" s="5" t="n">
        <v>11</v>
      </c>
      <c r="C15" s="6" t="inlineStr">
        <is>
          <t>Sidi Kacem</t>
        </is>
      </c>
      <c r="D15" s="5" t="inlineStr">
        <is>
          <t>BIR TALEB</t>
        </is>
      </c>
      <c r="E15" s="5" t="inlineStr">
        <is>
          <t>50-21</t>
        </is>
      </c>
      <c r="F15" s="5" t="inlineStr">
        <is>
          <t>Entretien et réparation des stations de pompage</t>
        </is>
      </c>
      <c r="G15" s="5" t="inlineStr">
        <is>
          <t>Génie civile des locaux des stations de pompage.</t>
        </is>
      </c>
      <c r="H15" s="5" t="inlineStr">
        <is>
          <t>Expertise d’état et d’étanchéité des locaux pompes.
Renforcement d’étanchéité des locaux pompe sous niveau des oueds des stations de pompage P11/1.
Entretien des supports en béton des conduites d’aspiration.</t>
        </is>
      </c>
      <c r="I15" s="7" t="n">
        <v>300000</v>
      </c>
      <c r="J15" s="8" t="inlineStr">
        <is>
          <t>U</t>
        </is>
      </c>
      <c r="K15" s="9" t="n">
        <v>1</v>
      </c>
      <c r="L15" s="51" t="n"/>
      <c r="M15" s="52">
        <f>'S43'!M15+L15</f>
        <v/>
      </c>
      <c r="N15" s="53">
        <f>IFERROR(M15/K15,0)</f>
        <v/>
      </c>
      <c r="O15" s="54">
        <f>'S43'!N15</f>
        <v/>
      </c>
      <c r="P15" s="53">
        <f>N15-O15</f>
        <v/>
      </c>
      <c r="Q15" s="32" t="n"/>
      <c r="R15" s="32" t="n"/>
      <c r="S15" s="32" t="n"/>
      <c r="T15" s="55" t="n"/>
      <c r="U15" s="54">
        <f>'S43'!T15</f>
        <v/>
      </c>
      <c r="V15" s="53">
        <f>T15-U15</f>
        <v/>
      </c>
      <c r="W15" s="53">
        <f>N15-T15</f>
        <v/>
      </c>
      <c r="X15" s="34" t="n"/>
    </row>
    <row r="16" ht="22" customHeight="1">
      <c r="B16" s="10" t="n">
        <v>12</v>
      </c>
      <c r="C16" s="6" t="inlineStr">
        <is>
          <t>Sidi Kacem</t>
        </is>
      </c>
      <c r="D16" s="10" t="inlineStr">
        <is>
          <t>CHEBANAT</t>
        </is>
      </c>
      <c r="E16" s="10" t="inlineStr">
        <is>
          <t>50-23</t>
        </is>
      </c>
      <c r="F16" s="10" t="inlineStr">
        <is>
          <t>Entretien et réparation du réseau d'assainissement et de drainage</t>
        </is>
      </c>
      <c r="G16" s="10" t="inlineStr">
        <is>
          <t>Travaux de curage des canaux en terre</t>
        </is>
      </c>
      <c r="H16" s="10" t="inlineStr">
        <is>
          <t>Curage des collecteurs d'assainissement des secteur SH5 et SH6.</t>
        </is>
      </c>
      <c r="I16" s="11" t="n">
        <v>1000000</v>
      </c>
      <c r="J16" s="12" t="inlineStr">
        <is>
          <t>ml</t>
        </is>
      </c>
      <c r="K16" s="13" t="n">
        <v>500</v>
      </c>
      <c r="L16" s="51" t="n"/>
      <c r="M16" s="56">
        <f>'S43'!M16+L16</f>
        <v/>
      </c>
      <c r="N16" s="57">
        <f>IFERROR(M16/K16,0)</f>
        <v/>
      </c>
      <c r="O16" s="58">
        <f>'S43'!N16</f>
        <v/>
      </c>
      <c r="P16" s="57">
        <f>N16-O16</f>
        <v/>
      </c>
      <c r="Q16" s="32" t="n"/>
      <c r="R16" s="32" t="n"/>
      <c r="S16" s="32" t="n"/>
      <c r="T16" s="55" t="n"/>
      <c r="U16" s="58">
        <f>'S43'!T16</f>
        <v/>
      </c>
      <c r="V16" s="57">
        <f>T16-U16</f>
        <v/>
      </c>
      <c r="W16" s="57">
        <f>N16-T16</f>
        <v/>
      </c>
      <c r="X16" s="34" t="n"/>
    </row>
    <row r="17" ht="22" customHeight="1">
      <c r="B17" s="5" t="n">
        <v>13</v>
      </c>
      <c r="C17" s="6" t="inlineStr">
        <is>
          <t>Sidi Kacem</t>
        </is>
      </c>
      <c r="D17" s="5" t="inlineStr">
        <is>
          <t>CHEBANAT</t>
        </is>
      </c>
      <c r="E17" s="5" t="inlineStr">
        <is>
          <t>50-23</t>
        </is>
      </c>
      <c r="F17" s="5" t="inlineStr">
        <is>
          <t>Entretien et réparation du réseau d'assainissement et de drainage</t>
        </is>
      </c>
      <c r="G17" s="5" t="inlineStr">
        <is>
          <t>Travaux de curage des canaux révetus</t>
        </is>
      </c>
      <c r="H17" s="5" t="inlineStr">
        <is>
          <t>Curage du canal principal d'irrigation beht partie aval 1.</t>
        </is>
      </c>
      <c r="I17" s="7" t="n">
        <v>739200</v>
      </c>
      <c r="J17" s="8" t="inlineStr">
        <is>
          <t>ml</t>
        </is>
      </c>
      <c r="K17" s="9" t="n">
        <v>370</v>
      </c>
      <c r="L17" s="51" t="n"/>
      <c r="M17" s="52">
        <f>'S43'!M17+L17</f>
        <v/>
      </c>
      <c r="N17" s="53">
        <f>IFERROR(M17/K17,0)</f>
        <v/>
      </c>
      <c r="O17" s="54">
        <f>'S43'!N17</f>
        <v/>
      </c>
      <c r="P17" s="53">
        <f>N17-O17</f>
        <v/>
      </c>
      <c r="Q17" s="32" t="n"/>
      <c r="R17" s="32" t="n"/>
      <c r="S17" s="32" t="n"/>
      <c r="T17" s="55" t="n"/>
      <c r="U17" s="54">
        <f>'S43'!T17</f>
        <v/>
      </c>
      <c r="V17" s="53">
        <f>T17-U17</f>
        <v/>
      </c>
      <c r="W17" s="53">
        <f>N17-T17</f>
        <v/>
      </c>
      <c r="X17" s="34" t="n"/>
    </row>
    <row r="18" ht="22" customHeight="1">
      <c r="B18" s="10" t="n">
        <v>14</v>
      </c>
      <c r="C18" s="6" t="inlineStr">
        <is>
          <t>Sidi Kacem</t>
        </is>
      </c>
      <c r="D18" s="10" t="inlineStr">
        <is>
          <t>ZIRARA</t>
        </is>
      </c>
      <c r="E18" s="10" t="inlineStr">
        <is>
          <t>50-23</t>
        </is>
      </c>
      <c r="F18" s="10" t="inlineStr">
        <is>
          <t>Entretien et réparation du réseau d'assainissement et de drainage</t>
        </is>
      </c>
      <c r="G18" s="10" t="inlineStr">
        <is>
          <t>Travaux de curage des canaux révetus</t>
        </is>
      </c>
      <c r="H18" s="10" t="inlineStr">
        <is>
          <t>Curage du canal principal d'irrigation beht partie aval 2.</t>
        </is>
      </c>
      <c r="I18" s="11" t="n">
        <v>1276800</v>
      </c>
      <c r="J18" s="12" t="inlineStr">
        <is>
          <t>ml</t>
        </is>
      </c>
      <c r="K18" s="13" t="n">
        <v>638</v>
      </c>
      <c r="L18" s="51" t="n"/>
      <c r="M18" s="56">
        <f>'S43'!M18+L18</f>
        <v/>
      </c>
      <c r="N18" s="57">
        <f>IFERROR(M18/K18,0)</f>
        <v/>
      </c>
      <c r="O18" s="58">
        <f>'S43'!N18</f>
        <v/>
      </c>
      <c r="P18" s="57">
        <f>N18-O18</f>
        <v/>
      </c>
      <c r="Q18" s="32" t="n"/>
      <c r="R18" s="32" t="n"/>
      <c r="S18" s="32" t="n"/>
      <c r="T18" s="55" t="n"/>
      <c r="U18" s="58">
        <f>'S43'!T18</f>
        <v/>
      </c>
      <c r="V18" s="57">
        <f>T18-U18</f>
        <v/>
      </c>
      <c r="W18" s="57">
        <f>N18-T18</f>
        <v/>
      </c>
      <c r="X18" s="34" t="n"/>
    </row>
    <row r="19" ht="22" customHeight="1">
      <c r="B19" s="5" t="n">
        <v>15</v>
      </c>
      <c r="C19" s="6" t="inlineStr">
        <is>
          <t>Sidi Kacem</t>
        </is>
      </c>
      <c r="D19" s="5" t="inlineStr">
        <is>
          <t>DAR LAASLOUJI</t>
        </is>
      </c>
      <c r="E19" s="5" t="inlineStr">
        <is>
          <t>50-23</t>
        </is>
      </c>
      <c r="F19" s="5" t="inlineStr">
        <is>
          <t>Entretien et réparation du réseau d'assainissement et de drainage</t>
        </is>
      </c>
      <c r="G19" s="5" t="inlineStr">
        <is>
          <t>Travaux de curage des canaux en terre</t>
        </is>
      </c>
      <c r="H19" s="5" t="inlineStr">
        <is>
          <t>Curage des collecteurs d'assainissement des secteurs P8-1 et P8-2</t>
        </is>
      </c>
      <c r="I19" s="7" t="n">
        <v>5796360</v>
      </c>
      <c r="J19" s="8" t="inlineStr">
        <is>
          <t>ml</t>
        </is>
      </c>
      <c r="K19" s="9" t="n">
        <v>2898</v>
      </c>
      <c r="L19" s="51" t="n"/>
      <c r="M19" s="52">
        <f>'S43'!M19+L19</f>
        <v/>
      </c>
      <c r="N19" s="53">
        <f>IFERROR(M19/K19,0)</f>
        <v/>
      </c>
      <c r="O19" s="54">
        <f>'S43'!N19</f>
        <v/>
      </c>
      <c r="P19" s="53">
        <f>N19-O19</f>
        <v/>
      </c>
      <c r="Q19" s="32" t="n"/>
      <c r="R19" s="32" t="n"/>
      <c r="S19" s="32" t="n"/>
      <c r="T19" s="55" t="n"/>
      <c r="U19" s="54">
        <f>'S43'!T19</f>
        <v/>
      </c>
      <c r="V19" s="53">
        <f>T19-U19</f>
        <v/>
      </c>
      <c r="W19" s="53">
        <f>N19-T19</f>
        <v/>
      </c>
      <c r="X19" s="34" t="n"/>
    </row>
    <row r="20" ht="22" customHeight="1">
      <c r="B20" s="10" t="n">
        <v>16</v>
      </c>
      <c r="C20" s="6" t="inlineStr">
        <is>
          <t>Sidi Kacem</t>
        </is>
      </c>
      <c r="D20" s="10" t="inlineStr">
        <is>
          <t>DAR LAASLOUJI</t>
        </is>
      </c>
      <c r="E20" s="10" t="inlineStr">
        <is>
          <t>40-21</t>
        </is>
      </c>
      <c r="F20" s="10" t="inlineStr">
        <is>
          <t>Travaux de pistes</t>
        </is>
      </c>
      <c r="G20" s="10" t="inlineStr">
        <is>
          <t>Entretien des pistes agricoles</t>
        </is>
      </c>
      <c r="H20" s="10" t="inlineStr">
        <is>
          <t>Entretien des pistes agricoles</t>
        </is>
      </c>
      <c r="I20" s="11" t="n">
        <v>340000</v>
      </c>
      <c r="J20" s="12" t="inlineStr">
        <is>
          <t>km</t>
        </is>
      </c>
      <c r="K20" s="13" t="n">
        <v>1</v>
      </c>
      <c r="L20" s="51" t="n"/>
      <c r="M20" s="56">
        <f>'S43'!M20+L20</f>
        <v/>
      </c>
      <c r="N20" s="57">
        <f>IFERROR(M20/K20,0)</f>
        <v/>
      </c>
      <c r="O20" s="58">
        <f>'S43'!N20</f>
        <v/>
      </c>
      <c r="P20" s="57">
        <f>N20-O20</f>
        <v/>
      </c>
      <c r="Q20" s="32" t="n"/>
      <c r="R20" s="32" t="n"/>
      <c r="S20" s="32" t="n"/>
      <c r="T20" s="55" t="n"/>
      <c r="U20" s="58">
        <f>'S43'!T20</f>
        <v/>
      </c>
      <c r="V20" s="57">
        <f>T20-U20</f>
        <v/>
      </c>
      <c r="W20" s="57">
        <f>N20-T20</f>
        <v/>
      </c>
      <c r="X20" s="34" t="n"/>
    </row>
    <row r="21" ht="22" customHeight="1">
      <c r="B21" s="5" t="n">
        <v>17</v>
      </c>
      <c r="C21" s="6" t="inlineStr">
        <is>
          <t>Sidi Kacem</t>
        </is>
      </c>
      <c r="D21" s="5" t="inlineStr">
        <is>
          <t>HOUAFATE</t>
        </is>
      </c>
      <c r="E21" s="5" t="inlineStr">
        <is>
          <t>20-11</t>
        </is>
      </c>
      <c r="F21" s="5" t="inlineStr">
        <is>
          <t>Travaux de réhabilitation des équipements</t>
        </is>
      </c>
      <c r="G21" s="5" t="inlineStr">
        <is>
          <t>Travaux de réhabilitation des canaux portés d'irrigation</t>
        </is>
      </c>
      <c r="H21" s="5" t="inlineStr">
        <is>
          <t>Fourniture et de pose de canaux porté et accessoires du réseau S3 du secteur S13</t>
        </is>
      </c>
      <c r="I21" s="7" t="n">
        <v>397934</v>
      </c>
      <c r="J21" s="8" t="inlineStr">
        <is>
          <t>ml</t>
        </is>
      </c>
      <c r="K21" s="9" t="n">
        <v>133</v>
      </c>
      <c r="L21" s="51" t="n"/>
      <c r="M21" s="52">
        <f>'S43'!M21+L21</f>
        <v/>
      </c>
      <c r="N21" s="53">
        <f>IFERROR(M21/K21,0)</f>
        <v/>
      </c>
      <c r="O21" s="54">
        <f>'S43'!N21</f>
        <v/>
      </c>
      <c r="P21" s="53">
        <f>N21-O21</f>
        <v/>
      </c>
      <c r="Q21" s="32" t="n"/>
      <c r="R21" s="32" t="n"/>
      <c r="S21" s="32" t="n"/>
      <c r="T21" s="55" t="n"/>
      <c r="U21" s="54">
        <f>'S43'!T21</f>
        <v/>
      </c>
      <c r="V21" s="53">
        <f>T21-U21</f>
        <v/>
      </c>
      <c r="W21" s="53">
        <f>N21-T21</f>
        <v/>
      </c>
      <c r="X21" s="34" t="n"/>
    </row>
    <row r="22" ht="22" customHeight="1">
      <c r="B22" s="10" t="n">
        <v>18</v>
      </c>
      <c r="C22" s="6" t="inlineStr">
        <is>
          <t>Sidi Kacem</t>
        </is>
      </c>
      <c r="D22" s="10" t="inlineStr">
        <is>
          <t>HOUAFATE</t>
        </is>
      </c>
      <c r="E22" s="10" t="inlineStr">
        <is>
          <t>20-11</t>
        </is>
      </c>
      <c r="F22" s="10" t="inlineStr">
        <is>
          <t>Travaux de réhabilitation des équipements</t>
        </is>
      </c>
      <c r="G22" s="10" t="inlineStr"/>
      <c r="H22" s="10" t="inlineStr">
        <is>
          <t>Fourniture et de pose de canaux porté et accessoires du réseau T2S1 du secteur S13</t>
        </is>
      </c>
      <c r="I22" s="11" t="n">
        <v>207575</v>
      </c>
      <c r="J22" s="12" t="inlineStr">
        <is>
          <t>ml</t>
        </is>
      </c>
      <c r="K22" s="13" t="n">
        <v>69</v>
      </c>
      <c r="L22" s="51" t="n"/>
      <c r="M22" s="56">
        <f>'S43'!M22+L22</f>
        <v/>
      </c>
      <c r="N22" s="57">
        <f>IFERROR(M22/K22,0)</f>
        <v/>
      </c>
      <c r="O22" s="58">
        <f>'S43'!N22</f>
        <v/>
      </c>
      <c r="P22" s="57">
        <f>N22-O22</f>
        <v/>
      </c>
      <c r="Q22" s="32" t="n"/>
      <c r="R22" s="32" t="n"/>
      <c r="S22" s="32" t="n"/>
      <c r="T22" s="55" t="n"/>
      <c r="U22" s="58">
        <f>'S43'!T22</f>
        <v/>
      </c>
      <c r="V22" s="57">
        <f>T22-U22</f>
        <v/>
      </c>
      <c r="W22" s="57">
        <f>N22-T22</f>
        <v/>
      </c>
      <c r="X22" s="34" t="n"/>
    </row>
    <row r="23" ht="22" customHeight="1">
      <c r="B23" s="5" t="n">
        <v>19</v>
      </c>
      <c r="C23" s="6" t="inlineStr">
        <is>
          <t>Sidi Kacem</t>
        </is>
      </c>
      <c r="D23" s="5" t="inlineStr">
        <is>
          <t>HOUAFATE</t>
        </is>
      </c>
      <c r="E23" s="5" t="inlineStr">
        <is>
          <t>40-21</t>
        </is>
      </c>
      <c r="F23" s="5" t="inlineStr">
        <is>
          <t>Travaux de pistes</t>
        </is>
      </c>
      <c r="G23" s="5" t="inlineStr">
        <is>
          <t>Entretien des pistes agricoles</t>
        </is>
      </c>
      <c r="H23" s="5" t="inlineStr">
        <is>
          <t>Entretien des pistes agricoles</t>
        </is>
      </c>
      <c r="I23" s="7" t="n">
        <v>2200000</v>
      </c>
      <c r="J23" s="8" t="inlineStr">
        <is>
          <t>km</t>
        </is>
      </c>
      <c r="K23" s="9" t="n">
        <v>4</v>
      </c>
      <c r="L23" s="51" t="n"/>
      <c r="M23" s="52">
        <f>'S43'!M23+L23</f>
        <v/>
      </c>
      <c r="N23" s="53">
        <f>IFERROR(M23/K23,0)</f>
        <v/>
      </c>
      <c r="O23" s="54">
        <f>'S43'!N23</f>
        <v/>
      </c>
      <c r="P23" s="53">
        <f>N23-O23</f>
        <v/>
      </c>
      <c r="Q23" s="32" t="n"/>
      <c r="R23" s="32" t="n"/>
      <c r="S23" s="32" t="n"/>
      <c r="T23" s="55" t="n"/>
      <c r="U23" s="54">
        <f>'S43'!T23</f>
        <v/>
      </c>
      <c r="V23" s="53">
        <f>T23-U23</f>
        <v/>
      </c>
      <c r="W23" s="53">
        <f>N23-T23</f>
        <v/>
      </c>
      <c r="X23" s="34" t="n"/>
    </row>
    <row r="24" ht="22" customHeight="1">
      <c r="B24" s="10" t="n">
        <v>20</v>
      </c>
      <c r="C24" s="6" t="inlineStr">
        <is>
          <t>Sidi Kacem</t>
        </is>
      </c>
      <c r="D24" s="10" t="inlineStr">
        <is>
          <t>HOUAFATE</t>
        </is>
      </c>
      <c r="E24" s="10" t="inlineStr">
        <is>
          <t>50-23</t>
        </is>
      </c>
      <c r="F24" s="10" t="inlineStr">
        <is>
          <t>Entretien et réparation du réseau d'assainissement et de drainage</t>
        </is>
      </c>
      <c r="G24" s="10" t="inlineStr">
        <is>
          <t>Curage des prises sur l’oued, bâche d’aspiration et bassin de régulation.</t>
        </is>
      </c>
      <c r="H24" s="10" t="inlineStr">
        <is>
          <t>Curage des prises sur l’oued de la station de pompage S17 et S13.
Nettoyage des grilles de préfiltration des boues colmaté de la station de pompage S17 et S13.
Curage de la bâche d’aspiration de la station S17 et S13.</t>
        </is>
      </c>
      <c r="I24" s="11" t="n">
        <v>300000</v>
      </c>
      <c r="J24" s="12" t="inlineStr">
        <is>
          <t>ml</t>
        </is>
      </c>
      <c r="K24" s="13" t="n">
        <v>100</v>
      </c>
      <c r="L24" s="51" t="n"/>
      <c r="M24" s="56">
        <f>'S43'!M24+L24</f>
        <v/>
      </c>
      <c r="N24" s="57">
        <f>IFERROR(M24/K24,0)</f>
        <v/>
      </c>
      <c r="O24" s="58">
        <f>'S43'!N24</f>
        <v/>
      </c>
      <c r="P24" s="57">
        <f>N24-O24</f>
        <v/>
      </c>
      <c r="Q24" s="32" t="n"/>
      <c r="R24" s="32" t="n"/>
      <c r="S24" s="32" t="n"/>
      <c r="T24" s="55" t="n"/>
      <c r="U24" s="58">
        <f>'S43'!T24</f>
        <v/>
      </c>
      <c r="V24" s="57">
        <f>T24-U24</f>
        <v/>
      </c>
      <c r="W24" s="57">
        <f>N24-T24</f>
        <v/>
      </c>
      <c r="X24" s="34" t="n"/>
    </row>
    <row r="25" ht="22" customHeight="1">
      <c r="B25" s="5" t="n">
        <v>21</v>
      </c>
      <c r="C25" s="6" t="inlineStr">
        <is>
          <t>Sidi Kacem</t>
        </is>
      </c>
      <c r="D25" s="5" t="inlineStr">
        <is>
          <t>HOUAFATE</t>
        </is>
      </c>
      <c r="E25" s="5" t="inlineStr">
        <is>
          <t>50-21</t>
        </is>
      </c>
      <c r="F25" s="5" t="inlineStr">
        <is>
          <t>Entretien et réparation des stations de pompage</t>
        </is>
      </c>
      <c r="G25" s="5" t="inlineStr">
        <is>
          <t>Prestation de maintenance des débitmètres et leurs équipements annexes installés au niveau des station de pompage</t>
        </is>
      </c>
      <c r="H25" s="5" t="inlineStr">
        <is>
          <t>Changement trois débitmètre Ø 600mm inondés de la station de pompage S13.</t>
        </is>
      </c>
      <c r="I25" s="7" t="n">
        <v>250000</v>
      </c>
      <c r="J25" s="8" t="inlineStr">
        <is>
          <t>U</t>
        </is>
      </c>
      <c r="K25" s="9" t="n">
        <v>3</v>
      </c>
      <c r="L25" s="51" t="n"/>
      <c r="M25" s="52">
        <f>'S43'!M25+L25</f>
        <v/>
      </c>
      <c r="N25" s="53">
        <f>IFERROR(M25/K25,0)</f>
        <v/>
      </c>
      <c r="O25" s="54">
        <f>'S43'!N25</f>
        <v/>
      </c>
      <c r="P25" s="53">
        <f>N25-O25</f>
        <v/>
      </c>
      <c r="Q25" s="32" t="n"/>
      <c r="R25" s="32" t="n"/>
      <c r="S25" s="32" t="n"/>
      <c r="T25" s="55" t="n"/>
      <c r="U25" s="54">
        <f>'S43'!T25</f>
        <v/>
      </c>
      <c r="V25" s="53">
        <f>T25-U25</f>
        <v/>
      </c>
      <c r="W25" s="53">
        <f>N25-T25</f>
        <v/>
      </c>
      <c r="X25" s="34" t="n"/>
    </row>
    <row r="26" ht="22" customHeight="1">
      <c r="B26" s="10" t="n">
        <v>22</v>
      </c>
      <c r="C26" s="6" t="inlineStr">
        <is>
          <t>Sidi Kacem</t>
        </is>
      </c>
      <c r="D26" s="10" t="inlineStr">
        <is>
          <t>HOUAFATE</t>
        </is>
      </c>
      <c r="E26" s="10" t="inlineStr">
        <is>
          <t>50-21</t>
        </is>
      </c>
      <c r="F26" s="10" t="inlineStr">
        <is>
          <t>Entretien et réparation des stations de pompage</t>
        </is>
      </c>
      <c r="G26" s="10" t="inlineStr">
        <is>
          <t>Prestations de maintenance des moteurs électriques des stations de pompage.</t>
        </is>
      </c>
      <c r="H26" s="10" t="inlineStr">
        <is>
          <t>Révision des trois moteurs électriques 200 KW principaux de la station S13. 
Révision des deux moteurs électriques 5,5 KW groupes vide de la station S13.</t>
        </is>
      </c>
      <c r="I26" s="11" t="n">
        <v>25000</v>
      </c>
      <c r="J26" s="12" t="inlineStr">
        <is>
          <t>U</t>
        </is>
      </c>
      <c r="K26" s="13" t="n">
        <v>3</v>
      </c>
      <c r="L26" s="51" t="n"/>
      <c r="M26" s="56">
        <f>'S43'!M26+L26</f>
        <v/>
      </c>
      <c r="N26" s="57">
        <f>IFERROR(M26/K26,0)</f>
        <v/>
      </c>
      <c r="O26" s="58">
        <f>'S43'!N26</f>
        <v/>
      </c>
      <c r="P26" s="57">
        <f>N26-O26</f>
        <v/>
      </c>
      <c r="Q26" s="32" t="n"/>
      <c r="R26" s="32" t="n"/>
      <c r="S26" s="32" t="n"/>
      <c r="T26" s="55" t="n"/>
      <c r="U26" s="58">
        <f>'S43'!T26</f>
        <v/>
      </c>
      <c r="V26" s="57">
        <f>T26-U26</f>
        <v/>
      </c>
      <c r="W26" s="57">
        <f>N26-T26</f>
        <v/>
      </c>
      <c r="X26" s="34" t="n"/>
    </row>
    <row r="27" ht="22" customHeight="1">
      <c r="B27" s="5" t="n">
        <v>23</v>
      </c>
      <c r="C27" s="6" t="inlineStr">
        <is>
          <t>Sidi Kacem</t>
        </is>
      </c>
      <c r="D27" s="5" t="inlineStr">
        <is>
          <t>HOUAFATE</t>
        </is>
      </c>
      <c r="E27" s="5" t="inlineStr">
        <is>
          <t>50-21</t>
        </is>
      </c>
      <c r="F27" s="5" t="inlineStr">
        <is>
          <t>Entretien et réparation des stations de pompage</t>
        </is>
      </c>
      <c r="G27" s="5" t="inlineStr">
        <is>
          <t>Prestations de maintenance et de réparation mécanique des pompes et des groupes motopompes submersibles des stations de pompage.</t>
        </is>
      </c>
      <c r="H27" s="5" t="inlineStr">
        <is>
          <t>Démontage et expertise des roues des  pompes principaux et pompes a vide de la station S13.
Changement des roulements, tresses et organes d’effectués de la station S13.</t>
        </is>
      </c>
      <c r="I27" s="7" t="n">
        <v>38000</v>
      </c>
      <c r="J27" s="8" t="inlineStr">
        <is>
          <t>U</t>
        </is>
      </c>
      <c r="K27" s="9" t="n">
        <v>1</v>
      </c>
      <c r="L27" s="51" t="n"/>
      <c r="M27" s="52">
        <f>'S43'!M27+L27</f>
        <v/>
      </c>
      <c r="N27" s="53">
        <f>IFERROR(M27/K27,0)</f>
        <v/>
      </c>
      <c r="O27" s="54">
        <f>'S43'!N27</f>
        <v/>
      </c>
      <c r="P27" s="53">
        <f>N27-O27</f>
        <v/>
      </c>
      <c r="Q27" s="32" t="n"/>
      <c r="R27" s="32" t="n"/>
      <c r="S27" s="32" t="n"/>
      <c r="T27" s="55" t="n"/>
      <c r="U27" s="54">
        <f>'S43'!T27</f>
        <v/>
      </c>
      <c r="V27" s="53">
        <f>T27-U27</f>
        <v/>
      </c>
      <c r="W27" s="53">
        <f>N27-T27</f>
        <v/>
      </c>
      <c r="X27" s="34" t="n"/>
    </row>
    <row r="28" ht="22" customHeight="1">
      <c r="B28" s="10" t="n">
        <v>24</v>
      </c>
      <c r="C28" s="6" t="inlineStr">
        <is>
          <t>Sidi Kacem</t>
        </is>
      </c>
      <c r="D28" s="10" t="inlineStr">
        <is>
          <t>HOUAFATE</t>
        </is>
      </c>
      <c r="E28" s="10" t="inlineStr">
        <is>
          <t>50-21</t>
        </is>
      </c>
      <c r="F28" s="10" t="inlineStr">
        <is>
          <t>Entretien et réparation des stations de pompage</t>
        </is>
      </c>
      <c r="G28" s="10" t="inlineStr">
        <is>
          <t>Stabilisation Berge oued</t>
        </is>
      </c>
      <c r="H28" s="10" t="inlineStr">
        <is>
          <t>Pose de  gabions et recouvrement du talus par matelas Reno des stations de pompage S13.</t>
        </is>
      </c>
      <c r="I28" s="11" t="n">
        <v>10560000</v>
      </c>
      <c r="J28" s="12" t="inlineStr">
        <is>
          <t>m³</t>
        </is>
      </c>
      <c r="K28" s="13" t="n">
        <v>7040</v>
      </c>
      <c r="L28" s="51" t="n"/>
      <c r="M28" s="56">
        <f>'S43'!M28+L28</f>
        <v/>
      </c>
      <c r="N28" s="57">
        <f>IFERROR(M28/K28,0)</f>
        <v/>
      </c>
      <c r="O28" s="58">
        <f>'S43'!N28</f>
        <v/>
      </c>
      <c r="P28" s="57">
        <f>N28-O28</f>
        <v/>
      </c>
      <c r="Q28" s="32" t="n"/>
      <c r="R28" s="32" t="n"/>
      <c r="S28" s="32" t="n"/>
      <c r="T28" s="55" t="n"/>
      <c r="U28" s="58">
        <f>'S43'!T28</f>
        <v/>
      </c>
      <c r="V28" s="57">
        <f>T28-U28</f>
        <v/>
      </c>
      <c r="W28" s="57">
        <f>N28-T28</f>
        <v/>
      </c>
      <c r="X28" s="34" t="n"/>
    </row>
    <row r="29" ht="22" customHeight="1">
      <c r="B29" s="5" t="n">
        <v>25</v>
      </c>
      <c r="C29" s="6" t="inlineStr">
        <is>
          <t>Sidi Kacem</t>
        </is>
      </c>
      <c r="D29" s="5" t="inlineStr">
        <is>
          <t>HOUAFATE</t>
        </is>
      </c>
      <c r="E29" s="5" t="inlineStr">
        <is>
          <t>50-21</t>
        </is>
      </c>
      <c r="F29" s="5" t="inlineStr">
        <is>
          <t>Entretien et réparation des stations de pompage</t>
        </is>
      </c>
      <c r="G29" s="5" t="inlineStr">
        <is>
          <t>Mur clôture des stations de pompage.</t>
        </is>
      </c>
      <c r="H29" s="5" t="inlineStr">
        <is>
          <t>Stabilisation du sol et reconstruction des murs clôture (270m) cote oued de la station S17.</t>
        </is>
      </c>
      <c r="I29" s="7" t="n">
        <v>144000</v>
      </c>
      <c r="J29" s="8" t="inlineStr">
        <is>
          <t>ml</t>
        </is>
      </c>
      <c r="K29" s="9" t="n">
        <v>270</v>
      </c>
      <c r="L29" s="51" t="n"/>
      <c r="M29" s="52">
        <f>'S43'!M29+L29</f>
        <v/>
      </c>
      <c r="N29" s="53">
        <f>IFERROR(M29/K29,0)</f>
        <v/>
      </c>
      <c r="O29" s="54">
        <f>'S43'!N29</f>
        <v/>
      </c>
      <c r="P29" s="53">
        <f>N29-O29</f>
        <v/>
      </c>
      <c r="Q29" s="32" t="n"/>
      <c r="R29" s="32" t="n"/>
      <c r="S29" s="32" t="n"/>
      <c r="T29" s="55" t="n"/>
      <c r="U29" s="54">
        <f>'S43'!T29</f>
        <v/>
      </c>
      <c r="V29" s="53">
        <f>T29-U29</f>
        <v/>
      </c>
      <c r="W29" s="53">
        <f>N29-T29</f>
        <v/>
      </c>
      <c r="X29" s="34" t="n"/>
    </row>
    <row r="30" ht="22" customHeight="1">
      <c r="B30" s="10" t="n">
        <v>26</v>
      </c>
      <c r="C30" s="6" t="inlineStr">
        <is>
          <t>Sidi Kacem</t>
        </is>
      </c>
      <c r="D30" s="10" t="inlineStr">
        <is>
          <t>HOUAFATE</t>
        </is>
      </c>
      <c r="E30" s="10" t="inlineStr">
        <is>
          <t>50-21</t>
        </is>
      </c>
      <c r="F30" s="10" t="inlineStr">
        <is>
          <t>Entretien et réparation des stations de pompage</t>
        </is>
      </c>
      <c r="G30" s="10" t="inlineStr">
        <is>
          <t>Génie civile des locaux des stations de pompage.</t>
        </is>
      </c>
      <c r="H30" s="10" t="inlineStr">
        <is>
          <t>Expertise d’état et d’étanchéité des locaux pompes, commande, puissance des stations de pompage S17 et S13.
Renforcement d’étanchéité des locaux pompe sous niveau des oueds des stations de pompage S17 et S13.</t>
        </is>
      </c>
      <c r="I30" s="11" t="n">
        <v>800000</v>
      </c>
      <c r="J30" s="12" t="inlineStr">
        <is>
          <t>U</t>
        </is>
      </c>
      <c r="K30" s="13" t="n">
        <v>1</v>
      </c>
      <c r="L30" s="51" t="n"/>
      <c r="M30" s="56">
        <f>'S43'!M30+L30</f>
        <v/>
      </c>
      <c r="N30" s="57">
        <f>IFERROR(M30/K30,0)</f>
        <v/>
      </c>
      <c r="O30" s="58">
        <f>'S43'!N30</f>
        <v/>
      </c>
      <c r="P30" s="57">
        <f>N30-O30</f>
        <v/>
      </c>
      <c r="Q30" s="32" t="n"/>
      <c r="R30" s="32" t="n"/>
      <c r="S30" s="32" t="n"/>
      <c r="T30" s="55" t="n"/>
      <c r="U30" s="58">
        <f>'S43'!T30</f>
        <v/>
      </c>
      <c r="V30" s="57">
        <f>T30-U30</f>
        <v/>
      </c>
      <c r="W30" s="57">
        <f>N30-T30</f>
        <v/>
      </c>
      <c r="X30" s="34" t="n"/>
    </row>
    <row r="31" ht="22" customHeight="1">
      <c r="B31" s="5" t="n">
        <v>27</v>
      </c>
      <c r="C31" s="6" t="inlineStr">
        <is>
          <t>Sidi Kacem</t>
        </is>
      </c>
      <c r="D31" s="5" t="inlineStr">
        <is>
          <t>NOUIRAT</t>
        </is>
      </c>
      <c r="E31" s="5" t="inlineStr">
        <is>
          <t>50-23</t>
        </is>
      </c>
      <c r="F31" s="5" t="inlineStr">
        <is>
          <t>Entretien et réparation du réseau d'assainissement et de drainage</t>
        </is>
      </c>
      <c r="G31" s="5" t="inlineStr">
        <is>
          <t>Travaux de curage des canaux en terre</t>
        </is>
      </c>
      <c r="H31" s="5" t="inlineStr">
        <is>
          <t>Curage des collecteurs d'assainissement des secteurs EST1 et N5</t>
        </is>
      </c>
      <c r="I31" s="7" t="n">
        <v>1733306</v>
      </c>
      <c r="J31" s="8" t="inlineStr">
        <is>
          <t>ml</t>
        </is>
      </c>
      <c r="K31" s="9" t="n">
        <v>867</v>
      </c>
      <c r="L31" s="51" t="n"/>
      <c r="M31" s="52">
        <f>'S43'!M31+L31</f>
        <v/>
      </c>
      <c r="N31" s="53">
        <f>IFERROR(M31/K31,0)</f>
        <v/>
      </c>
      <c r="O31" s="54">
        <f>'S43'!N31</f>
        <v/>
      </c>
      <c r="P31" s="53">
        <f>N31-O31</f>
        <v/>
      </c>
      <c r="Q31" s="32" t="n"/>
      <c r="R31" s="32" t="n"/>
      <c r="S31" s="32" t="n"/>
      <c r="T31" s="55" t="n"/>
      <c r="U31" s="54">
        <f>'S43'!T31</f>
        <v/>
      </c>
      <c r="V31" s="53">
        <f>T31-U31</f>
        <v/>
      </c>
      <c r="W31" s="53">
        <f>N31-T31</f>
        <v/>
      </c>
      <c r="X31" s="34" t="n"/>
    </row>
    <row r="32" ht="22" customHeight="1">
      <c r="B32" s="10" t="n">
        <v>28</v>
      </c>
      <c r="C32" s="6" t="inlineStr">
        <is>
          <t>Sidi Kacem</t>
        </is>
      </c>
      <c r="D32" s="10" t="inlineStr">
        <is>
          <t>NOUIRAT</t>
        </is>
      </c>
      <c r="E32" s="10" t="inlineStr">
        <is>
          <t>40-21</t>
        </is>
      </c>
      <c r="F32" s="10" t="inlineStr">
        <is>
          <t>Travaux de pistes</t>
        </is>
      </c>
      <c r="G32" s="10" t="inlineStr">
        <is>
          <t>Entretien des pistes agricoles</t>
        </is>
      </c>
      <c r="H32" s="10" t="inlineStr">
        <is>
          <t>Entretien des pistes agricoles</t>
        </is>
      </c>
      <c r="I32" s="11" t="n">
        <v>670000</v>
      </c>
      <c r="J32" s="12" t="inlineStr">
        <is>
          <t>km</t>
        </is>
      </c>
      <c r="K32" s="13" t="n">
        <v>1</v>
      </c>
      <c r="L32" s="51" t="n"/>
      <c r="M32" s="56">
        <f>'S43'!M32+L32</f>
        <v/>
      </c>
      <c r="N32" s="57">
        <f>IFERROR(M32/K32,0)</f>
        <v/>
      </c>
      <c r="O32" s="58">
        <f>'S43'!N32</f>
        <v/>
      </c>
      <c r="P32" s="57">
        <f>N32-O32</f>
        <v/>
      </c>
      <c r="Q32" s="32" t="n"/>
      <c r="R32" s="32" t="n"/>
      <c r="S32" s="32" t="n"/>
      <c r="T32" s="55" t="n"/>
      <c r="U32" s="58">
        <f>'S43'!T32</f>
        <v/>
      </c>
      <c r="V32" s="57">
        <f>T32-U32</f>
        <v/>
      </c>
      <c r="W32" s="57">
        <f>N32-T32</f>
        <v/>
      </c>
      <c r="X32" s="34" t="n"/>
    </row>
    <row r="33" ht="22" customHeight="1">
      <c r="B33" s="5" t="n">
        <v>29</v>
      </c>
      <c r="C33" s="6" t="inlineStr">
        <is>
          <t>Sidi Kacem</t>
        </is>
      </c>
      <c r="D33" s="5" t="inlineStr">
        <is>
          <t>NOUIRAT</t>
        </is>
      </c>
      <c r="E33" s="5" t="inlineStr">
        <is>
          <t>20-11</t>
        </is>
      </c>
      <c r="F33" s="5" t="inlineStr">
        <is>
          <t>Travaux de réhabilitation des équipements</t>
        </is>
      </c>
      <c r="G33" s="5" t="inlineStr">
        <is>
          <t>Travaux de réhabilitation des ouvrages de génie civil</t>
        </is>
      </c>
      <c r="H33" s="5" t="inlineStr">
        <is>
          <t>Réhabilitation de l'ouvrage( genie civil ,gabiollannage,clapet anti retour et buse) de l'ouvrage de débouche SE1</t>
        </is>
      </c>
      <c r="I33" s="7" t="n">
        <v>2500000</v>
      </c>
      <c r="J33" s="8" t="inlineStr">
        <is>
          <t>U</t>
        </is>
      </c>
      <c r="K33" s="9" t="n">
        <v>5</v>
      </c>
      <c r="L33" s="51" t="n"/>
      <c r="M33" s="52">
        <f>'S43'!M33+L33</f>
        <v/>
      </c>
      <c r="N33" s="53">
        <f>IFERROR(M33/K33,0)</f>
        <v/>
      </c>
      <c r="O33" s="54">
        <f>'S43'!N33</f>
        <v/>
      </c>
      <c r="P33" s="53">
        <f>N33-O33</f>
        <v/>
      </c>
      <c r="Q33" s="32" t="n"/>
      <c r="R33" s="32" t="n"/>
      <c r="S33" s="32" t="n"/>
      <c r="T33" s="55" t="n"/>
      <c r="U33" s="54">
        <f>'S43'!T33</f>
        <v/>
      </c>
      <c r="V33" s="53">
        <f>T33-U33</f>
        <v/>
      </c>
      <c r="W33" s="53">
        <f>N33-T33</f>
        <v/>
      </c>
      <c r="X33" s="34" t="n"/>
    </row>
    <row r="34" ht="22" customHeight="1">
      <c r="B34" s="10" t="n">
        <v>30</v>
      </c>
      <c r="C34" s="6" t="inlineStr">
        <is>
          <t>Sidi Kacem</t>
        </is>
      </c>
      <c r="D34" s="10" t="inlineStr">
        <is>
          <t>NOUIRAT</t>
        </is>
      </c>
      <c r="E34" s="10" t="inlineStr">
        <is>
          <t>50-23</t>
        </is>
      </c>
      <c r="F34" s="10" t="inlineStr">
        <is>
          <t>Entretien et réparation du réseau d'assainissement et de drainage</t>
        </is>
      </c>
      <c r="G34" s="10" t="inlineStr">
        <is>
          <t>Curage des prises sur l’oued, bâche d’aspiration et bassin de régulation.</t>
        </is>
      </c>
      <c r="H34" s="10" t="inlineStr">
        <is>
          <t>Curage des prises sur l’oued de la station de pompage E1.
Nettoyage des grilles de préfiltration des boues colmaté de la station de pompage E1.
Curage de la bâche d’aspiration de la station E1.</t>
        </is>
      </c>
      <c r="I34" s="11" t="n">
        <v>800000</v>
      </c>
      <c r="J34" s="12" t="inlineStr">
        <is>
          <t>ml</t>
        </is>
      </c>
      <c r="K34" s="13" t="n">
        <v>267</v>
      </c>
      <c r="L34" s="51" t="n"/>
      <c r="M34" s="56">
        <f>'S43'!M34+L34</f>
        <v/>
      </c>
      <c r="N34" s="57">
        <f>IFERROR(M34/K34,0)</f>
        <v/>
      </c>
      <c r="O34" s="58">
        <f>'S43'!N34</f>
        <v/>
      </c>
      <c r="P34" s="57">
        <f>N34-O34</f>
        <v/>
      </c>
      <c r="Q34" s="32" t="n"/>
      <c r="R34" s="32" t="n"/>
      <c r="S34" s="32" t="n"/>
      <c r="T34" s="55" t="n"/>
      <c r="U34" s="58">
        <f>'S43'!T34</f>
        <v/>
      </c>
      <c r="V34" s="57">
        <f>T34-U34</f>
        <v/>
      </c>
      <c r="W34" s="57">
        <f>N34-T34</f>
        <v/>
      </c>
      <c r="X34" s="34" t="n"/>
    </row>
    <row r="35" ht="22" customHeight="1">
      <c r="B35" s="5" t="n">
        <v>31</v>
      </c>
      <c r="C35" s="6" t="inlineStr">
        <is>
          <t>Sidi Kacem</t>
        </is>
      </c>
      <c r="D35" s="5" t="inlineStr">
        <is>
          <t>NOUIRAT</t>
        </is>
      </c>
      <c r="E35" s="5" t="inlineStr">
        <is>
          <t>50-21</t>
        </is>
      </c>
      <c r="F35" s="5" t="inlineStr">
        <is>
          <t>Entretien et réparation des stations de pompage</t>
        </is>
      </c>
      <c r="G35" s="5" t="inlineStr">
        <is>
          <t>Prestation de maintenance des débitmètres et leurs équipements annexes installés au niveau des station de pompage</t>
        </is>
      </c>
      <c r="H35" s="5" t="inlineStr">
        <is>
          <t>Changement du débitmètre Ø 1200mm inondé de la station de pompage E1.</t>
        </is>
      </c>
      <c r="I35" s="7" t="n">
        <v>195000</v>
      </c>
      <c r="J35" s="8" t="inlineStr">
        <is>
          <t>U</t>
        </is>
      </c>
      <c r="K35" s="9" t="n">
        <v>2</v>
      </c>
      <c r="L35" s="51" t="n"/>
      <c r="M35" s="52">
        <f>'S43'!M35+L35</f>
        <v/>
      </c>
      <c r="N35" s="53">
        <f>IFERROR(M35/K35,0)</f>
        <v/>
      </c>
      <c r="O35" s="54">
        <f>'S43'!N35</f>
        <v/>
      </c>
      <c r="P35" s="53">
        <f>N35-O35</f>
        <v/>
      </c>
      <c r="Q35" s="32" t="n"/>
      <c r="R35" s="32" t="n"/>
      <c r="S35" s="32" t="n"/>
      <c r="T35" s="55" t="n"/>
      <c r="U35" s="54">
        <f>'S43'!T35</f>
        <v/>
      </c>
      <c r="V35" s="53">
        <f>T35-U35</f>
        <v/>
      </c>
      <c r="W35" s="53">
        <f>N35-T35</f>
        <v/>
      </c>
      <c r="X35" s="34" t="n"/>
    </row>
    <row r="36" ht="22" customHeight="1">
      <c r="B36" s="10" t="n">
        <v>32</v>
      </c>
      <c r="C36" s="6" t="inlineStr">
        <is>
          <t>Sidi Kacem</t>
        </is>
      </c>
      <c r="D36" s="10" t="inlineStr">
        <is>
          <t>NOUIRAT</t>
        </is>
      </c>
      <c r="E36" s="10" t="inlineStr">
        <is>
          <t>50-21</t>
        </is>
      </c>
      <c r="F36" s="10" t="inlineStr">
        <is>
          <t>Entretien et réparation des stations de pompage</t>
        </is>
      </c>
      <c r="G36" s="10" t="inlineStr">
        <is>
          <t>Prestations de maintenance des moteurs électriques des stations de pompage.</t>
        </is>
      </c>
      <c r="H36" s="10" t="inlineStr">
        <is>
          <t>Révision des deux moteurs électriques principaux de la station E1.</t>
        </is>
      </c>
      <c r="I36" s="11" t="n">
        <v>50000</v>
      </c>
      <c r="J36" s="12" t="inlineStr">
        <is>
          <t>U</t>
        </is>
      </c>
      <c r="K36" s="13" t="n">
        <v>2</v>
      </c>
      <c r="L36" s="51" t="n"/>
      <c r="M36" s="56">
        <f>'S43'!M36+L36</f>
        <v/>
      </c>
      <c r="N36" s="57">
        <f>IFERROR(M36/K36,0)</f>
        <v/>
      </c>
      <c r="O36" s="58">
        <f>'S43'!N36</f>
        <v/>
      </c>
      <c r="P36" s="57">
        <f>N36-O36</f>
        <v/>
      </c>
      <c r="Q36" s="32" t="n"/>
      <c r="R36" s="32" t="n"/>
      <c r="S36" s="32" t="n"/>
      <c r="T36" s="55" t="n"/>
      <c r="U36" s="58">
        <f>'S43'!T36</f>
        <v/>
      </c>
      <c r="V36" s="57">
        <f>T36-U36</f>
        <v/>
      </c>
      <c r="W36" s="57">
        <f>N36-T36</f>
        <v/>
      </c>
      <c r="X36" s="34" t="n"/>
    </row>
    <row r="37" ht="22" customHeight="1">
      <c r="B37" s="5" t="n">
        <v>33</v>
      </c>
      <c r="C37" s="6" t="inlineStr">
        <is>
          <t>Sidi Kacem</t>
        </is>
      </c>
      <c r="D37" s="5" t="inlineStr">
        <is>
          <t>NOUIRAT</t>
        </is>
      </c>
      <c r="E37" s="5" t="inlineStr">
        <is>
          <t>50-21</t>
        </is>
      </c>
      <c r="F37" s="5" t="inlineStr">
        <is>
          <t>Entretien et réparation des stations de pompage</t>
        </is>
      </c>
      <c r="G37" s="5" t="inlineStr">
        <is>
          <t>Prestations de maintenance et de réparation mécanique des pompes et des groupes motopompes submersibles des stations de pompage.</t>
        </is>
      </c>
      <c r="H37" s="5" t="inlineStr">
        <is>
          <t>Démontage et expertise des cinq pompes principaux et pompes a vide de la station E1.
Changement des roulements, tresses et organes d’effectués de la station E1.</t>
        </is>
      </c>
      <c r="I37" s="7" t="n">
        <v>245000</v>
      </c>
      <c r="J37" s="8" t="inlineStr">
        <is>
          <t>U</t>
        </is>
      </c>
      <c r="K37" s="9" t="n">
        <v>5</v>
      </c>
      <c r="L37" s="51" t="n"/>
      <c r="M37" s="52">
        <f>'S43'!M37+L37</f>
        <v/>
      </c>
      <c r="N37" s="53">
        <f>IFERROR(M37/K37,0)</f>
        <v/>
      </c>
      <c r="O37" s="54">
        <f>'S43'!N37</f>
        <v/>
      </c>
      <c r="P37" s="53">
        <f>N37-O37</f>
        <v/>
      </c>
      <c r="Q37" s="32" t="n"/>
      <c r="R37" s="32" t="n"/>
      <c r="S37" s="32" t="n"/>
      <c r="T37" s="55" t="n"/>
      <c r="U37" s="54">
        <f>'S43'!T37</f>
        <v/>
      </c>
      <c r="V37" s="53">
        <f>T37-U37</f>
        <v/>
      </c>
      <c r="W37" s="53">
        <f>N37-T37</f>
        <v/>
      </c>
      <c r="X37" s="34" t="n"/>
    </row>
    <row r="38" ht="22" customHeight="1">
      <c r="B38" s="10" t="n">
        <v>34</v>
      </c>
      <c r="C38" s="6" t="inlineStr">
        <is>
          <t>Sidi Kacem</t>
        </is>
      </c>
      <c r="D38" s="10" t="inlineStr">
        <is>
          <t>NOUIRAT</t>
        </is>
      </c>
      <c r="E38" s="10" t="inlineStr">
        <is>
          <t>50-21</t>
        </is>
      </c>
      <c r="F38" s="10" t="inlineStr">
        <is>
          <t>Entretien et réparation des stations de pompage</t>
        </is>
      </c>
      <c r="G38" s="10" t="inlineStr">
        <is>
          <t>Génie civile des locaux des stations de pompage.</t>
        </is>
      </c>
      <c r="H38" s="10" t="inlineStr">
        <is>
          <t>Expertise d’état et d’étanchéité des locaux pompes, commande, puissance de la station de pompage E1.
Renforcement d’étanchéité des locaux pompe sous niveau des oueds de la station de pompage E1.</t>
        </is>
      </c>
      <c r="I38" s="11" t="n">
        <v>1000000</v>
      </c>
      <c r="J38" s="12" t="inlineStr">
        <is>
          <t>U</t>
        </is>
      </c>
      <c r="K38" s="13" t="n">
        <v>1</v>
      </c>
      <c r="L38" s="51" t="n"/>
      <c r="M38" s="56">
        <f>'S43'!M38+L38</f>
        <v/>
      </c>
      <c r="N38" s="57">
        <f>IFERROR(M38/K38,0)</f>
        <v/>
      </c>
      <c r="O38" s="58">
        <f>'S43'!N38</f>
        <v/>
      </c>
      <c r="P38" s="57">
        <f>N38-O38</f>
        <v/>
      </c>
      <c r="Q38" s="32" t="n"/>
      <c r="R38" s="32" t="n"/>
      <c r="S38" s="32" t="n"/>
      <c r="T38" s="55" t="n"/>
      <c r="U38" s="58">
        <f>'S43'!T38</f>
        <v/>
      </c>
      <c r="V38" s="57">
        <f>T38-U38</f>
        <v/>
      </c>
      <c r="W38" s="57">
        <f>N38-T38</f>
        <v/>
      </c>
      <c r="X38" s="34" t="n"/>
    </row>
    <row r="39" ht="22" customHeight="1">
      <c r="B39" s="5" t="n">
        <v>35</v>
      </c>
      <c r="C39" s="6" t="inlineStr">
        <is>
          <t>Sidi Kacem</t>
        </is>
      </c>
      <c r="D39" s="5" t="inlineStr">
        <is>
          <t>RMILAT</t>
        </is>
      </c>
      <c r="E39" s="5" t="inlineStr">
        <is>
          <t>50-23</t>
        </is>
      </c>
      <c r="F39" s="5" t="inlineStr">
        <is>
          <t>Entretien et réparation du réseau d'assainissement et de drainage</t>
        </is>
      </c>
      <c r="G39" s="5" t="inlineStr">
        <is>
          <t>Travaux de curage des canaux en terre</t>
        </is>
      </c>
      <c r="H39" s="5" t="inlineStr">
        <is>
          <t>Curage des collecteurs d'assainissement des secteurs P7</t>
        </is>
      </c>
      <c r="I39" s="7" t="n">
        <v>5024032</v>
      </c>
      <c r="J39" s="8" t="inlineStr">
        <is>
          <t>ml</t>
        </is>
      </c>
      <c r="K39" s="9" t="n">
        <v>2512</v>
      </c>
      <c r="L39" s="51" t="n"/>
      <c r="M39" s="52">
        <f>'S43'!M39+L39</f>
        <v/>
      </c>
      <c r="N39" s="53">
        <f>IFERROR(M39/K39,0)</f>
        <v/>
      </c>
      <c r="O39" s="54">
        <f>'S43'!N39</f>
        <v/>
      </c>
      <c r="P39" s="53">
        <f>N39-O39</f>
        <v/>
      </c>
      <c r="Q39" s="32" t="n"/>
      <c r="R39" s="32" t="n"/>
      <c r="S39" s="32" t="n"/>
      <c r="T39" s="55" t="n"/>
      <c r="U39" s="54">
        <f>'S43'!T39</f>
        <v/>
      </c>
      <c r="V39" s="53">
        <f>T39-U39</f>
        <v/>
      </c>
      <c r="W39" s="53">
        <f>N39-T39</f>
        <v/>
      </c>
      <c r="X39" s="34" t="n"/>
    </row>
    <row r="40" ht="22" customHeight="1">
      <c r="B40" s="10" t="n">
        <v>36</v>
      </c>
      <c r="C40" s="6" t="inlineStr">
        <is>
          <t>Sidi Kacem</t>
        </is>
      </c>
      <c r="D40" s="10" t="inlineStr">
        <is>
          <t>RMILAT</t>
        </is>
      </c>
      <c r="E40" s="10" t="inlineStr">
        <is>
          <t>40-21</t>
        </is>
      </c>
      <c r="F40" s="10" t="inlineStr">
        <is>
          <t>Travaux de pistes</t>
        </is>
      </c>
      <c r="G40" s="10" t="inlineStr">
        <is>
          <t>Entretien des pistes agricoles</t>
        </is>
      </c>
      <c r="H40" s="10" t="inlineStr">
        <is>
          <t>Entretien des pistes agricoles</t>
        </is>
      </c>
      <c r="I40" s="11" t="n">
        <v>400000</v>
      </c>
      <c r="J40" s="12" t="inlineStr">
        <is>
          <t>km</t>
        </is>
      </c>
      <c r="K40" s="13" t="n">
        <v>1</v>
      </c>
      <c r="L40" s="51" t="n"/>
      <c r="M40" s="56">
        <f>'S43'!M40+L40</f>
        <v/>
      </c>
      <c r="N40" s="57">
        <f>IFERROR(M40/K40,0)</f>
        <v/>
      </c>
      <c r="O40" s="58">
        <f>'S43'!N40</f>
        <v/>
      </c>
      <c r="P40" s="57">
        <f>N40-O40</f>
        <v/>
      </c>
      <c r="Q40" s="32" t="n"/>
      <c r="R40" s="32" t="n"/>
      <c r="S40" s="32" t="n"/>
      <c r="T40" s="55" t="n"/>
      <c r="U40" s="58">
        <f>'S43'!T40</f>
        <v/>
      </c>
      <c r="V40" s="57">
        <f>T40-U40</f>
        <v/>
      </c>
      <c r="W40" s="57">
        <f>N40-T40</f>
        <v/>
      </c>
      <c r="X40" s="34" t="n"/>
    </row>
    <row r="41" ht="22" customHeight="1">
      <c r="B41" s="5" t="n">
        <v>37</v>
      </c>
      <c r="C41" s="6" t="inlineStr">
        <is>
          <t>Sidi Kacem</t>
        </is>
      </c>
      <c r="D41" s="5" t="inlineStr">
        <is>
          <t>SAFSAF</t>
        </is>
      </c>
      <c r="E41" s="5" t="inlineStr">
        <is>
          <t>50-23</t>
        </is>
      </c>
      <c r="F41" s="5" t="inlineStr">
        <is>
          <t>Entretien et réparation du réseau d'assainissement et de drainage</t>
        </is>
      </c>
      <c r="G41" s="5" t="inlineStr">
        <is>
          <t>Travaux de curage des canaux en terre</t>
        </is>
      </c>
      <c r="H41" s="5" t="inlineStr">
        <is>
          <t>Curage des collecteurs d'assainissement des secteurs S7, S9 et S11</t>
        </is>
      </c>
      <c r="I41" s="7" t="n">
        <v>6000000</v>
      </c>
      <c r="J41" s="8" t="inlineStr">
        <is>
          <t>ml</t>
        </is>
      </c>
      <c r="K41" s="9" t="n">
        <v>3000</v>
      </c>
      <c r="L41" s="51" t="n"/>
      <c r="M41" s="52">
        <f>'S43'!M41+L41</f>
        <v/>
      </c>
      <c r="N41" s="53">
        <f>IFERROR(M41/K41,0)</f>
        <v/>
      </c>
      <c r="O41" s="54">
        <f>'S43'!N41</f>
        <v/>
      </c>
      <c r="P41" s="53">
        <f>N41-O41</f>
        <v/>
      </c>
      <c r="Q41" s="32" t="n"/>
      <c r="R41" s="32" t="n"/>
      <c r="S41" s="32" t="n"/>
      <c r="T41" s="55" t="n"/>
      <c r="U41" s="54">
        <f>'S43'!T41</f>
        <v/>
      </c>
      <c r="V41" s="53">
        <f>T41-U41</f>
        <v/>
      </c>
      <c r="W41" s="53">
        <f>N41-T41</f>
        <v/>
      </c>
      <c r="X41" s="34" t="n"/>
    </row>
    <row r="42" ht="22" customHeight="1">
      <c r="B42" s="10" t="n">
        <v>38</v>
      </c>
      <c r="C42" s="6" t="inlineStr">
        <is>
          <t>Sidi Kacem</t>
        </is>
      </c>
      <c r="D42" s="10" t="inlineStr">
        <is>
          <t>SAFSAF</t>
        </is>
      </c>
      <c r="E42" s="10" t="inlineStr">
        <is>
          <t>20-11</t>
        </is>
      </c>
      <c r="F42" s="10" t="inlineStr">
        <is>
          <t>Travaux de réhabilitation des équipements</t>
        </is>
      </c>
      <c r="G42" s="10" t="inlineStr">
        <is>
          <t>Travaux de réhabilitation des canaux portés d'irrigation</t>
        </is>
      </c>
      <c r="H42" s="10" t="inlineStr">
        <is>
          <t>Fourniture et  pose de canaux porté et accessoires du réseau S4 du secteur S11</t>
        </is>
      </c>
      <c r="I42" s="11" t="n">
        <v>232266</v>
      </c>
      <c r="J42" s="12" t="inlineStr">
        <is>
          <t>ml</t>
        </is>
      </c>
      <c r="K42" s="13" t="n">
        <v>77</v>
      </c>
      <c r="L42" s="51" t="n"/>
      <c r="M42" s="56">
        <f>'S43'!M42+L42</f>
        <v/>
      </c>
      <c r="N42" s="57">
        <f>IFERROR(M42/K42,0)</f>
        <v/>
      </c>
      <c r="O42" s="58">
        <f>'S43'!N42</f>
        <v/>
      </c>
      <c r="P42" s="57">
        <f>N42-O42</f>
        <v/>
      </c>
      <c r="Q42" s="32" t="n"/>
      <c r="R42" s="32" t="n"/>
      <c r="S42" s="32" t="n"/>
      <c r="T42" s="55" t="n"/>
      <c r="U42" s="58">
        <f>'S43'!T42</f>
        <v/>
      </c>
      <c r="V42" s="57">
        <f>T42-U42</f>
        <v/>
      </c>
      <c r="W42" s="57">
        <f>N42-T42</f>
        <v/>
      </c>
      <c r="X42" s="34" t="n"/>
    </row>
    <row r="43" ht="22" customHeight="1">
      <c r="B43" s="5" t="n">
        <v>39</v>
      </c>
      <c r="C43" s="6" t="inlineStr">
        <is>
          <t>Sidi Kacem</t>
        </is>
      </c>
      <c r="D43" s="5" t="inlineStr">
        <is>
          <t>SAFSAF</t>
        </is>
      </c>
      <c r="E43" s="5" t="inlineStr">
        <is>
          <t>20-11</t>
        </is>
      </c>
      <c r="F43" s="5" t="inlineStr">
        <is>
          <t>Travaux de réhabilitation des équipements</t>
        </is>
      </c>
      <c r="G43" s="5" t="inlineStr"/>
      <c r="H43" s="5" t="inlineStr">
        <is>
          <t>Recalage des canaux portés du réseau T5S5 du secteur S9</t>
        </is>
      </c>
      <c r="I43" s="7" t="n">
        <v>1055025</v>
      </c>
      <c r="J43" s="8" t="inlineStr">
        <is>
          <t>ml</t>
        </is>
      </c>
      <c r="K43" s="9" t="n">
        <v>352</v>
      </c>
      <c r="L43" s="51" t="n"/>
      <c r="M43" s="52">
        <f>'S43'!M43+L43</f>
        <v/>
      </c>
      <c r="N43" s="53">
        <f>IFERROR(M43/K43,0)</f>
        <v/>
      </c>
      <c r="O43" s="54">
        <f>'S43'!N43</f>
        <v/>
      </c>
      <c r="P43" s="53">
        <f>N43-O43</f>
        <v/>
      </c>
      <c r="Q43" s="32" t="n"/>
      <c r="R43" s="32" t="n"/>
      <c r="S43" s="32" t="n"/>
      <c r="T43" s="55" t="n"/>
      <c r="U43" s="54">
        <f>'S43'!T43</f>
        <v/>
      </c>
      <c r="V43" s="53">
        <f>T43-U43</f>
        <v/>
      </c>
      <c r="W43" s="53">
        <f>N43-T43</f>
        <v/>
      </c>
      <c r="X43" s="34" t="n"/>
    </row>
    <row r="44" ht="22" customHeight="1">
      <c r="B44" s="10" t="n">
        <v>40</v>
      </c>
      <c r="C44" s="6" t="inlineStr">
        <is>
          <t>Sidi Kacem</t>
        </is>
      </c>
      <c r="D44" s="10" t="inlineStr">
        <is>
          <t>SAFSAF</t>
        </is>
      </c>
      <c r="E44" s="10" t="inlineStr">
        <is>
          <t>20-11</t>
        </is>
      </c>
      <c r="F44" s="10" t="inlineStr">
        <is>
          <t>Travaux de réhabilitation des équipements</t>
        </is>
      </c>
      <c r="G44" s="10" t="inlineStr"/>
      <c r="H44" s="10" t="inlineStr">
        <is>
          <t>Recalage des canaux portés du réseau T7S5 du secteur S9</t>
        </is>
      </c>
      <c r="I44" s="11" t="n">
        <v>1004535</v>
      </c>
      <c r="J44" s="12" t="inlineStr">
        <is>
          <t>ml</t>
        </is>
      </c>
      <c r="K44" s="13" t="n">
        <v>335</v>
      </c>
      <c r="L44" s="51" t="n"/>
      <c r="M44" s="56">
        <f>'S43'!M44+L44</f>
        <v/>
      </c>
      <c r="N44" s="57">
        <f>IFERROR(M44/K44,0)</f>
        <v/>
      </c>
      <c r="O44" s="58">
        <f>'S43'!N44</f>
        <v/>
      </c>
      <c r="P44" s="57">
        <f>N44-O44</f>
        <v/>
      </c>
      <c r="Q44" s="32" t="n"/>
      <c r="R44" s="32" t="n"/>
      <c r="S44" s="32" t="n"/>
      <c r="T44" s="55" t="n"/>
      <c r="U44" s="58">
        <f>'S43'!T44</f>
        <v/>
      </c>
      <c r="V44" s="57">
        <f>T44-U44</f>
        <v/>
      </c>
      <c r="W44" s="57">
        <f>N44-T44</f>
        <v/>
      </c>
      <c r="X44" s="34" t="n"/>
    </row>
    <row r="45" ht="22" customHeight="1">
      <c r="B45" s="5" t="n">
        <v>41</v>
      </c>
      <c r="C45" s="6" t="inlineStr">
        <is>
          <t>Sidi Kacem</t>
        </is>
      </c>
      <c r="D45" s="5" t="inlineStr">
        <is>
          <t>SAFSAF</t>
        </is>
      </c>
      <c r="E45" s="5" t="inlineStr">
        <is>
          <t>20-11</t>
        </is>
      </c>
      <c r="F45" s="5" t="inlineStr">
        <is>
          <t>Travaux de réhabilitation des équipements</t>
        </is>
      </c>
      <c r="G45" s="5" t="inlineStr"/>
      <c r="H45" s="5" t="inlineStr">
        <is>
          <t>Recalage des canaux portés du réseau T2S5 du secteur S9</t>
        </is>
      </c>
      <c r="I45" s="7" t="n">
        <v>793830</v>
      </c>
      <c r="J45" s="8" t="inlineStr">
        <is>
          <t>ml</t>
        </is>
      </c>
      <c r="K45" s="9" t="n">
        <v>265</v>
      </c>
      <c r="L45" s="51" t="n"/>
      <c r="M45" s="52">
        <f>'S43'!M45+L45</f>
        <v/>
      </c>
      <c r="N45" s="53">
        <f>IFERROR(M45/K45,0)</f>
        <v/>
      </c>
      <c r="O45" s="54">
        <f>'S43'!N45</f>
        <v/>
      </c>
      <c r="P45" s="53">
        <f>N45-O45</f>
        <v/>
      </c>
      <c r="Q45" s="32" t="n"/>
      <c r="R45" s="32" t="n"/>
      <c r="S45" s="32" t="n"/>
      <c r="T45" s="55" t="n"/>
      <c r="U45" s="54">
        <f>'S43'!T45</f>
        <v/>
      </c>
      <c r="V45" s="53">
        <f>T45-U45</f>
        <v/>
      </c>
      <c r="W45" s="53">
        <f>N45-T45</f>
        <v/>
      </c>
      <c r="X45" s="34" t="n"/>
    </row>
    <row r="46" ht="22" customHeight="1">
      <c r="B46" s="10" t="n">
        <v>42</v>
      </c>
      <c r="C46" s="6" t="inlineStr">
        <is>
          <t>Sidi Kacem</t>
        </is>
      </c>
      <c r="D46" s="10" t="inlineStr">
        <is>
          <t>SAFSAF</t>
        </is>
      </c>
      <c r="E46" s="10" t="inlineStr">
        <is>
          <t>40-21</t>
        </is>
      </c>
      <c r="F46" s="10" t="inlineStr">
        <is>
          <t>Travaux de pistes</t>
        </is>
      </c>
      <c r="G46" s="10" t="inlineStr">
        <is>
          <t>Entretien des pistes agricoles</t>
        </is>
      </c>
      <c r="H46" s="10" t="inlineStr">
        <is>
          <t>Entretien des pistes agricoles</t>
        </is>
      </c>
      <c r="I46" s="11" t="n">
        <v>2000000</v>
      </c>
      <c r="J46" s="12" t="inlineStr">
        <is>
          <t>km</t>
        </is>
      </c>
      <c r="K46" s="13" t="n">
        <v>4</v>
      </c>
      <c r="L46" s="51" t="n"/>
      <c r="M46" s="56">
        <f>'S43'!M46+L46</f>
        <v/>
      </c>
      <c r="N46" s="57">
        <f>IFERROR(M46/K46,0)</f>
        <v/>
      </c>
      <c r="O46" s="58">
        <f>'S43'!N46</f>
        <v/>
      </c>
      <c r="P46" s="57">
        <f>N46-O46</f>
        <v/>
      </c>
      <c r="Q46" s="32" t="n"/>
      <c r="R46" s="32" t="n"/>
      <c r="S46" s="32" t="n"/>
      <c r="T46" s="55" t="n"/>
      <c r="U46" s="58">
        <f>'S43'!T46</f>
        <v/>
      </c>
      <c r="V46" s="57">
        <f>T46-U46</f>
        <v/>
      </c>
      <c r="W46" s="57">
        <f>N46-T46</f>
        <v/>
      </c>
      <c r="X46" s="34" t="n"/>
    </row>
    <row r="47" ht="22" customHeight="1">
      <c r="B47" s="5" t="n">
        <v>43</v>
      </c>
      <c r="C47" s="6" t="inlineStr">
        <is>
          <t>Sidi Kacem</t>
        </is>
      </c>
      <c r="D47" s="5" t="inlineStr">
        <is>
          <t>SAFSAF</t>
        </is>
      </c>
      <c r="E47" s="5" t="inlineStr">
        <is>
          <t>50-23</t>
        </is>
      </c>
      <c r="F47" s="5" t="inlineStr">
        <is>
          <t>Entretien et réparation du réseau d'assainissement et de drainage</t>
        </is>
      </c>
      <c r="G47" s="5" t="inlineStr">
        <is>
          <t>Curage des prises sur l’oued, bâche d’aspiration et bassin de régulation.</t>
        </is>
      </c>
      <c r="H47" s="5" t="inlineStr">
        <is>
          <t>Curage des prises sur l’oued des stations de pompage S11, S9, 7D et 7B.
Nettoyage des grilles de préfiltration des boues colmaté des stations de pompage S11, S9, 7D et 7B.
Nettoyage des crépines des boues colmaté de station pompage 7D.
Curage des dalots et bâche d’aspiration des stations de pompage S11, S9, 7B.</t>
        </is>
      </c>
      <c r="I47" s="7" t="n">
        <v>200000</v>
      </c>
      <c r="J47" s="8" t="inlineStr">
        <is>
          <t>ml</t>
        </is>
      </c>
      <c r="K47" s="9" t="n">
        <v>67</v>
      </c>
      <c r="L47" s="51" t="n"/>
      <c r="M47" s="52">
        <f>'S43'!M47+L47</f>
        <v/>
      </c>
      <c r="N47" s="53">
        <f>IFERROR(M47/K47,0)</f>
        <v/>
      </c>
      <c r="O47" s="54">
        <f>'S43'!N47</f>
        <v/>
      </c>
      <c r="P47" s="53">
        <f>N47-O47</f>
        <v/>
      </c>
      <c r="Q47" s="32" t="n"/>
      <c r="R47" s="32" t="n"/>
      <c r="S47" s="32" t="n"/>
      <c r="T47" s="55" t="n"/>
      <c r="U47" s="54">
        <f>'S43'!T47</f>
        <v/>
      </c>
      <c r="V47" s="53">
        <f>T47-U47</f>
        <v/>
      </c>
      <c r="W47" s="53">
        <f>N47-T47</f>
        <v/>
      </c>
      <c r="X47" s="34" t="n"/>
    </row>
    <row r="48" ht="22" customHeight="1">
      <c r="B48" s="10" t="n">
        <v>44</v>
      </c>
      <c r="C48" s="6" t="inlineStr">
        <is>
          <t>Sidi Kacem</t>
        </is>
      </c>
      <c r="D48" s="10" t="inlineStr">
        <is>
          <t>SAFSAF</t>
        </is>
      </c>
      <c r="E48" s="10" t="inlineStr">
        <is>
          <t>50-21</t>
        </is>
      </c>
      <c r="F48" s="10" t="inlineStr">
        <is>
          <t>Entretien et réparation des stations de pompage</t>
        </is>
      </c>
      <c r="G48" s="10" t="inlineStr">
        <is>
          <t>Prestation de maintenance des débitmètres et leurs équipements annexes installés au niveau des station de pompage</t>
        </is>
      </c>
      <c r="H48" s="10" t="inlineStr">
        <is>
          <t>Changements Sept des débitmètres Ø 600mm inondé des deux stations de pompage S11 et S9.</t>
        </is>
      </c>
      <c r="I48" s="11" t="n">
        <v>580000</v>
      </c>
      <c r="J48" s="12" t="inlineStr">
        <is>
          <t>U</t>
        </is>
      </c>
      <c r="K48" s="13" t="n">
        <v>7</v>
      </c>
      <c r="L48" s="51" t="n"/>
      <c r="M48" s="56">
        <f>'S43'!M48+L48</f>
        <v/>
      </c>
      <c r="N48" s="57">
        <f>IFERROR(M48/K48,0)</f>
        <v/>
      </c>
      <c r="O48" s="58">
        <f>'S43'!N48</f>
        <v/>
      </c>
      <c r="P48" s="57">
        <f>N48-O48</f>
        <v/>
      </c>
      <c r="Q48" s="32" t="n"/>
      <c r="R48" s="32" t="n"/>
      <c r="S48" s="32" t="n"/>
      <c r="T48" s="55" t="n"/>
      <c r="U48" s="58">
        <f>'S43'!T48</f>
        <v/>
      </c>
      <c r="V48" s="57">
        <f>T48-U48</f>
        <v/>
      </c>
      <c r="W48" s="57">
        <f>N48-T48</f>
        <v/>
      </c>
      <c r="X48" s="34" t="n"/>
    </row>
    <row r="49" ht="22" customHeight="1">
      <c r="B49" s="5" t="n">
        <v>45</v>
      </c>
      <c r="C49" s="6" t="inlineStr">
        <is>
          <t>Sidi Kacem</t>
        </is>
      </c>
      <c r="D49" s="5" t="inlineStr">
        <is>
          <t>SAFSAF</t>
        </is>
      </c>
      <c r="E49" s="5" t="inlineStr">
        <is>
          <t>50-21</t>
        </is>
      </c>
      <c r="F49" s="5" t="inlineStr">
        <is>
          <t>Entretien et réparation des stations de pompage</t>
        </is>
      </c>
      <c r="G49" s="5" t="inlineStr">
        <is>
          <t>Stabilisation Berge oued</t>
        </is>
      </c>
      <c r="H49" s="5" t="inlineStr">
        <is>
          <t>Pose de murs en gabions et recouvrement du talus par matelas Reno des stations de pompage S11, S9, 7D et 7B .</t>
        </is>
      </c>
      <c r="I49" s="7" t="n">
        <v>4000000</v>
      </c>
      <c r="J49" s="8" t="inlineStr">
        <is>
          <t>m³</t>
        </is>
      </c>
      <c r="K49" s="9" t="n">
        <v>2667</v>
      </c>
      <c r="L49" s="51" t="n"/>
      <c r="M49" s="52">
        <f>'S43'!M49+L49</f>
        <v/>
      </c>
      <c r="N49" s="53">
        <f>IFERROR(M49/K49,0)</f>
        <v/>
      </c>
      <c r="O49" s="54">
        <f>'S43'!N49</f>
        <v/>
      </c>
      <c r="P49" s="53">
        <f>N49-O49</f>
        <v/>
      </c>
      <c r="Q49" s="32" t="n"/>
      <c r="R49" s="32" t="n"/>
      <c r="S49" s="32" t="n"/>
      <c r="T49" s="55" t="n"/>
      <c r="U49" s="54">
        <f>'S43'!T49</f>
        <v/>
      </c>
      <c r="V49" s="53">
        <f>T49-U49</f>
        <v/>
      </c>
      <c r="W49" s="53">
        <f>N49-T49</f>
        <v/>
      </c>
      <c r="X49" s="34" t="n"/>
    </row>
    <row r="50" ht="22" customHeight="1">
      <c r="B50" s="10" t="n">
        <v>46</v>
      </c>
      <c r="C50" s="6" t="inlineStr">
        <is>
          <t>Sidi Kacem</t>
        </is>
      </c>
      <c r="D50" s="10" t="inlineStr">
        <is>
          <t>SIDI AZZOUZ</t>
        </is>
      </c>
      <c r="E50" s="10" t="inlineStr">
        <is>
          <t>40-21</t>
        </is>
      </c>
      <c r="F50" s="10" t="inlineStr">
        <is>
          <t>Travaux de pistes</t>
        </is>
      </c>
      <c r="G50" s="10" t="inlineStr">
        <is>
          <t>Entretien des pistes agricoles</t>
        </is>
      </c>
      <c r="H50" s="10" t="inlineStr">
        <is>
          <t>Entretien des pistes agricoles</t>
        </is>
      </c>
      <c r="I50" s="11" t="n">
        <v>655000</v>
      </c>
      <c r="J50" s="12" t="inlineStr">
        <is>
          <t>km</t>
        </is>
      </c>
      <c r="K50" s="13" t="n">
        <v>1</v>
      </c>
      <c r="L50" s="51" t="n"/>
      <c r="M50" s="56">
        <f>'S43'!M50+L50</f>
        <v/>
      </c>
      <c r="N50" s="57">
        <f>IFERROR(M50/K50,0)</f>
        <v/>
      </c>
      <c r="O50" s="58">
        <f>'S43'!N50</f>
        <v/>
      </c>
      <c r="P50" s="57">
        <f>N50-O50</f>
        <v/>
      </c>
      <c r="Q50" s="32" t="n"/>
      <c r="R50" s="32" t="n"/>
      <c r="S50" s="32" t="n"/>
      <c r="T50" s="55" t="n"/>
      <c r="U50" s="58">
        <f>'S43'!T50</f>
        <v/>
      </c>
      <c r="V50" s="57">
        <f>T50-U50</f>
        <v/>
      </c>
      <c r="W50" s="57">
        <f>N50-T50</f>
        <v/>
      </c>
      <c r="X50" s="34" t="n"/>
    </row>
    <row r="51" ht="22" customHeight="1">
      <c r="B51" s="5" t="n">
        <v>47</v>
      </c>
      <c r="C51" s="6" t="inlineStr">
        <is>
          <t>Sidi Kacem</t>
        </is>
      </c>
      <c r="D51" s="5" t="inlineStr">
        <is>
          <t>SIDI EL KAMEL</t>
        </is>
      </c>
      <c r="E51" s="5" t="inlineStr">
        <is>
          <t>20-11</t>
        </is>
      </c>
      <c r="F51" s="5" t="inlineStr">
        <is>
          <t>Travaux de réhabilitation des équipements</t>
        </is>
      </c>
      <c r="G51" s="5" t="inlineStr">
        <is>
          <t>Travaux de réhabilitation des canaux portés d'irrigation</t>
        </is>
      </c>
      <c r="H51" s="5" t="inlineStr">
        <is>
          <t>Fourniture et de pose de canaux porté et accessoires du réseau SR4 du secteur S3R</t>
        </is>
      </c>
      <c r="I51" s="7" t="n">
        <v>5182920</v>
      </c>
      <c r="J51" s="8" t="inlineStr">
        <is>
          <t>ml</t>
        </is>
      </c>
      <c r="K51" s="9" t="n">
        <v>1728</v>
      </c>
      <c r="L51" s="51" t="n"/>
      <c r="M51" s="52">
        <f>'S43'!M51+L51</f>
        <v/>
      </c>
      <c r="N51" s="53">
        <f>IFERROR(M51/K51,0)</f>
        <v/>
      </c>
      <c r="O51" s="54">
        <f>'S43'!N51</f>
        <v/>
      </c>
      <c r="P51" s="53">
        <f>N51-O51</f>
        <v/>
      </c>
      <c r="Q51" s="32" t="n"/>
      <c r="R51" s="32" t="n"/>
      <c r="S51" s="32" t="n"/>
      <c r="T51" s="55" t="n"/>
      <c r="U51" s="54">
        <f>'S43'!T51</f>
        <v/>
      </c>
      <c r="V51" s="53">
        <f>T51-U51</f>
        <v/>
      </c>
      <c r="W51" s="53">
        <f>N51-T51</f>
        <v/>
      </c>
      <c r="X51" s="34" t="n"/>
    </row>
    <row r="52" ht="22" customHeight="1">
      <c r="B52" s="10" t="n">
        <v>48</v>
      </c>
      <c r="C52" s="6" t="inlineStr">
        <is>
          <t>Sidi Kacem</t>
        </is>
      </c>
      <c r="D52" s="10" t="inlineStr">
        <is>
          <t>SIDI EL KAMEL</t>
        </is>
      </c>
      <c r="E52" s="10" t="inlineStr">
        <is>
          <t>20-11</t>
        </is>
      </c>
      <c r="F52" s="10" t="inlineStr">
        <is>
          <t>Travaux de réhabilitation des équipements</t>
        </is>
      </c>
      <c r="G52" s="10" t="inlineStr"/>
      <c r="H52" s="10" t="inlineStr">
        <is>
          <t>Fourniture et de pose de canaux porté et accessoires du réseau SR6 du secteur S1RIZ</t>
        </is>
      </c>
      <c r="I52" s="11" t="n">
        <v>152818</v>
      </c>
      <c r="J52" s="12" t="inlineStr">
        <is>
          <t>ml</t>
        </is>
      </c>
      <c r="K52" s="13" t="n">
        <v>51</v>
      </c>
      <c r="L52" s="51" t="n"/>
      <c r="M52" s="56">
        <f>'S43'!M52+L52</f>
        <v/>
      </c>
      <c r="N52" s="57">
        <f>IFERROR(M52/K52,0)</f>
        <v/>
      </c>
      <c r="O52" s="58">
        <f>'S43'!N52</f>
        <v/>
      </c>
      <c r="P52" s="57">
        <f>N52-O52</f>
        <v/>
      </c>
      <c r="Q52" s="32" t="n"/>
      <c r="R52" s="32" t="n"/>
      <c r="S52" s="32" t="n"/>
      <c r="T52" s="55" t="n"/>
      <c r="U52" s="58">
        <f>'S43'!T52</f>
        <v/>
      </c>
      <c r="V52" s="57">
        <f>T52-U52</f>
        <v/>
      </c>
      <c r="W52" s="57">
        <f>N52-T52</f>
        <v/>
      </c>
      <c r="X52" s="34" t="n"/>
    </row>
    <row r="53" ht="22" customHeight="1">
      <c r="B53" s="5" t="n">
        <v>49</v>
      </c>
      <c r="C53" s="6" t="inlineStr">
        <is>
          <t>Sidi Kacem</t>
        </is>
      </c>
      <c r="D53" s="5" t="inlineStr">
        <is>
          <t>SIDI EL KAMEL</t>
        </is>
      </c>
      <c r="E53" s="5" t="inlineStr">
        <is>
          <t>20-11</t>
        </is>
      </c>
      <c r="F53" s="5" t="inlineStr">
        <is>
          <t>Travaux de réhabilitation des équipements</t>
        </is>
      </c>
      <c r="G53" s="5" t="inlineStr"/>
      <c r="H53" s="5" t="inlineStr">
        <is>
          <t>Recalage des canaux portés du réseau SR4 du secteur S3R</t>
        </is>
      </c>
      <c r="I53" s="7" t="n">
        <v>1418000</v>
      </c>
      <c r="J53" s="8" t="inlineStr">
        <is>
          <t>ml</t>
        </is>
      </c>
      <c r="K53" s="9" t="n">
        <v>473</v>
      </c>
      <c r="L53" s="51" t="n"/>
      <c r="M53" s="52">
        <f>'S43'!M53+L53</f>
        <v/>
      </c>
      <c r="N53" s="53">
        <f>IFERROR(M53/K53,0)</f>
        <v/>
      </c>
      <c r="O53" s="54">
        <f>'S43'!N53</f>
        <v/>
      </c>
      <c r="P53" s="53">
        <f>N53-O53</f>
        <v/>
      </c>
      <c r="Q53" s="32" t="n"/>
      <c r="R53" s="32" t="n"/>
      <c r="S53" s="32" t="n"/>
      <c r="T53" s="55" t="n"/>
      <c r="U53" s="54">
        <f>'S43'!T53</f>
        <v/>
      </c>
      <c r="V53" s="53">
        <f>T53-U53</f>
        <v/>
      </c>
      <c r="W53" s="53">
        <f>N53-T53</f>
        <v/>
      </c>
      <c r="X53" s="34" t="n"/>
    </row>
    <row r="54" ht="22" customHeight="1">
      <c r="B54" s="10" t="n">
        <v>50</v>
      </c>
      <c r="C54" s="6" t="inlineStr">
        <is>
          <t>Sidi Kacem</t>
        </is>
      </c>
      <c r="D54" s="10" t="inlineStr">
        <is>
          <t>SIDI EL KAMEL</t>
        </is>
      </c>
      <c r="E54" s="10" t="inlineStr">
        <is>
          <t>20-11</t>
        </is>
      </c>
      <c r="F54" s="10" t="inlineStr">
        <is>
          <t>Travaux de réhabilitation des équipements</t>
        </is>
      </c>
      <c r="G54" s="10" t="inlineStr">
        <is>
          <t>Travaux de réhabilitation des ouvrages de génie civil</t>
        </is>
      </c>
      <c r="H54" s="10" t="inlineStr">
        <is>
          <t>Réhabilitation des murs de soutènements des ouvrages de franchissements du canal d'assainissement CS3 secteur S3 et de l’ouvrage de franchissement du canal primaire d’irrigation du secteur S1R au niveau de la route provinciale P4234</t>
        </is>
      </c>
      <c r="I54" s="11" t="n">
        <v>800000</v>
      </c>
      <c r="J54" s="12" t="inlineStr">
        <is>
          <t>ml</t>
        </is>
      </c>
      <c r="K54" s="13" t="n">
        <v>400</v>
      </c>
      <c r="L54" s="51" t="n"/>
      <c r="M54" s="56">
        <f>'S43'!M54+L54</f>
        <v/>
      </c>
      <c r="N54" s="57">
        <f>IFERROR(M54/K54,0)</f>
        <v/>
      </c>
      <c r="O54" s="58">
        <f>'S43'!N54</f>
        <v/>
      </c>
      <c r="P54" s="57">
        <f>N54-O54</f>
        <v/>
      </c>
      <c r="Q54" s="32" t="n"/>
      <c r="R54" s="32" t="n"/>
      <c r="S54" s="32" t="n"/>
      <c r="T54" s="55" t="n"/>
      <c r="U54" s="58">
        <f>'S43'!T54</f>
        <v/>
      </c>
      <c r="V54" s="57">
        <f>T54-U54</f>
        <v/>
      </c>
      <c r="W54" s="57">
        <f>N54-T54</f>
        <v/>
      </c>
      <c r="X54" s="34" t="n"/>
    </row>
    <row r="55" ht="22" customHeight="1">
      <c r="B55" s="5" t="n">
        <v>51</v>
      </c>
      <c r="C55" s="6" t="inlineStr">
        <is>
          <t>Sidi Kacem</t>
        </is>
      </c>
      <c r="D55" s="5" t="inlineStr">
        <is>
          <t>SIDI EL KAMEL</t>
        </is>
      </c>
      <c r="E55" s="5" t="inlineStr">
        <is>
          <t>40-21</t>
        </is>
      </c>
      <c r="F55" s="5" t="inlineStr">
        <is>
          <t>Travaux de pistes</t>
        </is>
      </c>
      <c r="G55" s="5" t="inlineStr">
        <is>
          <t>Entretien des pistes agricoles</t>
        </is>
      </c>
      <c r="H55" s="5" t="inlineStr">
        <is>
          <t>Entretien des pistes agricoles</t>
        </is>
      </c>
      <c r="I55" s="7" t="n">
        <v>3700000</v>
      </c>
      <c r="J55" s="8" t="inlineStr">
        <is>
          <t>km</t>
        </is>
      </c>
      <c r="K55" s="9" t="n">
        <v>7</v>
      </c>
      <c r="L55" s="51" t="n"/>
      <c r="M55" s="52">
        <f>'S43'!M55+L55</f>
        <v/>
      </c>
      <c r="N55" s="53">
        <f>IFERROR(M55/K55,0)</f>
        <v/>
      </c>
      <c r="O55" s="54">
        <f>'S43'!N55</f>
        <v/>
      </c>
      <c r="P55" s="53">
        <f>N55-O55</f>
        <v/>
      </c>
      <c r="Q55" s="32" t="n"/>
      <c r="R55" s="32" t="n"/>
      <c r="S55" s="32" t="n"/>
      <c r="T55" s="55" t="n"/>
      <c r="U55" s="54">
        <f>'S43'!T55</f>
        <v/>
      </c>
      <c r="V55" s="53">
        <f>T55-U55</f>
        <v/>
      </c>
      <c r="W55" s="53">
        <f>N55-T55</f>
        <v/>
      </c>
      <c r="X55" s="34" t="n"/>
    </row>
    <row r="56" ht="22" customHeight="1">
      <c r="B56" s="10" t="n">
        <v>52</v>
      </c>
      <c r="C56" s="6" t="inlineStr">
        <is>
          <t>Sidi Kacem</t>
        </is>
      </c>
      <c r="D56" s="10" t="inlineStr">
        <is>
          <t>SIDI EL KAMEL</t>
        </is>
      </c>
      <c r="E56" s="10" t="inlineStr">
        <is>
          <t>50-21</t>
        </is>
      </c>
      <c r="F56" s="10" t="inlineStr">
        <is>
          <t>Entretien et réparation des stations de pompage</t>
        </is>
      </c>
      <c r="G56" s="10" t="inlineStr">
        <is>
          <t>Prestation de maintenance des débitmètres et leurs équipements annexes installés au niveau des station de pompage</t>
        </is>
      </c>
      <c r="H56" s="10" t="inlineStr">
        <is>
          <t>Changement de quatre débitmètres Ø 500mm et trois Ø 800mm inondé des stations de pompage 1R, 3R et 5R.</t>
        </is>
      </c>
      <c r="I56" s="11" t="n">
        <v>705000</v>
      </c>
      <c r="J56" s="12" t="inlineStr">
        <is>
          <t>U</t>
        </is>
      </c>
      <c r="K56" s="13" t="n">
        <v>3</v>
      </c>
      <c r="L56" s="51" t="n"/>
      <c r="M56" s="56">
        <f>'S43'!M56+L56</f>
        <v/>
      </c>
      <c r="N56" s="57">
        <f>IFERROR(M56/K56,0)</f>
        <v/>
      </c>
      <c r="O56" s="58">
        <f>'S43'!N56</f>
        <v/>
      </c>
      <c r="P56" s="57">
        <f>N56-O56</f>
        <v/>
      </c>
      <c r="Q56" s="32" t="n"/>
      <c r="R56" s="32" t="n"/>
      <c r="S56" s="32" t="n"/>
      <c r="T56" s="55" t="n"/>
      <c r="U56" s="58">
        <f>'S43'!T56</f>
        <v/>
      </c>
      <c r="V56" s="57">
        <f>T56-U56</f>
        <v/>
      </c>
      <c r="W56" s="57">
        <f>N56-T56</f>
        <v/>
      </c>
      <c r="X56" s="34" t="n"/>
    </row>
    <row r="57" ht="22" customHeight="1">
      <c r="B57" s="5" t="n">
        <v>53</v>
      </c>
      <c r="C57" s="6" t="inlineStr">
        <is>
          <t>Sidi Kacem</t>
        </is>
      </c>
      <c r="D57" s="5" t="inlineStr">
        <is>
          <t>SIDI EL KAMEL</t>
        </is>
      </c>
      <c r="E57" s="5" t="inlineStr">
        <is>
          <t>50-21</t>
        </is>
      </c>
      <c r="F57" s="5" t="inlineStr">
        <is>
          <t>Entretien et réparation des stations de pompage</t>
        </is>
      </c>
      <c r="G57" s="5" t="inlineStr">
        <is>
          <t>Mur clôture des stations de pompage.</t>
        </is>
      </c>
      <c r="H57" s="5" t="inlineStr">
        <is>
          <t>Stabilisation et reconstruction des murs clôture cote oued des stations de pompage 7A, 3R et 1R.</t>
        </is>
      </c>
      <c r="I57" s="7" t="n">
        <v>372000</v>
      </c>
      <c r="J57" s="8" t="inlineStr">
        <is>
          <t>ml</t>
        </is>
      </c>
      <c r="K57" s="9" t="n">
        <v>124</v>
      </c>
      <c r="L57" s="51" t="n"/>
      <c r="M57" s="52">
        <f>'S43'!M57+L57</f>
        <v/>
      </c>
      <c r="N57" s="53">
        <f>IFERROR(M57/K57,0)</f>
        <v/>
      </c>
      <c r="O57" s="54">
        <f>'S43'!N57</f>
        <v/>
      </c>
      <c r="P57" s="53">
        <f>N57-O57</f>
        <v/>
      </c>
      <c r="Q57" s="32" t="n"/>
      <c r="R57" s="32" t="n"/>
      <c r="S57" s="32" t="n"/>
      <c r="T57" s="55" t="n"/>
      <c r="U57" s="54">
        <f>'S43'!T57</f>
        <v/>
      </c>
      <c r="V57" s="53">
        <f>T57-U57</f>
        <v/>
      </c>
      <c r="W57" s="53">
        <f>N57-T57</f>
        <v/>
      </c>
      <c r="X57" s="34" t="n"/>
    </row>
    <row r="58" ht="22" customHeight="1">
      <c r="B58" s="10" t="n">
        <v>54</v>
      </c>
      <c r="C58" s="14" t="inlineStr">
        <is>
          <t>Kénitra</t>
        </is>
      </c>
      <c r="D58" s="10" t="inlineStr">
        <is>
          <t>Bni malek</t>
        </is>
      </c>
      <c r="E58" s="10" t="inlineStr">
        <is>
          <t>50-23</t>
        </is>
      </c>
      <c r="F58" s="10" t="inlineStr">
        <is>
          <t>Entretien et réparation du réseau d'assainissement et de drainage</t>
        </is>
      </c>
      <c r="G58" s="10" t="inlineStr">
        <is>
          <t>Travaux de curage des canaux en terre</t>
        </is>
      </c>
      <c r="H58" s="10" t="inlineStr">
        <is>
          <t>Curage des emissaires et colatures secondaire au niveau des secteurs MDA ET N9</t>
        </is>
      </c>
      <c r="I58" s="11" t="n">
        <v>10000000</v>
      </c>
      <c r="J58" s="12" t="inlineStr">
        <is>
          <t>ml</t>
        </is>
      </c>
      <c r="K58" s="13" t="n">
        <v>5000</v>
      </c>
      <c r="L58" s="51" t="n"/>
      <c r="M58" s="56">
        <f>'S43'!M58+L58</f>
        <v/>
      </c>
      <c r="N58" s="57">
        <f>IFERROR(M58/K58,0)</f>
        <v/>
      </c>
      <c r="O58" s="58">
        <f>'S43'!N58</f>
        <v/>
      </c>
      <c r="P58" s="57">
        <f>N58-O58</f>
        <v/>
      </c>
      <c r="Q58" s="32" t="n"/>
      <c r="R58" s="32" t="n"/>
      <c r="S58" s="32" t="n"/>
      <c r="T58" s="55" t="n"/>
      <c r="U58" s="58">
        <f>'S43'!T58</f>
        <v/>
      </c>
      <c r="V58" s="57">
        <f>T58-U58</f>
        <v/>
      </c>
      <c r="W58" s="57">
        <f>N58-T58</f>
        <v/>
      </c>
      <c r="X58" s="34" t="n"/>
    </row>
    <row r="59" ht="22" customHeight="1">
      <c r="B59" s="5" t="n">
        <v>55</v>
      </c>
      <c r="C59" s="14" t="inlineStr">
        <is>
          <t>Kénitra</t>
        </is>
      </c>
      <c r="D59" s="5" t="inlineStr">
        <is>
          <t>Bni malek</t>
        </is>
      </c>
      <c r="E59" s="5" t="inlineStr">
        <is>
          <t>40-21</t>
        </is>
      </c>
      <c r="F59" s="5" t="inlineStr">
        <is>
          <t>Travaux de pistes</t>
        </is>
      </c>
      <c r="G59" s="5" t="inlineStr">
        <is>
          <t>Travaux de réhabilitation des pistes agricoles</t>
        </is>
      </c>
      <c r="H59" s="5" t="inlineStr">
        <is>
          <t>Entretien des pistes agricoles des secteurs MDA et N3</t>
        </is>
      </c>
      <c r="I59" s="7" t="n">
        <v>2000000</v>
      </c>
      <c r="J59" s="8" t="inlineStr">
        <is>
          <t>km</t>
        </is>
      </c>
      <c r="K59" s="9" t="n">
        <v>4</v>
      </c>
      <c r="L59" s="51" t="n"/>
      <c r="M59" s="52">
        <f>'S43'!M59+L59</f>
        <v/>
      </c>
      <c r="N59" s="53">
        <f>IFERROR(M59/K59,0)</f>
        <v/>
      </c>
      <c r="O59" s="54">
        <f>'S43'!N59</f>
        <v/>
      </c>
      <c r="P59" s="53">
        <f>N59-O59</f>
        <v/>
      </c>
      <c r="Q59" s="32" t="n"/>
      <c r="R59" s="32" t="n"/>
      <c r="S59" s="32" t="n"/>
      <c r="T59" s="55" t="n"/>
      <c r="U59" s="54">
        <f>'S43'!T59</f>
        <v/>
      </c>
      <c r="V59" s="53">
        <f>T59-U59</f>
        <v/>
      </c>
      <c r="W59" s="53">
        <f>N59-T59</f>
        <v/>
      </c>
      <c r="X59" s="34" t="n"/>
    </row>
    <row r="60" ht="22" customHeight="1">
      <c r="B60" s="10" t="n">
        <v>56</v>
      </c>
      <c r="C60" s="14" t="inlineStr">
        <is>
          <t>Kénitra</t>
        </is>
      </c>
      <c r="D60" s="10" t="inlineStr">
        <is>
          <t>Bni malek</t>
        </is>
      </c>
      <c r="E60" s="10" t="inlineStr">
        <is>
          <t>50-21</t>
        </is>
      </c>
      <c r="F60" s="10" t="inlineStr">
        <is>
          <t>Entretien et réparation des stations de pompage</t>
        </is>
      </c>
      <c r="G60" s="10" t="inlineStr">
        <is>
          <t>Prestations de maintenance et de réparation mécanique des pompes et des groupes motopompes submersibles des stations de pompage.</t>
        </is>
      </c>
      <c r="H60" s="10" t="inlineStr">
        <is>
          <t>station de pompage MDA secteur MDA</t>
        </is>
      </c>
      <c r="I60" s="11" t="n">
        <v>300000</v>
      </c>
      <c r="J60" s="12" t="inlineStr">
        <is>
          <t>U</t>
        </is>
      </c>
      <c r="K60" s="13" t="n">
        <v>1</v>
      </c>
      <c r="L60" s="51" t="n"/>
      <c r="M60" s="56">
        <f>'S43'!M60+L60</f>
        <v/>
      </c>
      <c r="N60" s="57">
        <f>IFERROR(M60/K60,0)</f>
        <v/>
      </c>
      <c r="O60" s="58">
        <f>'S43'!N60</f>
        <v/>
      </c>
      <c r="P60" s="57">
        <f>N60-O60</f>
        <v/>
      </c>
      <c r="Q60" s="32" t="n"/>
      <c r="R60" s="32" t="n"/>
      <c r="S60" s="32" t="n"/>
      <c r="T60" s="55" t="n"/>
      <c r="U60" s="58">
        <f>'S43'!T60</f>
        <v/>
      </c>
      <c r="V60" s="57">
        <f>T60-U60</f>
        <v/>
      </c>
      <c r="W60" s="57">
        <f>N60-T60</f>
        <v/>
      </c>
      <c r="X60" s="34" t="n"/>
    </row>
    <row r="61" ht="22" customHeight="1">
      <c r="B61" s="5" t="n">
        <v>57</v>
      </c>
      <c r="C61" s="14" t="inlineStr">
        <is>
          <t>Kénitra</t>
        </is>
      </c>
      <c r="D61" s="5" t="inlineStr">
        <is>
          <t>Bni malek</t>
        </is>
      </c>
      <c r="E61" s="5" t="inlineStr">
        <is>
          <t>20-11</t>
        </is>
      </c>
      <c r="F61" s="5" t="inlineStr">
        <is>
          <t>Travaux de réhabilitation des équipements</t>
        </is>
      </c>
      <c r="G61" s="5" t="inlineStr">
        <is>
          <t>Travaux de réhabilitation des ouvrages de génie civil</t>
        </is>
      </c>
      <c r="H61" s="5" t="inlineStr">
        <is>
          <t>Rétablissement des bornes affaissées des secteurs N2 et N3</t>
        </is>
      </c>
      <c r="I61" s="7" t="n">
        <v>100000</v>
      </c>
      <c r="J61" s="8" t="inlineStr">
        <is>
          <t>U</t>
        </is>
      </c>
      <c r="K61" s="9" t="n">
        <v>200</v>
      </c>
      <c r="L61" s="51" t="n"/>
      <c r="M61" s="52">
        <f>'S43'!M61+L61</f>
        <v/>
      </c>
      <c r="N61" s="53">
        <f>IFERROR(M61/K61,0)</f>
        <v/>
      </c>
      <c r="O61" s="54">
        <f>'S43'!N61</f>
        <v/>
      </c>
      <c r="P61" s="53">
        <f>N61-O61</f>
        <v/>
      </c>
      <c r="Q61" s="32" t="n"/>
      <c r="R61" s="32" t="n"/>
      <c r="S61" s="32" t="n"/>
      <c r="T61" s="55" t="n"/>
      <c r="U61" s="54">
        <f>'S43'!T61</f>
        <v/>
      </c>
      <c r="V61" s="53">
        <f>T61-U61</f>
        <v/>
      </c>
      <c r="W61" s="53">
        <f>N61-T61</f>
        <v/>
      </c>
      <c r="X61" s="34" t="n"/>
    </row>
    <row r="62" ht="22" customHeight="1">
      <c r="B62" s="10" t="n">
        <v>58</v>
      </c>
      <c r="C62" s="14" t="inlineStr">
        <is>
          <t>Kénitra</t>
        </is>
      </c>
      <c r="D62" s="10" t="inlineStr">
        <is>
          <t>SOUK TLET</t>
        </is>
      </c>
      <c r="E62" s="10" t="inlineStr">
        <is>
          <t>50-23</t>
        </is>
      </c>
      <c r="F62" s="10" t="inlineStr">
        <is>
          <t>Entretien et réparation du réseau d'assainissement et de drainage</t>
        </is>
      </c>
      <c r="G62" s="10" t="inlineStr">
        <is>
          <t>Travaux de curage des canaux en terre</t>
        </is>
      </c>
      <c r="H62" s="10" t="inlineStr">
        <is>
          <t>curage des emissaires et colatures secondaire au niveau des secteurs N2,N3 ET N4,</t>
        </is>
      </c>
      <c r="I62" s="11" t="n">
        <v>3000000</v>
      </c>
      <c r="J62" s="12" t="inlineStr">
        <is>
          <t>ml</t>
        </is>
      </c>
      <c r="K62" s="13" t="n">
        <v>1500</v>
      </c>
      <c r="L62" s="51" t="n"/>
      <c r="M62" s="56">
        <f>'S43'!M62+L62</f>
        <v/>
      </c>
      <c r="N62" s="57">
        <f>IFERROR(M62/K62,0)</f>
        <v/>
      </c>
      <c r="O62" s="58">
        <f>'S43'!N62</f>
        <v/>
      </c>
      <c r="P62" s="57">
        <f>N62-O62</f>
        <v/>
      </c>
      <c r="Q62" s="32" t="n"/>
      <c r="R62" s="32" t="n"/>
      <c r="S62" s="32" t="n"/>
      <c r="T62" s="55" t="n"/>
      <c r="U62" s="58">
        <f>'S43'!T62</f>
        <v/>
      </c>
      <c r="V62" s="57">
        <f>T62-U62</f>
        <v/>
      </c>
      <c r="W62" s="57">
        <f>N62-T62</f>
        <v/>
      </c>
      <c r="X62" s="34" t="n"/>
    </row>
    <row r="63" ht="22" customHeight="1">
      <c r="B63" s="5" t="n">
        <v>59</v>
      </c>
      <c r="C63" s="14" t="inlineStr">
        <is>
          <t>Kénitra</t>
        </is>
      </c>
      <c r="D63" s="5" t="inlineStr">
        <is>
          <t>SOUK TLET</t>
        </is>
      </c>
      <c r="E63" s="5" t="inlineStr">
        <is>
          <t>40-21</t>
        </is>
      </c>
      <c r="F63" s="5" t="inlineStr">
        <is>
          <t>Travaux de pistes</t>
        </is>
      </c>
      <c r="G63" s="5" t="inlineStr">
        <is>
          <t>Travaux de réhabilitation des pistes agricoles</t>
        </is>
      </c>
      <c r="H63" s="5" t="inlineStr">
        <is>
          <t>Entretien des pistes des secteurs N2,N3,N4 et C4R,</t>
        </is>
      </c>
      <c r="I63" s="7" t="n">
        <v>5000000</v>
      </c>
      <c r="J63" s="8" t="inlineStr">
        <is>
          <t>U</t>
        </is>
      </c>
      <c r="K63" s="9" t="n">
        <v>1</v>
      </c>
      <c r="L63" s="51" t="n"/>
      <c r="M63" s="52">
        <f>'S43'!M63+L63</f>
        <v/>
      </c>
      <c r="N63" s="53">
        <f>IFERROR(M63/K63,0)</f>
        <v/>
      </c>
      <c r="O63" s="54">
        <f>'S43'!N63</f>
        <v/>
      </c>
      <c r="P63" s="53">
        <f>N63-O63</f>
        <v/>
      </c>
      <c r="Q63" s="32" t="n"/>
      <c r="R63" s="32" t="n"/>
      <c r="S63" s="32" t="n"/>
      <c r="T63" s="55" t="n"/>
      <c r="U63" s="54">
        <f>'S43'!T63</f>
        <v/>
      </c>
      <c r="V63" s="53">
        <f>T63-U63</f>
        <v/>
      </c>
      <c r="W63" s="53">
        <f>N63-T63</f>
        <v/>
      </c>
      <c r="X63" s="34" t="n"/>
    </row>
    <row r="64" ht="22" customHeight="1">
      <c r="B64" s="10" t="n">
        <v>60</v>
      </c>
      <c r="C64" s="14" t="inlineStr">
        <is>
          <t>Kénitra</t>
        </is>
      </c>
      <c r="D64" s="10" t="inlineStr">
        <is>
          <t>Sidi Med Lahmar</t>
        </is>
      </c>
      <c r="E64" s="10" t="inlineStr">
        <is>
          <t>50-23</t>
        </is>
      </c>
      <c r="F64" s="10" t="inlineStr">
        <is>
          <t>Entretien et réparation du réseau d'assainissement et de drainage</t>
        </is>
      </c>
      <c r="G64" s="10" t="inlineStr">
        <is>
          <t>Travaux de curage des canaux en terre</t>
        </is>
      </c>
      <c r="H64" s="10" t="inlineStr">
        <is>
          <t>Curage des emissaires et colatures secondaires secteurs N1</t>
        </is>
      </c>
      <c r="I64" s="11" t="n">
        <v>3000000</v>
      </c>
      <c r="J64" s="12" t="inlineStr">
        <is>
          <t>ml</t>
        </is>
      </c>
      <c r="K64" s="13" t="n">
        <v>1500</v>
      </c>
      <c r="L64" s="51" t="n"/>
      <c r="M64" s="56">
        <f>'S43'!M64+L64</f>
        <v/>
      </c>
      <c r="N64" s="57">
        <f>IFERROR(M64/K64,0)</f>
        <v/>
      </c>
      <c r="O64" s="58">
        <f>'S43'!N64</f>
        <v/>
      </c>
      <c r="P64" s="57">
        <f>N64-O64</f>
        <v/>
      </c>
      <c r="Q64" s="32" t="n"/>
      <c r="R64" s="32" t="n"/>
      <c r="S64" s="32" t="n"/>
      <c r="T64" s="55" t="n"/>
      <c r="U64" s="58">
        <f>'S43'!T64</f>
        <v/>
      </c>
      <c r="V64" s="57">
        <f>T64-U64</f>
        <v/>
      </c>
      <c r="W64" s="57">
        <f>N64-T64</f>
        <v/>
      </c>
      <c r="X64" s="34" t="n"/>
    </row>
    <row r="65" ht="22" customHeight="1">
      <c r="B65" s="5" t="n">
        <v>61</v>
      </c>
      <c r="C65" s="14" t="inlineStr">
        <is>
          <t>Kénitra</t>
        </is>
      </c>
      <c r="D65" s="5" t="inlineStr">
        <is>
          <t>Sidi Med Lahmar</t>
        </is>
      </c>
      <c r="E65" s="5" t="inlineStr">
        <is>
          <t>40-21</t>
        </is>
      </c>
      <c r="F65" s="5" t="inlineStr">
        <is>
          <t>Travaux de pistes</t>
        </is>
      </c>
      <c r="G65" s="5" t="inlineStr">
        <is>
          <t>Travaux de réhabilitation des pistes agricoles</t>
        </is>
      </c>
      <c r="H65" s="5" t="inlineStr">
        <is>
          <t>Entretien des pistes agricoles des secteurs N9 et N1</t>
        </is>
      </c>
      <c r="I65" s="7" t="n">
        <v>3000000</v>
      </c>
      <c r="J65" s="8" t="inlineStr">
        <is>
          <t>km</t>
        </is>
      </c>
      <c r="K65" s="9" t="n">
        <v>6</v>
      </c>
      <c r="L65" s="51" t="n"/>
      <c r="M65" s="52">
        <f>'S43'!M65+L65</f>
        <v/>
      </c>
      <c r="N65" s="53">
        <f>IFERROR(M65/K65,0)</f>
        <v/>
      </c>
      <c r="O65" s="54">
        <f>'S43'!N65</f>
        <v/>
      </c>
      <c r="P65" s="53">
        <f>N65-O65</f>
        <v/>
      </c>
      <c r="Q65" s="32" t="n"/>
      <c r="R65" s="32" t="n"/>
      <c r="S65" s="32" t="n"/>
      <c r="T65" s="55" t="n"/>
      <c r="U65" s="54">
        <f>'S43'!T65</f>
        <v/>
      </c>
      <c r="V65" s="53">
        <f>T65-U65</f>
        <v/>
      </c>
      <c r="W65" s="53">
        <f>N65-T65</f>
        <v/>
      </c>
      <c r="X65" s="34" t="n"/>
    </row>
    <row r="66" ht="22" customHeight="1">
      <c r="B66" s="10" t="n">
        <v>62</v>
      </c>
      <c r="C66" s="14" t="inlineStr">
        <is>
          <t>Kénitra</t>
        </is>
      </c>
      <c r="D66" s="10" t="inlineStr">
        <is>
          <t>Mograne</t>
        </is>
      </c>
      <c r="E66" s="10" t="inlineStr">
        <is>
          <t>50-23</t>
        </is>
      </c>
      <c r="F66" s="10" t="inlineStr">
        <is>
          <t>Entretien et réparation du réseau d'assainissement et de drainage</t>
        </is>
      </c>
      <c r="G66" s="10" t="inlineStr">
        <is>
          <t>Travaux de curage des canaux en terre</t>
        </is>
      </c>
      <c r="H66" s="10" t="inlineStr">
        <is>
          <t>Curage des canaux d'assainissement Hors secteur équipé ghoufera et laison beht sebou ,</t>
        </is>
      </c>
      <c r="I66" s="11" t="n">
        <v>6000000</v>
      </c>
      <c r="J66" s="12" t="inlineStr">
        <is>
          <t>ml</t>
        </is>
      </c>
      <c r="K66" s="13" t="n">
        <v>3000</v>
      </c>
      <c r="L66" s="51" t="n"/>
      <c r="M66" s="56">
        <f>'S43'!M66+L66</f>
        <v/>
      </c>
      <c r="N66" s="57">
        <f>IFERROR(M66/K66,0)</f>
        <v/>
      </c>
      <c r="O66" s="58">
        <f>'S43'!N66</f>
        <v/>
      </c>
      <c r="P66" s="57">
        <f>N66-O66</f>
        <v/>
      </c>
      <c r="Q66" s="32" t="n"/>
      <c r="R66" s="32" t="n"/>
      <c r="S66" s="32" t="n"/>
      <c r="T66" s="55" t="n"/>
      <c r="U66" s="58">
        <f>'S43'!T66</f>
        <v/>
      </c>
      <c r="V66" s="57">
        <f>T66-U66</f>
        <v/>
      </c>
      <c r="W66" s="57">
        <f>N66-T66</f>
        <v/>
      </c>
      <c r="X66" s="34" t="n"/>
    </row>
    <row r="67" ht="22" customHeight="1">
      <c r="B67" s="5" t="n">
        <v>63</v>
      </c>
      <c r="C67" s="14" t="inlineStr">
        <is>
          <t>Kénitra</t>
        </is>
      </c>
      <c r="D67" s="5" t="inlineStr">
        <is>
          <t>Mograne</t>
        </is>
      </c>
      <c r="E67" s="5" t="inlineStr">
        <is>
          <t>40-21</t>
        </is>
      </c>
      <c r="F67" s="5" t="inlineStr">
        <is>
          <t>Travaux de pistes</t>
        </is>
      </c>
      <c r="G67" s="5" t="inlineStr">
        <is>
          <t>Travaux de réhabilitation des pistes agricoles</t>
        </is>
      </c>
      <c r="H67" s="5" t="inlineStr">
        <is>
          <t>Entretien des pistes agricoles des secteurs SEBOU1,SEBOU2? BEHT3 et BEHT4</t>
        </is>
      </c>
      <c r="I67" s="7" t="n">
        <v>6000000</v>
      </c>
      <c r="J67" s="8" t="inlineStr">
        <is>
          <t>km</t>
        </is>
      </c>
      <c r="K67" s="9" t="n">
        <v>12</v>
      </c>
      <c r="L67" s="51" t="n"/>
      <c r="M67" s="52">
        <f>'S43'!M67+L67</f>
        <v/>
      </c>
      <c r="N67" s="53">
        <f>IFERROR(M67/K67,0)</f>
        <v/>
      </c>
      <c r="O67" s="54">
        <f>'S43'!N67</f>
        <v/>
      </c>
      <c r="P67" s="53">
        <f>N67-O67</f>
        <v/>
      </c>
      <c r="Q67" s="32" t="n"/>
      <c r="R67" s="32" t="n"/>
      <c r="S67" s="32" t="n"/>
      <c r="T67" s="55" t="n"/>
      <c r="U67" s="54">
        <f>'S43'!T67</f>
        <v/>
      </c>
      <c r="V67" s="53">
        <f>T67-U67</f>
        <v/>
      </c>
      <c r="W67" s="53">
        <f>N67-T67</f>
        <v/>
      </c>
      <c r="X67" s="34" t="n"/>
    </row>
    <row r="68" ht="22" customHeight="1">
      <c r="B68" s="10" t="n">
        <v>64</v>
      </c>
      <c r="C68" s="14" t="inlineStr">
        <is>
          <t>Kénitra</t>
        </is>
      </c>
      <c r="D68" s="10" t="inlineStr">
        <is>
          <t>Sidi allal tazi</t>
        </is>
      </c>
      <c r="E68" s="10" t="inlineStr">
        <is>
          <t>50-23</t>
        </is>
      </c>
      <c r="F68" s="10" t="inlineStr">
        <is>
          <t>Entretien et réparation du réseau d'assainissement et de drainage</t>
        </is>
      </c>
      <c r="G68" s="10" t="inlineStr">
        <is>
          <t>Travaux de curage des canaux en terre</t>
        </is>
      </c>
      <c r="H68" s="10" t="inlineStr">
        <is>
          <t>Curage du canaL d'assainissement CK,</t>
        </is>
      </c>
      <c r="I68" s="11" t="n">
        <v>3000000</v>
      </c>
      <c r="J68" s="12" t="inlineStr">
        <is>
          <t>ml</t>
        </is>
      </c>
      <c r="K68" s="13" t="n">
        <v>1500</v>
      </c>
      <c r="L68" s="51" t="n"/>
      <c r="M68" s="56">
        <f>'S43'!M68+L68</f>
        <v/>
      </c>
      <c r="N68" s="57">
        <f>IFERROR(M68/K68,0)</f>
        <v/>
      </c>
      <c r="O68" s="58">
        <f>'S43'!N68</f>
        <v/>
      </c>
      <c r="P68" s="57">
        <f>N68-O68</f>
        <v/>
      </c>
      <c r="Q68" s="32" t="n"/>
      <c r="R68" s="32" t="n"/>
      <c r="S68" s="32" t="n"/>
      <c r="T68" s="55" t="n"/>
      <c r="U68" s="58">
        <f>'S43'!T68</f>
        <v/>
      </c>
      <c r="V68" s="57">
        <f>T68-U68</f>
        <v/>
      </c>
      <c r="W68" s="57">
        <f>N68-T68</f>
        <v/>
      </c>
      <c r="X68" s="34" t="n"/>
    </row>
    <row r="69" ht="22" customHeight="1">
      <c r="B69" s="5" t="n">
        <v>65</v>
      </c>
      <c r="C69" s="14" t="inlineStr">
        <is>
          <t>Kénitra</t>
        </is>
      </c>
      <c r="D69" s="5" t="inlineStr">
        <is>
          <t>AMEUR SAFLIA</t>
        </is>
      </c>
      <c r="E69" s="5" t="inlineStr">
        <is>
          <t>50-23</t>
        </is>
      </c>
      <c r="F69" s="5" t="inlineStr">
        <is>
          <t>Entretien et réparation du réseau d'assainissement et de drainage</t>
        </is>
      </c>
      <c r="G69" s="5" t="inlineStr">
        <is>
          <t>Travaux de curage des canaux en terre</t>
        </is>
      </c>
      <c r="H69" s="5" t="inlineStr">
        <is>
          <t>Curage des canaux d'assainissement amontTtiflt Sebou,</t>
        </is>
      </c>
      <c r="I69" s="7" t="n">
        <v>1000000</v>
      </c>
      <c r="J69" s="8" t="inlineStr">
        <is>
          <t>ml</t>
        </is>
      </c>
      <c r="K69" s="9" t="n">
        <v>500</v>
      </c>
      <c r="L69" s="51" t="n"/>
      <c r="M69" s="52">
        <f>'S43'!M69+L69</f>
        <v/>
      </c>
      <c r="N69" s="53">
        <f>IFERROR(M69/K69,0)</f>
        <v/>
      </c>
      <c r="O69" s="54">
        <f>'S43'!N69</f>
        <v/>
      </c>
      <c r="P69" s="53">
        <f>N69-O69</f>
        <v/>
      </c>
      <c r="Q69" s="32" t="n"/>
      <c r="R69" s="32" t="n"/>
      <c r="S69" s="32" t="n"/>
      <c r="T69" s="55" t="n"/>
      <c r="U69" s="54">
        <f>'S43'!T69</f>
        <v/>
      </c>
      <c r="V69" s="53">
        <f>T69-U69</f>
        <v/>
      </c>
      <c r="W69" s="53">
        <f>N69-T69</f>
        <v/>
      </c>
      <c r="X69" s="34" t="n"/>
    </row>
    <row r="70" ht="22" customHeight="1">
      <c r="B70" s="10" t="n">
        <v>66</v>
      </c>
      <c r="C70" s="14" t="inlineStr">
        <is>
          <t>Kénitra</t>
        </is>
      </c>
      <c r="D70" s="10" t="inlineStr">
        <is>
          <t>Oulad SLAMA</t>
        </is>
      </c>
      <c r="E70" s="10" t="inlineStr">
        <is>
          <t>50-23</t>
        </is>
      </c>
      <c r="F70" s="10" t="inlineStr">
        <is>
          <t>Entretien et réparation du réseau d'assainissement et de drainage</t>
        </is>
      </c>
      <c r="G70" s="10" t="inlineStr">
        <is>
          <t>Travaux de curage des canaux en terre</t>
        </is>
      </c>
      <c r="H70" s="10" t="inlineStr">
        <is>
          <t>Curage des canaux d'assainissement debouche Tiflt aval,</t>
        </is>
      </c>
      <c r="I70" s="11" t="n">
        <v>1000000</v>
      </c>
      <c r="J70" s="12" t="inlineStr">
        <is>
          <t>ml</t>
        </is>
      </c>
      <c r="K70" s="13" t="n">
        <v>500</v>
      </c>
      <c r="L70" s="51" t="n"/>
      <c r="M70" s="56">
        <f>'S43'!M70+L70</f>
        <v/>
      </c>
      <c r="N70" s="57">
        <f>IFERROR(M70/K70,0)</f>
        <v/>
      </c>
      <c r="O70" s="58">
        <f>'S43'!N70</f>
        <v/>
      </c>
      <c r="P70" s="57">
        <f>N70-O70</f>
        <v/>
      </c>
      <c r="Q70" s="32" t="n"/>
      <c r="R70" s="32" t="n"/>
      <c r="S70" s="32" t="n"/>
      <c r="T70" s="55" t="n"/>
      <c r="U70" s="58">
        <f>'S43'!T70</f>
        <v/>
      </c>
      <c r="V70" s="57">
        <f>T70-U70</f>
        <v/>
      </c>
      <c r="W70" s="57">
        <f>N70-T70</f>
        <v/>
      </c>
      <c r="X70" s="34" t="n"/>
    </row>
    <row r="71" ht="22" customHeight="1">
      <c r="B71" s="5" t="n">
        <v>67</v>
      </c>
      <c r="C71" s="14" t="inlineStr">
        <is>
          <t>Kénitra</t>
        </is>
      </c>
      <c r="D71" s="5" t="inlineStr">
        <is>
          <t>BHARA Oulad AYAD</t>
        </is>
      </c>
      <c r="E71" s="5" t="inlineStr">
        <is>
          <t>50-23</t>
        </is>
      </c>
      <c r="F71" s="5" t="inlineStr">
        <is>
          <t>Entretien et réparation du réseau d'assainissement et de drainage</t>
        </is>
      </c>
      <c r="G71" s="5" t="inlineStr">
        <is>
          <t>Travaux de curage des canaux en terre</t>
        </is>
      </c>
      <c r="H71" s="5" t="inlineStr">
        <is>
          <t>Curage des canaux d'assainissement canal nador bas et haut segmet,</t>
        </is>
      </c>
      <c r="I71" s="7" t="n">
        <v>6600000</v>
      </c>
      <c r="J71" s="8" t="inlineStr">
        <is>
          <t>ml</t>
        </is>
      </c>
      <c r="K71" s="9" t="n">
        <v>3300</v>
      </c>
      <c r="L71" s="51" t="n"/>
      <c r="M71" s="52">
        <f>'S43'!M71+L71</f>
        <v/>
      </c>
      <c r="N71" s="53">
        <f>IFERROR(M71/K71,0)</f>
        <v/>
      </c>
      <c r="O71" s="54">
        <f>'S43'!N71</f>
        <v/>
      </c>
      <c r="P71" s="53">
        <f>N71-O71</f>
        <v/>
      </c>
      <c r="Q71" s="32" t="n"/>
      <c r="R71" s="32" t="n"/>
      <c r="S71" s="32" t="n"/>
      <c r="T71" s="55" t="n"/>
      <c r="U71" s="54">
        <f>'S43'!T71</f>
        <v/>
      </c>
      <c r="V71" s="53">
        <f>T71-U71</f>
        <v/>
      </c>
      <c r="W71" s="53">
        <f>N71-T71</f>
        <v/>
      </c>
      <c r="X71" s="34" t="n"/>
    </row>
    <row r="72" ht="22" customHeight="1">
      <c r="B72" s="10" t="n">
        <v>68</v>
      </c>
      <c r="C72" s="15" t="inlineStr">
        <is>
          <t>Sidi Slimane</t>
        </is>
      </c>
      <c r="D72" s="10" t="inlineStr">
        <is>
          <t>OULED HCEINE</t>
        </is>
      </c>
      <c r="E72" s="10" t="inlineStr">
        <is>
          <t>50-23</t>
        </is>
      </c>
      <c r="F72" s="10" t="inlineStr">
        <is>
          <t>Entretien et réparation du réseau d'assainissement et de drainage</t>
        </is>
      </c>
      <c r="G72" s="10" t="inlineStr">
        <is>
          <t>Travaux de curage des canaux en terre</t>
        </is>
      </c>
      <c r="H72" s="10" t="inlineStr">
        <is>
          <t>Curage des collecteurs d'assainissement du secteur EST4.</t>
        </is>
      </c>
      <c r="I72" s="11" t="n">
        <v>1805475</v>
      </c>
      <c r="J72" s="12" t="inlineStr">
        <is>
          <t>ml</t>
        </is>
      </c>
      <c r="K72" s="13" t="n">
        <v>903</v>
      </c>
      <c r="L72" s="51" t="n"/>
      <c r="M72" s="56">
        <f>'S43'!M72+L72</f>
        <v/>
      </c>
      <c r="N72" s="57">
        <f>IFERROR(M72/K72,0)</f>
        <v/>
      </c>
      <c r="O72" s="58">
        <f>'S43'!N72</f>
        <v/>
      </c>
      <c r="P72" s="57">
        <f>N72-O72</f>
        <v/>
      </c>
      <c r="Q72" s="32" t="n"/>
      <c r="R72" s="32" t="n"/>
      <c r="S72" s="32" t="n"/>
      <c r="T72" s="55" t="n"/>
      <c r="U72" s="58">
        <f>'S43'!T72</f>
        <v/>
      </c>
      <c r="V72" s="57">
        <f>T72-U72</f>
        <v/>
      </c>
      <c r="W72" s="57">
        <f>N72-T72</f>
        <v/>
      </c>
      <c r="X72" s="34" t="n"/>
    </row>
    <row r="73" ht="22" customHeight="1">
      <c r="B73" s="5" t="n">
        <v>69</v>
      </c>
      <c r="C73" s="15" t="inlineStr">
        <is>
          <t>Sidi Slimane</t>
        </is>
      </c>
      <c r="D73" s="5" t="inlineStr">
        <is>
          <t>OULED HCEINE</t>
        </is>
      </c>
      <c r="E73" s="5" t="inlineStr">
        <is>
          <t>50-23</t>
        </is>
      </c>
      <c r="F73" s="5" t="inlineStr">
        <is>
          <t>Entretien et réparation du réseau d'assainissement et de drainage</t>
        </is>
      </c>
      <c r="G73" s="5" t="inlineStr">
        <is>
          <t>Travaux de curage des canaux en terre</t>
        </is>
      </c>
      <c r="H73" s="5" t="inlineStr">
        <is>
          <t>Curage du canal d'assainissement Tihli central.</t>
        </is>
      </c>
      <c r="I73" s="7" t="n">
        <v>2587200</v>
      </c>
      <c r="J73" s="8" t="inlineStr">
        <is>
          <t>ml</t>
        </is>
      </c>
      <c r="K73" s="9" t="n">
        <v>1294</v>
      </c>
      <c r="L73" s="51" t="n"/>
      <c r="M73" s="52">
        <f>'S43'!M73+L73</f>
        <v/>
      </c>
      <c r="N73" s="53">
        <f>IFERROR(M73/K73,0)</f>
        <v/>
      </c>
      <c r="O73" s="54">
        <f>'S43'!N73</f>
        <v/>
      </c>
      <c r="P73" s="53">
        <f>N73-O73</f>
        <v/>
      </c>
      <c r="Q73" s="32" t="n"/>
      <c r="R73" s="32" t="n"/>
      <c r="S73" s="32" t="n"/>
      <c r="T73" s="55" t="n"/>
      <c r="U73" s="54">
        <f>'S43'!T73</f>
        <v/>
      </c>
      <c r="V73" s="53">
        <f>T73-U73</f>
        <v/>
      </c>
      <c r="W73" s="53">
        <f>N73-T73</f>
        <v/>
      </c>
      <c r="X73" s="34" t="n"/>
    </row>
    <row r="74" ht="22" customHeight="1">
      <c r="B74" s="10" t="n">
        <v>70</v>
      </c>
      <c r="C74" s="15" t="inlineStr">
        <is>
          <t>Sidi Slimane</t>
        </is>
      </c>
      <c r="D74" s="10" t="inlineStr">
        <is>
          <t>OULED HCEINE</t>
        </is>
      </c>
      <c r="E74" s="10" t="inlineStr">
        <is>
          <t>40-21</t>
        </is>
      </c>
      <c r="F74" s="10" t="inlineStr">
        <is>
          <t>Travaux de pistes</t>
        </is>
      </c>
      <c r="G74" s="10" t="inlineStr">
        <is>
          <t>Travaux de réhabilitation des pistes agricoles</t>
        </is>
      </c>
      <c r="H74" s="10" t="inlineStr">
        <is>
          <t>Entretien des pistes agricoles</t>
        </is>
      </c>
      <c r="I74" s="11" t="n">
        <v>3500000</v>
      </c>
      <c r="J74" s="12" t="inlineStr">
        <is>
          <t>km</t>
        </is>
      </c>
      <c r="K74" s="13" t="n">
        <v>7</v>
      </c>
      <c r="L74" s="51" t="n"/>
      <c r="M74" s="56">
        <f>'S43'!M74+L74</f>
        <v/>
      </c>
      <c r="N74" s="57">
        <f>IFERROR(M74/K74,0)</f>
        <v/>
      </c>
      <c r="O74" s="58">
        <f>'S43'!N74</f>
        <v/>
      </c>
      <c r="P74" s="57">
        <f>N74-O74</f>
        <v/>
      </c>
      <c r="Q74" s="32" t="n"/>
      <c r="R74" s="32" t="n"/>
      <c r="S74" s="32" t="n"/>
      <c r="T74" s="55" t="n"/>
      <c r="U74" s="58">
        <f>'S43'!T74</f>
        <v/>
      </c>
      <c r="V74" s="57">
        <f>T74-U74</f>
        <v/>
      </c>
      <c r="W74" s="57">
        <f>N74-T74</f>
        <v/>
      </c>
      <c r="X74" s="34" t="n"/>
    </row>
    <row r="75" ht="22" customHeight="1">
      <c r="B75" s="5" t="n">
        <v>71</v>
      </c>
      <c r="C75" s="15" t="inlineStr">
        <is>
          <t>Sidi Slimane</t>
        </is>
      </c>
      <c r="D75" s="5" t="inlineStr">
        <is>
          <t>OULED HCEINE</t>
        </is>
      </c>
      <c r="E75" s="5" t="inlineStr">
        <is>
          <t>50-21</t>
        </is>
      </c>
      <c r="F75" s="5" t="inlineStr">
        <is>
          <t>Entretien et réparation des stations de pompage</t>
        </is>
      </c>
      <c r="G75" s="5" t="inlineStr">
        <is>
          <t>Travaux de réparation des équipements hydromécaniques et éléctriques et entretien de la partie génie civil des stations de pompage.</t>
        </is>
      </c>
      <c r="H75" s="5" t="inlineStr">
        <is>
          <t>Démontage et expertise des roues des  pompes principaux et pompes a vide de la station EST4 et P11/2.
Changement des roulements, tresses et organes d’effectués de la station EST4 et P11/2
Changement deux débitmètre Ø 1200 mm de la station EST4 et un débimétre de la station P11/2.
Changement des capteurs de niveau inondés.
Révision et réparation des moteurs des vannes motorisées inondées.
changement de six contrôleurs de débits DW181 inondés.
Un capteur de débitmètre inondé nécessitent un diagnostic VEGASON  .
Entretien de l'éclairage du local de vide et bâche d’aspiration inondé de la station EST4 et la partie de l’éclairage du local des pompes inondées de la station P11/2.
Pose de gabions et recouvrement du talus par matelas Reno des stations de pompage P11/2</t>
        </is>
      </c>
      <c r="I75" s="7" t="n">
        <v>870000</v>
      </c>
      <c r="J75" s="8" t="inlineStr">
        <is>
          <t>U</t>
        </is>
      </c>
      <c r="K75" s="9" t="n">
        <v>4</v>
      </c>
      <c r="L75" s="51" t="n"/>
      <c r="M75" s="52">
        <f>'S43'!M75+L75</f>
        <v/>
      </c>
      <c r="N75" s="53">
        <f>IFERROR(M75/K75,0)</f>
        <v/>
      </c>
      <c r="O75" s="54">
        <f>'S43'!N75</f>
        <v/>
      </c>
      <c r="P75" s="53">
        <f>N75-O75</f>
        <v/>
      </c>
      <c r="Q75" s="32" t="n"/>
      <c r="R75" s="32" t="n"/>
      <c r="S75" s="32" t="n"/>
      <c r="T75" s="55" t="n"/>
      <c r="U75" s="54">
        <f>'S43'!T75</f>
        <v/>
      </c>
      <c r="V75" s="53">
        <f>T75-U75</f>
        <v/>
      </c>
      <c r="W75" s="53">
        <f>N75-T75</f>
        <v/>
      </c>
      <c r="X75" s="34" t="n"/>
    </row>
    <row r="76" ht="22" customHeight="1">
      <c r="B76" s="10" t="n">
        <v>72</v>
      </c>
      <c r="C76" s="15" t="inlineStr">
        <is>
          <t>Sidi Slimane</t>
        </is>
      </c>
      <c r="D76" s="10" t="inlineStr">
        <is>
          <t>OULED HCEINE</t>
        </is>
      </c>
      <c r="E76" s="10" t="inlineStr">
        <is>
          <t>50-23</t>
        </is>
      </c>
      <c r="F76" s="10" t="inlineStr">
        <is>
          <t>Entretien et réparation du réseau d'assainissement et de drainage</t>
        </is>
      </c>
      <c r="G76" s="10" t="inlineStr">
        <is>
          <t>Travaux de curage des prises des stations de pompage.</t>
        </is>
      </c>
      <c r="H76" s="10" t="inlineStr">
        <is>
          <t>Curage des siphones des station de pompage EST2 et P11/2.</t>
        </is>
      </c>
      <c r="I76" s="11" t="n">
        <v>500000</v>
      </c>
      <c r="J76" s="12" t="inlineStr">
        <is>
          <t>ml</t>
        </is>
      </c>
      <c r="K76" s="13" t="n">
        <v>167</v>
      </c>
      <c r="L76" s="51" t="n"/>
      <c r="M76" s="56">
        <f>'S43'!M76+L76</f>
        <v/>
      </c>
      <c r="N76" s="57">
        <f>IFERROR(M76/K76,0)</f>
        <v/>
      </c>
      <c r="O76" s="58">
        <f>'S43'!N76</f>
        <v/>
      </c>
      <c r="P76" s="57">
        <f>N76-O76</f>
        <v/>
      </c>
      <c r="Q76" s="32" t="n"/>
      <c r="R76" s="32" t="n"/>
      <c r="S76" s="32" t="n"/>
      <c r="T76" s="55" t="n"/>
      <c r="U76" s="58">
        <f>'S43'!T76</f>
        <v/>
      </c>
      <c r="V76" s="57">
        <f>T76-U76</f>
        <v/>
      </c>
      <c r="W76" s="57">
        <f>N76-T76</f>
        <v/>
      </c>
      <c r="X76" s="34" t="n"/>
    </row>
    <row r="77" ht="26" customHeight="1">
      <c r="B77" s="16" t="inlineStr">
        <is>
          <t>TOTAL</t>
        </is>
      </c>
      <c r="C77" s="16" t="n"/>
      <c r="D77" s="16" t="n"/>
      <c r="E77" s="16" t="n"/>
      <c r="F77" s="16" t="n"/>
      <c r="G77" s="16" t="n"/>
      <c r="H77" s="16" t="n"/>
      <c r="I77" s="17">
        <f>SUM(I5:I76)</f>
        <v/>
      </c>
      <c r="J77" s="16" t="n"/>
      <c r="K77" s="16" t="n"/>
      <c r="L77" s="59">
        <f>SUM(L5:L76)</f>
        <v/>
      </c>
      <c r="M77" s="59">
        <f>SUM(M5:M76)</f>
        <v/>
      </c>
      <c r="N77" s="60">
        <f>IFERROR(SUMPRODUCT(N5:N76,I5:I76)/I77,0)</f>
        <v/>
      </c>
      <c r="O77" s="60">
        <f>IFERROR(SUMPRODUCT(O5:O76,I5:I76)/I77,0)</f>
        <v/>
      </c>
      <c r="P77" s="60">
        <f>N77-O77</f>
        <v/>
      </c>
      <c r="Q77" s="17">
        <f>SUM(Q5:Q76)</f>
        <v/>
      </c>
      <c r="R77" s="17">
        <f>SUM(R5:R76)</f>
        <v/>
      </c>
      <c r="S77" s="17">
        <f>SUM(S5:S76)</f>
        <v/>
      </c>
      <c r="T77" s="60">
        <f>IFERROR(SUMPRODUCT(T5:T76,I5:I76)/I77,0)</f>
        <v/>
      </c>
      <c r="U77" s="60">
        <f>IFERROR(SUMPRODUCT(U5:U76,I5:I76)/I77,0)</f>
        <v/>
      </c>
      <c r="V77" s="60">
        <f>T77-U77</f>
        <v/>
      </c>
      <c r="W77" s="60">
        <f>N77-T77</f>
        <v/>
      </c>
      <c r="X77" s="16" t="n"/>
    </row>
  </sheetData>
  <sheetProtection selectLockedCells="0" selectUnlockedCells="0" sheet="1" objects="0" insertRows="1" insertHyperlinks="1" autoFilter="1" scenarios="0" formatColumns="1" deleteColumns="1" insertColumns="1" pivotTables="1" deleteRows="1" formatCells="1" formatRows="1" sort="1" password="CBBE"/>
  <mergeCells count="6">
    <mergeCell ref="E3:I3"/>
    <mergeCell ref="W3:X3"/>
    <mergeCell ref="J3:P3"/>
    <mergeCell ref="B2:X2"/>
    <mergeCell ref="C3:D3"/>
    <mergeCell ref="Q3:V3"/>
  </mergeCells>
  <conditionalFormatting sqref="P5:P76">
    <cfRule type="cellIs" priority="1" operator="greaterThan" dxfId="0">
      <formula>0</formula>
    </cfRule>
    <cfRule type="cellIs" priority="2" operator="lessThan" dxfId="1">
      <formula>0</formula>
    </cfRule>
  </conditionalFormatting>
  <conditionalFormatting sqref="V5:V76">
    <cfRule type="cellIs" priority="3" operator="greaterThan" dxfId="0">
      <formula>0</formula>
    </cfRule>
    <cfRule type="cellIs" priority="4" operator="lessThan" dxfId="1">
      <formula>0</formula>
    </cfRule>
  </conditionalFormatting>
  <conditionalFormatting sqref="W5:W76">
    <cfRule type="cellIs" priority="5" operator="greaterThan" dxfId="0">
      <formula>0.05</formula>
    </cfRule>
    <cfRule type="cellIs" priority="6" operator="lessThan" dxfId="1">
      <formula>-0.05</formula>
    </cfRule>
    <cfRule type="cellIs" priority="7" operator="between" dxfId="2">
      <formula>-0.05</formula>
      <formula>0.05</formula>
    </cfRule>
  </conditionalFormatting>
  <conditionalFormatting sqref="N5:N76">
    <cfRule type="dataBar" priority="8">
      <dataBar showValue="1">
        <cfvo type="num" val="0"/>
        <cfvo type="num" val="1"/>
        <color rgb="001B7D46"/>
      </dataBar>
    </cfRule>
  </conditionalFormatting>
  <conditionalFormatting sqref="T5:T76">
    <cfRule type="dataBar" priority="9">
      <dataBar showValue="1">
        <cfvo type="num" val="0"/>
        <cfvo type="num" val="1"/>
        <color rgb="00D4820A"/>
      </dataBar>
    </cfRule>
  </conditionalFormatting>
  <dataValidations count="2">
    <dataValidation sqref="T5:T76" showDropDown="0" showInputMessage="0" showErrorMessage="0" allowBlank="1" errorTitle="Invalide" error="Valeur entre 0% et 100%" promptTitle="Avancement %" prompt="Entrez 0.25 pour 25%" type="decimal" operator="between">
      <formula1>0</formula1>
      <formula2>1</formula2>
    </dataValidation>
    <dataValidation sqref="L5:L76" showDropDown="0" showInputMessage="0" showErrorMessage="0" allowBlank="1" errorTitle="Invalide" error="Quantité doit être &gt;= 0" promptTitle="Qté Réalisée" prompt="Entrez la quantité réalisée cette semaine" type="decimal" operator="greaterThanOrEqual">
      <formula1>0</formula1>
    </dataValidation>
  </dataValidations>
  <pageMargins left="0.75" right="0.75" top="1" bottom="1" header="0.5" footer="0.5"/>
</worksheet>
</file>

<file path=xl/worksheets/sheet25.xml><?xml version="1.0" encoding="utf-8"?>
<worksheet xmlns="http://schemas.openxmlformats.org/spreadsheetml/2006/main">
  <sheetPr>
    <tabColor rgb="00BF8F00"/>
    <outlinePr summaryBelow="1" summaryRight="1"/>
    <pageSetUpPr/>
  </sheetPr>
  <dimension ref="B2:X77"/>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5" customWidth="1" min="2" max="2"/>
    <col width="14" customWidth="1" min="3" max="3"/>
    <col width="18" customWidth="1" min="4" max="4"/>
    <col width="9" customWidth="1" min="5" max="5"/>
    <col width="32" customWidth="1" min="6" max="6"/>
    <col width="28" customWidth="1" min="7" max="7"/>
    <col width="34" customWidth="1" min="8" max="8"/>
    <col width="14" customWidth="1" min="9" max="9"/>
    <col width="8" customWidth="1" min="10" max="10"/>
    <col width="12" customWidth="1" min="11" max="11"/>
    <col width="14" customWidth="1" min="12" max="12"/>
    <col width="14" customWidth="1" min="13" max="13"/>
    <col width="14" customWidth="1" min="14" max="14"/>
    <col width="14" customWidth="1" min="15" max="15"/>
    <col width="14" customWidth="1" min="16" max="16"/>
    <col width="16" customWidth="1" min="17" max="17"/>
    <col width="16" customWidth="1" min="18" max="18"/>
    <col width="16" customWidth="1" min="19" max="19"/>
    <col width="14" customWidth="1" min="20" max="20"/>
    <col width="14" customWidth="1" min="21" max="21"/>
    <col width="14" customWidth="1" min="22" max="22"/>
    <col width="14" customWidth="1" min="23" max="23"/>
    <col width="24" customWidth="1" min="24" max="24"/>
  </cols>
  <sheetData>
    <row r="1" ht="15" customHeight="1"/>
    <row r="2" ht="32" customHeight="1">
      <c r="B2" s="1" t="inlineStr">
        <is>
          <t>Suivi Hebdomadaire - Semaine 45 (02/11 - 08/11) — Novembre 2026 - Exécution Physique et Financière</t>
        </is>
      </c>
    </row>
    <row r="3" ht="22" customHeight="1">
      <c r="B3" s="20" t="inlineStr">
        <is>
          <t>Date :</t>
        </is>
      </c>
      <c r="C3" s="49" t="n">
        <v>46328</v>
      </c>
      <c r="D3" s="50" t="n"/>
      <c r="E3" s="22" t="inlineStr">
        <is>
          <t>IDENTIFICATION</t>
        </is>
      </c>
      <c r="J3" s="23" t="inlineStr">
        <is>
          <t>INDICATEURS PHYSIQUES</t>
        </is>
      </c>
      <c r="Q3" s="24" t="inlineStr">
        <is>
          <t>INDICATEURS FINANCIERS</t>
        </is>
      </c>
      <c r="W3" s="25" t="inlineStr">
        <is>
          <t>SYNTHÈSE</t>
        </is>
      </c>
    </row>
    <row r="4" ht="28" customHeight="1">
      <c r="B4" s="4" t="inlineStr">
        <is>
          <t>N°</t>
        </is>
      </c>
      <c r="C4" s="4" t="inlineStr">
        <is>
          <t>Province</t>
        </is>
      </c>
      <c r="D4" s="4" t="inlineStr">
        <is>
          <t>Commune</t>
        </is>
      </c>
      <c r="E4" s="4" t="inlineStr">
        <is>
          <t>Rubrique</t>
        </is>
      </c>
      <c r="F4" s="4" t="inlineStr">
        <is>
          <t>Intitulé Rubrique</t>
        </is>
      </c>
      <c r="G4" s="4" t="inlineStr">
        <is>
          <t>Projet</t>
        </is>
      </c>
      <c r="H4" s="4" t="inlineStr">
        <is>
          <t>Consistance</t>
        </is>
      </c>
      <c r="I4" s="4" t="inlineStr">
        <is>
          <t>Coût Total (DH)</t>
        </is>
      </c>
      <c r="J4" s="26" t="inlineStr">
        <is>
          <t>Unité</t>
        </is>
      </c>
      <c r="K4" s="26" t="inlineStr">
        <is>
          <t>Qté Prévue</t>
        </is>
      </c>
      <c r="L4" s="26" t="inlineStr">
        <is>
          <t>Qté Réalisée Sem.</t>
        </is>
      </c>
      <c r="M4" s="26" t="inlineStr">
        <is>
          <t>Qté Réalisée Cumul</t>
        </is>
      </c>
      <c r="N4" s="26" t="inlineStr">
        <is>
          <t>Avancement Physique %</t>
        </is>
      </c>
      <c r="O4" s="26" t="inlineStr">
        <is>
          <t>% Phys. Sem. Préc.</t>
        </is>
      </c>
      <c r="P4" s="26" t="inlineStr">
        <is>
          <t>Accroissement Phys. %</t>
        </is>
      </c>
      <c r="Q4" s="27" t="inlineStr">
        <is>
          <t>Montant Décaissé (DH)</t>
        </is>
      </c>
      <c r="R4" s="27" t="inlineStr">
        <is>
          <t>Montant Payé (DH)</t>
        </is>
      </c>
      <c r="S4" s="27" t="inlineStr">
        <is>
          <t>Montant Ordonné (DH)</t>
        </is>
      </c>
      <c r="T4" s="27" t="inlineStr">
        <is>
          <t>Avancement Financier %</t>
        </is>
      </c>
      <c r="U4" s="27" t="inlineStr">
        <is>
          <t>% Fin. Sem. Préc.</t>
        </is>
      </c>
      <c r="V4" s="27" t="inlineStr">
        <is>
          <t>Accroissement Fin. %</t>
        </is>
      </c>
      <c r="W4" s="28" t="inlineStr">
        <is>
          <t>Écart Phys.-Fin.</t>
        </is>
      </c>
      <c r="X4" s="28" t="inlineStr">
        <is>
          <t>Observations</t>
        </is>
      </c>
    </row>
    <row r="5" ht="22" customHeight="1">
      <c r="B5" s="5" t="n">
        <v>1</v>
      </c>
      <c r="C5" s="6" t="inlineStr">
        <is>
          <t>Sidi Kacem</t>
        </is>
      </c>
      <c r="D5" s="5" t="inlineStr">
        <is>
          <t>KHENICHET</t>
        </is>
      </c>
      <c r="E5" s="5" t="inlineStr">
        <is>
          <t>50-23</t>
        </is>
      </c>
      <c r="F5" s="5" t="inlineStr">
        <is>
          <t>Entretien et réparation du réseau d'assainissement et de drainage</t>
        </is>
      </c>
      <c r="G5" s="5" t="inlineStr">
        <is>
          <t>Travaux de curage des canaux en terre</t>
        </is>
      </c>
      <c r="H5" s="5" t="inlineStr">
        <is>
          <t>Curage des collecteurs d'assainissement du secteur EST2</t>
        </is>
      </c>
      <c r="I5" s="7" t="n">
        <v>2091568</v>
      </c>
      <c r="J5" s="8" t="inlineStr">
        <is>
          <t>ml</t>
        </is>
      </c>
      <c r="K5" s="9" t="n">
        <v>1046</v>
      </c>
      <c r="L5" s="51" t="n"/>
      <c r="M5" s="52">
        <f>'S44'!M5+L5</f>
        <v/>
      </c>
      <c r="N5" s="53">
        <f>IFERROR(M5/K5,0)</f>
        <v/>
      </c>
      <c r="O5" s="54">
        <f>'S44'!N5</f>
        <v/>
      </c>
      <c r="P5" s="53">
        <f>N5-O5</f>
        <v/>
      </c>
      <c r="Q5" s="32" t="n"/>
      <c r="R5" s="32" t="n"/>
      <c r="S5" s="32" t="n"/>
      <c r="T5" s="55" t="n"/>
      <c r="U5" s="54">
        <f>'S44'!T5</f>
        <v/>
      </c>
      <c r="V5" s="53">
        <f>T5-U5</f>
        <v/>
      </c>
      <c r="W5" s="53">
        <f>N5-T5</f>
        <v/>
      </c>
      <c r="X5" s="34" t="n"/>
    </row>
    <row r="6" ht="22" customHeight="1">
      <c r="B6" s="10" t="n">
        <v>2</v>
      </c>
      <c r="C6" s="6" t="inlineStr">
        <is>
          <t>Sidi Kacem</t>
        </is>
      </c>
      <c r="D6" s="10" t="inlineStr">
        <is>
          <t>KHENICHET</t>
        </is>
      </c>
      <c r="E6" s="10" t="inlineStr">
        <is>
          <t>40-21</t>
        </is>
      </c>
      <c r="F6" s="10" t="inlineStr">
        <is>
          <t>Travaux de pistes</t>
        </is>
      </c>
      <c r="G6" s="10" t="inlineStr">
        <is>
          <t>Travaux de réhabilitation des pistes agricoles</t>
        </is>
      </c>
      <c r="H6" s="10" t="inlineStr">
        <is>
          <t>Entretien des pistes agricoles Douar Nouagra et Douar ouled Salem</t>
        </is>
      </c>
      <c r="I6" s="11" t="n">
        <v>78000</v>
      </c>
      <c r="J6" s="12" t="inlineStr">
        <is>
          <t>km</t>
        </is>
      </c>
      <c r="K6" s="13" t="n">
        <v>1</v>
      </c>
      <c r="L6" s="51" t="n"/>
      <c r="M6" s="56">
        <f>'S44'!M6+L6</f>
        <v/>
      </c>
      <c r="N6" s="57">
        <f>IFERROR(M6/K6,0)</f>
        <v/>
      </c>
      <c r="O6" s="58">
        <f>'S44'!N6</f>
        <v/>
      </c>
      <c r="P6" s="57">
        <f>N6-O6</f>
        <v/>
      </c>
      <c r="Q6" s="32" t="n"/>
      <c r="R6" s="32" t="n"/>
      <c r="S6" s="32" t="n"/>
      <c r="T6" s="55" t="n"/>
      <c r="U6" s="58">
        <f>'S44'!T6</f>
        <v/>
      </c>
      <c r="V6" s="57">
        <f>T6-U6</f>
        <v/>
      </c>
      <c r="W6" s="57">
        <f>N6-T6</f>
        <v/>
      </c>
      <c r="X6" s="34" t="n"/>
    </row>
    <row r="7" ht="22" customHeight="1">
      <c r="B7" s="5" t="n">
        <v>3</v>
      </c>
      <c r="C7" s="6" t="inlineStr">
        <is>
          <t>Sidi Kacem</t>
        </is>
      </c>
      <c r="D7" s="5" t="inlineStr">
        <is>
          <t>KHENICHET</t>
        </is>
      </c>
      <c r="E7" s="5" t="inlineStr">
        <is>
          <t>50-23</t>
        </is>
      </c>
      <c r="F7" s="5" t="inlineStr">
        <is>
          <t>Entretien et réparation du réseau d'assainissement et de drainage</t>
        </is>
      </c>
      <c r="G7" s="5" t="inlineStr">
        <is>
          <t>Curage des prises sur l’oued, bâche d’aspiration et bassin de régulation.</t>
        </is>
      </c>
      <c r="H7" s="5" t="inlineStr">
        <is>
          <t>Curage de la chambre des joints de démontage des siphonnes  de la station de pompage EST2.</t>
        </is>
      </c>
      <c r="I7" s="7" t="n">
        <v>126000</v>
      </c>
      <c r="J7" s="8" t="inlineStr">
        <is>
          <t>ml</t>
        </is>
      </c>
      <c r="K7" s="9" t="n">
        <v>42</v>
      </c>
      <c r="L7" s="51" t="n"/>
      <c r="M7" s="52">
        <f>'S44'!M7+L7</f>
        <v/>
      </c>
      <c r="N7" s="53">
        <f>IFERROR(M7/K7,0)</f>
        <v/>
      </c>
      <c r="O7" s="54">
        <f>'S44'!N7</f>
        <v/>
      </c>
      <c r="P7" s="53">
        <f>N7-O7</f>
        <v/>
      </c>
      <c r="Q7" s="32" t="n"/>
      <c r="R7" s="32" t="n"/>
      <c r="S7" s="32" t="n"/>
      <c r="T7" s="55" t="n"/>
      <c r="U7" s="54">
        <f>'S44'!T7</f>
        <v/>
      </c>
      <c r="V7" s="53">
        <f>T7-U7</f>
        <v/>
      </c>
      <c r="W7" s="53">
        <f>N7-T7</f>
        <v/>
      </c>
      <c r="X7" s="34" t="n"/>
    </row>
    <row r="8" ht="22" customHeight="1">
      <c r="B8" s="10" t="n">
        <v>4</v>
      </c>
      <c r="C8" s="6" t="inlineStr">
        <is>
          <t>Sidi Kacem</t>
        </is>
      </c>
      <c r="D8" s="10" t="inlineStr">
        <is>
          <t>KHENICHET</t>
        </is>
      </c>
      <c r="E8" s="10" t="inlineStr">
        <is>
          <t>50-21</t>
        </is>
      </c>
      <c r="F8" s="10" t="inlineStr">
        <is>
          <t>Entretien et réparation des stations de pompage</t>
        </is>
      </c>
      <c r="G8" s="10" t="inlineStr">
        <is>
          <t>Prestation de maintenance des débitmètres et leurs équipements annexes installés au niveau des station de pompage</t>
        </is>
      </c>
      <c r="H8" s="10" t="inlineStr">
        <is>
          <t>Changement trois débitmètre Ø 600mm inondés de la station de pompage EST 2 et deux capteurs VEGASON 62</t>
        </is>
      </c>
      <c r="I8" s="11" t="n">
        <v>165500</v>
      </c>
      <c r="J8" s="12" t="inlineStr">
        <is>
          <t>U</t>
        </is>
      </c>
      <c r="K8" s="13" t="n">
        <v>3</v>
      </c>
      <c r="L8" s="51" t="n"/>
      <c r="M8" s="56">
        <f>'S44'!M8+L8</f>
        <v/>
      </c>
      <c r="N8" s="57">
        <f>IFERROR(M8/K8,0)</f>
        <v/>
      </c>
      <c r="O8" s="58">
        <f>'S44'!N8</f>
        <v/>
      </c>
      <c r="P8" s="57">
        <f>N8-O8</f>
        <v/>
      </c>
      <c r="Q8" s="32" t="n"/>
      <c r="R8" s="32" t="n"/>
      <c r="S8" s="32" t="n"/>
      <c r="T8" s="55" t="n"/>
      <c r="U8" s="58">
        <f>'S44'!T8</f>
        <v/>
      </c>
      <c r="V8" s="57">
        <f>T8-U8</f>
        <v/>
      </c>
      <c r="W8" s="57">
        <f>N8-T8</f>
        <v/>
      </c>
      <c r="X8" s="34" t="n"/>
    </row>
    <row r="9" ht="22" customHeight="1">
      <c r="B9" s="5" t="n">
        <v>5</v>
      </c>
      <c r="C9" s="6" t="inlineStr">
        <is>
          <t>Sidi Kacem</t>
        </is>
      </c>
      <c r="D9" s="5" t="inlineStr">
        <is>
          <t>BIR TALEB</t>
        </is>
      </c>
      <c r="E9" s="5" t="inlineStr">
        <is>
          <t>50-23</t>
        </is>
      </c>
      <c r="F9" s="5" t="inlineStr">
        <is>
          <t>Entretien et réparation du réseau d'assainissement et de drainage</t>
        </is>
      </c>
      <c r="G9" s="5" t="inlineStr">
        <is>
          <t>Travaux de curage des canaux en terre</t>
        </is>
      </c>
      <c r="H9" s="5" t="inlineStr">
        <is>
          <t>Curage du canal d'assainisement Tihli Aval</t>
        </is>
      </c>
      <c r="I9" s="7" t="n">
        <v>1000000</v>
      </c>
      <c r="J9" s="8" t="inlineStr">
        <is>
          <t>ml</t>
        </is>
      </c>
      <c r="K9" s="9" t="n">
        <v>500</v>
      </c>
      <c r="L9" s="51" t="n"/>
      <c r="M9" s="52">
        <f>'S44'!M9+L9</f>
        <v/>
      </c>
      <c r="N9" s="53">
        <f>IFERROR(M9/K9,0)</f>
        <v/>
      </c>
      <c r="O9" s="54">
        <f>'S44'!N9</f>
        <v/>
      </c>
      <c r="P9" s="53">
        <f>N9-O9</f>
        <v/>
      </c>
      <c r="Q9" s="32" t="n"/>
      <c r="R9" s="32" t="n"/>
      <c r="S9" s="32" t="n"/>
      <c r="T9" s="55" t="n"/>
      <c r="U9" s="54">
        <f>'S44'!T9</f>
        <v/>
      </c>
      <c r="V9" s="53">
        <f>T9-U9</f>
        <v/>
      </c>
      <c r="W9" s="53">
        <f>N9-T9</f>
        <v/>
      </c>
      <c r="X9" s="34" t="n"/>
    </row>
    <row r="10" ht="22" customHeight="1">
      <c r="B10" s="10" t="n">
        <v>6</v>
      </c>
      <c r="C10" s="6" t="inlineStr">
        <is>
          <t>Sidi Kacem</t>
        </is>
      </c>
      <c r="D10" s="10" t="inlineStr">
        <is>
          <t>BIR TALEB</t>
        </is>
      </c>
      <c r="E10" s="10" t="inlineStr">
        <is>
          <t>50-23</t>
        </is>
      </c>
      <c r="F10" s="10" t="inlineStr">
        <is>
          <t>Entretien et réparation du réseau d'assainissement et de drainage</t>
        </is>
      </c>
      <c r="G10" s="10" t="inlineStr"/>
      <c r="H10" s="10" t="inlineStr">
        <is>
          <t>Curage des collecteurs d'assainissement du secteur P11/1</t>
        </is>
      </c>
      <c r="I10" s="11" t="n">
        <v>846731</v>
      </c>
      <c r="J10" s="12" t="inlineStr">
        <is>
          <t>ml</t>
        </is>
      </c>
      <c r="K10" s="13" t="n">
        <v>423</v>
      </c>
      <c r="L10" s="51" t="n"/>
      <c r="M10" s="56">
        <f>'S44'!M10+L10</f>
        <v/>
      </c>
      <c r="N10" s="57">
        <f>IFERROR(M10/K10,0)</f>
        <v/>
      </c>
      <c r="O10" s="58">
        <f>'S44'!N10</f>
        <v/>
      </c>
      <c r="P10" s="57">
        <f>N10-O10</f>
        <v/>
      </c>
      <c r="Q10" s="32" t="n"/>
      <c r="R10" s="32" t="n"/>
      <c r="S10" s="32" t="n"/>
      <c r="T10" s="55" t="n"/>
      <c r="U10" s="58">
        <f>'S44'!T10</f>
        <v/>
      </c>
      <c r="V10" s="57">
        <f>T10-U10</f>
        <v/>
      </c>
      <c r="W10" s="57">
        <f>N10-T10</f>
        <v/>
      </c>
      <c r="X10" s="34" t="n"/>
    </row>
    <row r="11" ht="22" customHeight="1">
      <c r="B11" s="5" t="n">
        <v>7</v>
      </c>
      <c r="C11" s="6" t="inlineStr">
        <is>
          <t>Sidi Kacem</t>
        </is>
      </c>
      <c r="D11" s="5" t="inlineStr">
        <is>
          <t>BIR TALEB</t>
        </is>
      </c>
      <c r="E11" s="5" t="inlineStr">
        <is>
          <t>50-23</t>
        </is>
      </c>
      <c r="F11" s="5" t="inlineStr">
        <is>
          <t>Entretien et réparation du réseau d'assainissement et de drainage</t>
        </is>
      </c>
      <c r="G11" s="5" t="inlineStr">
        <is>
          <t>Curage des prises sur l’oued, bâche d’aspiration et bassin de régulation.</t>
        </is>
      </c>
      <c r="H11" s="5" t="inlineStr">
        <is>
          <t>Curage des prises sur l’oued de la station de pompage P11/1.</t>
        </is>
      </c>
      <c r="I11" s="7" t="n">
        <v>200000</v>
      </c>
      <c r="J11" s="8" t="inlineStr">
        <is>
          <t>ml</t>
        </is>
      </c>
      <c r="K11" s="9" t="n">
        <v>67</v>
      </c>
      <c r="L11" s="51" t="n"/>
      <c r="M11" s="52">
        <f>'S44'!M11+L11</f>
        <v/>
      </c>
      <c r="N11" s="53">
        <f>IFERROR(M11/K11,0)</f>
        <v/>
      </c>
      <c r="O11" s="54">
        <f>'S44'!N11</f>
        <v/>
      </c>
      <c r="P11" s="53">
        <f>N11-O11</f>
        <v/>
      </c>
      <c r="Q11" s="32" t="n"/>
      <c r="R11" s="32" t="n"/>
      <c r="S11" s="32" t="n"/>
      <c r="T11" s="55" t="n"/>
      <c r="U11" s="54">
        <f>'S44'!T11</f>
        <v/>
      </c>
      <c r="V11" s="53">
        <f>T11-U11</f>
        <v/>
      </c>
      <c r="W11" s="53">
        <f>N11-T11</f>
        <v/>
      </c>
      <c r="X11" s="34" t="n"/>
    </row>
    <row r="12" ht="22" customHeight="1">
      <c r="B12" s="10" t="n">
        <v>8</v>
      </c>
      <c r="C12" s="6" t="inlineStr">
        <is>
          <t>Sidi Kacem</t>
        </is>
      </c>
      <c r="D12" s="10" t="inlineStr">
        <is>
          <t>BIR TALEB</t>
        </is>
      </c>
      <c r="E12" s="10" t="inlineStr">
        <is>
          <t>50-21</t>
        </is>
      </c>
      <c r="F12" s="10" t="inlineStr">
        <is>
          <t>Entretien et réparation des stations de pompage</t>
        </is>
      </c>
      <c r="G12" s="10" t="inlineStr">
        <is>
          <t>Prestation de maintenance des débitmètres et leurs équipements annexes installés au niveau des station de pompage</t>
        </is>
      </c>
      <c r="H12" s="10" t="inlineStr">
        <is>
          <t>Changement trois débitmètre Ø 400mm inondés de la station de pompage P11/1</t>
        </is>
      </c>
      <c r="I12" s="11" t="n">
        <v>141900</v>
      </c>
      <c r="J12" s="12" t="inlineStr">
        <is>
          <t>U</t>
        </is>
      </c>
      <c r="K12" s="13" t="n">
        <v>3</v>
      </c>
      <c r="L12" s="51" t="n"/>
      <c r="M12" s="56">
        <f>'S44'!M12+L12</f>
        <v/>
      </c>
      <c r="N12" s="57">
        <f>IFERROR(M12/K12,0)</f>
        <v/>
      </c>
      <c r="O12" s="58">
        <f>'S44'!N12</f>
        <v/>
      </c>
      <c r="P12" s="57">
        <f>N12-O12</f>
        <v/>
      </c>
      <c r="Q12" s="32" t="n"/>
      <c r="R12" s="32" t="n"/>
      <c r="S12" s="32" t="n"/>
      <c r="T12" s="55" t="n"/>
      <c r="U12" s="58">
        <f>'S44'!T12</f>
        <v/>
      </c>
      <c r="V12" s="57">
        <f>T12-U12</f>
        <v/>
      </c>
      <c r="W12" s="57">
        <f>N12-T12</f>
        <v/>
      </c>
      <c r="X12" s="34" t="n"/>
    </row>
    <row r="13" ht="22" customHeight="1">
      <c r="B13" s="5" t="n">
        <v>9</v>
      </c>
      <c r="C13" s="6" t="inlineStr">
        <is>
          <t>Sidi Kacem</t>
        </is>
      </c>
      <c r="D13" s="5" t="inlineStr">
        <is>
          <t>BIR TALEB</t>
        </is>
      </c>
      <c r="E13" s="5" t="inlineStr">
        <is>
          <t>50-21</t>
        </is>
      </c>
      <c r="F13" s="5" t="inlineStr">
        <is>
          <t>Entretien et réparation des stations de pompage</t>
        </is>
      </c>
      <c r="G13" s="5" t="inlineStr">
        <is>
          <t>Prestations de maintenance et de réparation mécanique des pompes et des groupes motopompes submersibles des stations de pompage.</t>
        </is>
      </c>
      <c r="H13" s="5" t="inlineStr">
        <is>
          <t>Démontage et expertise des roues des  pompes principaux et pompes a vide de la station P11/1
Changement des roulements, tresses et organes d’effectués de la station P11/1</t>
        </is>
      </c>
      <c r="I13" s="7" t="n">
        <v>26700</v>
      </c>
      <c r="J13" s="8" t="inlineStr">
        <is>
          <t>U</t>
        </is>
      </c>
      <c r="K13" s="9" t="n">
        <v>1</v>
      </c>
      <c r="L13" s="51" t="n"/>
      <c r="M13" s="52">
        <f>'S44'!M13+L13</f>
        <v/>
      </c>
      <c r="N13" s="53">
        <f>IFERROR(M13/K13,0)</f>
        <v/>
      </c>
      <c r="O13" s="54">
        <f>'S44'!N13</f>
        <v/>
      </c>
      <c r="P13" s="53">
        <f>N13-O13</f>
        <v/>
      </c>
      <c r="Q13" s="32" t="n"/>
      <c r="R13" s="32" t="n"/>
      <c r="S13" s="32" t="n"/>
      <c r="T13" s="55" t="n"/>
      <c r="U13" s="54">
        <f>'S44'!T13</f>
        <v/>
      </c>
      <c r="V13" s="53">
        <f>T13-U13</f>
        <v/>
      </c>
      <c r="W13" s="53">
        <f>N13-T13</f>
        <v/>
      </c>
      <c r="X13" s="34" t="n"/>
    </row>
    <row r="14" ht="22" customHeight="1">
      <c r="B14" s="10" t="n">
        <v>10</v>
      </c>
      <c r="C14" s="6" t="inlineStr">
        <is>
          <t>Sidi Kacem</t>
        </is>
      </c>
      <c r="D14" s="10" t="inlineStr">
        <is>
          <t>BIR TALEB</t>
        </is>
      </c>
      <c r="E14" s="10" t="inlineStr">
        <is>
          <t>50-21</t>
        </is>
      </c>
      <c r="F14" s="10" t="inlineStr">
        <is>
          <t>Entretien et réparation des stations de pompage</t>
        </is>
      </c>
      <c r="G14" s="10" t="inlineStr">
        <is>
          <t>Stabilisation Berge oued</t>
        </is>
      </c>
      <c r="H14" s="10" t="inlineStr">
        <is>
          <t>Pose de  gabions et recouvrement du talus par matelas Reno des stations de pompage P11/1.</t>
        </is>
      </c>
      <c r="I14" s="11" t="n">
        <v>480000</v>
      </c>
      <c r="J14" s="12" t="inlineStr">
        <is>
          <t>m³</t>
        </is>
      </c>
      <c r="K14" s="13" t="n">
        <v>320</v>
      </c>
      <c r="L14" s="51" t="n"/>
      <c r="M14" s="56">
        <f>'S44'!M14+L14</f>
        <v/>
      </c>
      <c r="N14" s="57">
        <f>IFERROR(M14/K14,0)</f>
        <v/>
      </c>
      <c r="O14" s="58">
        <f>'S44'!N14</f>
        <v/>
      </c>
      <c r="P14" s="57">
        <f>N14-O14</f>
        <v/>
      </c>
      <c r="Q14" s="32" t="n"/>
      <c r="R14" s="32" t="n"/>
      <c r="S14" s="32" t="n"/>
      <c r="T14" s="55" t="n"/>
      <c r="U14" s="58">
        <f>'S44'!T14</f>
        <v/>
      </c>
      <c r="V14" s="57">
        <f>T14-U14</f>
        <v/>
      </c>
      <c r="W14" s="57">
        <f>N14-T14</f>
        <v/>
      </c>
      <c r="X14" s="34" t="n"/>
    </row>
    <row r="15" ht="22" customHeight="1">
      <c r="B15" s="5" t="n">
        <v>11</v>
      </c>
      <c r="C15" s="6" t="inlineStr">
        <is>
          <t>Sidi Kacem</t>
        </is>
      </c>
      <c r="D15" s="5" t="inlineStr">
        <is>
          <t>BIR TALEB</t>
        </is>
      </c>
      <c r="E15" s="5" t="inlineStr">
        <is>
          <t>50-21</t>
        </is>
      </c>
      <c r="F15" s="5" t="inlineStr">
        <is>
          <t>Entretien et réparation des stations de pompage</t>
        </is>
      </c>
      <c r="G15" s="5" t="inlineStr">
        <is>
          <t>Génie civile des locaux des stations de pompage.</t>
        </is>
      </c>
      <c r="H15" s="5" t="inlineStr">
        <is>
          <t>Expertise d’état et d’étanchéité des locaux pompes.
Renforcement d’étanchéité des locaux pompe sous niveau des oueds des stations de pompage P11/1.
Entretien des supports en béton des conduites d’aspiration.</t>
        </is>
      </c>
      <c r="I15" s="7" t="n">
        <v>300000</v>
      </c>
      <c r="J15" s="8" t="inlineStr">
        <is>
          <t>U</t>
        </is>
      </c>
      <c r="K15" s="9" t="n">
        <v>1</v>
      </c>
      <c r="L15" s="51" t="n"/>
      <c r="M15" s="52">
        <f>'S44'!M15+L15</f>
        <v/>
      </c>
      <c r="N15" s="53">
        <f>IFERROR(M15/K15,0)</f>
        <v/>
      </c>
      <c r="O15" s="54">
        <f>'S44'!N15</f>
        <v/>
      </c>
      <c r="P15" s="53">
        <f>N15-O15</f>
        <v/>
      </c>
      <c r="Q15" s="32" t="n"/>
      <c r="R15" s="32" t="n"/>
      <c r="S15" s="32" t="n"/>
      <c r="T15" s="55" t="n"/>
      <c r="U15" s="54">
        <f>'S44'!T15</f>
        <v/>
      </c>
      <c r="V15" s="53">
        <f>T15-U15</f>
        <v/>
      </c>
      <c r="W15" s="53">
        <f>N15-T15</f>
        <v/>
      </c>
      <c r="X15" s="34" t="n"/>
    </row>
    <row r="16" ht="22" customHeight="1">
      <c r="B16" s="10" t="n">
        <v>12</v>
      </c>
      <c r="C16" s="6" t="inlineStr">
        <is>
          <t>Sidi Kacem</t>
        </is>
      </c>
      <c r="D16" s="10" t="inlineStr">
        <is>
          <t>CHEBANAT</t>
        </is>
      </c>
      <c r="E16" s="10" t="inlineStr">
        <is>
          <t>50-23</t>
        </is>
      </c>
      <c r="F16" s="10" t="inlineStr">
        <is>
          <t>Entretien et réparation du réseau d'assainissement et de drainage</t>
        </is>
      </c>
      <c r="G16" s="10" t="inlineStr">
        <is>
          <t>Travaux de curage des canaux en terre</t>
        </is>
      </c>
      <c r="H16" s="10" t="inlineStr">
        <is>
          <t>Curage des collecteurs d'assainissement des secteur SH5 et SH6.</t>
        </is>
      </c>
      <c r="I16" s="11" t="n">
        <v>1000000</v>
      </c>
      <c r="J16" s="12" t="inlineStr">
        <is>
          <t>ml</t>
        </is>
      </c>
      <c r="K16" s="13" t="n">
        <v>500</v>
      </c>
      <c r="L16" s="51" t="n"/>
      <c r="M16" s="56">
        <f>'S44'!M16+L16</f>
        <v/>
      </c>
      <c r="N16" s="57">
        <f>IFERROR(M16/K16,0)</f>
        <v/>
      </c>
      <c r="O16" s="58">
        <f>'S44'!N16</f>
        <v/>
      </c>
      <c r="P16" s="57">
        <f>N16-O16</f>
        <v/>
      </c>
      <c r="Q16" s="32" t="n"/>
      <c r="R16" s="32" t="n"/>
      <c r="S16" s="32" t="n"/>
      <c r="T16" s="55" t="n"/>
      <c r="U16" s="58">
        <f>'S44'!T16</f>
        <v/>
      </c>
      <c r="V16" s="57">
        <f>T16-U16</f>
        <v/>
      </c>
      <c r="W16" s="57">
        <f>N16-T16</f>
        <v/>
      </c>
      <c r="X16" s="34" t="n"/>
    </row>
    <row r="17" ht="22" customHeight="1">
      <c r="B17" s="5" t="n">
        <v>13</v>
      </c>
      <c r="C17" s="6" t="inlineStr">
        <is>
          <t>Sidi Kacem</t>
        </is>
      </c>
      <c r="D17" s="5" t="inlineStr">
        <is>
          <t>CHEBANAT</t>
        </is>
      </c>
      <c r="E17" s="5" t="inlineStr">
        <is>
          <t>50-23</t>
        </is>
      </c>
      <c r="F17" s="5" t="inlineStr">
        <is>
          <t>Entretien et réparation du réseau d'assainissement et de drainage</t>
        </is>
      </c>
      <c r="G17" s="5" t="inlineStr">
        <is>
          <t>Travaux de curage des canaux révetus</t>
        </is>
      </c>
      <c r="H17" s="5" t="inlineStr">
        <is>
          <t>Curage du canal principal d'irrigation beht partie aval 1.</t>
        </is>
      </c>
      <c r="I17" s="7" t="n">
        <v>739200</v>
      </c>
      <c r="J17" s="8" t="inlineStr">
        <is>
          <t>ml</t>
        </is>
      </c>
      <c r="K17" s="9" t="n">
        <v>370</v>
      </c>
      <c r="L17" s="51" t="n"/>
      <c r="M17" s="52">
        <f>'S44'!M17+L17</f>
        <v/>
      </c>
      <c r="N17" s="53">
        <f>IFERROR(M17/K17,0)</f>
        <v/>
      </c>
      <c r="O17" s="54">
        <f>'S44'!N17</f>
        <v/>
      </c>
      <c r="P17" s="53">
        <f>N17-O17</f>
        <v/>
      </c>
      <c r="Q17" s="32" t="n"/>
      <c r="R17" s="32" t="n"/>
      <c r="S17" s="32" t="n"/>
      <c r="T17" s="55" t="n"/>
      <c r="U17" s="54">
        <f>'S44'!T17</f>
        <v/>
      </c>
      <c r="V17" s="53">
        <f>T17-U17</f>
        <v/>
      </c>
      <c r="W17" s="53">
        <f>N17-T17</f>
        <v/>
      </c>
      <c r="X17" s="34" t="n"/>
    </row>
    <row r="18" ht="22" customHeight="1">
      <c r="B18" s="10" t="n">
        <v>14</v>
      </c>
      <c r="C18" s="6" t="inlineStr">
        <is>
          <t>Sidi Kacem</t>
        </is>
      </c>
      <c r="D18" s="10" t="inlineStr">
        <is>
          <t>ZIRARA</t>
        </is>
      </c>
      <c r="E18" s="10" t="inlineStr">
        <is>
          <t>50-23</t>
        </is>
      </c>
      <c r="F18" s="10" t="inlineStr">
        <is>
          <t>Entretien et réparation du réseau d'assainissement et de drainage</t>
        </is>
      </c>
      <c r="G18" s="10" t="inlineStr">
        <is>
          <t>Travaux de curage des canaux révetus</t>
        </is>
      </c>
      <c r="H18" s="10" t="inlineStr">
        <is>
          <t>Curage du canal principal d'irrigation beht partie aval 2.</t>
        </is>
      </c>
      <c r="I18" s="11" t="n">
        <v>1276800</v>
      </c>
      <c r="J18" s="12" t="inlineStr">
        <is>
          <t>ml</t>
        </is>
      </c>
      <c r="K18" s="13" t="n">
        <v>638</v>
      </c>
      <c r="L18" s="51" t="n"/>
      <c r="M18" s="56">
        <f>'S44'!M18+L18</f>
        <v/>
      </c>
      <c r="N18" s="57">
        <f>IFERROR(M18/K18,0)</f>
        <v/>
      </c>
      <c r="O18" s="58">
        <f>'S44'!N18</f>
        <v/>
      </c>
      <c r="P18" s="57">
        <f>N18-O18</f>
        <v/>
      </c>
      <c r="Q18" s="32" t="n"/>
      <c r="R18" s="32" t="n"/>
      <c r="S18" s="32" t="n"/>
      <c r="T18" s="55" t="n"/>
      <c r="U18" s="58">
        <f>'S44'!T18</f>
        <v/>
      </c>
      <c r="V18" s="57">
        <f>T18-U18</f>
        <v/>
      </c>
      <c r="W18" s="57">
        <f>N18-T18</f>
        <v/>
      </c>
      <c r="X18" s="34" t="n"/>
    </row>
    <row r="19" ht="22" customHeight="1">
      <c r="B19" s="5" t="n">
        <v>15</v>
      </c>
      <c r="C19" s="6" t="inlineStr">
        <is>
          <t>Sidi Kacem</t>
        </is>
      </c>
      <c r="D19" s="5" t="inlineStr">
        <is>
          <t>DAR LAASLOUJI</t>
        </is>
      </c>
      <c r="E19" s="5" t="inlineStr">
        <is>
          <t>50-23</t>
        </is>
      </c>
      <c r="F19" s="5" t="inlineStr">
        <is>
          <t>Entretien et réparation du réseau d'assainissement et de drainage</t>
        </is>
      </c>
      <c r="G19" s="5" t="inlineStr">
        <is>
          <t>Travaux de curage des canaux en terre</t>
        </is>
      </c>
      <c r="H19" s="5" t="inlineStr">
        <is>
          <t>Curage des collecteurs d'assainissement des secteurs P8-1 et P8-2</t>
        </is>
      </c>
      <c r="I19" s="7" t="n">
        <v>5796360</v>
      </c>
      <c r="J19" s="8" t="inlineStr">
        <is>
          <t>ml</t>
        </is>
      </c>
      <c r="K19" s="9" t="n">
        <v>2898</v>
      </c>
      <c r="L19" s="51" t="n"/>
      <c r="M19" s="52">
        <f>'S44'!M19+L19</f>
        <v/>
      </c>
      <c r="N19" s="53">
        <f>IFERROR(M19/K19,0)</f>
        <v/>
      </c>
      <c r="O19" s="54">
        <f>'S44'!N19</f>
        <v/>
      </c>
      <c r="P19" s="53">
        <f>N19-O19</f>
        <v/>
      </c>
      <c r="Q19" s="32" t="n"/>
      <c r="R19" s="32" t="n"/>
      <c r="S19" s="32" t="n"/>
      <c r="T19" s="55" t="n"/>
      <c r="U19" s="54">
        <f>'S44'!T19</f>
        <v/>
      </c>
      <c r="V19" s="53">
        <f>T19-U19</f>
        <v/>
      </c>
      <c r="W19" s="53">
        <f>N19-T19</f>
        <v/>
      </c>
      <c r="X19" s="34" t="n"/>
    </row>
    <row r="20" ht="22" customHeight="1">
      <c r="B20" s="10" t="n">
        <v>16</v>
      </c>
      <c r="C20" s="6" t="inlineStr">
        <is>
          <t>Sidi Kacem</t>
        </is>
      </c>
      <c r="D20" s="10" t="inlineStr">
        <is>
          <t>DAR LAASLOUJI</t>
        </is>
      </c>
      <c r="E20" s="10" t="inlineStr">
        <is>
          <t>40-21</t>
        </is>
      </c>
      <c r="F20" s="10" t="inlineStr">
        <is>
          <t>Travaux de pistes</t>
        </is>
      </c>
      <c r="G20" s="10" t="inlineStr">
        <is>
          <t>Entretien des pistes agricoles</t>
        </is>
      </c>
      <c r="H20" s="10" t="inlineStr">
        <is>
          <t>Entretien des pistes agricoles</t>
        </is>
      </c>
      <c r="I20" s="11" t="n">
        <v>340000</v>
      </c>
      <c r="J20" s="12" t="inlineStr">
        <is>
          <t>km</t>
        </is>
      </c>
      <c r="K20" s="13" t="n">
        <v>1</v>
      </c>
      <c r="L20" s="51" t="n"/>
      <c r="M20" s="56">
        <f>'S44'!M20+L20</f>
        <v/>
      </c>
      <c r="N20" s="57">
        <f>IFERROR(M20/K20,0)</f>
        <v/>
      </c>
      <c r="O20" s="58">
        <f>'S44'!N20</f>
        <v/>
      </c>
      <c r="P20" s="57">
        <f>N20-O20</f>
        <v/>
      </c>
      <c r="Q20" s="32" t="n"/>
      <c r="R20" s="32" t="n"/>
      <c r="S20" s="32" t="n"/>
      <c r="T20" s="55" t="n"/>
      <c r="U20" s="58">
        <f>'S44'!T20</f>
        <v/>
      </c>
      <c r="V20" s="57">
        <f>T20-U20</f>
        <v/>
      </c>
      <c r="W20" s="57">
        <f>N20-T20</f>
        <v/>
      </c>
      <c r="X20" s="34" t="n"/>
    </row>
    <row r="21" ht="22" customHeight="1">
      <c r="B21" s="5" t="n">
        <v>17</v>
      </c>
      <c r="C21" s="6" t="inlineStr">
        <is>
          <t>Sidi Kacem</t>
        </is>
      </c>
      <c r="D21" s="5" t="inlineStr">
        <is>
          <t>HOUAFATE</t>
        </is>
      </c>
      <c r="E21" s="5" t="inlineStr">
        <is>
          <t>20-11</t>
        </is>
      </c>
      <c r="F21" s="5" t="inlineStr">
        <is>
          <t>Travaux de réhabilitation des équipements</t>
        </is>
      </c>
      <c r="G21" s="5" t="inlineStr">
        <is>
          <t>Travaux de réhabilitation des canaux portés d'irrigation</t>
        </is>
      </c>
      <c r="H21" s="5" t="inlineStr">
        <is>
          <t>Fourniture et de pose de canaux porté et accessoires du réseau S3 du secteur S13</t>
        </is>
      </c>
      <c r="I21" s="7" t="n">
        <v>397934</v>
      </c>
      <c r="J21" s="8" t="inlineStr">
        <is>
          <t>ml</t>
        </is>
      </c>
      <c r="K21" s="9" t="n">
        <v>133</v>
      </c>
      <c r="L21" s="51" t="n"/>
      <c r="M21" s="52">
        <f>'S44'!M21+L21</f>
        <v/>
      </c>
      <c r="N21" s="53">
        <f>IFERROR(M21/K21,0)</f>
        <v/>
      </c>
      <c r="O21" s="54">
        <f>'S44'!N21</f>
        <v/>
      </c>
      <c r="P21" s="53">
        <f>N21-O21</f>
        <v/>
      </c>
      <c r="Q21" s="32" t="n"/>
      <c r="R21" s="32" t="n"/>
      <c r="S21" s="32" t="n"/>
      <c r="T21" s="55" t="n"/>
      <c r="U21" s="54">
        <f>'S44'!T21</f>
        <v/>
      </c>
      <c r="V21" s="53">
        <f>T21-U21</f>
        <v/>
      </c>
      <c r="W21" s="53">
        <f>N21-T21</f>
        <v/>
      </c>
      <c r="X21" s="34" t="n"/>
    </row>
    <row r="22" ht="22" customHeight="1">
      <c r="B22" s="10" t="n">
        <v>18</v>
      </c>
      <c r="C22" s="6" t="inlineStr">
        <is>
          <t>Sidi Kacem</t>
        </is>
      </c>
      <c r="D22" s="10" t="inlineStr">
        <is>
          <t>HOUAFATE</t>
        </is>
      </c>
      <c r="E22" s="10" t="inlineStr">
        <is>
          <t>20-11</t>
        </is>
      </c>
      <c r="F22" s="10" t="inlineStr">
        <is>
          <t>Travaux de réhabilitation des équipements</t>
        </is>
      </c>
      <c r="G22" s="10" t="inlineStr"/>
      <c r="H22" s="10" t="inlineStr">
        <is>
          <t>Fourniture et de pose de canaux porté et accessoires du réseau T2S1 du secteur S13</t>
        </is>
      </c>
      <c r="I22" s="11" t="n">
        <v>207575</v>
      </c>
      <c r="J22" s="12" t="inlineStr">
        <is>
          <t>ml</t>
        </is>
      </c>
      <c r="K22" s="13" t="n">
        <v>69</v>
      </c>
      <c r="L22" s="51" t="n"/>
      <c r="M22" s="56">
        <f>'S44'!M22+L22</f>
        <v/>
      </c>
      <c r="N22" s="57">
        <f>IFERROR(M22/K22,0)</f>
        <v/>
      </c>
      <c r="O22" s="58">
        <f>'S44'!N22</f>
        <v/>
      </c>
      <c r="P22" s="57">
        <f>N22-O22</f>
        <v/>
      </c>
      <c r="Q22" s="32" t="n"/>
      <c r="R22" s="32" t="n"/>
      <c r="S22" s="32" t="n"/>
      <c r="T22" s="55" t="n"/>
      <c r="U22" s="58">
        <f>'S44'!T22</f>
        <v/>
      </c>
      <c r="V22" s="57">
        <f>T22-U22</f>
        <v/>
      </c>
      <c r="W22" s="57">
        <f>N22-T22</f>
        <v/>
      </c>
      <c r="X22" s="34" t="n"/>
    </row>
    <row r="23" ht="22" customHeight="1">
      <c r="B23" s="5" t="n">
        <v>19</v>
      </c>
      <c r="C23" s="6" t="inlineStr">
        <is>
          <t>Sidi Kacem</t>
        </is>
      </c>
      <c r="D23" s="5" t="inlineStr">
        <is>
          <t>HOUAFATE</t>
        </is>
      </c>
      <c r="E23" s="5" t="inlineStr">
        <is>
          <t>40-21</t>
        </is>
      </c>
      <c r="F23" s="5" t="inlineStr">
        <is>
          <t>Travaux de pistes</t>
        </is>
      </c>
      <c r="G23" s="5" t="inlineStr">
        <is>
          <t>Entretien des pistes agricoles</t>
        </is>
      </c>
      <c r="H23" s="5" t="inlineStr">
        <is>
          <t>Entretien des pistes agricoles</t>
        </is>
      </c>
      <c r="I23" s="7" t="n">
        <v>2200000</v>
      </c>
      <c r="J23" s="8" t="inlineStr">
        <is>
          <t>km</t>
        </is>
      </c>
      <c r="K23" s="9" t="n">
        <v>4</v>
      </c>
      <c r="L23" s="51" t="n"/>
      <c r="M23" s="52">
        <f>'S44'!M23+L23</f>
        <v/>
      </c>
      <c r="N23" s="53">
        <f>IFERROR(M23/K23,0)</f>
        <v/>
      </c>
      <c r="O23" s="54">
        <f>'S44'!N23</f>
        <v/>
      </c>
      <c r="P23" s="53">
        <f>N23-O23</f>
        <v/>
      </c>
      <c r="Q23" s="32" t="n"/>
      <c r="R23" s="32" t="n"/>
      <c r="S23" s="32" t="n"/>
      <c r="T23" s="55" t="n"/>
      <c r="U23" s="54">
        <f>'S44'!T23</f>
        <v/>
      </c>
      <c r="V23" s="53">
        <f>T23-U23</f>
        <v/>
      </c>
      <c r="W23" s="53">
        <f>N23-T23</f>
        <v/>
      </c>
      <c r="X23" s="34" t="n"/>
    </row>
    <row r="24" ht="22" customHeight="1">
      <c r="B24" s="10" t="n">
        <v>20</v>
      </c>
      <c r="C24" s="6" t="inlineStr">
        <is>
          <t>Sidi Kacem</t>
        </is>
      </c>
      <c r="D24" s="10" t="inlineStr">
        <is>
          <t>HOUAFATE</t>
        </is>
      </c>
      <c r="E24" s="10" t="inlineStr">
        <is>
          <t>50-23</t>
        </is>
      </c>
      <c r="F24" s="10" t="inlineStr">
        <is>
          <t>Entretien et réparation du réseau d'assainissement et de drainage</t>
        </is>
      </c>
      <c r="G24" s="10" t="inlineStr">
        <is>
          <t>Curage des prises sur l’oued, bâche d’aspiration et bassin de régulation.</t>
        </is>
      </c>
      <c r="H24" s="10" t="inlineStr">
        <is>
          <t>Curage des prises sur l’oued de la station de pompage S17 et S13.
Nettoyage des grilles de préfiltration des boues colmaté de la station de pompage S17 et S13.
Curage de la bâche d’aspiration de la station S17 et S13.</t>
        </is>
      </c>
      <c r="I24" s="11" t="n">
        <v>300000</v>
      </c>
      <c r="J24" s="12" t="inlineStr">
        <is>
          <t>ml</t>
        </is>
      </c>
      <c r="K24" s="13" t="n">
        <v>100</v>
      </c>
      <c r="L24" s="51" t="n"/>
      <c r="M24" s="56">
        <f>'S44'!M24+L24</f>
        <v/>
      </c>
      <c r="N24" s="57">
        <f>IFERROR(M24/K24,0)</f>
        <v/>
      </c>
      <c r="O24" s="58">
        <f>'S44'!N24</f>
        <v/>
      </c>
      <c r="P24" s="57">
        <f>N24-O24</f>
        <v/>
      </c>
      <c r="Q24" s="32" t="n"/>
      <c r="R24" s="32" t="n"/>
      <c r="S24" s="32" t="n"/>
      <c r="T24" s="55" t="n"/>
      <c r="U24" s="58">
        <f>'S44'!T24</f>
        <v/>
      </c>
      <c r="V24" s="57">
        <f>T24-U24</f>
        <v/>
      </c>
      <c r="W24" s="57">
        <f>N24-T24</f>
        <v/>
      </c>
      <c r="X24" s="34" t="n"/>
    </row>
    <row r="25" ht="22" customHeight="1">
      <c r="B25" s="5" t="n">
        <v>21</v>
      </c>
      <c r="C25" s="6" t="inlineStr">
        <is>
          <t>Sidi Kacem</t>
        </is>
      </c>
      <c r="D25" s="5" t="inlineStr">
        <is>
          <t>HOUAFATE</t>
        </is>
      </c>
      <c r="E25" s="5" t="inlineStr">
        <is>
          <t>50-21</t>
        </is>
      </c>
      <c r="F25" s="5" t="inlineStr">
        <is>
          <t>Entretien et réparation des stations de pompage</t>
        </is>
      </c>
      <c r="G25" s="5" t="inlineStr">
        <is>
          <t>Prestation de maintenance des débitmètres et leurs équipements annexes installés au niveau des station de pompage</t>
        </is>
      </c>
      <c r="H25" s="5" t="inlineStr">
        <is>
          <t>Changement trois débitmètre Ø 600mm inondés de la station de pompage S13.</t>
        </is>
      </c>
      <c r="I25" s="7" t="n">
        <v>250000</v>
      </c>
      <c r="J25" s="8" t="inlineStr">
        <is>
          <t>U</t>
        </is>
      </c>
      <c r="K25" s="9" t="n">
        <v>3</v>
      </c>
      <c r="L25" s="51" t="n"/>
      <c r="M25" s="52">
        <f>'S44'!M25+L25</f>
        <v/>
      </c>
      <c r="N25" s="53">
        <f>IFERROR(M25/K25,0)</f>
        <v/>
      </c>
      <c r="O25" s="54">
        <f>'S44'!N25</f>
        <v/>
      </c>
      <c r="P25" s="53">
        <f>N25-O25</f>
        <v/>
      </c>
      <c r="Q25" s="32" t="n"/>
      <c r="R25" s="32" t="n"/>
      <c r="S25" s="32" t="n"/>
      <c r="T25" s="55" t="n"/>
      <c r="U25" s="54">
        <f>'S44'!T25</f>
        <v/>
      </c>
      <c r="V25" s="53">
        <f>T25-U25</f>
        <v/>
      </c>
      <c r="W25" s="53">
        <f>N25-T25</f>
        <v/>
      </c>
      <c r="X25" s="34" t="n"/>
    </row>
    <row r="26" ht="22" customHeight="1">
      <c r="B26" s="10" t="n">
        <v>22</v>
      </c>
      <c r="C26" s="6" t="inlineStr">
        <is>
          <t>Sidi Kacem</t>
        </is>
      </c>
      <c r="D26" s="10" t="inlineStr">
        <is>
          <t>HOUAFATE</t>
        </is>
      </c>
      <c r="E26" s="10" t="inlineStr">
        <is>
          <t>50-21</t>
        </is>
      </c>
      <c r="F26" s="10" t="inlineStr">
        <is>
          <t>Entretien et réparation des stations de pompage</t>
        </is>
      </c>
      <c r="G26" s="10" t="inlineStr">
        <is>
          <t>Prestations de maintenance des moteurs électriques des stations de pompage.</t>
        </is>
      </c>
      <c r="H26" s="10" t="inlineStr">
        <is>
          <t>Révision des trois moteurs électriques 200 KW principaux de la station S13. 
Révision des deux moteurs électriques 5,5 KW groupes vide de la station S13.</t>
        </is>
      </c>
      <c r="I26" s="11" t="n">
        <v>25000</v>
      </c>
      <c r="J26" s="12" t="inlineStr">
        <is>
          <t>U</t>
        </is>
      </c>
      <c r="K26" s="13" t="n">
        <v>3</v>
      </c>
      <c r="L26" s="51" t="n"/>
      <c r="M26" s="56">
        <f>'S44'!M26+L26</f>
        <v/>
      </c>
      <c r="N26" s="57">
        <f>IFERROR(M26/K26,0)</f>
        <v/>
      </c>
      <c r="O26" s="58">
        <f>'S44'!N26</f>
        <v/>
      </c>
      <c r="P26" s="57">
        <f>N26-O26</f>
        <v/>
      </c>
      <c r="Q26" s="32" t="n"/>
      <c r="R26" s="32" t="n"/>
      <c r="S26" s="32" t="n"/>
      <c r="T26" s="55" t="n"/>
      <c r="U26" s="58">
        <f>'S44'!T26</f>
        <v/>
      </c>
      <c r="V26" s="57">
        <f>T26-U26</f>
        <v/>
      </c>
      <c r="W26" s="57">
        <f>N26-T26</f>
        <v/>
      </c>
      <c r="X26" s="34" t="n"/>
    </row>
    <row r="27" ht="22" customHeight="1">
      <c r="B27" s="5" t="n">
        <v>23</v>
      </c>
      <c r="C27" s="6" t="inlineStr">
        <is>
          <t>Sidi Kacem</t>
        </is>
      </c>
      <c r="D27" s="5" t="inlineStr">
        <is>
          <t>HOUAFATE</t>
        </is>
      </c>
      <c r="E27" s="5" t="inlineStr">
        <is>
          <t>50-21</t>
        </is>
      </c>
      <c r="F27" s="5" t="inlineStr">
        <is>
          <t>Entretien et réparation des stations de pompage</t>
        </is>
      </c>
      <c r="G27" s="5" t="inlineStr">
        <is>
          <t>Prestations de maintenance et de réparation mécanique des pompes et des groupes motopompes submersibles des stations de pompage.</t>
        </is>
      </c>
      <c r="H27" s="5" t="inlineStr">
        <is>
          <t>Démontage et expertise des roues des  pompes principaux et pompes a vide de la station S13.
Changement des roulements, tresses et organes d’effectués de la station S13.</t>
        </is>
      </c>
      <c r="I27" s="7" t="n">
        <v>38000</v>
      </c>
      <c r="J27" s="8" t="inlineStr">
        <is>
          <t>U</t>
        </is>
      </c>
      <c r="K27" s="9" t="n">
        <v>1</v>
      </c>
      <c r="L27" s="51" t="n"/>
      <c r="M27" s="52">
        <f>'S44'!M27+L27</f>
        <v/>
      </c>
      <c r="N27" s="53">
        <f>IFERROR(M27/K27,0)</f>
        <v/>
      </c>
      <c r="O27" s="54">
        <f>'S44'!N27</f>
        <v/>
      </c>
      <c r="P27" s="53">
        <f>N27-O27</f>
        <v/>
      </c>
      <c r="Q27" s="32" t="n"/>
      <c r="R27" s="32" t="n"/>
      <c r="S27" s="32" t="n"/>
      <c r="T27" s="55" t="n"/>
      <c r="U27" s="54">
        <f>'S44'!T27</f>
        <v/>
      </c>
      <c r="V27" s="53">
        <f>T27-U27</f>
        <v/>
      </c>
      <c r="W27" s="53">
        <f>N27-T27</f>
        <v/>
      </c>
      <c r="X27" s="34" t="n"/>
    </row>
    <row r="28" ht="22" customHeight="1">
      <c r="B28" s="10" t="n">
        <v>24</v>
      </c>
      <c r="C28" s="6" t="inlineStr">
        <is>
          <t>Sidi Kacem</t>
        </is>
      </c>
      <c r="D28" s="10" t="inlineStr">
        <is>
          <t>HOUAFATE</t>
        </is>
      </c>
      <c r="E28" s="10" t="inlineStr">
        <is>
          <t>50-21</t>
        </is>
      </c>
      <c r="F28" s="10" t="inlineStr">
        <is>
          <t>Entretien et réparation des stations de pompage</t>
        </is>
      </c>
      <c r="G28" s="10" t="inlineStr">
        <is>
          <t>Stabilisation Berge oued</t>
        </is>
      </c>
      <c r="H28" s="10" t="inlineStr">
        <is>
          <t>Pose de  gabions et recouvrement du talus par matelas Reno des stations de pompage S13.</t>
        </is>
      </c>
      <c r="I28" s="11" t="n">
        <v>10560000</v>
      </c>
      <c r="J28" s="12" t="inlineStr">
        <is>
          <t>m³</t>
        </is>
      </c>
      <c r="K28" s="13" t="n">
        <v>7040</v>
      </c>
      <c r="L28" s="51" t="n"/>
      <c r="M28" s="56">
        <f>'S44'!M28+L28</f>
        <v/>
      </c>
      <c r="N28" s="57">
        <f>IFERROR(M28/K28,0)</f>
        <v/>
      </c>
      <c r="O28" s="58">
        <f>'S44'!N28</f>
        <v/>
      </c>
      <c r="P28" s="57">
        <f>N28-O28</f>
        <v/>
      </c>
      <c r="Q28" s="32" t="n"/>
      <c r="R28" s="32" t="n"/>
      <c r="S28" s="32" t="n"/>
      <c r="T28" s="55" t="n"/>
      <c r="U28" s="58">
        <f>'S44'!T28</f>
        <v/>
      </c>
      <c r="V28" s="57">
        <f>T28-U28</f>
        <v/>
      </c>
      <c r="W28" s="57">
        <f>N28-T28</f>
        <v/>
      </c>
      <c r="X28" s="34" t="n"/>
    </row>
    <row r="29" ht="22" customHeight="1">
      <c r="B29" s="5" t="n">
        <v>25</v>
      </c>
      <c r="C29" s="6" t="inlineStr">
        <is>
          <t>Sidi Kacem</t>
        </is>
      </c>
      <c r="D29" s="5" t="inlineStr">
        <is>
          <t>HOUAFATE</t>
        </is>
      </c>
      <c r="E29" s="5" t="inlineStr">
        <is>
          <t>50-21</t>
        </is>
      </c>
      <c r="F29" s="5" t="inlineStr">
        <is>
          <t>Entretien et réparation des stations de pompage</t>
        </is>
      </c>
      <c r="G29" s="5" t="inlineStr">
        <is>
          <t>Mur clôture des stations de pompage.</t>
        </is>
      </c>
      <c r="H29" s="5" t="inlineStr">
        <is>
          <t>Stabilisation du sol et reconstruction des murs clôture (270m) cote oued de la station S17.</t>
        </is>
      </c>
      <c r="I29" s="7" t="n">
        <v>144000</v>
      </c>
      <c r="J29" s="8" t="inlineStr">
        <is>
          <t>ml</t>
        </is>
      </c>
      <c r="K29" s="9" t="n">
        <v>270</v>
      </c>
      <c r="L29" s="51" t="n"/>
      <c r="M29" s="52">
        <f>'S44'!M29+L29</f>
        <v/>
      </c>
      <c r="N29" s="53">
        <f>IFERROR(M29/K29,0)</f>
        <v/>
      </c>
      <c r="O29" s="54">
        <f>'S44'!N29</f>
        <v/>
      </c>
      <c r="P29" s="53">
        <f>N29-O29</f>
        <v/>
      </c>
      <c r="Q29" s="32" t="n"/>
      <c r="R29" s="32" t="n"/>
      <c r="S29" s="32" t="n"/>
      <c r="T29" s="55" t="n"/>
      <c r="U29" s="54">
        <f>'S44'!T29</f>
        <v/>
      </c>
      <c r="V29" s="53">
        <f>T29-U29</f>
        <v/>
      </c>
      <c r="W29" s="53">
        <f>N29-T29</f>
        <v/>
      </c>
      <c r="X29" s="34" t="n"/>
    </row>
    <row r="30" ht="22" customHeight="1">
      <c r="B30" s="10" t="n">
        <v>26</v>
      </c>
      <c r="C30" s="6" t="inlineStr">
        <is>
          <t>Sidi Kacem</t>
        </is>
      </c>
      <c r="D30" s="10" t="inlineStr">
        <is>
          <t>HOUAFATE</t>
        </is>
      </c>
      <c r="E30" s="10" t="inlineStr">
        <is>
          <t>50-21</t>
        </is>
      </c>
      <c r="F30" s="10" t="inlineStr">
        <is>
          <t>Entretien et réparation des stations de pompage</t>
        </is>
      </c>
      <c r="G30" s="10" t="inlineStr">
        <is>
          <t>Génie civile des locaux des stations de pompage.</t>
        </is>
      </c>
      <c r="H30" s="10" t="inlineStr">
        <is>
          <t>Expertise d’état et d’étanchéité des locaux pompes, commande, puissance des stations de pompage S17 et S13.
Renforcement d’étanchéité des locaux pompe sous niveau des oueds des stations de pompage S17 et S13.</t>
        </is>
      </c>
      <c r="I30" s="11" t="n">
        <v>800000</v>
      </c>
      <c r="J30" s="12" t="inlineStr">
        <is>
          <t>U</t>
        </is>
      </c>
      <c r="K30" s="13" t="n">
        <v>1</v>
      </c>
      <c r="L30" s="51" t="n"/>
      <c r="M30" s="56">
        <f>'S44'!M30+L30</f>
        <v/>
      </c>
      <c r="N30" s="57">
        <f>IFERROR(M30/K30,0)</f>
        <v/>
      </c>
      <c r="O30" s="58">
        <f>'S44'!N30</f>
        <v/>
      </c>
      <c r="P30" s="57">
        <f>N30-O30</f>
        <v/>
      </c>
      <c r="Q30" s="32" t="n"/>
      <c r="R30" s="32" t="n"/>
      <c r="S30" s="32" t="n"/>
      <c r="T30" s="55" t="n"/>
      <c r="U30" s="58">
        <f>'S44'!T30</f>
        <v/>
      </c>
      <c r="V30" s="57">
        <f>T30-U30</f>
        <v/>
      </c>
      <c r="W30" s="57">
        <f>N30-T30</f>
        <v/>
      </c>
      <c r="X30" s="34" t="n"/>
    </row>
    <row r="31" ht="22" customHeight="1">
      <c r="B31" s="5" t="n">
        <v>27</v>
      </c>
      <c r="C31" s="6" t="inlineStr">
        <is>
          <t>Sidi Kacem</t>
        </is>
      </c>
      <c r="D31" s="5" t="inlineStr">
        <is>
          <t>NOUIRAT</t>
        </is>
      </c>
      <c r="E31" s="5" t="inlineStr">
        <is>
          <t>50-23</t>
        </is>
      </c>
      <c r="F31" s="5" t="inlineStr">
        <is>
          <t>Entretien et réparation du réseau d'assainissement et de drainage</t>
        </is>
      </c>
      <c r="G31" s="5" t="inlineStr">
        <is>
          <t>Travaux de curage des canaux en terre</t>
        </is>
      </c>
      <c r="H31" s="5" t="inlineStr">
        <is>
          <t>Curage des collecteurs d'assainissement des secteurs EST1 et N5</t>
        </is>
      </c>
      <c r="I31" s="7" t="n">
        <v>1733306</v>
      </c>
      <c r="J31" s="8" t="inlineStr">
        <is>
          <t>ml</t>
        </is>
      </c>
      <c r="K31" s="9" t="n">
        <v>867</v>
      </c>
      <c r="L31" s="51" t="n"/>
      <c r="M31" s="52">
        <f>'S44'!M31+L31</f>
        <v/>
      </c>
      <c r="N31" s="53">
        <f>IFERROR(M31/K31,0)</f>
        <v/>
      </c>
      <c r="O31" s="54">
        <f>'S44'!N31</f>
        <v/>
      </c>
      <c r="P31" s="53">
        <f>N31-O31</f>
        <v/>
      </c>
      <c r="Q31" s="32" t="n"/>
      <c r="R31" s="32" t="n"/>
      <c r="S31" s="32" t="n"/>
      <c r="T31" s="55" t="n"/>
      <c r="U31" s="54">
        <f>'S44'!T31</f>
        <v/>
      </c>
      <c r="V31" s="53">
        <f>T31-U31</f>
        <v/>
      </c>
      <c r="W31" s="53">
        <f>N31-T31</f>
        <v/>
      </c>
      <c r="X31" s="34" t="n"/>
    </row>
    <row r="32" ht="22" customHeight="1">
      <c r="B32" s="10" t="n">
        <v>28</v>
      </c>
      <c r="C32" s="6" t="inlineStr">
        <is>
          <t>Sidi Kacem</t>
        </is>
      </c>
      <c r="D32" s="10" t="inlineStr">
        <is>
          <t>NOUIRAT</t>
        </is>
      </c>
      <c r="E32" s="10" t="inlineStr">
        <is>
          <t>40-21</t>
        </is>
      </c>
      <c r="F32" s="10" t="inlineStr">
        <is>
          <t>Travaux de pistes</t>
        </is>
      </c>
      <c r="G32" s="10" t="inlineStr">
        <is>
          <t>Entretien des pistes agricoles</t>
        </is>
      </c>
      <c r="H32" s="10" t="inlineStr">
        <is>
          <t>Entretien des pistes agricoles</t>
        </is>
      </c>
      <c r="I32" s="11" t="n">
        <v>670000</v>
      </c>
      <c r="J32" s="12" t="inlineStr">
        <is>
          <t>km</t>
        </is>
      </c>
      <c r="K32" s="13" t="n">
        <v>1</v>
      </c>
      <c r="L32" s="51" t="n"/>
      <c r="M32" s="56">
        <f>'S44'!M32+L32</f>
        <v/>
      </c>
      <c r="N32" s="57">
        <f>IFERROR(M32/K32,0)</f>
        <v/>
      </c>
      <c r="O32" s="58">
        <f>'S44'!N32</f>
        <v/>
      </c>
      <c r="P32" s="57">
        <f>N32-O32</f>
        <v/>
      </c>
      <c r="Q32" s="32" t="n"/>
      <c r="R32" s="32" t="n"/>
      <c r="S32" s="32" t="n"/>
      <c r="T32" s="55" t="n"/>
      <c r="U32" s="58">
        <f>'S44'!T32</f>
        <v/>
      </c>
      <c r="V32" s="57">
        <f>T32-U32</f>
        <v/>
      </c>
      <c r="W32" s="57">
        <f>N32-T32</f>
        <v/>
      </c>
      <c r="X32" s="34" t="n"/>
    </row>
    <row r="33" ht="22" customHeight="1">
      <c r="B33" s="5" t="n">
        <v>29</v>
      </c>
      <c r="C33" s="6" t="inlineStr">
        <is>
          <t>Sidi Kacem</t>
        </is>
      </c>
      <c r="D33" s="5" t="inlineStr">
        <is>
          <t>NOUIRAT</t>
        </is>
      </c>
      <c r="E33" s="5" t="inlineStr">
        <is>
          <t>20-11</t>
        </is>
      </c>
      <c r="F33" s="5" t="inlineStr">
        <is>
          <t>Travaux de réhabilitation des équipements</t>
        </is>
      </c>
      <c r="G33" s="5" t="inlineStr">
        <is>
          <t>Travaux de réhabilitation des ouvrages de génie civil</t>
        </is>
      </c>
      <c r="H33" s="5" t="inlineStr">
        <is>
          <t>Réhabilitation de l'ouvrage( genie civil ,gabiollannage,clapet anti retour et buse) de l'ouvrage de débouche SE1</t>
        </is>
      </c>
      <c r="I33" s="7" t="n">
        <v>2500000</v>
      </c>
      <c r="J33" s="8" t="inlineStr">
        <is>
          <t>U</t>
        </is>
      </c>
      <c r="K33" s="9" t="n">
        <v>5</v>
      </c>
      <c r="L33" s="51" t="n"/>
      <c r="M33" s="52">
        <f>'S44'!M33+L33</f>
        <v/>
      </c>
      <c r="N33" s="53">
        <f>IFERROR(M33/K33,0)</f>
        <v/>
      </c>
      <c r="O33" s="54">
        <f>'S44'!N33</f>
        <v/>
      </c>
      <c r="P33" s="53">
        <f>N33-O33</f>
        <v/>
      </c>
      <c r="Q33" s="32" t="n"/>
      <c r="R33" s="32" t="n"/>
      <c r="S33" s="32" t="n"/>
      <c r="T33" s="55" t="n"/>
      <c r="U33" s="54">
        <f>'S44'!T33</f>
        <v/>
      </c>
      <c r="V33" s="53">
        <f>T33-U33</f>
        <v/>
      </c>
      <c r="W33" s="53">
        <f>N33-T33</f>
        <v/>
      </c>
      <c r="X33" s="34" t="n"/>
    </row>
    <row r="34" ht="22" customHeight="1">
      <c r="B34" s="10" t="n">
        <v>30</v>
      </c>
      <c r="C34" s="6" t="inlineStr">
        <is>
          <t>Sidi Kacem</t>
        </is>
      </c>
      <c r="D34" s="10" t="inlineStr">
        <is>
          <t>NOUIRAT</t>
        </is>
      </c>
      <c r="E34" s="10" t="inlineStr">
        <is>
          <t>50-23</t>
        </is>
      </c>
      <c r="F34" s="10" t="inlineStr">
        <is>
          <t>Entretien et réparation du réseau d'assainissement et de drainage</t>
        </is>
      </c>
      <c r="G34" s="10" t="inlineStr">
        <is>
          <t>Curage des prises sur l’oued, bâche d’aspiration et bassin de régulation.</t>
        </is>
      </c>
      <c r="H34" s="10" t="inlineStr">
        <is>
          <t>Curage des prises sur l’oued de la station de pompage E1.
Nettoyage des grilles de préfiltration des boues colmaté de la station de pompage E1.
Curage de la bâche d’aspiration de la station E1.</t>
        </is>
      </c>
      <c r="I34" s="11" t="n">
        <v>800000</v>
      </c>
      <c r="J34" s="12" t="inlineStr">
        <is>
          <t>ml</t>
        </is>
      </c>
      <c r="K34" s="13" t="n">
        <v>267</v>
      </c>
      <c r="L34" s="51" t="n"/>
      <c r="M34" s="56">
        <f>'S44'!M34+L34</f>
        <v/>
      </c>
      <c r="N34" s="57">
        <f>IFERROR(M34/K34,0)</f>
        <v/>
      </c>
      <c r="O34" s="58">
        <f>'S44'!N34</f>
        <v/>
      </c>
      <c r="P34" s="57">
        <f>N34-O34</f>
        <v/>
      </c>
      <c r="Q34" s="32" t="n"/>
      <c r="R34" s="32" t="n"/>
      <c r="S34" s="32" t="n"/>
      <c r="T34" s="55" t="n"/>
      <c r="U34" s="58">
        <f>'S44'!T34</f>
        <v/>
      </c>
      <c r="V34" s="57">
        <f>T34-U34</f>
        <v/>
      </c>
      <c r="W34" s="57">
        <f>N34-T34</f>
        <v/>
      </c>
      <c r="X34" s="34" t="n"/>
    </row>
    <row r="35" ht="22" customHeight="1">
      <c r="B35" s="5" t="n">
        <v>31</v>
      </c>
      <c r="C35" s="6" t="inlineStr">
        <is>
          <t>Sidi Kacem</t>
        </is>
      </c>
      <c r="D35" s="5" t="inlineStr">
        <is>
          <t>NOUIRAT</t>
        </is>
      </c>
      <c r="E35" s="5" t="inlineStr">
        <is>
          <t>50-21</t>
        </is>
      </c>
      <c r="F35" s="5" t="inlineStr">
        <is>
          <t>Entretien et réparation des stations de pompage</t>
        </is>
      </c>
      <c r="G35" s="5" t="inlineStr">
        <is>
          <t>Prestation de maintenance des débitmètres et leurs équipements annexes installés au niveau des station de pompage</t>
        </is>
      </c>
      <c r="H35" s="5" t="inlineStr">
        <is>
          <t>Changement du débitmètre Ø 1200mm inondé de la station de pompage E1.</t>
        </is>
      </c>
      <c r="I35" s="7" t="n">
        <v>195000</v>
      </c>
      <c r="J35" s="8" t="inlineStr">
        <is>
          <t>U</t>
        </is>
      </c>
      <c r="K35" s="9" t="n">
        <v>2</v>
      </c>
      <c r="L35" s="51" t="n"/>
      <c r="M35" s="52">
        <f>'S44'!M35+L35</f>
        <v/>
      </c>
      <c r="N35" s="53">
        <f>IFERROR(M35/K35,0)</f>
        <v/>
      </c>
      <c r="O35" s="54">
        <f>'S44'!N35</f>
        <v/>
      </c>
      <c r="P35" s="53">
        <f>N35-O35</f>
        <v/>
      </c>
      <c r="Q35" s="32" t="n"/>
      <c r="R35" s="32" t="n"/>
      <c r="S35" s="32" t="n"/>
      <c r="T35" s="55" t="n"/>
      <c r="U35" s="54">
        <f>'S44'!T35</f>
        <v/>
      </c>
      <c r="V35" s="53">
        <f>T35-U35</f>
        <v/>
      </c>
      <c r="W35" s="53">
        <f>N35-T35</f>
        <v/>
      </c>
      <c r="X35" s="34" t="n"/>
    </row>
    <row r="36" ht="22" customHeight="1">
      <c r="B36" s="10" t="n">
        <v>32</v>
      </c>
      <c r="C36" s="6" t="inlineStr">
        <is>
          <t>Sidi Kacem</t>
        </is>
      </c>
      <c r="D36" s="10" t="inlineStr">
        <is>
          <t>NOUIRAT</t>
        </is>
      </c>
      <c r="E36" s="10" t="inlineStr">
        <is>
          <t>50-21</t>
        </is>
      </c>
      <c r="F36" s="10" t="inlineStr">
        <is>
          <t>Entretien et réparation des stations de pompage</t>
        </is>
      </c>
      <c r="G36" s="10" t="inlineStr">
        <is>
          <t>Prestations de maintenance des moteurs électriques des stations de pompage.</t>
        </is>
      </c>
      <c r="H36" s="10" t="inlineStr">
        <is>
          <t>Révision des deux moteurs électriques principaux de la station E1.</t>
        </is>
      </c>
      <c r="I36" s="11" t="n">
        <v>50000</v>
      </c>
      <c r="J36" s="12" t="inlineStr">
        <is>
          <t>U</t>
        </is>
      </c>
      <c r="K36" s="13" t="n">
        <v>2</v>
      </c>
      <c r="L36" s="51" t="n"/>
      <c r="M36" s="56">
        <f>'S44'!M36+L36</f>
        <v/>
      </c>
      <c r="N36" s="57">
        <f>IFERROR(M36/K36,0)</f>
        <v/>
      </c>
      <c r="O36" s="58">
        <f>'S44'!N36</f>
        <v/>
      </c>
      <c r="P36" s="57">
        <f>N36-O36</f>
        <v/>
      </c>
      <c r="Q36" s="32" t="n"/>
      <c r="R36" s="32" t="n"/>
      <c r="S36" s="32" t="n"/>
      <c r="T36" s="55" t="n"/>
      <c r="U36" s="58">
        <f>'S44'!T36</f>
        <v/>
      </c>
      <c r="V36" s="57">
        <f>T36-U36</f>
        <v/>
      </c>
      <c r="W36" s="57">
        <f>N36-T36</f>
        <v/>
      </c>
      <c r="X36" s="34" t="n"/>
    </row>
    <row r="37" ht="22" customHeight="1">
      <c r="B37" s="5" t="n">
        <v>33</v>
      </c>
      <c r="C37" s="6" t="inlineStr">
        <is>
          <t>Sidi Kacem</t>
        </is>
      </c>
      <c r="D37" s="5" t="inlineStr">
        <is>
          <t>NOUIRAT</t>
        </is>
      </c>
      <c r="E37" s="5" t="inlineStr">
        <is>
          <t>50-21</t>
        </is>
      </c>
      <c r="F37" s="5" t="inlineStr">
        <is>
          <t>Entretien et réparation des stations de pompage</t>
        </is>
      </c>
      <c r="G37" s="5" t="inlineStr">
        <is>
          <t>Prestations de maintenance et de réparation mécanique des pompes et des groupes motopompes submersibles des stations de pompage.</t>
        </is>
      </c>
      <c r="H37" s="5" t="inlineStr">
        <is>
          <t>Démontage et expertise des cinq pompes principaux et pompes a vide de la station E1.
Changement des roulements, tresses et organes d’effectués de la station E1.</t>
        </is>
      </c>
      <c r="I37" s="7" t="n">
        <v>245000</v>
      </c>
      <c r="J37" s="8" t="inlineStr">
        <is>
          <t>U</t>
        </is>
      </c>
      <c r="K37" s="9" t="n">
        <v>5</v>
      </c>
      <c r="L37" s="51" t="n"/>
      <c r="M37" s="52">
        <f>'S44'!M37+L37</f>
        <v/>
      </c>
      <c r="N37" s="53">
        <f>IFERROR(M37/K37,0)</f>
        <v/>
      </c>
      <c r="O37" s="54">
        <f>'S44'!N37</f>
        <v/>
      </c>
      <c r="P37" s="53">
        <f>N37-O37</f>
        <v/>
      </c>
      <c r="Q37" s="32" t="n"/>
      <c r="R37" s="32" t="n"/>
      <c r="S37" s="32" t="n"/>
      <c r="T37" s="55" t="n"/>
      <c r="U37" s="54">
        <f>'S44'!T37</f>
        <v/>
      </c>
      <c r="V37" s="53">
        <f>T37-U37</f>
        <v/>
      </c>
      <c r="W37" s="53">
        <f>N37-T37</f>
        <v/>
      </c>
      <c r="X37" s="34" t="n"/>
    </row>
    <row r="38" ht="22" customHeight="1">
      <c r="B38" s="10" t="n">
        <v>34</v>
      </c>
      <c r="C38" s="6" t="inlineStr">
        <is>
          <t>Sidi Kacem</t>
        </is>
      </c>
      <c r="D38" s="10" t="inlineStr">
        <is>
          <t>NOUIRAT</t>
        </is>
      </c>
      <c r="E38" s="10" t="inlineStr">
        <is>
          <t>50-21</t>
        </is>
      </c>
      <c r="F38" s="10" t="inlineStr">
        <is>
          <t>Entretien et réparation des stations de pompage</t>
        </is>
      </c>
      <c r="G38" s="10" t="inlineStr">
        <is>
          <t>Génie civile des locaux des stations de pompage.</t>
        </is>
      </c>
      <c r="H38" s="10" t="inlineStr">
        <is>
          <t>Expertise d’état et d’étanchéité des locaux pompes, commande, puissance de la station de pompage E1.
Renforcement d’étanchéité des locaux pompe sous niveau des oueds de la station de pompage E1.</t>
        </is>
      </c>
      <c r="I38" s="11" t="n">
        <v>1000000</v>
      </c>
      <c r="J38" s="12" t="inlineStr">
        <is>
          <t>U</t>
        </is>
      </c>
      <c r="K38" s="13" t="n">
        <v>1</v>
      </c>
      <c r="L38" s="51" t="n"/>
      <c r="M38" s="56">
        <f>'S44'!M38+L38</f>
        <v/>
      </c>
      <c r="N38" s="57">
        <f>IFERROR(M38/K38,0)</f>
        <v/>
      </c>
      <c r="O38" s="58">
        <f>'S44'!N38</f>
        <v/>
      </c>
      <c r="P38" s="57">
        <f>N38-O38</f>
        <v/>
      </c>
      <c r="Q38" s="32" t="n"/>
      <c r="R38" s="32" t="n"/>
      <c r="S38" s="32" t="n"/>
      <c r="T38" s="55" t="n"/>
      <c r="U38" s="58">
        <f>'S44'!T38</f>
        <v/>
      </c>
      <c r="V38" s="57">
        <f>T38-U38</f>
        <v/>
      </c>
      <c r="W38" s="57">
        <f>N38-T38</f>
        <v/>
      </c>
      <c r="X38" s="34" t="n"/>
    </row>
    <row r="39" ht="22" customHeight="1">
      <c r="B39" s="5" t="n">
        <v>35</v>
      </c>
      <c r="C39" s="6" t="inlineStr">
        <is>
          <t>Sidi Kacem</t>
        </is>
      </c>
      <c r="D39" s="5" t="inlineStr">
        <is>
          <t>RMILAT</t>
        </is>
      </c>
      <c r="E39" s="5" t="inlineStr">
        <is>
          <t>50-23</t>
        </is>
      </c>
      <c r="F39" s="5" t="inlineStr">
        <is>
          <t>Entretien et réparation du réseau d'assainissement et de drainage</t>
        </is>
      </c>
      <c r="G39" s="5" t="inlineStr">
        <is>
          <t>Travaux de curage des canaux en terre</t>
        </is>
      </c>
      <c r="H39" s="5" t="inlineStr">
        <is>
          <t>Curage des collecteurs d'assainissement des secteurs P7</t>
        </is>
      </c>
      <c r="I39" s="7" t="n">
        <v>5024032</v>
      </c>
      <c r="J39" s="8" t="inlineStr">
        <is>
          <t>ml</t>
        </is>
      </c>
      <c r="K39" s="9" t="n">
        <v>2512</v>
      </c>
      <c r="L39" s="51" t="n"/>
      <c r="M39" s="52">
        <f>'S44'!M39+L39</f>
        <v/>
      </c>
      <c r="N39" s="53">
        <f>IFERROR(M39/K39,0)</f>
        <v/>
      </c>
      <c r="O39" s="54">
        <f>'S44'!N39</f>
        <v/>
      </c>
      <c r="P39" s="53">
        <f>N39-O39</f>
        <v/>
      </c>
      <c r="Q39" s="32" t="n"/>
      <c r="R39" s="32" t="n"/>
      <c r="S39" s="32" t="n"/>
      <c r="T39" s="55" t="n"/>
      <c r="U39" s="54">
        <f>'S44'!T39</f>
        <v/>
      </c>
      <c r="V39" s="53">
        <f>T39-U39</f>
        <v/>
      </c>
      <c r="W39" s="53">
        <f>N39-T39</f>
        <v/>
      </c>
      <c r="X39" s="34" t="n"/>
    </row>
    <row r="40" ht="22" customHeight="1">
      <c r="B40" s="10" t="n">
        <v>36</v>
      </c>
      <c r="C40" s="6" t="inlineStr">
        <is>
          <t>Sidi Kacem</t>
        </is>
      </c>
      <c r="D40" s="10" t="inlineStr">
        <is>
          <t>RMILAT</t>
        </is>
      </c>
      <c r="E40" s="10" t="inlineStr">
        <is>
          <t>40-21</t>
        </is>
      </c>
      <c r="F40" s="10" t="inlineStr">
        <is>
          <t>Travaux de pistes</t>
        </is>
      </c>
      <c r="G40" s="10" t="inlineStr">
        <is>
          <t>Entretien des pistes agricoles</t>
        </is>
      </c>
      <c r="H40" s="10" t="inlineStr">
        <is>
          <t>Entretien des pistes agricoles</t>
        </is>
      </c>
      <c r="I40" s="11" t="n">
        <v>400000</v>
      </c>
      <c r="J40" s="12" t="inlineStr">
        <is>
          <t>km</t>
        </is>
      </c>
      <c r="K40" s="13" t="n">
        <v>1</v>
      </c>
      <c r="L40" s="51" t="n"/>
      <c r="M40" s="56">
        <f>'S44'!M40+L40</f>
        <v/>
      </c>
      <c r="N40" s="57">
        <f>IFERROR(M40/K40,0)</f>
        <v/>
      </c>
      <c r="O40" s="58">
        <f>'S44'!N40</f>
        <v/>
      </c>
      <c r="P40" s="57">
        <f>N40-O40</f>
        <v/>
      </c>
      <c r="Q40" s="32" t="n"/>
      <c r="R40" s="32" t="n"/>
      <c r="S40" s="32" t="n"/>
      <c r="T40" s="55" t="n"/>
      <c r="U40" s="58">
        <f>'S44'!T40</f>
        <v/>
      </c>
      <c r="V40" s="57">
        <f>T40-U40</f>
        <v/>
      </c>
      <c r="W40" s="57">
        <f>N40-T40</f>
        <v/>
      </c>
      <c r="X40" s="34" t="n"/>
    </row>
    <row r="41" ht="22" customHeight="1">
      <c r="B41" s="5" t="n">
        <v>37</v>
      </c>
      <c r="C41" s="6" t="inlineStr">
        <is>
          <t>Sidi Kacem</t>
        </is>
      </c>
      <c r="D41" s="5" t="inlineStr">
        <is>
          <t>SAFSAF</t>
        </is>
      </c>
      <c r="E41" s="5" t="inlineStr">
        <is>
          <t>50-23</t>
        </is>
      </c>
      <c r="F41" s="5" t="inlineStr">
        <is>
          <t>Entretien et réparation du réseau d'assainissement et de drainage</t>
        </is>
      </c>
      <c r="G41" s="5" t="inlineStr">
        <is>
          <t>Travaux de curage des canaux en terre</t>
        </is>
      </c>
      <c r="H41" s="5" t="inlineStr">
        <is>
          <t>Curage des collecteurs d'assainissement des secteurs S7, S9 et S11</t>
        </is>
      </c>
      <c r="I41" s="7" t="n">
        <v>6000000</v>
      </c>
      <c r="J41" s="8" t="inlineStr">
        <is>
          <t>ml</t>
        </is>
      </c>
      <c r="K41" s="9" t="n">
        <v>3000</v>
      </c>
      <c r="L41" s="51" t="n"/>
      <c r="M41" s="52">
        <f>'S44'!M41+L41</f>
        <v/>
      </c>
      <c r="N41" s="53">
        <f>IFERROR(M41/K41,0)</f>
        <v/>
      </c>
      <c r="O41" s="54">
        <f>'S44'!N41</f>
        <v/>
      </c>
      <c r="P41" s="53">
        <f>N41-O41</f>
        <v/>
      </c>
      <c r="Q41" s="32" t="n"/>
      <c r="R41" s="32" t="n"/>
      <c r="S41" s="32" t="n"/>
      <c r="T41" s="55" t="n"/>
      <c r="U41" s="54">
        <f>'S44'!T41</f>
        <v/>
      </c>
      <c r="V41" s="53">
        <f>T41-U41</f>
        <v/>
      </c>
      <c r="W41" s="53">
        <f>N41-T41</f>
        <v/>
      </c>
      <c r="X41" s="34" t="n"/>
    </row>
    <row r="42" ht="22" customHeight="1">
      <c r="B42" s="10" t="n">
        <v>38</v>
      </c>
      <c r="C42" s="6" t="inlineStr">
        <is>
          <t>Sidi Kacem</t>
        </is>
      </c>
      <c r="D42" s="10" t="inlineStr">
        <is>
          <t>SAFSAF</t>
        </is>
      </c>
      <c r="E42" s="10" t="inlineStr">
        <is>
          <t>20-11</t>
        </is>
      </c>
      <c r="F42" s="10" t="inlineStr">
        <is>
          <t>Travaux de réhabilitation des équipements</t>
        </is>
      </c>
      <c r="G42" s="10" t="inlineStr">
        <is>
          <t>Travaux de réhabilitation des canaux portés d'irrigation</t>
        </is>
      </c>
      <c r="H42" s="10" t="inlineStr">
        <is>
          <t>Fourniture et  pose de canaux porté et accessoires du réseau S4 du secteur S11</t>
        </is>
      </c>
      <c r="I42" s="11" t="n">
        <v>232266</v>
      </c>
      <c r="J42" s="12" t="inlineStr">
        <is>
          <t>ml</t>
        </is>
      </c>
      <c r="K42" s="13" t="n">
        <v>77</v>
      </c>
      <c r="L42" s="51" t="n"/>
      <c r="M42" s="56">
        <f>'S44'!M42+L42</f>
        <v/>
      </c>
      <c r="N42" s="57">
        <f>IFERROR(M42/K42,0)</f>
        <v/>
      </c>
      <c r="O42" s="58">
        <f>'S44'!N42</f>
        <v/>
      </c>
      <c r="P42" s="57">
        <f>N42-O42</f>
        <v/>
      </c>
      <c r="Q42" s="32" t="n"/>
      <c r="R42" s="32" t="n"/>
      <c r="S42" s="32" t="n"/>
      <c r="T42" s="55" t="n"/>
      <c r="U42" s="58">
        <f>'S44'!T42</f>
        <v/>
      </c>
      <c r="V42" s="57">
        <f>T42-U42</f>
        <v/>
      </c>
      <c r="W42" s="57">
        <f>N42-T42</f>
        <v/>
      </c>
      <c r="X42" s="34" t="n"/>
    </row>
    <row r="43" ht="22" customHeight="1">
      <c r="B43" s="5" t="n">
        <v>39</v>
      </c>
      <c r="C43" s="6" t="inlineStr">
        <is>
          <t>Sidi Kacem</t>
        </is>
      </c>
      <c r="D43" s="5" t="inlineStr">
        <is>
          <t>SAFSAF</t>
        </is>
      </c>
      <c r="E43" s="5" t="inlineStr">
        <is>
          <t>20-11</t>
        </is>
      </c>
      <c r="F43" s="5" t="inlineStr">
        <is>
          <t>Travaux de réhabilitation des équipements</t>
        </is>
      </c>
      <c r="G43" s="5" t="inlineStr"/>
      <c r="H43" s="5" t="inlineStr">
        <is>
          <t>Recalage des canaux portés du réseau T5S5 du secteur S9</t>
        </is>
      </c>
      <c r="I43" s="7" t="n">
        <v>1055025</v>
      </c>
      <c r="J43" s="8" t="inlineStr">
        <is>
          <t>ml</t>
        </is>
      </c>
      <c r="K43" s="9" t="n">
        <v>352</v>
      </c>
      <c r="L43" s="51" t="n"/>
      <c r="M43" s="52">
        <f>'S44'!M43+L43</f>
        <v/>
      </c>
      <c r="N43" s="53">
        <f>IFERROR(M43/K43,0)</f>
        <v/>
      </c>
      <c r="O43" s="54">
        <f>'S44'!N43</f>
        <v/>
      </c>
      <c r="P43" s="53">
        <f>N43-O43</f>
        <v/>
      </c>
      <c r="Q43" s="32" t="n"/>
      <c r="R43" s="32" t="n"/>
      <c r="S43" s="32" t="n"/>
      <c r="T43" s="55" t="n"/>
      <c r="U43" s="54">
        <f>'S44'!T43</f>
        <v/>
      </c>
      <c r="V43" s="53">
        <f>T43-U43</f>
        <v/>
      </c>
      <c r="W43" s="53">
        <f>N43-T43</f>
        <v/>
      </c>
      <c r="X43" s="34" t="n"/>
    </row>
    <row r="44" ht="22" customHeight="1">
      <c r="B44" s="10" t="n">
        <v>40</v>
      </c>
      <c r="C44" s="6" t="inlineStr">
        <is>
          <t>Sidi Kacem</t>
        </is>
      </c>
      <c r="D44" s="10" t="inlineStr">
        <is>
          <t>SAFSAF</t>
        </is>
      </c>
      <c r="E44" s="10" t="inlineStr">
        <is>
          <t>20-11</t>
        </is>
      </c>
      <c r="F44" s="10" t="inlineStr">
        <is>
          <t>Travaux de réhabilitation des équipements</t>
        </is>
      </c>
      <c r="G44" s="10" t="inlineStr"/>
      <c r="H44" s="10" t="inlineStr">
        <is>
          <t>Recalage des canaux portés du réseau T7S5 du secteur S9</t>
        </is>
      </c>
      <c r="I44" s="11" t="n">
        <v>1004535</v>
      </c>
      <c r="J44" s="12" t="inlineStr">
        <is>
          <t>ml</t>
        </is>
      </c>
      <c r="K44" s="13" t="n">
        <v>335</v>
      </c>
      <c r="L44" s="51" t="n"/>
      <c r="M44" s="56">
        <f>'S44'!M44+L44</f>
        <v/>
      </c>
      <c r="N44" s="57">
        <f>IFERROR(M44/K44,0)</f>
        <v/>
      </c>
      <c r="O44" s="58">
        <f>'S44'!N44</f>
        <v/>
      </c>
      <c r="P44" s="57">
        <f>N44-O44</f>
        <v/>
      </c>
      <c r="Q44" s="32" t="n"/>
      <c r="R44" s="32" t="n"/>
      <c r="S44" s="32" t="n"/>
      <c r="T44" s="55" t="n"/>
      <c r="U44" s="58">
        <f>'S44'!T44</f>
        <v/>
      </c>
      <c r="V44" s="57">
        <f>T44-U44</f>
        <v/>
      </c>
      <c r="W44" s="57">
        <f>N44-T44</f>
        <v/>
      </c>
      <c r="X44" s="34" t="n"/>
    </row>
    <row r="45" ht="22" customHeight="1">
      <c r="B45" s="5" t="n">
        <v>41</v>
      </c>
      <c r="C45" s="6" t="inlineStr">
        <is>
          <t>Sidi Kacem</t>
        </is>
      </c>
      <c r="D45" s="5" t="inlineStr">
        <is>
          <t>SAFSAF</t>
        </is>
      </c>
      <c r="E45" s="5" t="inlineStr">
        <is>
          <t>20-11</t>
        </is>
      </c>
      <c r="F45" s="5" t="inlineStr">
        <is>
          <t>Travaux de réhabilitation des équipements</t>
        </is>
      </c>
      <c r="G45" s="5" t="inlineStr"/>
      <c r="H45" s="5" t="inlineStr">
        <is>
          <t>Recalage des canaux portés du réseau T2S5 du secteur S9</t>
        </is>
      </c>
      <c r="I45" s="7" t="n">
        <v>793830</v>
      </c>
      <c r="J45" s="8" t="inlineStr">
        <is>
          <t>ml</t>
        </is>
      </c>
      <c r="K45" s="9" t="n">
        <v>265</v>
      </c>
      <c r="L45" s="51" t="n"/>
      <c r="M45" s="52">
        <f>'S44'!M45+L45</f>
        <v/>
      </c>
      <c r="N45" s="53">
        <f>IFERROR(M45/K45,0)</f>
        <v/>
      </c>
      <c r="O45" s="54">
        <f>'S44'!N45</f>
        <v/>
      </c>
      <c r="P45" s="53">
        <f>N45-O45</f>
        <v/>
      </c>
      <c r="Q45" s="32" t="n"/>
      <c r="R45" s="32" t="n"/>
      <c r="S45" s="32" t="n"/>
      <c r="T45" s="55" t="n"/>
      <c r="U45" s="54">
        <f>'S44'!T45</f>
        <v/>
      </c>
      <c r="V45" s="53">
        <f>T45-U45</f>
        <v/>
      </c>
      <c r="W45" s="53">
        <f>N45-T45</f>
        <v/>
      </c>
      <c r="X45" s="34" t="n"/>
    </row>
    <row r="46" ht="22" customHeight="1">
      <c r="B46" s="10" t="n">
        <v>42</v>
      </c>
      <c r="C46" s="6" t="inlineStr">
        <is>
          <t>Sidi Kacem</t>
        </is>
      </c>
      <c r="D46" s="10" t="inlineStr">
        <is>
          <t>SAFSAF</t>
        </is>
      </c>
      <c r="E46" s="10" t="inlineStr">
        <is>
          <t>40-21</t>
        </is>
      </c>
      <c r="F46" s="10" t="inlineStr">
        <is>
          <t>Travaux de pistes</t>
        </is>
      </c>
      <c r="G46" s="10" t="inlineStr">
        <is>
          <t>Entretien des pistes agricoles</t>
        </is>
      </c>
      <c r="H46" s="10" t="inlineStr">
        <is>
          <t>Entretien des pistes agricoles</t>
        </is>
      </c>
      <c r="I46" s="11" t="n">
        <v>2000000</v>
      </c>
      <c r="J46" s="12" t="inlineStr">
        <is>
          <t>km</t>
        </is>
      </c>
      <c r="K46" s="13" t="n">
        <v>4</v>
      </c>
      <c r="L46" s="51" t="n"/>
      <c r="M46" s="56">
        <f>'S44'!M46+L46</f>
        <v/>
      </c>
      <c r="N46" s="57">
        <f>IFERROR(M46/K46,0)</f>
        <v/>
      </c>
      <c r="O46" s="58">
        <f>'S44'!N46</f>
        <v/>
      </c>
      <c r="P46" s="57">
        <f>N46-O46</f>
        <v/>
      </c>
      <c r="Q46" s="32" t="n"/>
      <c r="R46" s="32" t="n"/>
      <c r="S46" s="32" t="n"/>
      <c r="T46" s="55" t="n"/>
      <c r="U46" s="58">
        <f>'S44'!T46</f>
        <v/>
      </c>
      <c r="V46" s="57">
        <f>T46-U46</f>
        <v/>
      </c>
      <c r="W46" s="57">
        <f>N46-T46</f>
        <v/>
      </c>
      <c r="X46" s="34" t="n"/>
    </row>
    <row r="47" ht="22" customHeight="1">
      <c r="B47" s="5" t="n">
        <v>43</v>
      </c>
      <c r="C47" s="6" t="inlineStr">
        <is>
          <t>Sidi Kacem</t>
        </is>
      </c>
      <c r="D47" s="5" t="inlineStr">
        <is>
          <t>SAFSAF</t>
        </is>
      </c>
      <c r="E47" s="5" t="inlineStr">
        <is>
          <t>50-23</t>
        </is>
      </c>
      <c r="F47" s="5" t="inlineStr">
        <is>
          <t>Entretien et réparation du réseau d'assainissement et de drainage</t>
        </is>
      </c>
      <c r="G47" s="5" t="inlineStr">
        <is>
          <t>Curage des prises sur l’oued, bâche d’aspiration et bassin de régulation.</t>
        </is>
      </c>
      <c r="H47" s="5" t="inlineStr">
        <is>
          <t>Curage des prises sur l’oued des stations de pompage S11, S9, 7D et 7B.
Nettoyage des grilles de préfiltration des boues colmaté des stations de pompage S11, S9, 7D et 7B.
Nettoyage des crépines des boues colmaté de station pompage 7D.
Curage des dalots et bâche d’aspiration des stations de pompage S11, S9, 7B.</t>
        </is>
      </c>
      <c r="I47" s="7" t="n">
        <v>200000</v>
      </c>
      <c r="J47" s="8" t="inlineStr">
        <is>
          <t>ml</t>
        </is>
      </c>
      <c r="K47" s="9" t="n">
        <v>67</v>
      </c>
      <c r="L47" s="51" t="n"/>
      <c r="M47" s="52">
        <f>'S44'!M47+L47</f>
        <v/>
      </c>
      <c r="N47" s="53">
        <f>IFERROR(M47/K47,0)</f>
        <v/>
      </c>
      <c r="O47" s="54">
        <f>'S44'!N47</f>
        <v/>
      </c>
      <c r="P47" s="53">
        <f>N47-O47</f>
        <v/>
      </c>
      <c r="Q47" s="32" t="n"/>
      <c r="R47" s="32" t="n"/>
      <c r="S47" s="32" t="n"/>
      <c r="T47" s="55" t="n"/>
      <c r="U47" s="54">
        <f>'S44'!T47</f>
        <v/>
      </c>
      <c r="V47" s="53">
        <f>T47-U47</f>
        <v/>
      </c>
      <c r="W47" s="53">
        <f>N47-T47</f>
        <v/>
      </c>
      <c r="X47" s="34" t="n"/>
    </row>
    <row r="48" ht="22" customHeight="1">
      <c r="B48" s="10" t="n">
        <v>44</v>
      </c>
      <c r="C48" s="6" t="inlineStr">
        <is>
          <t>Sidi Kacem</t>
        </is>
      </c>
      <c r="D48" s="10" t="inlineStr">
        <is>
          <t>SAFSAF</t>
        </is>
      </c>
      <c r="E48" s="10" t="inlineStr">
        <is>
          <t>50-21</t>
        </is>
      </c>
      <c r="F48" s="10" t="inlineStr">
        <is>
          <t>Entretien et réparation des stations de pompage</t>
        </is>
      </c>
      <c r="G48" s="10" t="inlineStr">
        <is>
          <t>Prestation de maintenance des débitmètres et leurs équipements annexes installés au niveau des station de pompage</t>
        </is>
      </c>
      <c r="H48" s="10" t="inlineStr">
        <is>
          <t>Changements Sept des débitmètres Ø 600mm inondé des deux stations de pompage S11 et S9.</t>
        </is>
      </c>
      <c r="I48" s="11" t="n">
        <v>580000</v>
      </c>
      <c r="J48" s="12" t="inlineStr">
        <is>
          <t>U</t>
        </is>
      </c>
      <c r="K48" s="13" t="n">
        <v>7</v>
      </c>
      <c r="L48" s="51" t="n"/>
      <c r="M48" s="56">
        <f>'S44'!M48+L48</f>
        <v/>
      </c>
      <c r="N48" s="57">
        <f>IFERROR(M48/K48,0)</f>
        <v/>
      </c>
      <c r="O48" s="58">
        <f>'S44'!N48</f>
        <v/>
      </c>
      <c r="P48" s="57">
        <f>N48-O48</f>
        <v/>
      </c>
      <c r="Q48" s="32" t="n"/>
      <c r="R48" s="32" t="n"/>
      <c r="S48" s="32" t="n"/>
      <c r="T48" s="55" t="n"/>
      <c r="U48" s="58">
        <f>'S44'!T48</f>
        <v/>
      </c>
      <c r="V48" s="57">
        <f>T48-U48</f>
        <v/>
      </c>
      <c r="W48" s="57">
        <f>N48-T48</f>
        <v/>
      </c>
      <c r="X48" s="34" t="n"/>
    </row>
    <row r="49" ht="22" customHeight="1">
      <c r="B49" s="5" t="n">
        <v>45</v>
      </c>
      <c r="C49" s="6" t="inlineStr">
        <is>
          <t>Sidi Kacem</t>
        </is>
      </c>
      <c r="D49" s="5" t="inlineStr">
        <is>
          <t>SAFSAF</t>
        </is>
      </c>
      <c r="E49" s="5" t="inlineStr">
        <is>
          <t>50-21</t>
        </is>
      </c>
      <c r="F49" s="5" t="inlineStr">
        <is>
          <t>Entretien et réparation des stations de pompage</t>
        </is>
      </c>
      <c r="G49" s="5" t="inlineStr">
        <is>
          <t>Stabilisation Berge oued</t>
        </is>
      </c>
      <c r="H49" s="5" t="inlineStr">
        <is>
          <t>Pose de murs en gabions et recouvrement du talus par matelas Reno des stations de pompage S11, S9, 7D et 7B .</t>
        </is>
      </c>
      <c r="I49" s="7" t="n">
        <v>4000000</v>
      </c>
      <c r="J49" s="8" t="inlineStr">
        <is>
          <t>m³</t>
        </is>
      </c>
      <c r="K49" s="9" t="n">
        <v>2667</v>
      </c>
      <c r="L49" s="51" t="n"/>
      <c r="M49" s="52">
        <f>'S44'!M49+L49</f>
        <v/>
      </c>
      <c r="N49" s="53">
        <f>IFERROR(M49/K49,0)</f>
        <v/>
      </c>
      <c r="O49" s="54">
        <f>'S44'!N49</f>
        <v/>
      </c>
      <c r="P49" s="53">
        <f>N49-O49</f>
        <v/>
      </c>
      <c r="Q49" s="32" t="n"/>
      <c r="R49" s="32" t="n"/>
      <c r="S49" s="32" t="n"/>
      <c r="T49" s="55" t="n"/>
      <c r="U49" s="54">
        <f>'S44'!T49</f>
        <v/>
      </c>
      <c r="V49" s="53">
        <f>T49-U49</f>
        <v/>
      </c>
      <c r="W49" s="53">
        <f>N49-T49</f>
        <v/>
      </c>
      <c r="X49" s="34" t="n"/>
    </row>
    <row r="50" ht="22" customHeight="1">
      <c r="B50" s="10" t="n">
        <v>46</v>
      </c>
      <c r="C50" s="6" t="inlineStr">
        <is>
          <t>Sidi Kacem</t>
        </is>
      </c>
      <c r="D50" s="10" t="inlineStr">
        <is>
          <t>SIDI AZZOUZ</t>
        </is>
      </c>
      <c r="E50" s="10" t="inlineStr">
        <is>
          <t>40-21</t>
        </is>
      </c>
      <c r="F50" s="10" t="inlineStr">
        <is>
          <t>Travaux de pistes</t>
        </is>
      </c>
      <c r="G50" s="10" t="inlineStr">
        <is>
          <t>Entretien des pistes agricoles</t>
        </is>
      </c>
      <c r="H50" s="10" t="inlineStr">
        <is>
          <t>Entretien des pistes agricoles</t>
        </is>
      </c>
      <c r="I50" s="11" t="n">
        <v>655000</v>
      </c>
      <c r="J50" s="12" t="inlineStr">
        <is>
          <t>km</t>
        </is>
      </c>
      <c r="K50" s="13" t="n">
        <v>1</v>
      </c>
      <c r="L50" s="51" t="n"/>
      <c r="M50" s="56">
        <f>'S44'!M50+L50</f>
        <v/>
      </c>
      <c r="N50" s="57">
        <f>IFERROR(M50/K50,0)</f>
        <v/>
      </c>
      <c r="O50" s="58">
        <f>'S44'!N50</f>
        <v/>
      </c>
      <c r="P50" s="57">
        <f>N50-O50</f>
        <v/>
      </c>
      <c r="Q50" s="32" t="n"/>
      <c r="R50" s="32" t="n"/>
      <c r="S50" s="32" t="n"/>
      <c r="T50" s="55" t="n"/>
      <c r="U50" s="58">
        <f>'S44'!T50</f>
        <v/>
      </c>
      <c r="V50" s="57">
        <f>T50-U50</f>
        <v/>
      </c>
      <c r="W50" s="57">
        <f>N50-T50</f>
        <v/>
      </c>
      <c r="X50" s="34" t="n"/>
    </row>
    <row r="51" ht="22" customHeight="1">
      <c r="B51" s="5" t="n">
        <v>47</v>
      </c>
      <c r="C51" s="6" t="inlineStr">
        <is>
          <t>Sidi Kacem</t>
        </is>
      </c>
      <c r="D51" s="5" t="inlineStr">
        <is>
          <t>SIDI EL KAMEL</t>
        </is>
      </c>
      <c r="E51" s="5" t="inlineStr">
        <is>
          <t>20-11</t>
        </is>
      </c>
      <c r="F51" s="5" t="inlineStr">
        <is>
          <t>Travaux de réhabilitation des équipements</t>
        </is>
      </c>
      <c r="G51" s="5" t="inlineStr">
        <is>
          <t>Travaux de réhabilitation des canaux portés d'irrigation</t>
        </is>
      </c>
      <c r="H51" s="5" t="inlineStr">
        <is>
          <t>Fourniture et de pose de canaux porté et accessoires du réseau SR4 du secteur S3R</t>
        </is>
      </c>
      <c r="I51" s="7" t="n">
        <v>5182920</v>
      </c>
      <c r="J51" s="8" t="inlineStr">
        <is>
          <t>ml</t>
        </is>
      </c>
      <c r="K51" s="9" t="n">
        <v>1728</v>
      </c>
      <c r="L51" s="51" t="n"/>
      <c r="M51" s="52">
        <f>'S44'!M51+L51</f>
        <v/>
      </c>
      <c r="N51" s="53">
        <f>IFERROR(M51/K51,0)</f>
        <v/>
      </c>
      <c r="O51" s="54">
        <f>'S44'!N51</f>
        <v/>
      </c>
      <c r="P51" s="53">
        <f>N51-O51</f>
        <v/>
      </c>
      <c r="Q51" s="32" t="n"/>
      <c r="R51" s="32" t="n"/>
      <c r="S51" s="32" t="n"/>
      <c r="T51" s="55" t="n"/>
      <c r="U51" s="54">
        <f>'S44'!T51</f>
        <v/>
      </c>
      <c r="V51" s="53">
        <f>T51-U51</f>
        <v/>
      </c>
      <c r="W51" s="53">
        <f>N51-T51</f>
        <v/>
      </c>
      <c r="X51" s="34" t="n"/>
    </row>
    <row r="52" ht="22" customHeight="1">
      <c r="B52" s="10" t="n">
        <v>48</v>
      </c>
      <c r="C52" s="6" t="inlineStr">
        <is>
          <t>Sidi Kacem</t>
        </is>
      </c>
      <c r="D52" s="10" t="inlineStr">
        <is>
          <t>SIDI EL KAMEL</t>
        </is>
      </c>
      <c r="E52" s="10" t="inlineStr">
        <is>
          <t>20-11</t>
        </is>
      </c>
      <c r="F52" s="10" t="inlineStr">
        <is>
          <t>Travaux de réhabilitation des équipements</t>
        </is>
      </c>
      <c r="G52" s="10" t="inlineStr"/>
      <c r="H52" s="10" t="inlineStr">
        <is>
          <t>Fourniture et de pose de canaux porté et accessoires du réseau SR6 du secteur S1RIZ</t>
        </is>
      </c>
      <c r="I52" s="11" t="n">
        <v>152818</v>
      </c>
      <c r="J52" s="12" t="inlineStr">
        <is>
          <t>ml</t>
        </is>
      </c>
      <c r="K52" s="13" t="n">
        <v>51</v>
      </c>
      <c r="L52" s="51" t="n"/>
      <c r="M52" s="56">
        <f>'S44'!M52+L52</f>
        <v/>
      </c>
      <c r="N52" s="57">
        <f>IFERROR(M52/K52,0)</f>
        <v/>
      </c>
      <c r="O52" s="58">
        <f>'S44'!N52</f>
        <v/>
      </c>
      <c r="P52" s="57">
        <f>N52-O52</f>
        <v/>
      </c>
      <c r="Q52" s="32" t="n"/>
      <c r="R52" s="32" t="n"/>
      <c r="S52" s="32" t="n"/>
      <c r="T52" s="55" t="n"/>
      <c r="U52" s="58">
        <f>'S44'!T52</f>
        <v/>
      </c>
      <c r="V52" s="57">
        <f>T52-U52</f>
        <v/>
      </c>
      <c r="W52" s="57">
        <f>N52-T52</f>
        <v/>
      </c>
      <c r="X52" s="34" t="n"/>
    </row>
    <row r="53" ht="22" customHeight="1">
      <c r="B53" s="5" t="n">
        <v>49</v>
      </c>
      <c r="C53" s="6" t="inlineStr">
        <is>
          <t>Sidi Kacem</t>
        </is>
      </c>
      <c r="D53" s="5" t="inlineStr">
        <is>
          <t>SIDI EL KAMEL</t>
        </is>
      </c>
      <c r="E53" s="5" t="inlineStr">
        <is>
          <t>20-11</t>
        </is>
      </c>
      <c r="F53" s="5" t="inlineStr">
        <is>
          <t>Travaux de réhabilitation des équipements</t>
        </is>
      </c>
      <c r="G53" s="5" t="inlineStr"/>
      <c r="H53" s="5" t="inlineStr">
        <is>
          <t>Recalage des canaux portés du réseau SR4 du secteur S3R</t>
        </is>
      </c>
      <c r="I53" s="7" t="n">
        <v>1418000</v>
      </c>
      <c r="J53" s="8" t="inlineStr">
        <is>
          <t>ml</t>
        </is>
      </c>
      <c r="K53" s="9" t="n">
        <v>473</v>
      </c>
      <c r="L53" s="51" t="n"/>
      <c r="M53" s="52">
        <f>'S44'!M53+L53</f>
        <v/>
      </c>
      <c r="N53" s="53">
        <f>IFERROR(M53/K53,0)</f>
        <v/>
      </c>
      <c r="O53" s="54">
        <f>'S44'!N53</f>
        <v/>
      </c>
      <c r="P53" s="53">
        <f>N53-O53</f>
        <v/>
      </c>
      <c r="Q53" s="32" t="n"/>
      <c r="R53" s="32" t="n"/>
      <c r="S53" s="32" t="n"/>
      <c r="T53" s="55" t="n"/>
      <c r="U53" s="54">
        <f>'S44'!T53</f>
        <v/>
      </c>
      <c r="V53" s="53">
        <f>T53-U53</f>
        <v/>
      </c>
      <c r="W53" s="53">
        <f>N53-T53</f>
        <v/>
      </c>
      <c r="X53" s="34" t="n"/>
    </row>
    <row r="54" ht="22" customHeight="1">
      <c r="B54" s="10" t="n">
        <v>50</v>
      </c>
      <c r="C54" s="6" t="inlineStr">
        <is>
          <t>Sidi Kacem</t>
        </is>
      </c>
      <c r="D54" s="10" t="inlineStr">
        <is>
          <t>SIDI EL KAMEL</t>
        </is>
      </c>
      <c r="E54" s="10" t="inlineStr">
        <is>
          <t>20-11</t>
        </is>
      </c>
      <c r="F54" s="10" t="inlineStr">
        <is>
          <t>Travaux de réhabilitation des équipements</t>
        </is>
      </c>
      <c r="G54" s="10" t="inlineStr">
        <is>
          <t>Travaux de réhabilitation des ouvrages de génie civil</t>
        </is>
      </c>
      <c r="H54" s="10" t="inlineStr">
        <is>
          <t>Réhabilitation des murs de soutènements des ouvrages de franchissements du canal d'assainissement CS3 secteur S3 et de l’ouvrage de franchissement du canal primaire d’irrigation du secteur S1R au niveau de la route provinciale P4234</t>
        </is>
      </c>
      <c r="I54" s="11" t="n">
        <v>800000</v>
      </c>
      <c r="J54" s="12" t="inlineStr">
        <is>
          <t>ml</t>
        </is>
      </c>
      <c r="K54" s="13" t="n">
        <v>400</v>
      </c>
      <c r="L54" s="51" t="n"/>
      <c r="M54" s="56">
        <f>'S44'!M54+L54</f>
        <v/>
      </c>
      <c r="N54" s="57">
        <f>IFERROR(M54/K54,0)</f>
        <v/>
      </c>
      <c r="O54" s="58">
        <f>'S44'!N54</f>
        <v/>
      </c>
      <c r="P54" s="57">
        <f>N54-O54</f>
        <v/>
      </c>
      <c r="Q54" s="32" t="n"/>
      <c r="R54" s="32" t="n"/>
      <c r="S54" s="32" t="n"/>
      <c r="T54" s="55" t="n"/>
      <c r="U54" s="58">
        <f>'S44'!T54</f>
        <v/>
      </c>
      <c r="V54" s="57">
        <f>T54-U54</f>
        <v/>
      </c>
      <c r="W54" s="57">
        <f>N54-T54</f>
        <v/>
      </c>
      <c r="X54" s="34" t="n"/>
    </row>
    <row r="55" ht="22" customHeight="1">
      <c r="B55" s="5" t="n">
        <v>51</v>
      </c>
      <c r="C55" s="6" t="inlineStr">
        <is>
          <t>Sidi Kacem</t>
        </is>
      </c>
      <c r="D55" s="5" t="inlineStr">
        <is>
          <t>SIDI EL KAMEL</t>
        </is>
      </c>
      <c r="E55" s="5" t="inlineStr">
        <is>
          <t>40-21</t>
        </is>
      </c>
      <c r="F55" s="5" t="inlineStr">
        <is>
          <t>Travaux de pistes</t>
        </is>
      </c>
      <c r="G55" s="5" t="inlineStr">
        <is>
          <t>Entretien des pistes agricoles</t>
        </is>
      </c>
      <c r="H55" s="5" t="inlineStr">
        <is>
          <t>Entretien des pistes agricoles</t>
        </is>
      </c>
      <c r="I55" s="7" t="n">
        <v>3700000</v>
      </c>
      <c r="J55" s="8" t="inlineStr">
        <is>
          <t>km</t>
        </is>
      </c>
      <c r="K55" s="9" t="n">
        <v>7</v>
      </c>
      <c r="L55" s="51" t="n"/>
      <c r="M55" s="52">
        <f>'S44'!M55+L55</f>
        <v/>
      </c>
      <c r="N55" s="53">
        <f>IFERROR(M55/K55,0)</f>
        <v/>
      </c>
      <c r="O55" s="54">
        <f>'S44'!N55</f>
        <v/>
      </c>
      <c r="P55" s="53">
        <f>N55-O55</f>
        <v/>
      </c>
      <c r="Q55" s="32" t="n"/>
      <c r="R55" s="32" t="n"/>
      <c r="S55" s="32" t="n"/>
      <c r="T55" s="55" t="n"/>
      <c r="U55" s="54">
        <f>'S44'!T55</f>
        <v/>
      </c>
      <c r="V55" s="53">
        <f>T55-U55</f>
        <v/>
      </c>
      <c r="W55" s="53">
        <f>N55-T55</f>
        <v/>
      </c>
      <c r="X55" s="34" t="n"/>
    </row>
    <row r="56" ht="22" customHeight="1">
      <c r="B56" s="10" t="n">
        <v>52</v>
      </c>
      <c r="C56" s="6" t="inlineStr">
        <is>
          <t>Sidi Kacem</t>
        </is>
      </c>
      <c r="D56" s="10" t="inlineStr">
        <is>
          <t>SIDI EL KAMEL</t>
        </is>
      </c>
      <c r="E56" s="10" t="inlineStr">
        <is>
          <t>50-21</t>
        </is>
      </c>
      <c r="F56" s="10" t="inlineStr">
        <is>
          <t>Entretien et réparation des stations de pompage</t>
        </is>
      </c>
      <c r="G56" s="10" t="inlineStr">
        <is>
          <t>Prestation de maintenance des débitmètres et leurs équipements annexes installés au niveau des station de pompage</t>
        </is>
      </c>
      <c r="H56" s="10" t="inlineStr">
        <is>
          <t>Changement de quatre débitmètres Ø 500mm et trois Ø 800mm inondé des stations de pompage 1R, 3R et 5R.</t>
        </is>
      </c>
      <c r="I56" s="11" t="n">
        <v>705000</v>
      </c>
      <c r="J56" s="12" t="inlineStr">
        <is>
          <t>U</t>
        </is>
      </c>
      <c r="K56" s="13" t="n">
        <v>3</v>
      </c>
      <c r="L56" s="51" t="n"/>
      <c r="M56" s="56">
        <f>'S44'!M56+L56</f>
        <v/>
      </c>
      <c r="N56" s="57">
        <f>IFERROR(M56/K56,0)</f>
        <v/>
      </c>
      <c r="O56" s="58">
        <f>'S44'!N56</f>
        <v/>
      </c>
      <c r="P56" s="57">
        <f>N56-O56</f>
        <v/>
      </c>
      <c r="Q56" s="32" t="n"/>
      <c r="R56" s="32" t="n"/>
      <c r="S56" s="32" t="n"/>
      <c r="T56" s="55" t="n"/>
      <c r="U56" s="58">
        <f>'S44'!T56</f>
        <v/>
      </c>
      <c r="V56" s="57">
        <f>T56-U56</f>
        <v/>
      </c>
      <c r="W56" s="57">
        <f>N56-T56</f>
        <v/>
      </c>
      <c r="X56" s="34" t="n"/>
    </row>
    <row r="57" ht="22" customHeight="1">
      <c r="B57" s="5" t="n">
        <v>53</v>
      </c>
      <c r="C57" s="6" t="inlineStr">
        <is>
          <t>Sidi Kacem</t>
        </is>
      </c>
      <c r="D57" s="5" t="inlineStr">
        <is>
          <t>SIDI EL KAMEL</t>
        </is>
      </c>
      <c r="E57" s="5" t="inlineStr">
        <is>
          <t>50-21</t>
        </is>
      </c>
      <c r="F57" s="5" t="inlineStr">
        <is>
          <t>Entretien et réparation des stations de pompage</t>
        </is>
      </c>
      <c r="G57" s="5" t="inlineStr">
        <is>
          <t>Mur clôture des stations de pompage.</t>
        </is>
      </c>
      <c r="H57" s="5" t="inlineStr">
        <is>
          <t>Stabilisation et reconstruction des murs clôture cote oued des stations de pompage 7A, 3R et 1R.</t>
        </is>
      </c>
      <c r="I57" s="7" t="n">
        <v>372000</v>
      </c>
      <c r="J57" s="8" t="inlineStr">
        <is>
          <t>ml</t>
        </is>
      </c>
      <c r="K57" s="9" t="n">
        <v>124</v>
      </c>
      <c r="L57" s="51" t="n"/>
      <c r="M57" s="52">
        <f>'S44'!M57+L57</f>
        <v/>
      </c>
      <c r="N57" s="53">
        <f>IFERROR(M57/K57,0)</f>
        <v/>
      </c>
      <c r="O57" s="54">
        <f>'S44'!N57</f>
        <v/>
      </c>
      <c r="P57" s="53">
        <f>N57-O57</f>
        <v/>
      </c>
      <c r="Q57" s="32" t="n"/>
      <c r="R57" s="32" t="n"/>
      <c r="S57" s="32" t="n"/>
      <c r="T57" s="55" t="n"/>
      <c r="U57" s="54">
        <f>'S44'!T57</f>
        <v/>
      </c>
      <c r="V57" s="53">
        <f>T57-U57</f>
        <v/>
      </c>
      <c r="W57" s="53">
        <f>N57-T57</f>
        <v/>
      </c>
      <c r="X57" s="34" t="n"/>
    </row>
    <row r="58" ht="22" customHeight="1">
      <c r="B58" s="10" t="n">
        <v>54</v>
      </c>
      <c r="C58" s="14" t="inlineStr">
        <is>
          <t>Kénitra</t>
        </is>
      </c>
      <c r="D58" s="10" t="inlineStr">
        <is>
          <t>Bni malek</t>
        </is>
      </c>
      <c r="E58" s="10" t="inlineStr">
        <is>
          <t>50-23</t>
        </is>
      </c>
      <c r="F58" s="10" t="inlineStr">
        <is>
          <t>Entretien et réparation du réseau d'assainissement et de drainage</t>
        </is>
      </c>
      <c r="G58" s="10" t="inlineStr">
        <is>
          <t>Travaux de curage des canaux en terre</t>
        </is>
      </c>
      <c r="H58" s="10" t="inlineStr">
        <is>
          <t>Curage des emissaires et colatures secondaire au niveau des secteurs MDA ET N9</t>
        </is>
      </c>
      <c r="I58" s="11" t="n">
        <v>10000000</v>
      </c>
      <c r="J58" s="12" t="inlineStr">
        <is>
          <t>ml</t>
        </is>
      </c>
      <c r="K58" s="13" t="n">
        <v>5000</v>
      </c>
      <c r="L58" s="51" t="n"/>
      <c r="M58" s="56">
        <f>'S44'!M58+L58</f>
        <v/>
      </c>
      <c r="N58" s="57">
        <f>IFERROR(M58/K58,0)</f>
        <v/>
      </c>
      <c r="O58" s="58">
        <f>'S44'!N58</f>
        <v/>
      </c>
      <c r="P58" s="57">
        <f>N58-O58</f>
        <v/>
      </c>
      <c r="Q58" s="32" t="n"/>
      <c r="R58" s="32" t="n"/>
      <c r="S58" s="32" t="n"/>
      <c r="T58" s="55" t="n"/>
      <c r="U58" s="58">
        <f>'S44'!T58</f>
        <v/>
      </c>
      <c r="V58" s="57">
        <f>T58-U58</f>
        <v/>
      </c>
      <c r="W58" s="57">
        <f>N58-T58</f>
        <v/>
      </c>
      <c r="X58" s="34" t="n"/>
    </row>
    <row r="59" ht="22" customHeight="1">
      <c r="B59" s="5" t="n">
        <v>55</v>
      </c>
      <c r="C59" s="14" t="inlineStr">
        <is>
          <t>Kénitra</t>
        </is>
      </c>
      <c r="D59" s="5" t="inlineStr">
        <is>
          <t>Bni malek</t>
        </is>
      </c>
      <c r="E59" s="5" t="inlineStr">
        <is>
          <t>40-21</t>
        </is>
      </c>
      <c r="F59" s="5" t="inlineStr">
        <is>
          <t>Travaux de pistes</t>
        </is>
      </c>
      <c r="G59" s="5" t="inlineStr">
        <is>
          <t>Travaux de réhabilitation des pistes agricoles</t>
        </is>
      </c>
      <c r="H59" s="5" t="inlineStr">
        <is>
          <t>Entretien des pistes agricoles des secteurs MDA et N3</t>
        </is>
      </c>
      <c r="I59" s="7" t="n">
        <v>2000000</v>
      </c>
      <c r="J59" s="8" t="inlineStr">
        <is>
          <t>km</t>
        </is>
      </c>
      <c r="K59" s="9" t="n">
        <v>4</v>
      </c>
      <c r="L59" s="51" t="n"/>
      <c r="M59" s="52">
        <f>'S44'!M59+L59</f>
        <v/>
      </c>
      <c r="N59" s="53">
        <f>IFERROR(M59/K59,0)</f>
        <v/>
      </c>
      <c r="O59" s="54">
        <f>'S44'!N59</f>
        <v/>
      </c>
      <c r="P59" s="53">
        <f>N59-O59</f>
        <v/>
      </c>
      <c r="Q59" s="32" t="n"/>
      <c r="R59" s="32" t="n"/>
      <c r="S59" s="32" t="n"/>
      <c r="T59" s="55" t="n"/>
      <c r="U59" s="54">
        <f>'S44'!T59</f>
        <v/>
      </c>
      <c r="V59" s="53">
        <f>T59-U59</f>
        <v/>
      </c>
      <c r="W59" s="53">
        <f>N59-T59</f>
        <v/>
      </c>
      <c r="X59" s="34" t="n"/>
    </row>
    <row r="60" ht="22" customHeight="1">
      <c r="B60" s="10" t="n">
        <v>56</v>
      </c>
      <c r="C60" s="14" t="inlineStr">
        <is>
          <t>Kénitra</t>
        </is>
      </c>
      <c r="D60" s="10" t="inlineStr">
        <is>
          <t>Bni malek</t>
        </is>
      </c>
      <c r="E60" s="10" t="inlineStr">
        <is>
          <t>50-21</t>
        </is>
      </c>
      <c r="F60" s="10" t="inlineStr">
        <is>
          <t>Entretien et réparation des stations de pompage</t>
        </is>
      </c>
      <c r="G60" s="10" t="inlineStr">
        <is>
          <t>Prestations de maintenance et de réparation mécanique des pompes et des groupes motopompes submersibles des stations de pompage.</t>
        </is>
      </c>
      <c r="H60" s="10" t="inlineStr">
        <is>
          <t>station de pompage MDA secteur MDA</t>
        </is>
      </c>
      <c r="I60" s="11" t="n">
        <v>300000</v>
      </c>
      <c r="J60" s="12" t="inlineStr">
        <is>
          <t>U</t>
        </is>
      </c>
      <c r="K60" s="13" t="n">
        <v>1</v>
      </c>
      <c r="L60" s="51" t="n"/>
      <c r="M60" s="56">
        <f>'S44'!M60+L60</f>
        <v/>
      </c>
      <c r="N60" s="57">
        <f>IFERROR(M60/K60,0)</f>
        <v/>
      </c>
      <c r="O60" s="58">
        <f>'S44'!N60</f>
        <v/>
      </c>
      <c r="P60" s="57">
        <f>N60-O60</f>
        <v/>
      </c>
      <c r="Q60" s="32" t="n"/>
      <c r="R60" s="32" t="n"/>
      <c r="S60" s="32" t="n"/>
      <c r="T60" s="55" t="n"/>
      <c r="U60" s="58">
        <f>'S44'!T60</f>
        <v/>
      </c>
      <c r="V60" s="57">
        <f>T60-U60</f>
        <v/>
      </c>
      <c r="W60" s="57">
        <f>N60-T60</f>
        <v/>
      </c>
      <c r="X60" s="34" t="n"/>
    </row>
    <row r="61" ht="22" customHeight="1">
      <c r="B61" s="5" t="n">
        <v>57</v>
      </c>
      <c r="C61" s="14" t="inlineStr">
        <is>
          <t>Kénitra</t>
        </is>
      </c>
      <c r="D61" s="5" t="inlineStr">
        <is>
          <t>Bni malek</t>
        </is>
      </c>
      <c r="E61" s="5" t="inlineStr">
        <is>
          <t>20-11</t>
        </is>
      </c>
      <c r="F61" s="5" t="inlineStr">
        <is>
          <t>Travaux de réhabilitation des équipements</t>
        </is>
      </c>
      <c r="G61" s="5" t="inlineStr">
        <is>
          <t>Travaux de réhabilitation des ouvrages de génie civil</t>
        </is>
      </c>
      <c r="H61" s="5" t="inlineStr">
        <is>
          <t>Rétablissement des bornes affaissées des secteurs N2 et N3</t>
        </is>
      </c>
      <c r="I61" s="7" t="n">
        <v>100000</v>
      </c>
      <c r="J61" s="8" t="inlineStr">
        <is>
          <t>U</t>
        </is>
      </c>
      <c r="K61" s="9" t="n">
        <v>200</v>
      </c>
      <c r="L61" s="51" t="n"/>
      <c r="M61" s="52">
        <f>'S44'!M61+L61</f>
        <v/>
      </c>
      <c r="N61" s="53">
        <f>IFERROR(M61/K61,0)</f>
        <v/>
      </c>
      <c r="O61" s="54">
        <f>'S44'!N61</f>
        <v/>
      </c>
      <c r="P61" s="53">
        <f>N61-O61</f>
        <v/>
      </c>
      <c r="Q61" s="32" t="n"/>
      <c r="R61" s="32" t="n"/>
      <c r="S61" s="32" t="n"/>
      <c r="T61" s="55" t="n"/>
      <c r="U61" s="54">
        <f>'S44'!T61</f>
        <v/>
      </c>
      <c r="V61" s="53">
        <f>T61-U61</f>
        <v/>
      </c>
      <c r="W61" s="53">
        <f>N61-T61</f>
        <v/>
      </c>
      <c r="X61" s="34" t="n"/>
    </row>
    <row r="62" ht="22" customHeight="1">
      <c r="B62" s="10" t="n">
        <v>58</v>
      </c>
      <c r="C62" s="14" t="inlineStr">
        <is>
          <t>Kénitra</t>
        </is>
      </c>
      <c r="D62" s="10" t="inlineStr">
        <is>
          <t>SOUK TLET</t>
        </is>
      </c>
      <c r="E62" s="10" t="inlineStr">
        <is>
          <t>50-23</t>
        </is>
      </c>
      <c r="F62" s="10" t="inlineStr">
        <is>
          <t>Entretien et réparation du réseau d'assainissement et de drainage</t>
        </is>
      </c>
      <c r="G62" s="10" t="inlineStr">
        <is>
          <t>Travaux de curage des canaux en terre</t>
        </is>
      </c>
      <c r="H62" s="10" t="inlineStr">
        <is>
          <t>curage des emissaires et colatures secondaire au niveau des secteurs N2,N3 ET N4,</t>
        </is>
      </c>
      <c r="I62" s="11" t="n">
        <v>3000000</v>
      </c>
      <c r="J62" s="12" t="inlineStr">
        <is>
          <t>ml</t>
        </is>
      </c>
      <c r="K62" s="13" t="n">
        <v>1500</v>
      </c>
      <c r="L62" s="51" t="n"/>
      <c r="M62" s="56">
        <f>'S44'!M62+L62</f>
        <v/>
      </c>
      <c r="N62" s="57">
        <f>IFERROR(M62/K62,0)</f>
        <v/>
      </c>
      <c r="O62" s="58">
        <f>'S44'!N62</f>
        <v/>
      </c>
      <c r="P62" s="57">
        <f>N62-O62</f>
        <v/>
      </c>
      <c r="Q62" s="32" t="n"/>
      <c r="R62" s="32" t="n"/>
      <c r="S62" s="32" t="n"/>
      <c r="T62" s="55" t="n"/>
      <c r="U62" s="58">
        <f>'S44'!T62</f>
        <v/>
      </c>
      <c r="V62" s="57">
        <f>T62-U62</f>
        <v/>
      </c>
      <c r="W62" s="57">
        <f>N62-T62</f>
        <v/>
      </c>
      <c r="X62" s="34" t="n"/>
    </row>
    <row r="63" ht="22" customHeight="1">
      <c r="B63" s="5" t="n">
        <v>59</v>
      </c>
      <c r="C63" s="14" t="inlineStr">
        <is>
          <t>Kénitra</t>
        </is>
      </c>
      <c r="D63" s="5" t="inlineStr">
        <is>
          <t>SOUK TLET</t>
        </is>
      </c>
      <c r="E63" s="5" t="inlineStr">
        <is>
          <t>40-21</t>
        </is>
      </c>
      <c r="F63" s="5" t="inlineStr">
        <is>
          <t>Travaux de pistes</t>
        </is>
      </c>
      <c r="G63" s="5" t="inlineStr">
        <is>
          <t>Travaux de réhabilitation des pistes agricoles</t>
        </is>
      </c>
      <c r="H63" s="5" t="inlineStr">
        <is>
          <t>Entretien des pistes des secteurs N2,N3,N4 et C4R,</t>
        </is>
      </c>
      <c r="I63" s="7" t="n">
        <v>5000000</v>
      </c>
      <c r="J63" s="8" t="inlineStr">
        <is>
          <t>U</t>
        </is>
      </c>
      <c r="K63" s="9" t="n">
        <v>1</v>
      </c>
      <c r="L63" s="51" t="n"/>
      <c r="M63" s="52">
        <f>'S44'!M63+L63</f>
        <v/>
      </c>
      <c r="N63" s="53">
        <f>IFERROR(M63/K63,0)</f>
        <v/>
      </c>
      <c r="O63" s="54">
        <f>'S44'!N63</f>
        <v/>
      </c>
      <c r="P63" s="53">
        <f>N63-O63</f>
        <v/>
      </c>
      <c r="Q63" s="32" t="n"/>
      <c r="R63" s="32" t="n"/>
      <c r="S63" s="32" t="n"/>
      <c r="T63" s="55" t="n"/>
      <c r="U63" s="54">
        <f>'S44'!T63</f>
        <v/>
      </c>
      <c r="V63" s="53">
        <f>T63-U63</f>
        <v/>
      </c>
      <c r="W63" s="53">
        <f>N63-T63</f>
        <v/>
      </c>
      <c r="X63" s="34" t="n"/>
    </row>
    <row r="64" ht="22" customHeight="1">
      <c r="B64" s="10" t="n">
        <v>60</v>
      </c>
      <c r="C64" s="14" t="inlineStr">
        <is>
          <t>Kénitra</t>
        </is>
      </c>
      <c r="D64" s="10" t="inlineStr">
        <is>
          <t>Sidi Med Lahmar</t>
        </is>
      </c>
      <c r="E64" s="10" t="inlineStr">
        <is>
          <t>50-23</t>
        </is>
      </c>
      <c r="F64" s="10" t="inlineStr">
        <is>
          <t>Entretien et réparation du réseau d'assainissement et de drainage</t>
        </is>
      </c>
      <c r="G64" s="10" t="inlineStr">
        <is>
          <t>Travaux de curage des canaux en terre</t>
        </is>
      </c>
      <c r="H64" s="10" t="inlineStr">
        <is>
          <t>Curage des emissaires et colatures secondaires secteurs N1</t>
        </is>
      </c>
      <c r="I64" s="11" t="n">
        <v>3000000</v>
      </c>
      <c r="J64" s="12" t="inlineStr">
        <is>
          <t>ml</t>
        </is>
      </c>
      <c r="K64" s="13" t="n">
        <v>1500</v>
      </c>
      <c r="L64" s="51" t="n"/>
      <c r="M64" s="56">
        <f>'S44'!M64+L64</f>
        <v/>
      </c>
      <c r="N64" s="57">
        <f>IFERROR(M64/K64,0)</f>
        <v/>
      </c>
      <c r="O64" s="58">
        <f>'S44'!N64</f>
        <v/>
      </c>
      <c r="P64" s="57">
        <f>N64-O64</f>
        <v/>
      </c>
      <c r="Q64" s="32" t="n"/>
      <c r="R64" s="32" t="n"/>
      <c r="S64" s="32" t="n"/>
      <c r="T64" s="55" t="n"/>
      <c r="U64" s="58">
        <f>'S44'!T64</f>
        <v/>
      </c>
      <c r="V64" s="57">
        <f>T64-U64</f>
        <v/>
      </c>
      <c r="W64" s="57">
        <f>N64-T64</f>
        <v/>
      </c>
      <c r="X64" s="34" t="n"/>
    </row>
    <row r="65" ht="22" customHeight="1">
      <c r="B65" s="5" t="n">
        <v>61</v>
      </c>
      <c r="C65" s="14" t="inlineStr">
        <is>
          <t>Kénitra</t>
        </is>
      </c>
      <c r="D65" s="5" t="inlineStr">
        <is>
          <t>Sidi Med Lahmar</t>
        </is>
      </c>
      <c r="E65" s="5" t="inlineStr">
        <is>
          <t>40-21</t>
        </is>
      </c>
      <c r="F65" s="5" t="inlineStr">
        <is>
          <t>Travaux de pistes</t>
        </is>
      </c>
      <c r="G65" s="5" t="inlineStr">
        <is>
          <t>Travaux de réhabilitation des pistes agricoles</t>
        </is>
      </c>
      <c r="H65" s="5" t="inlineStr">
        <is>
          <t>Entretien des pistes agricoles des secteurs N9 et N1</t>
        </is>
      </c>
      <c r="I65" s="7" t="n">
        <v>3000000</v>
      </c>
      <c r="J65" s="8" t="inlineStr">
        <is>
          <t>km</t>
        </is>
      </c>
      <c r="K65" s="9" t="n">
        <v>6</v>
      </c>
      <c r="L65" s="51" t="n"/>
      <c r="M65" s="52">
        <f>'S44'!M65+L65</f>
        <v/>
      </c>
      <c r="N65" s="53">
        <f>IFERROR(M65/K65,0)</f>
        <v/>
      </c>
      <c r="O65" s="54">
        <f>'S44'!N65</f>
        <v/>
      </c>
      <c r="P65" s="53">
        <f>N65-O65</f>
        <v/>
      </c>
      <c r="Q65" s="32" t="n"/>
      <c r="R65" s="32" t="n"/>
      <c r="S65" s="32" t="n"/>
      <c r="T65" s="55" t="n"/>
      <c r="U65" s="54">
        <f>'S44'!T65</f>
        <v/>
      </c>
      <c r="V65" s="53">
        <f>T65-U65</f>
        <v/>
      </c>
      <c r="W65" s="53">
        <f>N65-T65</f>
        <v/>
      </c>
      <c r="X65" s="34" t="n"/>
    </row>
    <row r="66" ht="22" customHeight="1">
      <c r="B66" s="10" t="n">
        <v>62</v>
      </c>
      <c r="C66" s="14" t="inlineStr">
        <is>
          <t>Kénitra</t>
        </is>
      </c>
      <c r="D66" s="10" t="inlineStr">
        <is>
          <t>Mograne</t>
        </is>
      </c>
      <c r="E66" s="10" t="inlineStr">
        <is>
          <t>50-23</t>
        </is>
      </c>
      <c r="F66" s="10" t="inlineStr">
        <is>
          <t>Entretien et réparation du réseau d'assainissement et de drainage</t>
        </is>
      </c>
      <c r="G66" s="10" t="inlineStr">
        <is>
          <t>Travaux de curage des canaux en terre</t>
        </is>
      </c>
      <c r="H66" s="10" t="inlineStr">
        <is>
          <t>Curage des canaux d'assainissement Hors secteur équipé ghoufera et laison beht sebou ,</t>
        </is>
      </c>
      <c r="I66" s="11" t="n">
        <v>6000000</v>
      </c>
      <c r="J66" s="12" t="inlineStr">
        <is>
          <t>ml</t>
        </is>
      </c>
      <c r="K66" s="13" t="n">
        <v>3000</v>
      </c>
      <c r="L66" s="51" t="n"/>
      <c r="M66" s="56">
        <f>'S44'!M66+L66</f>
        <v/>
      </c>
      <c r="N66" s="57">
        <f>IFERROR(M66/K66,0)</f>
        <v/>
      </c>
      <c r="O66" s="58">
        <f>'S44'!N66</f>
        <v/>
      </c>
      <c r="P66" s="57">
        <f>N66-O66</f>
        <v/>
      </c>
      <c r="Q66" s="32" t="n"/>
      <c r="R66" s="32" t="n"/>
      <c r="S66" s="32" t="n"/>
      <c r="T66" s="55" t="n"/>
      <c r="U66" s="58">
        <f>'S44'!T66</f>
        <v/>
      </c>
      <c r="V66" s="57">
        <f>T66-U66</f>
        <v/>
      </c>
      <c r="W66" s="57">
        <f>N66-T66</f>
        <v/>
      </c>
      <c r="X66" s="34" t="n"/>
    </row>
    <row r="67" ht="22" customHeight="1">
      <c r="B67" s="5" t="n">
        <v>63</v>
      </c>
      <c r="C67" s="14" t="inlineStr">
        <is>
          <t>Kénitra</t>
        </is>
      </c>
      <c r="D67" s="5" t="inlineStr">
        <is>
          <t>Mograne</t>
        </is>
      </c>
      <c r="E67" s="5" t="inlineStr">
        <is>
          <t>40-21</t>
        </is>
      </c>
      <c r="F67" s="5" t="inlineStr">
        <is>
          <t>Travaux de pistes</t>
        </is>
      </c>
      <c r="G67" s="5" t="inlineStr">
        <is>
          <t>Travaux de réhabilitation des pistes agricoles</t>
        </is>
      </c>
      <c r="H67" s="5" t="inlineStr">
        <is>
          <t>Entretien des pistes agricoles des secteurs SEBOU1,SEBOU2? BEHT3 et BEHT4</t>
        </is>
      </c>
      <c r="I67" s="7" t="n">
        <v>6000000</v>
      </c>
      <c r="J67" s="8" t="inlineStr">
        <is>
          <t>km</t>
        </is>
      </c>
      <c r="K67" s="9" t="n">
        <v>12</v>
      </c>
      <c r="L67" s="51" t="n"/>
      <c r="M67" s="52">
        <f>'S44'!M67+L67</f>
        <v/>
      </c>
      <c r="N67" s="53">
        <f>IFERROR(M67/K67,0)</f>
        <v/>
      </c>
      <c r="O67" s="54">
        <f>'S44'!N67</f>
        <v/>
      </c>
      <c r="P67" s="53">
        <f>N67-O67</f>
        <v/>
      </c>
      <c r="Q67" s="32" t="n"/>
      <c r="R67" s="32" t="n"/>
      <c r="S67" s="32" t="n"/>
      <c r="T67" s="55" t="n"/>
      <c r="U67" s="54">
        <f>'S44'!T67</f>
        <v/>
      </c>
      <c r="V67" s="53">
        <f>T67-U67</f>
        <v/>
      </c>
      <c r="W67" s="53">
        <f>N67-T67</f>
        <v/>
      </c>
      <c r="X67" s="34" t="n"/>
    </row>
    <row r="68" ht="22" customHeight="1">
      <c r="B68" s="10" t="n">
        <v>64</v>
      </c>
      <c r="C68" s="14" t="inlineStr">
        <is>
          <t>Kénitra</t>
        </is>
      </c>
      <c r="D68" s="10" t="inlineStr">
        <is>
          <t>Sidi allal tazi</t>
        </is>
      </c>
      <c r="E68" s="10" t="inlineStr">
        <is>
          <t>50-23</t>
        </is>
      </c>
      <c r="F68" s="10" t="inlineStr">
        <is>
          <t>Entretien et réparation du réseau d'assainissement et de drainage</t>
        </is>
      </c>
      <c r="G68" s="10" t="inlineStr">
        <is>
          <t>Travaux de curage des canaux en terre</t>
        </is>
      </c>
      <c r="H68" s="10" t="inlineStr">
        <is>
          <t>Curage du canaL d'assainissement CK,</t>
        </is>
      </c>
      <c r="I68" s="11" t="n">
        <v>3000000</v>
      </c>
      <c r="J68" s="12" t="inlineStr">
        <is>
          <t>ml</t>
        </is>
      </c>
      <c r="K68" s="13" t="n">
        <v>1500</v>
      </c>
      <c r="L68" s="51" t="n"/>
      <c r="M68" s="56">
        <f>'S44'!M68+L68</f>
        <v/>
      </c>
      <c r="N68" s="57">
        <f>IFERROR(M68/K68,0)</f>
        <v/>
      </c>
      <c r="O68" s="58">
        <f>'S44'!N68</f>
        <v/>
      </c>
      <c r="P68" s="57">
        <f>N68-O68</f>
        <v/>
      </c>
      <c r="Q68" s="32" t="n"/>
      <c r="R68" s="32" t="n"/>
      <c r="S68" s="32" t="n"/>
      <c r="T68" s="55" t="n"/>
      <c r="U68" s="58">
        <f>'S44'!T68</f>
        <v/>
      </c>
      <c r="V68" s="57">
        <f>T68-U68</f>
        <v/>
      </c>
      <c r="W68" s="57">
        <f>N68-T68</f>
        <v/>
      </c>
      <c r="X68" s="34" t="n"/>
    </row>
    <row r="69" ht="22" customHeight="1">
      <c r="B69" s="5" t="n">
        <v>65</v>
      </c>
      <c r="C69" s="14" t="inlineStr">
        <is>
          <t>Kénitra</t>
        </is>
      </c>
      <c r="D69" s="5" t="inlineStr">
        <is>
          <t>AMEUR SAFLIA</t>
        </is>
      </c>
      <c r="E69" s="5" t="inlineStr">
        <is>
          <t>50-23</t>
        </is>
      </c>
      <c r="F69" s="5" t="inlineStr">
        <is>
          <t>Entretien et réparation du réseau d'assainissement et de drainage</t>
        </is>
      </c>
      <c r="G69" s="5" t="inlineStr">
        <is>
          <t>Travaux de curage des canaux en terre</t>
        </is>
      </c>
      <c r="H69" s="5" t="inlineStr">
        <is>
          <t>Curage des canaux d'assainissement amontTtiflt Sebou,</t>
        </is>
      </c>
      <c r="I69" s="7" t="n">
        <v>1000000</v>
      </c>
      <c r="J69" s="8" t="inlineStr">
        <is>
          <t>ml</t>
        </is>
      </c>
      <c r="K69" s="9" t="n">
        <v>500</v>
      </c>
      <c r="L69" s="51" t="n"/>
      <c r="M69" s="52">
        <f>'S44'!M69+L69</f>
        <v/>
      </c>
      <c r="N69" s="53">
        <f>IFERROR(M69/K69,0)</f>
        <v/>
      </c>
      <c r="O69" s="54">
        <f>'S44'!N69</f>
        <v/>
      </c>
      <c r="P69" s="53">
        <f>N69-O69</f>
        <v/>
      </c>
      <c r="Q69" s="32" t="n"/>
      <c r="R69" s="32" t="n"/>
      <c r="S69" s="32" t="n"/>
      <c r="T69" s="55" t="n"/>
      <c r="U69" s="54">
        <f>'S44'!T69</f>
        <v/>
      </c>
      <c r="V69" s="53">
        <f>T69-U69</f>
        <v/>
      </c>
      <c r="W69" s="53">
        <f>N69-T69</f>
        <v/>
      </c>
      <c r="X69" s="34" t="n"/>
    </row>
    <row r="70" ht="22" customHeight="1">
      <c r="B70" s="10" t="n">
        <v>66</v>
      </c>
      <c r="C70" s="14" t="inlineStr">
        <is>
          <t>Kénitra</t>
        </is>
      </c>
      <c r="D70" s="10" t="inlineStr">
        <is>
          <t>Oulad SLAMA</t>
        </is>
      </c>
      <c r="E70" s="10" t="inlineStr">
        <is>
          <t>50-23</t>
        </is>
      </c>
      <c r="F70" s="10" t="inlineStr">
        <is>
          <t>Entretien et réparation du réseau d'assainissement et de drainage</t>
        </is>
      </c>
      <c r="G70" s="10" t="inlineStr">
        <is>
          <t>Travaux de curage des canaux en terre</t>
        </is>
      </c>
      <c r="H70" s="10" t="inlineStr">
        <is>
          <t>Curage des canaux d'assainissement debouche Tiflt aval,</t>
        </is>
      </c>
      <c r="I70" s="11" t="n">
        <v>1000000</v>
      </c>
      <c r="J70" s="12" t="inlineStr">
        <is>
          <t>ml</t>
        </is>
      </c>
      <c r="K70" s="13" t="n">
        <v>500</v>
      </c>
      <c r="L70" s="51" t="n"/>
      <c r="M70" s="56">
        <f>'S44'!M70+L70</f>
        <v/>
      </c>
      <c r="N70" s="57">
        <f>IFERROR(M70/K70,0)</f>
        <v/>
      </c>
      <c r="O70" s="58">
        <f>'S44'!N70</f>
        <v/>
      </c>
      <c r="P70" s="57">
        <f>N70-O70</f>
        <v/>
      </c>
      <c r="Q70" s="32" t="n"/>
      <c r="R70" s="32" t="n"/>
      <c r="S70" s="32" t="n"/>
      <c r="T70" s="55" t="n"/>
      <c r="U70" s="58">
        <f>'S44'!T70</f>
        <v/>
      </c>
      <c r="V70" s="57">
        <f>T70-U70</f>
        <v/>
      </c>
      <c r="W70" s="57">
        <f>N70-T70</f>
        <v/>
      </c>
      <c r="X70" s="34" t="n"/>
    </row>
    <row r="71" ht="22" customHeight="1">
      <c r="B71" s="5" t="n">
        <v>67</v>
      </c>
      <c r="C71" s="14" t="inlineStr">
        <is>
          <t>Kénitra</t>
        </is>
      </c>
      <c r="D71" s="5" t="inlineStr">
        <is>
          <t>BHARA Oulad AYAD</t>
        </is>
      </c>
      <c r="E71" s="5" t="inlineStr">
        <is>
          <t>50-23</t>
        </is>
      </c>
      <c r="F71" s="5" t="inlineStr">
        <is>
          <t>Entretien et réparation du réseau d'assainissement et de drainage</t>
        </is>
      </c>
      <c r="G71" s="5" t="inlineStr">
        <is>
          <t>Travaux de curage des canaux en terre</t>
        </is>
      </c>
      <c r="H71" s="5" t="inlineStr">
        <is>
          <t>Curage des canaux d'assainissement canal nador bas et haut segmet,</t>
        </is>
      </c>
      <c r="I71" s="7" t="n">
        <v>6600000</v>
      </c>
      <c r="J71" s="8" t="inlineStr">
        <is>
          <t>ml</t>
        </is>
      </c>
      <c r="K71" s="9" t="n">
        <v>3300</v>
      </c>
      <c r="L71" s="51" t="n"/>
      <c r="M71" s="52">
        <f>'S44'!M71+L71</f>
        <v/>
      </c>
      <c r="N71" s="53">
        <f>IFERROR(M71/K71,0)</f>
        <v/>
      </c>
      <c r="O71" s="54">
        <f>'S44'!N71</f>
        <v/>
      </c>
      <c r="P71" s="53">
        <f>N71-O71</f>
        <v/>
      </c>
      <c r="Q71" s="32" t="n"/>
      <c r="R71" s="32" t="n"/>
      <c r="S71" s="32" t="n"/>
      <c r="T71" s="55" t="n"/>
      <c r="U71" s="54">
        <f>'S44'!T71</f>
        <v/>
      </c>
      <c r="V71" s="53">
        <f>T71-U71</f>
        <v/>
      </c>
      <c r="W71" s="53">
        <f>N71-T71</f>
        <v/>
      </c>
      <c r="X71" s="34" t="n"/>
    </row>
    <row r="72" ht="22" customHeight="1">
      <c r="B72" s="10" t="n">
        <v>68</v>
      </c>
      <c r="C72" s="15" t="inlineStr">
        <is>
          <t>Sidi Slimane</t>
        </is>
      </c>
      <c r="D72" s="10" t="inlineStr">
        <is>
          <t>OULED HCEINE</t>
        </is>
      </c>
      <c r="E72" s="10" t="inlineStr">
        <is>
          <t>50-23</t>
        </is>
      </c>
      <c r="F72" s="10" t="inlineStr">
        <is>
          <t>Entretien et réparation du réseau d'assainissement et de drainage</t>
        </is>
      </c>
      <c r="G72" s="10" t="inlineStr">
        <is>
          <t>Travaux de curage des canaux en terre</t>
        </is>
      </c>
      <c r="H72" s="10" t="inlineStr">
        <is>
          <t>Curage des collecteurs d'assainissement du secteur EST4.</t>
        </is>
      </c>
      <c r="I72" s="11" t="n">
        <v>1805475</v>
      </c>
      <c r="J72" s="12" t="inlineStr">
        <is>
          <t>ml</t>
        </is>
      </c>
      <c r="K72" s="13" t="n">
        <v>903</v>
      </c>
      <c r="L72" s="51" t="n"/>
      <c r="M72" s="56">
        <f>'S44'!M72+L72</f>
        <v/>
      </c>
      <c r="N72" s="57">
        <f>IFERROR(M72/K72,0)</f>
        <v/>
      </c>
      <c r="O72" s="58">
        <f>'S44'!N72</f>
        <v/>
      </c>
      <c r="P72" s="57">
        <f>N72-O72</f>
        <v/>
      </c>
      <c r="Q72" s="32" t="n"/>
      <c r="R72" s="32" t="n"/>
      <c r="S72" s="32" t="n"/>
      <c r="T72" s="55" t="n"/>
      <c r="U72" s="58">
        <f>'S44'!T72</f>
        <v/>
      </c>
      <c r="V72" s="57">
        <f>T72-U72</f>
        <v/>
      </c>
      <c r="W72" s="57">
        <f>N72-T72</f>
        <v/>
      </c>
      <c r="X72" s="34" t="n"/>
    </row>
    <row r="73" ht="22" customHeight="1">
      <c r="B73" s="5" t="n">
        <v>69</v>
      </c>
      <c r="C73" s="15" t="inlineStr">
        <is>
          <t>Sidi Slimane</t>
        </is>
      </c>
      <c r="D73" s="5" t="inlineStr">
        <is>
          <t>OULED HCEINE</t>
        </is>
      </c>
      <c r="E73" s="5" t="inlineStr">
        <is>
          <t>50-23</t>
        </is>
      </c>
      <c r="F73" s="5" t="inlineStr">
        <is>
          <t>Entretien et réparation du réseau d'assainissement et de drainage</t>
        </is>
      </c>
      <c r="G73" s="5" t="inlineStr">
        <is>
          <t>Travaux de curage des canaux en terre</t>
        </is>
      </c>
      <c r="H73" s="5" t="inlineStr">
        <is>
          <t>Curage du canal d'assainissement Tihli central.</t>
        </is>
      </c>
      <c r="I73" s="7" t="n">
        <v>2587200</v>
      </c>
      <c r="J73" s="8" t="inlineStr">
        <is>
          <t>ml</t>
        </is>
      </c>
      <c r="K73" s="9" t="n">
        <v>1294</v>
      </c>
      <c r="L73" s="51" t="n"/>
      <c r="M73" s="52">
        <f>'S44'!M73+L73</f>
        <v/>
      </c>
      <c r="N73" s="53">
        <f>IFERROR(M73/K73,0)</f>
        <v/>
      </c>
      <c r="O73" s="54">
        <f>'S44'!N73</f>
        <v/>
      </c>
      <c r="P73" s="53">
        <f>N73-O73</f>
        <v/>
      </c>
      <c r="Q73" s="32" t="n"/>
      <c r="R73" s="32" t="n"/>
      <c r="S73" s="32" t="n"/>
      <c r="T73" s="55" t="n"/>
      <c r="U73" s="54">
        <f>'S44'!T73</f>
        <v/>
      </c>
      <c r="V73" s="53">
        <f>T73-U73</f>
        <v/>
      </c>
      <c r="W73" s="53">
        <f>N73-T73</f>
        <v/>
      </c>
      <c r="X73" s="34" t="n"/>
    </row>
    <row r="74" ht="22" customHeight="1">
      <c r="B74" s="10" t="n">
        <v>70</v>
      </c>
      <c r="C74" s="15" t="inlineStr">
        <is>
          <t>Sidi Slimane</t>
        </is>
      </c>
      <c r="D74" s="10" t="inlineStr">
        <is>
          <t>OULED HCEINE</t>
        </is>
      </c>
      <c r="E74" s="10" t="inlineStr">
        <is>
          <t>40-21</t>
        </is>
      </c>
      <c r="F74" s="10" t="inlineStr">
        <is>
          <t>Travaux de pistes</t>
        </is>
      </c>
      <c r="G74" s="10" t="inlineStr">
        <is>
          <t>Travaux de réhabilitation des pistes agricoles</t>
        </is>
      </c>
      <c r="H74" s="10" t="inlineStr">
        <is>
          <t>Entretien des pistes agricoles</t>
        </is>
      </c>
      <c r="I74" s="11" t="n">
        <v>3500000</v>
      </c>
      <c r="J74" s="12" t="inlineStr">
        <is>
          <t>km</t>
        </is>
      </c>
      <c r="K74" s="13" t="n">
        <v>7</v>
      </c>
      <c r="L74" s="51" t="n"/>
      <c r="M74" s="56">
        <f>'S44'!M74+L74</f>
        <v/>
      </c>
      <c r="N74" s="57">
        <f>IFERROR(M74/K74,0)</f>
        <v/>
      </c>
      <c r="O74" s="58">
        <f>'S44'!N74</f>
        <v/>
      </c>
      <c r="P74" s="57">
        <f>N74-O74</f>
        <v/>
      </c>
      <c r="Q74" s="32" t="n"/>
      <c r="R74" s="32" t="n"/>
      <c r="S74" s="32" t="n"/>
      <c r="T74" s="55" t="n"/>
      <c r="U74" s="58">
        <f>'S44'!T74</f>
        <v/>
      </c>
      <c r="V74" s="57">
        <f>T74-U74</f>
        <v/>
      </c>
      <c r="W74" s="57">
        <f>N74-T74</f>
        <v/>
      </c>
      <c r="X74" s="34" t="n"/>
    </row>
    <row r="75" ht="22" customHeight="1">
      <c r="B75" s="5" t="n">
        <v>71</v>
      </c>
      <c r="C75" s="15" t="inlineStr">
        <is>
          <t>Sidi Slimane</t>
        </is>
      </c>
      <c r="D75" s="5" t="inlineStr">
        <is>
          <t>OULED HCEINE</t>
        </is>
      </c>
      <c r="E75" s="5" t="inlineStr">
        <is>
          <t>50-21</t>
        </is>
      </c>
      <c r="F75" s="5" t="inlineStr">
        <is>
          <t>Entretien et réparation des stations de pompage</t>
        </is>
      </c>
      <c r="G75" s="5" t="inlineStr">
        <is>
          <t>Travaux de réparation des équipements hydromécaniques et éléctriques et entretien de la partie génie civil des stations de pompage.</t>
        </is>
      </c>
      <c r="H75" s="5" t="inlineStr">
        <is>
          <t>Démontage et expertise des roues des  pompes principaux et pompes a vide de la station EST4 et P11/2.
Changement des roulements, tresses et organes d’effectués de la station EST4 et P11/2
Changement deux débitmètre Ø 1200 mm de la station EST4 et un débimétre de la station P11/2.
Changement des capteurs de niveau inondés.
Révision et réparation des moteurs des vannes motorisées inondées.
changement de six contrôleurs de débits DW181 inondés.
Un capteur de débitmètre inondé nécessitent un diagnostic VEGASON  .
Entretien de l'éclairage du local de vide et bâche d’aspiration inondé de la station EST4 et la partie de l’éclairage du local des pompes inondées de la station P11/2.
Pose de gabions et recouvrement du talus par matelas Reno des stations de pompage P11/2</t>
        </is>
      </c>
      <c r="I75" s="7" t="n">
        <v>870000</v>
      </c>
      <c r="J75" s="8" t="inlineStr">
        <is>
          <t>U</t>
        </is>
      </c>
      <c r="K75" s="9" t="n">
        <v>4</v>
      </c>
      <c r="L75" s="51" t="n"/>
      <c r="M75" s="52">
        <f>'S44'!M75+L75</f>
        <v/>
      </c>
      <c r="N75" s="53">
        <f>IFERROR(M75/K75,0)</f>
        <v/>
      </c>
      <c r="O75" s="54">
        <f>'S44'!N75</f>
        <v/>
      </c>
      <c r="P75" s="53">
        <f>N75-O75</f>
        <v/>
      </c>
      <c r="Q75" s="32" t="n"/>
      <c r="R75" s="32" t="n"/>
      <c r="S75" s="32" t="n"/>
      <c r="T75" s="55" t="n"/>
      <c r="U75" s="54">
        <f>'S44'!T75</f>
        <v/>
      </c>
      <c r="V75" s="53">
        <f>T75-U75</f>
        <v/>
      </c>
      <c r="W75" s="53">
        <f>N75-T75</f>
        <v/>
      </c>
      <c r="X75" s="34" t="n"/>
    </row>
    <row r="76" ht="22" customHeight="1">
      <c r="B76" s="10" t="n">
        <v>72</v>
      </c>
      <c r="C76" s="15" t="inlineStr">
        <is>
          <t>Sidi Slimane</t>
        </is>
      </c>
      <c r="D76" s="10" t="inlineStr">
        <is>
          <t>OULED HCEINE</t>
        </is>
      </c>
      <c r="E76" s="10" t="inlineStr">
        <is>
          <t>50-23</t>
        </is>
      </c>
      <c r="F76" s="10" t="inlineStr">
        <is>
          <t>Entretien et réparation du réseau d'assainissement et de drainage</t>
        </is>
      </c>
      <c r="G76" s="10" t="inlineStr">
        <is>
          <t>Travaux de curage des prises des stations de pompage.</t>
        </is>
      </c>
      <c r="H76" s="10" t="inlineStr">
        <is>
          <t>Curage des siphones des station de pompage EST2 et P11/2.</t>
        </is>
      </c>
      <c r="I76" s="11" t="n">
        <v>500000</v>
      </c>
      <c r="J76" s="12" t="inlineStr">
        <is>
          <t>ml</t>
        </is>
      </c>
      <c r="K76" s="13" t="n">
        <v>167</v>
      </c>
      <c r="L76" s="51" t="n"/>
      <c r="M76" s="56">
        <f>'S44'!M76+L76</f>
        <v/>
      </c>
      <c r="N76" s="57">
        <f>IFERROR(M76/K76,0)</f>
        <v/>
      </c>
      <c r="O76" s="58">
        <f>'S44'!N76</f>
        <v/>
      </c>
      <c r="P76" s="57">
        <f>N76-O76</f>
        <v/>
      </c>
      <c r="Q76" s="32" t="n"/>
      <c r="R76" s="32" t="n"/>
      <c r="S76" s="32" t="n"/>
      <c r="T76" s="55" t="n"/>
      <c r="U76" s="58">
        <f>'S44'!T76</f>
        <v/>
      </c>
      <c r="V76" s="57">
        <f>T76-U76</f>
        <v/>
      </c>
      <c r="W76" s="57">
        <f>N76-T76</f>
        <v/>
      </c>
      <c r="X76" s="34" t="n"/>
    </row>
    <row r="77" ht="26" customHeight="1">
      <c r="B77" s="16" t="inlineStr">
        <is>
          <t>TOTAL</t>
        </is>
      </c>
      <c r="C77" s="16" t="n"/>
      <c r="D77" s="16" t="n"/>
      <c r="E77" s="16" t="n"/>
      <c r="F77" s="16" t="n"/>
      <c r="G77" s="16" t="n"/>
      <c r="H77" s="16" t="n"/>
      <c r="I77" s="17">
        <f>SUM(I5:I76)</f>
        <v/>
      </c>
      <c r="J77" s="16" t="n"/>
      <c r="K77" s="16" t="n"/>
      <c r="L77" s="59">
        <f>SUM(L5:L76)</f>
        <v/>
      </c>
      <c r="M77" s="59">
        <f>SUM(M5:M76)</f>
        <v/>
      </c>
      <c r="N77" s="60">
        <f>IFERROR(SUMPRODUCT(N5:N76,I5:I76)/I77,0)</f>
        <v/>
      </c>
      <c r="O77" s="60">
        <f>IFERROR(SUMPRODUCT(O5:O76,I5:I76)/I77,0)</f>
        <v/>
      </c>
      <c r="P77" s="60">
        <f>N77-O77</f>
        <v/>
      </c>
      <c r="Q77" s="17">
        <f>SUM(Q5:Q76)</f>
        <v/>
      </c>
      <c r="R77" s="17">
        <f>SUM(R5:R76)</f>
        <v/>
      </c>
      <c r="S77" s="17">
        <f>SUM(S5:S76)</f>
        <v/>
      </c>
      <c r="T77" s="60">
        <f>IFERROR(SUMPRODUCT(T5:T76,I5:I76)/I77,0)</f>
        <v/>
      </c>
      <c r="U77" s="60">
        <f>IFERROR(SUMPRODUCT(U5:U76,I5:I76)/I77,0)</f>
        <v/>
      </c>
      <c r="V77" s="60">
        <f>T77-U77</f>
        <v/>
      </c>
      <c r="W77" s="60">
        <f>N77-T77</f>
        <v/>
      </c>
      <c r="X77" s="16" t="n"/>
    </row>
  </sheetData>
  <sheetProtection selectLockedCells="0" selectUnlockedCells="0" sheet="1" objects="0" insertRows="1" insertHyperlinks="1" autoFilter="1" scenarios="0" formatColumns="1" deleteColumns="1" insertColumns="1" pivotTables="1" deleteRows="1" formatCells="1" formatRows="1" sort="1" password="CBBE"/>
  <mergeCells count="6">
    <mergeCell ref="E3:I3"/>
    <mergeCell ref="W3:X3"/>
    <mergeCell ref="J3:P3"/>
    <mergeCell ref="B2:X2"/>
    <mergeCell ref="C3:D3"/>
    <mergeCell ref="Q3:V3"/>
  </mergeCells>
  <conditionalFormatting sqref="P5:P76">
    <cfRule type="cellIs" priority="1" operator="greaterThan" dxfId="0">
      <formula>0</formula>
    </cfRule>
    <cfRule type="cellIs" priority="2" operator="lessThan" dxfId="1">
      <formula>0</formula>
    </cfRule>
  </conditionalFormatting>
  <conditionalFormatting sqref="V5:V76">
    <cfRule type="cellIs" priority="3" operator="greaterThan" dxfId="0">
      <formula>0</formula>
    </cfRule>
    <cfRule type="cellIs" priority="4" operator="lessThan" dxfId="1">
      <formula>0</formula>
    </cfRule>
  </conditionalFormatting>
  <conditionalFormatting sqref="W5:W76">
    <cfRule type="cellIs" priority="5" operator="greaterThan" dxfId="0">
      <formula>0.05</formula>
    </cfRule>
    <cfRule type="cellIs" priority="6" operator="lessThan" dxfId="1">
      <formula>-0.05</formula>
    </cfRule>
    <cfRule type="cellIs" priority="7" operator="between" dxfId="2">
      <formula>-0.05</formula>
      <formula>0.05</formula>
    </cfRule>
  </conditionalFormatting>
  <conditionalFormatting sqref="N5:N76">
    <cfRule type="dataBar" priority="8">
      <dataBar showValue="1">
        <cfvo type="num" val="0"/>
        <cfvo type="num" val="1"/>
        <color rgb="001B7D46"/>
      </dataBar>
    </cfRule>
  </conditionalFormatting>
  <conditionalFormatting sqref="T5:T76">
    <cfRule type="dataBar" priority="9">
      <dataBar showValue="1">
        <cfvo type="num" val="0"/>
        <cfvo type="num" val="1"/>
        <color rgb="00D4820A"/>
      </dataBar>
    </cfRule>
  </conditionalFormatting>
  <dataValidations count="2">
    <dataValidation sqref="T5:T76" showDropDown="0" showInputMessage="0" showErrorMessage="0" allowBlank="1" errorTitle="Invalide" error="Valeur entre 0% et 100%" promptTitle="Avancement %" prompt="Entrez 0.25 pour 25%" type="decimal" operator="between">
      <formula1>0</formula1>
      <formula2>1</formula2>
    </dataValidation>
    <dataValidation sqref="L5:L76" showDropDown="0" showInputMessage="0" showErrorMessage="0" allowBlank="1" errorTitle="Invalide" error="Quantité doit être &gt;= 0" promptTitle="Qté Réalisée" prompt="Entrez la quantité réalisée cette semaine" type="decimal" operator="greaterThanOrEqual">
      <formula1>0</formula1>
    </dataValidation>
  </dataValidations>
  <pageMargins left="0.75" right="0.75" top="1" bottom="1" header="0.5" footer="0.5"/>
</worksheet>
</file>

<file path=xl/worksheets/sheet26.xml><?xml version="1.0" encoding="utf-8"?>
<worksheet xmlns="http://schemas.openxmlformats.org/spreadsheetml/2006/main">
  <sheetPr>
    <tabColor rgb="00BF8F00"/>
    <outlinePr summaryBelow="1" summaryRight="1"/>
    <pageSetUpPr/>
  </sheetPr>
  <dimension ref="B2:X77"/>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5" customWidth="1" min="2" max="2"/>
    <col width="14" customWidth="1" min="3" max="3"/>
    <col width="18" customWidth="1" min="4" max="4"/>
    <col width="9" customWidth="1" min="5" max="5"/>
    <col width="32" customWidth="1" min="6" max="6"/>
    <col width="28" customWidth="1" min="7" max="7"/>
    <col width="34" customWidth="1" min="8" max="8"/>
    <col width="14" customWidth="1" min="9" max="9"/>
    <col width="8" customWidth="1" min="10" max="10"/>
    <col width="12" customWidth="1" min="11" max="11"/>
    <col width="14" customWidth="1" min="12" max="12"/>
    <col width="14" customWidth="1" min="13" max="13"/>
    <col width="14" customWidth="1" min="14" max="14"/>
    <col width="14" customWidth="1" min="15" max="15"/>
    <col width="14" customWidth="1" min="16" max="16"/>
    <col width="16" customWidth="1" min="17" max="17"/>
    <col width="16" customWidth="1" min="18" max="18"/>
    <col width="16" customWidth="1" min="19" max="19"/>
    <col width="14" customWidth="1" min="20" max="20"/>
    <col width="14" customWidth="1" min="21" max="21"/>
    <col width="14" customWidth="1" min="22" max="22"/>
    <col width="14" customWidth="1" min="23" max="23"/>
    <col width="24" customWidth="1" min="24" max="24"/>
  </cols>
  <sheetData>
    <row r="1" ht="15" customHeight="1"/>
    <row r="2" ht="32" customHeight="1">
      <c r="B2" s="1" t="inlineStr">
        <is>
          <t>Suivi Hebdomadaire - Semaine 46 (09/11 - 15/11) — Novembre 2026 - Exécution Physique et Financière</t>
        </is>
      </c>
    </row>
    <row r="3" ht="22" customHeight="1">
      <c r="B3" s="20" t="inlineStr">
        <is>
          <t>Date :</t>
        </is>
      </c>
      <c r="C3" s="49" t="n">
        <v>46335</v>
      </c>
      <c r="D3" s="50" t="n"/>
      <c r="E3" s="22" t="inlineStr">
        <is>
          <t>IDENTIFICATION</t>
        </is>
      </c>
      <c r="J3" s="23" t="inlineStr">
        <is>
          <t>INDICATEURS PHYSIQUES</t>
        </is>
      </c>
      <c r="Q3" s="24" t="inlineStr">
        <is>
          <t>INDICATEURS FINANCIERS</t>
        </is>
      </c>
      <c r="W3" s="25" t="inlineStr">
        <is>
          <t>SYNTHÈSE</t>
        </is>
      </c>
    </row>
    <row r="4" ht="28" customHeight="1">
      <c r="B4" s="4" t="inlineStr">
        <is>
          <t>N°</t>
        </is>
      </c>
      <c r="C4" s="4" t="inlineStr">
        <is>
          <t>Province</t>
        </is>
      </c>
      <c r="D4" s="4" t="inlineStr">
        <is>
          <t>Commune</t>
        </is>
      </c>
      <c r="E4" s="4" t="inlineStr">
        <is>
          <t>Rubrique</t>
        </is>
      </c>
      <c r="F4" s="4" t="inlineStr">
        <is>
          <t>Intitulé Rubrique</t>
        </is>
      </c>
      <c r="G4" s="4" t="inlineStr">
        <is>
          <t>Projet</t>
        </is>
      </c>
      <c r="H4" s="4" t="inlineStr">
        <is>
          <t>Consistance</t>
        </is>
      </c>
      <c r="I4" s="4" t="inlineStr">
        <is>
          <t>Coût Total (DH)</t>
        </is>
      </c>
      <c r="J4" s="26" t="inlineStr">
        <is>
          <t>Unité</t>
        </is>
      </c>
      <c r="K4" s="26" t="inlineStr">
        <is>
          <t>Qté Prévue</t>
        </is>
      </c>
      <c r="L4" s="26" t="inlineStr">
        <is>
          <t>Qté Réalisée Sem.</t>
        </is>
      </c>
      <c r="M4" s="26" t="inlineStr">
        <is>
          <t>Qté Réalisée Cumul</t>
        </is>
      </c>
      <c r="N4" s="26" t="inlineStr">
        <is>
          <t>Avancement Physique %</t>
        </is>
      </c>
      <c r="O4" s="26" t="inlineStr">
        <is>
          <t>% Phys. Sem. Préc.</t>
        </is>
      </c>
      <c r="P4" s="26" t="inlineStr">
        <is>
          <t>Accroissement Phys. %</t>
        </is>
      </c>
      <c r="Q4" s="27" t="inlineStr">
        <is>
          <t>Montant Décaissé (DH)</t>
        </is>
      </c>
      <c r="R4" s="27" t="inlineStr">
        <is>
          <t>Montant Payé (DH)</t>
        </is>
      </c>
      <c r="S4" s="27" t="inlineStr">
        <is>
          <t>Montant Ordonné (DH)</t>
        </is>
      </c>
      <c r="T4" s="27" t="inlineStr">
        <is>
          <t>Avancement Financier %</t>
        </is>
      </c>
      <c r="U4" s="27" t="inlineStr">
        <is>
          <t>% Fin. Sem. Préc.</t>
        </is>
      </c>
      <c r="V4" s="27" t="inlineStr">
        <is>
          <t>Accroissement Fin. %</t>
        </is>
      </c>
      <c r="W4" s="28" t="inlineStr">
        <is>
          <t>Écart Phys.-Fin.</t>
        </is>
      </c>
      <c r="X4" s="28" t="inlineStr">
        <is>
          <t>Observations</t>
        </is>
      </c>
    </row>
    <row r="5" ht="22" customHeight="1">
      <c r="B5" s="5" t="n">
        <v>1</v>
      </c>
      <c r="C5" s="6" t="inlineStr">
        <is>
          <t>Sidi Kacem</t>
        </is>
      </c>
      <c r="D5" s="5" t="inlineStr">
        <is>
          <t>KHENICHET</t>
        </is>
      </c>
      <c r="E5" s="5" t="inlineStr">
        <is>
          <t>50-23</t>
        </is>
      </c>
      <c r="F5" s="5" t="inlineStr">
        <is>
          <t>Entretien et réparation du réseau d'assainissement et de drainage</t>
        </is>
      </c>
      <c r="G5" s="5" t="inlineStr">
        <is>
          <t>Travaux de curage des canaux en terre</t>
        </is>
      </c>
      <c r="H5" s="5" t="inlineStr">
        <is>
          <t>Curage des collecteurs d'assainissement du secteur EST2</t>
        </is>
      </c>
      <c r="I5" s="7" t="n">
        <v>2091568</v>
      </c>
      <c r="J5" s="8" t="inlineStr">
        <is>
          <t>ml</t>
        </is>
      </c>
      <c r="K5" s="9" t="n">
        <v>1046</v>
      </c>
      <c r="L5" s="51" t="n"/>
      <c r="M5" s="52">
        <f>'S45'!M5+L5</f>
        <v/>
      </c>
      <c r="N5" s="53">
        <f>IFERROR(M5/K5,0)</f>
        <v/>
      </c>
      <c r="O5" s="54">
        <f>'S45'!N5</f>
        <v/>
      </c>
      <c r="P5" s="53">
        <f>N5-O5</f>
        <v/>
      </c>
      <c r="Q5" s="32" t="n"/>
      <c r="R5" s="32" t="n"/>
      <c r="S5" s="32" t="n"/>
      <c r="T5" s="55" t="n"/>
      <c r="U5" s="54">
        <f>'S45'!T5</f>
        <v/>
      </c>
      <c r="V5" s="53">
        <f>T5-U5</f>
        <v/>
      </c>
      <c r="W5" s="53">
        <f>N5-T5</f>
        <v/>
      </c>
      <c r="X5" s="34" t="n"/>
    </row>
    <row r="6" ht="22" customHeight="1">
      <c r="B6" s="10" t="n">
        <v>2</v>
      </c>
      <c r="C6" s="6" t="inlineStr">
        <is>
          <t>Sidi Kacem</t>
        </is>
      </c>
      <c r="D6" s="10" t="inlineStr">
        <is>
          <t>KHENICHET</t>
        </is>
      </c>
      <c r="E6" s="10" t="inlineStr">
        <is>
          <t>40-21</t>
        </is>
      </c>
      <c r="F6" s="10" t="inlineStr">
        <is>
          <t>Travaux de pistes</t>
        </is>
      </c>
      <c r="G6" s="10" t="inlineStr">
        <is>
          <t>Travaux de réhabilitation des pistes agricoles</t>
        </is>
      </c>
      <c r="H6" s="10" t="inlineStr">
        <is>
          <t>Entretien des pistes agricoles Douar Nouagra et Douar ouled Salem</t>
        </is>
      </c>
      <c r="I6" s="11" t="n">
        <v>78000</v>
      </c>
      <c r="J6" s="12" t="inlineStr">
        <is>
          <t>km</t>
        </is>
      </c>
      <c r="K6" s="13" t="n">
        <v>1</v>
      </c>
      <c r="L6" s="51" t="n"/>
      <c r="M6" s="56">
        <f>'S45'!M6+L6</f>
        <v/>
      </c>
      <c r="N6" s="57">
        <f>IFERROR(M6/K6,0)</f>
        <v/>
      </c>
      <c r="O6" s="58">
        <f>'S45'!N6</f>
        <v/>
      </c>
      <c r="P6" s="57">
        <f>N6-O6</f>
        <v/>
      </c>
      <c r="Q6" s="32" t="n"/>
      <c r="R6" s="32" t="n"/>
      <c r="S6" s="32" t="n"/>
      <c r="T6" s="55" t="n"/>
      <c r="U6" s="58">
        <f>'S45'!T6</f>
        <v/>
      </c>
      <c r="V6" s="57">
        <f>T6-U6</f>
        <v/>
      </c>
      <c r="W6" s="57">
        <f>N6-T6</f>
        <v/>
      </c>
      <c r="X6" s="34" t="n"/>
    </row>
    <row r="7" ht="22" customHeight="1">
      <c r="B7" s="5" t="n">
        <v>3</v>
      </c>
      <c r="C7" s="6" t="inlineStr">
        <is>
          <t>Sidi Kacem</t>
        </is>
      </c>
      <c r="D7" s="5" t="inlineStr">
        <is>
          <t>KHENICHET</t>
        </is>
      </c>
      <c r="E7" s="5" t="inlineStr">
        <is>
          <t>50-23</t>
        </is>
      </c>
      <c r="F7" s="5" t="inlineStr">
        <is>
          <t>Entretien et réparation du réseau d'assainissement et de drainage</t>
        </is>
      </c>
      <c r="G7" s="5" t="inlineStr">
        <is>
          <t>Curage des prises sur l’oued, bâche d’aspiration et bassin de régulation.</t>
        </is>
      </c>
      <c r="H7" s="5" t="inlineStr">
        <is>
          <t>Curage de la chambre des joints de démontage des siphonnes  de la station de pompage EST2.</t>
        </is>
      </c>
      <c r="I7" s="7" t="n">
        <v>126000</v>
      </c>
      <c r="J7" s="8" t="inlineStr">
        <is>
          <t>ml</t>
        </is>
      </c>
      <c r="K7" s="9" t="n">
        <v>42</v>
      </c>
      <c r="L7" s="51" t="n"/>
      <c r="M7" s="52">
        <f>'S45'!M7+L7</f>
        <v/>
      </c>
      <c r="N7" s="53">
        <f>IFERROR(M7/K7,0)</f>
        <v/>
      </c>
      <c r="O7" s="54">
        <f>'S45'!N7</f>
        <v/>
      </c>
      <c r="P7" s="53">
        <f>N7-O7</f>
        <v/>
      </c>
      <c r="Q7" s="32" t="n"/>
      <c r="R7" s="32" t="n"/>
      <c r="S7" s="32" t="n"/>
      <c r="T7" s="55" t="n"/>
      <c r="U7" s="54">
        <f>'S45'!T7</f>
        <v/>
      </c>
      <c r="V7" s="53">
        <f>T7-U7</f>
        <v/>
      </c>
      <c r="W7" s="53">
        <f>N7-T7</f>
        <v/>
      </c>
      <c r="X7" s="34" t="n"/>
    </row>
    <row r="8" ht="22" customHeight="1">
      <c r="B8" s="10" t="n">
        <v>4</v>
      </c>
      <c r="C8" s="6" t="inlineStr">
        <is>
          <t>Sidi Kacem</t>
        </is>
      </c>
      <c r="D8" s="10" t="inlineStr">
        <is>
          <t>KHENICHET</t>
        </is>
      </c>
      <c r="E8" s="10" t="inlineStr">
        <is>
          <t>50-21</t>
        </is>
      </c>
      <c r="F8" s="10" t="inlineStr">
        <is>
          <t>Entretien et réparation des stations de pompage</t>
        </is>
      </c>
      <c r="G8" s="10" t="inlineStr">
        <is>
          <t>Prestation de maintenance des débitmètres et leurs équipements annexes installés au niveau des station de pompage</t>
        </is>
      </c>
      <c r="H8" s="10" t="inlineStr">
        <is>
          <t>Changement trois débitmètre Ø 600mm inondés de la station de pompage EST 2 et deux capteurs VEGASON 62</t>
        </is>
      </c>
      <c r="I8" s="11" t="n">
        <v>165500</v>
      </c>
      <c r="J8" s="12" t="inlineStr">
        <is>
          <t>U</t>
        </is>
      </c>
      <c r="K8" s="13" t="n">
        <v>3</v>
      </c>
      <c r="L8" s="51" t="n"/>
      <c r="M8" s="56">
        <f>'S45'!M8+L8</f>
        <v/>
      </c>
      <c r="N8" s="57">
        <f>IFERROR(M8/K8,0)</f>
        <v/>
      </c>
      <c r="O8" s="58">
        <f>'S45'!N8</f>
        <v/>
      </c>
      <c r="P8" s="57">
        <f>N8-O8</f>
        <v/>
      </c>
      <c r="Q8" s="32" t="n"/>
      <c r="R8" s="32" t="n"/>
      <c r="S8" s="32" t="n"/>
      <c r="T8" s="55" t="n"/>
      <c r="U8" s="58">
        <f>'S45'!T8</f>
        <v/>
      </c>
      <c r="V8" s="57">
        <f>T8-U8</f>
        <v/>
      </c>
      <c r="W8" s="57">
        <f>N8-T8</f>
        <v/>
      </c>
      <c r="X8" s="34" t="n"/>
    </row>
    <row r="9" ht="22" customHeight="1">
      <c r="B9" s="5" t="n">
        <v>5</v>
      </c>
      <c r="C9" s="6" t="inlineStr">
        <is>
          <t>Sidi Kacem</t>
        </is>
      </c>
      <c r="D9" s="5" t="inlineStr">
        <is>
          <t>BIR TALEB</t>
        </is>
      </c>
      <c r="E9" s="5" t="inlineStr">
        <is>
          <t>50-23</t>
        </is>
      </c>
      <c r="F9" s="5" t="inlineStr">
        <is>
          <t>Entretien et réparation du réseau d'assainissement et de drainage</t>
        </is>
      </c>
      <c r="G9" s="5" t="inlineStr">
        <is>
          <t>Travaux de curage des canaux en terre</t>
        </is>
      </c>
      <c r="H9" s="5" t="inlineStr">
        <is>
          <t>Curage du canal d'assainisement Tihli Aval</t>
        </is>
      </c>
      <c r="I9" s="7" t="n">
        <v>1000000</v>
      </c>
      <c r="J9" s="8" t="inlineStr">
        <is>
          <t>ml</t>
        </is>
      </c>
      <c r="K9" s="9" t="n">
        <v>500</v>
      </c>
      <c r="L9" s="51" t="n"/>
      <c r="M9" s="52">
        <f>'S45'!M9+L9</f>
        <v/>
      </c>
      <c r="N9" s="53">
        <f>IFERROR(M9/K9,0)</f>
        <v/>
      </c>
      <c r="O9" s="54">
        <f>'S45'!N9</f>
        <v/>
      </c>
      <c r="P9" s="53">
        <f>N9-O9</f>
        <v/>
      </c>
      <c r="Q9" s="32" t="n"/>
      <c r="R9" s="32" t="n"/>
      <c r="S9" s="32" t="n"/>
      <c r="T9" s="55" t="n"/>
      <c r="U9" s="54">
        <f>'S45'!T9</f>
        <v/>
      </c>
      <c r="V9" s="53">
        <f>T9-U9</f>
        <v/>
      </c>
      <c r="W9" s="53">
        <f>N9-T9</f>
        <v/>
      </c>
      <c r="X9" s="34" t="n"/>
    </row>
    <row r="10" ht="22" customHeight="1">
      <c r="B10" s="10" t="n">
        <v>6</v>
      </c>
      <c r="C10" s="6" t="inlineStr">
        <is>
          <t>Sidi Kacem</t>
        </is>
      </c>
      <c r="D10" s="10" t="inlineStr">
        <is>
          <t>BIR TALEB</t>
        </is>
      </c>
      <c r="E10" s="10" t="inlineStr">
        <is>
          <t>50-23</t>
        </is>
      </c>
      <c r="F10" s="10" t="inlineStr">
        <is>
          <t>Entretien et réparation du réseau d'assainissement et de drainage</t>
        </is>
      </c>
      <c r="G10" s="10" t="inlineStr"/>
      <c r="H10" s="10" t="inlineStr">
        <is>
          <t>Curage des collecteurs d'assainissement du secteur P11/1</t>
        </is>
      </c>
      <c r="I10" s="11" t="n">
        <v>846731</v>
      </c>
      <c r="J10" s="12" t="inlineStr">
        <is>
          <t>ml</t>
        </is>
      </c>
      <c r="K10" s="13" t="n">
        <v>423</v>
      </c>
      <c r="L10" s="51" t="n"/>
      <c r="M10" s="56">
        <f>'S45'!M10+L10</f>
        <v/>
      </c>
      <c r="N10" s="57">
        <f>IFERROR(M10/K10,0)</f>
        <v/>
      </c>
      <c r="O10" s="58">
        <f>'S45'!N10</f>
        <v/>
      </c>
      <c r="P10" s="57">
        <f>N10-O10</f>
        <v/>
      </c>
      <c r="Q10" s="32" t="n"/>
      <c r="R10" s="32" t="n"/>
      <c r="S10" s="32" t="n"/>
      <c r="T10" s="55" t="n"/>
      <c r="U10" s="58">
        <f>'S45'!T10</f>
        <v/>
      </c>
      <c r="V10" s="57">
        <f>T10-U10</f>
        <v/>
      </c>
      <c r="W10" s="57">
        <f>N10-T10</f>
        <v/>
      </c>
      <c r="X10" s="34" t="n"/>
    </row>
    <row r="11" ht="22" customHeight="1">
      <c r="B11" s="5" t="n">
        <v>7</v>
      </c>
      <c r="C11" s="6" t="inlineStr">
        <is>
          <t>Sidi Kacem</t>
        </is>
      </c>
      <c r="D11" s="5" t="inlineStr">
        <is>
          <t>BIR TALEB</t>
        </is>
      </c>
      <c r="E11" s="5" t="inlineStr">
        <is>
          <t>50-23</t>
        </is>
      </c>
      <c r="F11" s="5" t="inlineStr">
        <is>
          <t>Entretien et réparation du réseau d'assainissement et de drainage</t>
        </is>
      </c>
      <c r="G11" s="5" t="inlineStr">
        <is>
          <t>Curage des prises sur l’oued, bâche d’aspiration et bassin de régulation.</t>
        </is>
      </c>
      <c r="H11" s="5" t="inlineStr">
        <is>
          <t>Curage des prises sur l’oued de la station de pompage P11/1.</t>
        </is>
      </c>
      <c r="I11" s="7" t="n">
        <v>200000</v>
      </c>
      <c r="J11" s="8" t="inlineStr">
        <is>
          <t>ml</t>
        </is>
      </c>
      <c r="K11" s="9" t="n">
        <v>67</v>
      </c>
      <c r="L11" s="51" t="n"/>
      <c r="M11" s="52">
        <f>'S45'!M11+L11</f>
        <v/>
      </c>
      <c r="N11" s="53">
        <f>IFERROR(M11/K11,0)</f>
        <v/>
      </c>
      <c r="O11" s="54">
        <f>'S45'!N11</f>
        <v/>
      </c>
      <c r="P11" s="53">
        <f>N11-O11</f>
        <v/>
      </c>
      <c r="Q11" s="32" t="n"/>
      <c r="R11" s="32" t="n"/>
      <c r="S11" s="32" t="n"/>
      <c r="T11" s="55" t="n"/>
      <c r="U11" s="54">
        <f>'S45'!T11</f>
        <v/>
      </c>
      <c r="V11" s="53">
        <f>T11-U11</f>
        <v/>
      </c>
      <c r="W11" s="53">
        <f>N11-T11</f>
        <v/>
      </c>
      <c r="X11" s="34" t="n"/>
    </row>
    <row r="12" ht="22" customHeight="1">
      <c r="B12" s="10" t="n">
        <v>8</v>
      </c>
      <c r="C12" s="6" t="inlineStr">
        <is>
          <t>Sidi Kacem</t>
        </is>
      </c>
      <c r="D12" s="10" t="inlineStr">
        <is>
          <t>BIR TALEB</t>
        </is>
      </c>
      <c r="E12" s="10" t="inlineStr">
        <is>
          <t>50-21</t>
        </is>
      </c>
      <c r="F12" s="10" t="inlineStr">
        <is>
          <t>Entretien et réparation des stations de pompage</t>
        </is>
      </c>
      <c r="G12" s="10" t="inlineStr">
        <is>
          <t>Prestation de maintenance des débitmètres et leurs équipements annexes installés au niveau des station de pompage</t>
        </is>
      </c>
      <c r="H12" s="10" t="inlineStr">
        <is>
          <t>Changement trois débitmètre Ø 400mm inondés de la station de pompage P11/1</t>
        </is>
      </c>
      <c r="I12" s="11" t="n">
        <v>141900</v>
      </c>
      <c r="J12" s="12" t="inlineStr">
        <is>
          <t>U</t>
        </is>
      </c>
      <c r="K12" s="13" t="n">
        <v>3</v>
      </c>
      <c r="L12" s="51" t="n"/>
      <c r="M12" s="56">
        <f>'S45'!M12+L12</f>
        <v/>
      </c>
      <c r="N12" s="57">
        <f>IFERROR(M12/K12,0)</f>
        <v/>
      </c>
      <c r="O12" s="58">
        <f>'S45'!N12</f>
        <v/>
      </c>
      <c r="P12" s="57">
        <f>N12-O12</f>
        <v/>
      </c>
      <c r="Q12" s="32" t="n"/>
      <c r="R12" s="32" t="n"/>
      <c r="S12" s="32" t="n"/>
      <c r="T12" s="55" t="n"/>
      <c r="U12" s="58">
        <f>'S45'!T12</f>
        <v/>
      </c>
      <c r="V12" s="57">
        <f>T12-U12</f>
        <v/>
      </c>
      <c r="W12" s="57">
        <f>N12-T12</f>
        <v/>
      </c>
      <c r="X12" s="34" t="n"/>
    </row>
    <row r="13" ht="22" customHeight="1">
      <c r="B13" s="5" t="n">
        <v>9</v>
      </c>
      <c r="C13" s="6" t="inlineStr">
        <is>
          <t>Sidi Kacem</t>
        </is>
      </c>
      <c r="D13" s="5" t="inlineStr">
        <is>
          <t>BIR TALEB</t>
        </is>
      </c>
      <c r="E13" s="5" t="inlineStr">
        <is>
          <t>50-21</t>
        </is>
      </c>
      <c r="F13" s="5" t="inlineStr">
        <is>
          <t>Entretien et réparation des stations de pompage</t>
        </is>
      </c>
      <c r="G13" s="5" t="inlineStr">
        <is>
          <t>Prestations de maintenance et de réparation mécanique des pompes et des groupes motopompes submersibles des stations de pompage.</t>
        </is>
      </c>
      <c r="H13" s="5" t="inlineStr">
        <is>
          <t>Démontage et expertise des roues des  pompes principaux et pompes a vide de la station P11/1
Changement des roulements, tresses et organes d’effectués de la station P11/1</t>
        </is>
      </c>
      <c r="I13" s="7" t="n">
        <v>26700</v>
      </c>
      <c r="J13" s="8" t="inlineStr">
        <is>
          <t>U</t>
        </is>
      </c>
      <c r="K13" s="9" t="n">
        <v>1</v>
      </c>
      <c r="L13" s="51" t="n"/>
      <c r="M13" s="52">
        <f>'S45'!M13+L13</f>
        <v/>
      </c>
      <c r="N13" s="53">
        <f>IFERROR(M13/K13,0)</f>
        <v/>
      </c>
      <c r="O13" s="54">
        <f>'S45'!N13</f>
        <v/>
      </c>
      <c r="P13" s="53">
        <f>N13-O13</f>
        <v/>
      </c>
      <c r="Q13" s="32" t="n"/>
      <c r="R13" s="32" t="n"/>
      <c r="S13" s="32" t="n"/>
      <c r="T13" s="55" t="n"/>
      <c r="U13" s="54">
        <f>'S45'!T13</f>
        <v/>
      </c>
      <c r="V13" s="53">
        <f>T13-U13</f>
        <v/>
      </c>
      <c r="W13" s="53">
        <f>N13-T13</f>
        <v/>
      </c>
      <c r="X13" s="34" t="n"/>
    </row>
    <row r="14" ht="22" customHeight="1">
      <c r="B14" s="10" t="n">
        <v>10</v>
      </c>
      <c r="C14" s="6" t="inlineStr">
        <is>
          <t>Sidi Kacem</t>
        </is>
      </c>
      <c r="D14" s="10" t="inlineStr">
        <is>
          <t>BIR TALEB</t>
        </is>
      </c>
      <c r="E14" s="10" t="inlineStr">
        <is>
          <t>50-21</t>
        </is>
      </c>
      <c r="F14" s="10" t="inlineStr">
        <is>
          <t>Entretien et réparation des stations de pompage</t>
        </is>
      </c>
      <c r="G14" s="10" t="inlineStr">
        <is>
          <t>Stabilisation Berge oued</t>
        </is>
      </c>
      <c r="H14" s="10" t="inlineStr">
        <is>
          <t>Pose de  gabions et recouvrement du talus par matelas Reno des stations de pompage P11/1.</t>
        </is>
      </c>
      <c r="I14" s="11" t="n">
        <v>480000</v>
      </c>
      <c r="J14" s="12" t="inlineStr">
        <is>
          <t>m³</t>
        </is>
      </c>
      <c r="K14" s="13" t="n">
        <v>320</v>
      </c>
      <c r="L14" s="51" t="n"/>
      <c r="M14" s="56">
        <f>'S45'!M14+L14</f>
        <v/>
      </c>
      <c r="N14" s="57">
        <f>IFERROR(M14/K14,0)</f>
        <v/>
      </c>
      <c r="O14" s="58">
        <f>'S45'!N14</f>
        <v/>
      </c>
      <c r="P14" s="57">
        <f>N14-O14</f>
        <v/>
      </c>
      <c r="Q14" s="32" t="n"/>
      <c r="R14" s="32" t="n"/>
      <c r="S14" s="32" t="n"/>
      <c r="T14" s="55" t="n"/>
      <c r="U14" s="58">
        <f>'S45'!T14</f>
        <v/>
      </c>
      <c r="V14" s="57">
        <f>T14-U14</f>
        <v/>
      </c>
      <c r="W14" s="57">
        <f>N14-T14</f>
        <v/>
      </c>
      <c r="X14" s="34" t="n"/>
    </row>
    <row r="15" ht="22" customHeight="1">
      <c r="B15" s="5" t="n">
        <v>11</v>
      </c>
      <c r="C15" s="6" t="inlineStr">
        <is>
          <t>Sidi Kacem</t>
        </is>
      </c>
      <c r="D15" s="5" t="inlineStr">
        <is>
          <t>BIR TALEB</t>
        </is>
      </c>
      <c r="E15" s="5" t="inlineStr">
        <is>
          <t>50-21</t>
        </is>
      </c>
      <c r="F15" s="5" t="inlineStr">
        <is>
          <t>Entretien et réparation des stations de pompage</t>
        </is>
      </c>
      <c r="G15" s="5" t="inlineStr">
        <is>
          <t>Génie civile des locaux des stations de pompage.</t>
        </is>
      </c>
      <c r="H15" s="5" t="inlineStr">
        <is>
          <t>Expertise d’état et d’étanchéité des locaux pompes.
Renforcement d’étanchéité des locaux pompe sous niveau des oueds des stations de pompage P11/1.
Entretien des supports en béton des conduites d’aspiration.</t>
        </is>
      </c>
      <c r="I15" s="7" t="n">
        <v>300000</v>
      </c>
      <c r="J15" s="8" t="inlineStr">
        <is>
          <t>U</t>
        </is>
      </c>
      <c r="K15" s="9" t="n">
        <v>1</v>
      </c>
      <c r="L15" s="51" t="n"/>
      <c r="M15" s="52">
        <f>'S45'!M15+L15</f>
        <v/>
      </c>
      <c r="N15" s="53">
        <f>IFERROR(M15/K15,0)</f>
        <v/>
      </c>
      <c r="O15" s="54">
        <f>'S45'!N15</f>
        <v/>
      </c>
      <c r="P15" s="53">
        <f>N15-O15</f>
        <v/>
      </c>
      <c r="Q15" s="32" t="n"/>
      <c r="R15" s="32" t="n"/>
      <c r="S15" s="32" t="n"/>
      <c r="T15" s="55" t="n"/>
      <c r="U15" s="54">
        <f>'S45'!T15</f>
        <v/>
      </c>
      <c r="V15" s="53">
        <f>T15-U15</f>
        <v/>
      </c>
      <c r="W15" s="53">
        <f>N15-T15</f>
        <v/>
      </c>
      <c r="X15" s="34" t="n"/>
    </row>
    <row r="16" ht="22" customHeight="1">
      <c r="B16" s="10" t="n">
        <v>12</v>
      </c>
      <c r="C16" s="6" t="inlineStr">
        <is>
          <t>Sidi Kacem</t>
        </is>
      </c>
      <c r="D16" s="10" t="inlineStr">
        <is>
          <t>CHEBANAT</t>
        </is>
      </c>
      <c r="E16" s="10" t="inlineStr">
        <is>
          <t>50-23</t>
        </is>
      </c>
      <c r="F16" s="10" t="inlineStr">
        <is>
          <t>Entretien et réparation du réseau d'assainissement et de drainage</t>
        </is>
      </c>
      <c r="G16" s="10" t="inlineStr">
        <is>
          <t>Travaux de curage des canaux en terre</t>
        </is>
      </c>
      <c r="H16" s="10" t="inlineStr">
        <is>
          <t>Curage des collecteurs d'assainissement des secteur SH5 et SH6.</t>
        </is>
      </c>
      <c r="I16" s="11" t="n">
        <v>1000000</v>
      </c>
      <c r="J16" s="12" t="inlineStr">
        <is>
          <t>ml</t>
        </is>
      </c>
      <c r="K16" s="13" t="n">
        <v>500</v>
      </c>
      <c r="L16" s="51" t="n"/>
      <c r="M16" s="56">
        <f>'S45'!M16+L16</f>
        <v/>
      </c>
      <c r="N16" s="57">
        <f>IFERROR(M16/K16,0)</f>
        <v/>
      </c>
      <c r="O16" s="58">
        <f>'S45'!N16</f>
        <v/>
      </c>
      <c r="P16" s="57">
        <f>N16-O16</f>
        <v/>
      </c>
      <c r="Q16" s="32" t="n"/>
      <c r="R16" s="32" t="n"/>
      <c r="S16" s="32" t="n"/>
      <c r="T16" s="55" t="n"/>
      <c r="U16" s="58">
        <f>'S45'!T16</f>
        <v/>
      </c>
      <c r="V16" s="57">
        <f>T16-U16</f>
        <v/>
      </c>
      <c r="W16" s="57">
        <f>N16-T16</f>
        <v/>
      </c>
      <c r="X16" s="34" t="n"/>
    </row>
    <row r="17" ht="22" customHeight="1">
      <c r="B17" s="5" t="n">
        <v>13</v>
      </c>
      <c r="C17" s="6" t="inlineStr">
        <is>
          <t>Sidi Kacem</t>
        </is>
      </c>
      <c r="D17" s="5" t="inlineStr">
        <is>
          <t>CHEBANAT</t>
        </is>
      </c>
      <c r="E17" s="5" t="inlineStr">
        <is>
          <t>50-23</t>
        </is>
      </c>
      <c r="F17" s="5" t="inlineStr">
        <is>
          <t>Entretien et réparation du réseau d'assainissement et de drainage</t>
        </is>
      </c>
      <c r="G17" s="5" t="inlineStr">
        <is>
          <t>Travaux de curage des canaux révetus</t>
        </is>
      </c>
      <c r="H17" s="5" t="inlineStr">
        <is>
          <t>Curage du canal principal d'irrigation beht partie aval 1.</t>
        </is>
      </c>
      <c r="I17" s="7" t="n">
        <v>739200</v>
      </c>
      <c r="J17" s="8" t="inlineStr">
        <is>
          <t>ml</t>
        </is>
      </c>
      <c r="K17" s="9" t="n">
        <v>370</v>
      </c>
      <c r="L17" s="51" t="n"/>
      <c r="M17" s="52">
        <f>'S45'!M17+L17</f>
        <v/>
      </c>
      <c r="N17" s="53">
        <f>IFERROR(M17/K17,0)</f>
        <v/>
      </c>
      <c r="O17" s="54">
        <f>'S45'!N17</f>
        <v/>
      </c>
      <c r="P17" s="53">
        <f>N17-O17</f>
        <v/>
      </c>
      <c r="Q17" s="32" t="n"/>
      <c r="R17" s="32" t="n"/>
      <c r="S17" s="32" t="n"/>
      <c r="T17" s="55" t="n"/>
      <c r="U17" s="54">
        <f>'S45'!T17</f>
        <v/>
      </c>
      <c r="V17" s="53">
        <f>T17-U17</f>
        <v/>
      </c>
      <c r="W17" s="53">
        <f>N17-T17</f>
        <v/>
      </c>
      <c r="X17" s="34" t="n"/>
    </row>
    <row r="18" ht="22" customHeight="1">
      <c r="B18" s="10" t="n">
        <v>14</v>
      </c>
      <c r="C18" s="6" t="inlineStr">
        <is>
          <t>Sidi Kacem</t>
        </is>
      </c>
      <c r="D18" s="10" t="inlineStr">
        <is>
          <t>ZIRARA</t>
        </is>
      </c>
      <c r="E18" s="10" t="inlineStr">
        <is>
          <t>50-23</t>
        </is>
      </c>
      <c r="F18" s="10" t="inlineStr">
        <is>
          <t>Entretien et réparation du réseau d'assainissement et de drainage</t>
        </is>
      </c>
      <c r="G18" s="10" t="inlineStr">
        <is>
          <t>Travaux de curage des canaux révetus</t>
        </is>
      </c>
      <c r="H18" s="10" t="inlineStr">
        <is>
          <t>Curage du canal principal d'irrigation beht partie aval 2.</t>
        </is>
      </c>
      <c r="I18" s="11" t="n">
        <v>1276800</v>
      </c>
      <c r="J18" s="12" t="inlineStr">
        <is>
          <t>ml</t>
        </is>
      </c>
      <c r="K18" s="13" t="n">
        <v>638</v>
      </c>
      <c r="L18" s="51" t="n"/>
      <c r="M18" s="56">
        <f>'S45'!M18+L18</f>
        <v/>
      </c>
      <c r="N18" s="57">
        <f>IFERROR(M18/K18,0)</f>
        <v/>
      </c>
      <c r="O18" s="58">
        <f>'S45'!N18</f>
        <v/>
      </c>
      <c r="P18" s="57">
        <f>N18-O18</f>
        <v/>
      </c>
      <c r="Q18" s="32" t="n"/>
      <c r="R18" s="32" t="n"/>
      <c r="S18" s="32" t="n"/>
      <c r="T18" s="55" t="n"/>
      <c r="U18" s="58">
        <f>'S45'!T18</f>
        <v/>
      </c>
      <c r="V18" s="57">
        <f>T18-U18</f>
        <v/>
      </c>
      <c r="W18" s="57">
        <f>N18-T18</f>
        <v/>
      </c>
      <c r="X18" s="34" t="n"/>
    </row>
    <row r="19" ht="22" customHeight="1">
      <c r="B19" s="5" t="n">
        <v>15</v>
      </c>
      <c r="C19" s="6" t="inlineStr">
        <is>
          <t>Sidi Kacem</t>
        </is>
      </c>
      <c r="D19" s="5" t="inlineStr">
        <is>
          <t>DAR LAASLOUJI</t>
        </is>
      </c>
      <c r="E19" s="5" t="inlineStr">
        <is>
          <t>50-23</t>
        </is>
      </c>
      <c r="F19" s="5" t="inlineStr">
        <is>
          <t>Entretien et réparation du réseau d'assainissement et de drainage</t>
        </is>
      </c>
      <c r="G19" s="5" t="inlineStr">
        <is>
          <t>Travaux de curage des canaux en terre</t>
        </is>
      </c>
      <c r="H19" s="5" t="inlineStr">
        <is>
          <t>Curage des collecteurs d'assainissement des secteurs P8-1 et P8-2</t>
        </is>
      </c>
      <c r="I19" s="7" t="n">
        <v>5796360</v>
      </c>
      <c r="J19" s="8" t="inlineStr">
        <is>
          <t>ml</t>
        </is>
      </c>
      <c r="K19" s="9" t="n">
        <v>2898</v>
      </c>
      <c r="L19" s="51" t="n"/>
      <c r="M19" s="52">
        <f>'S45'!M19+L19</f>
        <v/>
      </c>
      <c r="N19" s="53">
        <f>IFERROR(M19/K19,0)</f>
        <v/>
      </c>
      <c r="O19" s="54">
        <f>'S45'!N19</f>
        <v/>
      </c>
      <c r="P19" s="53">
        <f>N19-O19</f>
        <v/>
      </c>
      <c r="Q19" s="32" t="n"/>
      <c r="R19" s="32" t="n"/>
      <c r="S19" s="32" t="n"/>
      <c r="T19" s="55" t="n"/>
      <c r="U19" s="54">
        <f>'S45'!T19</f>
        <v/>
      </c>
      <c r="V19" s="53">
        <f>T19-U19</f>
        <v/>
      </c>
      <c r="W19" s="53">
        <f>N19-T19</f>
        <v/>
      </c>
      <c r="X19" s="34" t="n"/>
    </row>
    <row r="20" ht="22" customHeight="1">
      <c r="B20" s="10" t="n">
        <v>16</v>
      </c>
      <c r="C20" s="6" t="inlineStr">
        <is>
          <t>Sidi Kacem</t>
        </is>
      </c>
      <c r="D20" s="10" t="inlineStr">
        <is>
          <t>DAR LAASLOUJI</t>
        </is>
      </c>
      <c r="E20" s="10" t="inlineStr">
        <is>
          <t>40-21</t>
        </is>
      </c>
      <c r="F20" s="10" t="inlineStr">
        <is>
          <t>Travaux de pistes</t>
        </is>
      </c>
      <c r="G20" s="10" t="inlineStr">
        <is>
          <t>Entretien des pistes agricoles</t>
        </is>
      </c>
      <c r="H20" s="10" t="inlineStr">
        <is>
          <t>Entretien des pistes agricoles</t>
        </is>
      </c>
      <c r="I20" s="11" t="n">
        <v>340000</v>
      </c>
      <c r="J20" s="12" t="inlineStr">
        <is>
          <t>km</t>
        </is>
      </c>
      <c r="K20" s="13" t="n">
        <v>1</v>
      </c>
      <c r="L20" s="51" t="n"/>
      <c r="M20" s="56">
        <f>'S45'!M20+L20</f>
        <v/>
      </c>
      <c r="N20" s="57">
        <f>IFERROR(M20/K20,0)</f>
        <v/>
      </c>
      <c r="O20" s="58">
        <f>'S45'!N20</f>
        <v/>
      </c>
      <c r="P20" s="57">
        <f>N20-O20</f>
        <v/>
      </c>
      <c r="Q20" s="32" t="n"/>
      <c r="R20" s="32" t="n"/>
      <c r="S20" s="32" t="n"/>
      <c r="T20" s="55" t="n"/>
      <c r="U20" s="58">
        <f>'S45'!T20</f>
        <v/>
      </c>
      <c r="V20" s="57">
        <f>T20-U20</f>
        <v/>
      </c>
      <c r="W20" s="57">
        <f>N20-T20</f>
        <v/>
      </c>
      <c r="X20" s="34" t="n"/>
    </row>
    <row r="21" ht="22" customHeight="1">
      <c r="B21" s="5" t="n">
        <v>17</v>
      </c>
      <c r="C21" s="6" t="inlineStr">
        <is>
          <t>Sidi Kacem</t>
        </is>
      </c>
      <c r="D21" s="5" t="inlineStr">
        <is>
          <t>HOUAFATE</t>
        </is>
      </c>
      <c r="E21" s="5" t="inlineStr">
        <is>
          <t>20-11</t>
        </is>
      </c>
      <c r="F21" s="5" t="inlineStr">
        <is>
          <t>Travaux de réhabilitation des équipements</t>
        </is>
      </c>
      <c r="G21" s="5" t="inlineStr">
        <is>
          <t>Travaux de réhabilitation des canaux portés d'irrigation</t>
        </is>
      </c>
      <c r="H21" s="5" t="inlineStr">
        <is>
          <t>Fourniture et de pose de canaux porté et accessoires du réseau S3 du secteur S13</t>
        </is>
      </c>
      <c r="I21" s="7" t="n">
        <v>397934</v>
      </c>
      <c r="J21" s="8" t="inlineStr">
        <is>
          <t>ml</t>
        </is>
      </c>
      <c r="K21" s="9" t="n">
        <v>133</v>
      </c>
      <c r="L21" s="51" t="n"/>
      <c r="M21" s="52">
        <f>'S45'!M21+L21</f>
        <v/>
      </c>
      <c r="N21" s="53">
        <f>IFERROR(M21/K21,0)</f>
        <v/>
      </c>
      <c r="O21" s="54">
        <f>'S45'!N21</f>
        <v/>
      </c>
      <c r="P21" s="53">
        <f>N21-O21</f>
        <v/>
      </c>
      <c r="Q21" s="32" t="n"/>
      <c r="R21" s="32" t="n"/>
      <c r="S21" s="32" t="n"/>
      <c r="T21" s="55" t="n"/>
      <c r="U21" s="54">
        <f>'S45'!T21</f>
        <v/>
      </c>
      <c r="V21" s="53">
        <f>T21-U21</f>
        <v/>
      </c>
      <c r="W21" s="53">
        <f>N21-T21</f>
        <v/>
      </c>
      <c r="X21" s="34" t="n"/>
    </row>
    <row r="22" ht="22" customHeight="1">
      <c r="B22" s="10" t="n">
        <v>18</v>
      </c>
      <c r="C22" s="6" t="inlineStr">
        <is>
          <t>Sidi Kacem</t>
        </is>
      </c>
      <c r="D22" s="10" t="inlineStr">
        <is>
          <t>HOUAFATE</t>
        </is>
      </c>
      <c r="E22" s="10" t="inlineStr">
        <is>
          <t>20-11</t>
        </is>
      </c>
      <c r="F22" s="10" t="inlineStr">
        <is>
          <t>Travaux de réhabilitation des équipements</t>
        </is>
      </c>
      <c r="G22" s="10" t="inlineStr"/>
      <c r="H22" s="10" t="inlineStr">
        <is>
          <t>Fourniture et de pose de canaux porté et accessoires du réseau T2S1 du secteur S13</t>
        </is>
      </c>
      <c r="I22" s="11" t="n">
        <v>207575</v>
      </c>
      <c r="J22" s="12" t="inlineStr">
        <is>
          <t>ml</t>
        </is>
      </c>
      <c r="K22" s="13" t="n">
        <v>69</v>
      </c>
      <c r="L22" s="51" t="n"/>
      <c r="M22" s="56">
        <f>'S45'!M22+L22</f>
        <v/>
      </c>
      <c r="N22" s="57">
        <f>IFERROR(M22/K22,0)</f>
        <v/>
      </c>
      <c r="O22" s="58">
        <f>'S45'!N22</f>
        <v/>
      </c>
      <c r="P22" s="57">
        <f>N22-O22</f>
        <v/>
      </c>
      <c r="Q22" s="32" t="n"/>
      <c r="R22" s="32" t="n"/>
      <c r="S22" s="32" t="n"/>
      <c r="T22" s="55" t="n"/>
      <c r="U22" s="58">
        <f>'S45'!T22</f>
        <v/>
      </c>
      <c r="V22" s="57">
        <f>T22-U22</f>
        <v/>
      </c>
      <c r="W22" s="57">
        <f>N22-T22</f>
        <v/>
      </c>
      <c r="X22" s="34" t="n"/>
    </row>
    <row r="23" ht="22" customHeight="1">
      <c r="B23" s="5" t="n">
        <v>19</v>
      </c>
      <c r="C23" s="6" t="inlineStr">
        <is>
          <t>Sidi Kacem</t>
        </is>
      </c>
      <c r="D23" s="5" t="inlineStr">
        <is>
          <t>HOUAFATE</t>
        </is>
      </c>
      <c r="E23" s="5" t="inlineStr">
        <is>
          <t>40-21</t>
        </is>
      </c>
      <c r="F23" s="5" t="inlineStr">
        <is>
          <t>Travaux de pistes</t>
        </is>
      </c>
      <c r="G23" s="5" t="inlineStr">
        <is>
          <t>Entretien des pistes agricoles</t>
        </is>
      </c>
      <c r="H23" s="5" t="inlineStr">
        <is>
          <t>Entretien des pistes agricoles</t>
        </is>
      </c>
      <c r="I23" s="7" t="n">
        <v>2200000</v>
      </c>
      <c r="J23" s="8" t="inlineStr">
        <is>
          <t>km</t>
        </is>
      </c>
      <c r="K23" s="9" t="n">
        <v>4</v>
      </c>
      <c r="L23" s="51" t="n"/>
      <c r="M23" s="52">
        <f>'S45'!M23+L23</f>
        <v/>
      </c>
      <c r="N23" s="53">
        <f>IFERROR(M23/K23,0)</f>
        <v/>
      </c>
      <c r="O23" s="54">
        <f>'S45'!N23</f>
        <v/>
      </c>
      <c r="P23" s="53">
        <f>N23-O23</f>
        <v/>
      </c>
      <c r="Q23" s="32" t="n"/>
      <c r="R23" s="32" t="n"/>
      <c r="S23" s="32" t="n"/>
      <c r="T23" s="55" t="n"/>
      <c r="U23" s="54">
        <f>'S45'!T23</f>
        <v/>
      </c>
      <c r="V23" s="53">
        <f>T23-U23</f>
        <v/>
      </c>
      <c r="W23" s="53">
        <f>N23-T23</f>
        <v/>
      </c>
      <c r="X23" s="34" t="n"/>
    </row>
    <row r="24" ht="22" customHeight="1">
      <c r="B24" s="10" t="n">
        <v>20</v>
      </c>
      <c r="C24" s="6" t="inlineStr">
        <is>
          <t>Sidi Kacem</t>
        </is>
      </c>
      <c r="D24" s="10" t="inlineStr">
        <is>
          <t>HOUAFATE</t>
        </is>
      </c>
      <c r="E24" s="10" t="inlineStr">
        <is>
          <t>50-23</t>
        </is>
      </c>
      <c r="F24" s="10" t="inlineStr">
        <is>
          <t>Entretien et réparation du réseau d'assainissement et de drainage</t>
        </is>
      </c>
      <c r="G24" s="10" t="inlineStr">
        <is>
          <t>Curage des prises sur l’oued, bâche d’aspiration et bassin de régulation.</t>
        </is>
      </c>
      <c r="H24" s="10" t="inlineStr">
        <is>
          <t>Curage des prises sur l’oued de la station de pompage S17 et S13.
Nettoyage des grilles de préfiltration des boues colmaté de la station de pompage S17 et S13.
Curage de la bâche d’aspiration de la station S17 et S13.</t>
        </is>
      </c>
      <c r="I24" s="11" t="n">
        <v>300000</v>
      </c>
      <c r="J24" s="12" t="inlineStr">
        <is>
          <t>ml</t>
        </is>
      </c>
      <c r="K24" s="13" t="n">
        <v>100</v>
      </c>
      <c r="L24" s="51" t="n"/>
      <c r="M24" s="56">
        <f>'S45'!M24+L24</f>
        <v/>
      </c>
      <c r="N24" s="57">
        <f>IFERROR(M24/K24,0)</f>
        <v/>
      </c>
      <c r="O24" s="58">
        <f>'S45'!N24</f>
        <v/>
      </c>
      <c r="P24" s="57">
        <f>N24-O24</f>
        <v/>
      </c>
      <c r="Q24" s="32" t="n"/>
      <c r="R24" s="32" t="n"/>
      <c r="S24" s="32" t="n"/>
      <c r="T24" s="55" t="n"/>
      <c r="U24" s="58">
        <f>'S45'!T24</f>
        <v/>
      </c>
      <c r="V24" s="57">
        <f>T24-U24</f>
        <v/>
      </c>
      <c r="W24" s="57">
        <f>N24-T24</f>
        <v/>
      </c>
      <c r="X24" s="34" t="n"/>
    </row>
    <row r="25" ht="22" customHeight="1">
      <c r="B25" s="5" t="n">
        <v>21</v>
      </c>
      <c r="C25" s="6" t="inlineStr">
        <is>
          <t>Sidi Kacem</t>
        </is>
      </c>
      <c r="D25" s="5" t="inlineStr">
        <is>
          <t>HOUAFATE</t>
        </is>
      </c>
      <c r="E25" s="5" t="inlineStr">
        <is>
          <t>50-21</t>
        </is>
      </c>
      <c r="F25" s="5" t="inlineStr">
        <is>
          <t>Entretien et réparation des stations de pompage</t>
        </is>
      </c>
      <c r="G25" s="5" t="inlineStr">
        <is>
          <t>Prestation de maintenance des débitmètres et leurs équipements annexes installés au niveau des station de pompage</t>
        </is>
      </c>
      <c r="H25" s="5" t="inlineStr">
        <is>
          <t>Changement trois débitmètre Ø 600mm inondés de la station de pompage S13.</t>
        </is>
      </c>
      <c r="I25" s="7" t="n">
        <v>250000</v>
      </c>
      <c r="J25" s="8" t="inlineStr">
        <is>
          <t>U</t>
        </is>
      </c>
      <c r="K25" s="9" t="n">
        <v>3</v>
      </c>
      <c r="L25" s="51" t="n"/>
      <c r="M25" s="52">
        <f>'S45'!M25+L25</f>
        <v/>
      </c>
      <c r="N25" s="53">
        <f>IFERROR(M25/K25,0)</f>
        <v/>
      </c>
      <c r="O25" s="54">
        <f>'S45'!N25</f>
        <v/>
      </c>
      <c r="P25" s="53">
        <f>N25-O25</f>
        <v/>
      </c>
      <c r="Q25" s="32" t="n"/>
      <c r="R25" s="32" t="n"/>
      <c r="S25" s="32" t="n"/>
      <c r="T25" s="55" t="n"/>
      <c r="U25" s="54">
        <f>'S45'!T25</f>
        <v/>
      </c>
      <c r="V25" s="53">
        <f>T25-U25</f>
        <v/>
      </c>
      <c r="W25" s="53">
        <f>N25-T25</f>
        <v/>
      </c>
      <c r="X25" s="34" t="n"/>
    </row>
    <row r="26" ht="22" customHeight="1">
      <c r="B26" s="10" t="n">
        <v>22</v>
      </c>
      <c r="C26" s="6" t="inlineStr">
        <is>
          <t>Sidi Kacem</t>
        </is>
      </c>
      <c r="D26" s="10" t="inlineStr">
        <is>
          <t>HOUAFATE</t>
        </is>
      </c>
      <c r="E26" s="10" t="inlineStr">
        <is>
          <t>50-21</t>
        </is>
      </c>
      <c r="F26" s="10" t="inlineStr">
        <is>
          <t>Entretien et réparation des stations de pompage</t>
        </is>
      </c>
      <c r="G26" s="10" t="inlineStr">
        <is>
          <t>Prestations de maintenance des moteurs électriques des stations de pompage.</t>
        </is>
      </c>
      <c r="H26" s="10" t="inlineStr">
        <is>
          <t>Révision des trois moteurs électriques 200 KW principaux de la station S13. 
Révision des deux moteurs électriques 5,5 KW groupes vide de la station S13.</t>
        </is>
      </c>
      <c r="I26" s="11" t="n">
        <v>25000</v>
      </c>
      <c r="J26" s="12" t="inlineStr">
        <is>
          <t>U</t>
        </is>
      </c>
      <c r="K26" s="13" t="n">
        <v>3</v>
      </c>
      <c r="L26" s="51" t="n"/>
      <c r="M26" s="56">
        <f>'S45'!M26+L26</f>
        <v/>
      </c>
      <c r="N26" s="57">
        <f>IFERROR(M26/K26,0)</f>
        <v/>
      </c>
      <c r="O26" s="58">
        <f>'S45'!N26</f>
        <v/>
      </c>
      <c r="P26" s="57">
        <f>N26-O26</f>
        <v/>
      </c>
      <c r="Q26" s="32" t="n"/>
      <c r="R26" s="32" t="n"/>
      <c r="S26" s="32" t="n"/>
      <c r="T26" s="55" t="n"/>
      <c r="U26" s="58">
        <f>'S45'!T26</f>
        <v/>
      </c>
      <c r="V26" s="57">
        <f>T26-U26</f>
        <v/>
      </c>
      <c r="W26" s="57">
        <f>N26-T26</f>
        <v/>
      </c>
      <c r="X26" s="34" t="n"/>
    </row>
    <row r="27" ht="22" customHeight="1">
      <c r="B27" s="5" t="n">
        <v>23</v>
      </c>
      <c r="C27" s="6" t="inlineStr">
        <is>
          <t>Sidi Kacem</t>
        </is>
      </c>
      <c r="D27" s="5" t="inlineStr">
        <is>
          <t>HOUAFATE</t>
        </is>
      </c>
      <c r="E27" s="5" t="inlineStr">
        <is>
          <t>50-21</t>
        </is>
      </c>
      <c r="F27" s="5" t="inlineStr">
        <is>
          <t>Entretien et réparation des stations de pompage</t>
        </is>
      </c>
      <c r="G27" s="5" t="inlineStr">
        <is>
          <t>Prestations de maintenance et de réparation mécanique des pompes et des groupes motopompes submersibles des stations de pompage.</t>
        </is>
      </c>
      <c r="H27" s="5" t="inlineStr">
        <is>
          <t>Démontage et expertise des roues des  pompes principaux et pompes a vide de la station S13.
Changement des roulements, tresses et organes d’effectués de la station S13.</t>
        </is>
      </c>
      <c r="I27" s="7" t="n">
        <v>38000</v>
      </c>
      <c r="J27" s="8" t="inlineStr">
        <is>
          <t>U</t>
        </is>
      </c>
      <c r="K27" s="9" t="n">
        <v>1</v>
      </c>
      <c r="L27" s="51" t="n"/>
      <c r="M27" s="52">
        <f>'S45'!M27+L27</f>
        <v/>
      </c>
      <c r="N27" s="53">
        <f>IFERROR(M27/K27,0)</f>
        <v/>
      </c>
      <c r="O27" s="54">
        <f>'S45'!N27</f>
        <v/>
      </c>
      <c r="P27" s="53">
        <f>N27-O27</f>
        <v/>
      </c>
      <c r="Q27" s="32" t="n"/>
      <c r="R27" s="32" t="n"/>
      <c r="S27" s="32" t="n"/>
      <c r="T27" s="55" t="n"/>
      <c r="U27" s="54">
        <f>'S45'!T27</f>
        <v/>
      </c>
      <c r="V27" s="53">
        <f>T27-U27</f>
        <v/>
      </c>
      <c r="W27" s="53">
        <f>N27-T27</f>
        <v/>
      </c>
      <c r="X27" s="34" t="n"/>
    </row>
    <row r="28" ht="22" customHeight="1">
      <c r="B28" s="10" t="n">
        <v>24</v>
      </c>
      <c r="C28" s="6" t="inlineStr">
        <is>
          <t>Sidi Kacem</t>
        </is>
      </c>
      <c r="D28" s="10" t="inlineStr">
        <is>
          <t>HOUAFATE</t>
        </is>
      </c>
      <c r="E28" s="10" t="inlineStr">
        <is>
          <t>50-21</t>
        </is>
      </c>
      <c r="F28" s="10" t="inlineStr">
        <is>
          <t>Entretien et réparation des stations de pompage</t>
        </is>
      </c>
      <c r="G28" s="10" t="inlineStr">
        <is>
          <t>Stabilisation Berge oued</t>
        </is>
      </c>
      <c r="H28" s="10" t="inlineStr">
        <is>
          <t>Pose de  gabions et recouvrement du talus par matelas Reno des stations de pompage S13.</t>
        </is>
      </c>
      <c r="I28" s="11" t="n">
        <v>10560000</v>
      </c>
      <c r="J28" s="12" t="inlineStr">
        <is>
          <t>m³</t>
        </is>
      </c>
      <c r="K28" s="13" t="n">
        <v>7040</v>
      </c>
      <c r="L28" s="51" t="n"/>
      <c r="M28" s="56">
        <f>'S45'!M28+L28</f>
        <v/>
      </c>
      <c r="N28" s="57">
        <f>IFERROR(M28/K28,0)</f>
        <v/>
      </c>
      <c r="O28" s="58">
        <f>'S45'!N28</f>
        <v/>
      </c>
      <c r="P28" s="57">
        <f>N28-O28</f>
        <v/>
      </c>
      <c r="Q28" s="32" t="n"/>
      <c r="R28" s="32" t="n"/>
      <c r="S28" s="32" t="n"/>
      <c r="T28" s="55" t="n"/>
      <c r="U28" s="58">
        <f>'S45'!T28</f>
        <v/>
      </c>
      <c r="V28" s="57">
        <f>T28-U28</f>
        <v/>
      </c>
      <c r="W28" s="57">
        <f>N28-T28</f>
        <v/>
      </c>
      <c r="X28" s="34" t="n"/>
    </row>
    <row r="29" ht="22" customHeight="1">
      <c r="B29" s="5" t="n">
        <v>25</v>
      </c>
      <c r="C29" s="6" t="inlineStr">
        <is>
          <t>Sidi Kacem</t>
        </is>
      </c>
      <c r="D29" s="5" t="inlineStr">
        <is>
          <t>HOUAFATE</t>
        </is>
      </c>
      <c r="E29" s="5" t="inlineStr">
        <is>
          <t>50-21</t>
        </is>
      </c>
      <c r="F29" s="5" t="inlineStr">
        <is>
          <t>Entretien et réparation des stations de pompage</t>
        </is>
      </c>
      <c r="G29" s="5" t="inlineStr">
        <is>
          <t>Mur clôture des stations de pompage.</t>
        </is>
      </c>
      <c r="H29" s="5" t="inlineStr">
        <is>
          <t>Stabilisation du sol et reconstruction des murs clôture (270m) cote oued de la station S17.</t>
        </is>
      </c>
      <c r="I29" s="7" t="n">
        <v>144000</v>
      </c>
      <c r="J29" s="8" t="inlineStr">
        <is>
          <t>ml</t>
        </is>
      </c>
      <c r="K29" s="9" t="n">
        <v>270</v>
      </c>
      <c r="L29" s="51" t="n"/>
      <c r="M29" s="52">
        <f>'S45'!M29+L29</f>
        <v/>
      </c>
      <c r="N29" s="53">
        <f>IFERROR(M29/K29,0)</f>
        <v/>
      </c>
      <c r="O29" s="54">
        <f>'S45'!N29</f>
        <v/>
      </c>
      <c r="P29" s="53">
        <f>N29-O29</f>
        <v/>
      </c>
      <c r="Q29" s="32" t="n"/>
      <c r="R29" s="32" t="n"/>
      <c r="S29" s="32" t="n"/>
      <c r="T29" s="55" t="n"/>
      <c r="U29" s="54">
        <f>'S45'!T29</f>
        <v/>
      </c>
      <c r="V29" s="53">
        <f>T29-U29</f>
        <v/>
      </c>
      <c r="W29" s="53">
        <f>N29-T29</f>
        <v/>
      </c>
      <c r="X29" s="34" t="n"/>
    </row>
    <row r="30" ht="22" customHeight="1">
      <c r="B30" s="10" t="n">
        <v>26</v>
      </c>
      <c r="C30" s="6" t="inlineStr">
        <is>
          <t>Sidi Kacem</t>
        </is>
      </c>
      <c r="D30" s="10" t="inlineStr">
        <is>
          <t>HOUAFATE</t>
        </is>
      </c>
      <c r="E30" s="10" t="inlineStr">
        <is>
          <t>50-21</t>
        </is>
      </c>
      <c r="F30" s="10" t="inlineStr">
        <is>
          <t>Entretien et réparation des stations de pompage</t>
        </is>
      </c>
      <c r="G30" s="10" t="inlineStr">
        <is>
          <t>Génie civile des locaux des stations de pompage.</t>
        </is>
      </c>
      <c r="H30" s="10" t="inlineStr">
        <is>
          <t>Expertise d’état et d’étanchéité des locaux pompes, commande, puissance des stations de pompage S17 et S13.
Renforcement d’étanchéité des locaux pompe sous niveau des oueds des stations de pompage S17 et S13.</t>
        </is>
      </c>
      <c r="I30" s="11" t="n">
        <v>800000</v>
      </c>
      <c r="J30" s="12" t="inlineStr">
        <is>
          <t>U</t>
        </is>
      </c>
      <c r="K30" s="13" t="n">
        <v>1</v>
      </c>
      <c r="L30" s="51" t="n"/>
      <c r="M30" s="56">
        <f>'S45'!M30+L30</f>
        <v/>
      </c>
      <c r="N30" s="57">
        <f>IFERROR(M30/K30,0)</f>
        <v/>
      </c>
      <c r="O30" s="58">
        <f>'S45'!N30</f>
        <v/>
      </c>
      <c r="P30" s="57">
        <f>N30-O30</f>
        <v/>
      </c>
      <c r="Q30" s="32" t="n"/>
      <c r="R30" s="32" t="n"/>
      <c r="S30" s="32" t="n"/>
      <c r="T30" s="55" t="n"/>
      <c r="U30" s="58">
        <f>'S45'!T30</f>
        <v/>
      </c>
      <c r="V30" s="57">
        <f>T30-U30</f>
        <v/>
      </c>
      <c r="W30" s="57">
        <f>N30-T30</f>
        <v/>
      </c>
      <c r="X30" s="34" t="n"/>
    </row>
    <row r="31" ht="22" customHeight="1">
      <c r="B31" s="5" t="n">
        <v>27</v>
      </c>
      <c r="C31" s="6" t="inlineStr">
        <is>
          <t>Sidi Kacem</t>
        </is>
      </c>
      <c r="D31" s="5" t="inlineStr">
        <is>
          <t>NOUIRAT</t>
        </is>
      </c>
      <c r="E31" s="5" t="inlineStr">
        <is>
          <t>50-23</t>
        </is>
      </c>
      <c r="F31" s="5" t="inlineStr">
        <is>
          <t>Entretien et réparation du réseau d'assainissement et de drainage</t>
        </is>
      </c>
      <c r="G31" s="5" t="inlineStr">
        <is>
          <t>Travaux de curage des canaux en terre</t>
        </is>
      </c>
      <c r="H31" s="5" t="inlineStr">
        <is>
          <t>Curage des collecteurs d'assainissement des secteurs EST1 et N5</t>
        </is>
      </c>
      <c r="I31" s="7" t="n">
        <v>1733306</v>
      </c>
      <c r="J31" s="8" t="inlineStr">
        <is>
          <t>ml</t>
        </is>
      </c>
      <c r="K31" s="9" t="n">
        <v>867</v>
      </c>
      <c r="L31" s="51" t="n"/>
      <c r="M31" s="52">
        <f>'S45'!M31+L31</f>
        <v/>
      </c>
      <c r="N31" s="53">
        <f>IFERROR(M31/K31,0)</f>
        <v/>
      </c>
      <c r="O31" s="54">
        <f>'S45'!N31</f>
        <v/>
      </c>
      <c r="P31" s="53">
        <f>N31-O31</f>
        <v/>
      </c>
      <c r="Q31" s="32" t="n"/>
      <c r="R31" s="32" t="n"/>
      <c r="S31" s="32" t="n"/>
      <c r="T31" s="55" t="n"/>
      <c r="U31" s="54">
        <f>'S45'!T31</f>
        <v/>
      </c>
      <c r="V31" s="53">
        <f>T31-U31</f>
        <v/>
      </c>
      <c r="W31" s="53">
        <f>N31-T31</f>
        <v/>
      </c>
      <c r="X31" s="34" t="n"/>
    </row>
    <row r="32" ht="22" customHeight="1">
      <c r="B32" s="10" t="n">
        <v>28</v>
      </c>
      <c r="C32" s="6" t="inlineStr">
        <is>
          <t>Sidi Kacem</t>
        </is>
      </c>
      <c r="D32" s="10" t="inlineStr">
        <is>
          <t>NOUIRAT</t>
        </is>
      </c>
      <c r="E32" s="10" t="inlineStr">
        <is>
          <t>40-21</t>
        </is>
      </c>
      <c r="F32" s="10" t="inlineStr">
        <is>
          <t>Travaux de pistes</t>
        </is>
      </c>
      <c r="G32" s="10" t="inlineStr">
        <is>
          <t>Entretien des pistes agricoles</t>
        </is>
      </c>
      <c r="H32" s="10" t="inlineStr">
        <is>
          <t>Entretien des pistes agricoles</t>
        </is>
      </c>
      <c r="I32" s="11" t="n">
        <v>670000</v>
      </c>
      <c r="J32" s="12" t="inlineStr">
        <is>
          <t>km</t>
        </is>
      </c>
      <c r="K32" s="13" t="n">
        <v>1</v>
      </c>
      <c r="L32" s="51" t="n"/>
      <c r="M32" s="56">
        <f>'S45'!M32+L32</f>
        <v/>
      </c>
      <c r="N32" s="57">
        <f>IFERROR(M32/K32,0)</f>
        <v/>
      </c>
      <c r="O32" s="58">
        <f>'S45'!N32</f>
        <v/>
      </c>
      <c r="P32" s="57">
        <f>N32-O32</f>
        <v/>
      </c>
      <c r="Q32" s="32" t="n"/>
      <c r="R32" s="32" t="n"/>
      <c r="S32" s="32" t="n"/>
      <c r="T32" s="55" t="n"/>
      <c r="U32" s="58">
        <f>'S45'!T32</f>
        <v/>
      </c>
      <c r="V32" s="57">
        <f>T32-U32</f>
        <v/>
      </c>
      <c r="W32" s="57">
        <f>N32-T32</f>
        <v/>
      </c>
      <c r="X32" s="34" t="n"/>
    </row>
    <row r="33" ht="22" customHeight="1">
      <c r="B33" s="5" t="n">
        <v>29</v>
      </c>
      <c r="C33" s="6" t="inlineStr">
        <is>
          <t>Sidi Kacem</t>
        </is>
      </c>
      <c r="D33" s="5" t="inlineStr">
        <is>
          <t>NOUIRAT</t>
        </is>
      </c>
      <c r="E33" s="5" t="inlineStr">
        <is>
          <t>20-11</t>
        </is>
      </c>
      <c r="F33" s="5" t="inlineStr">
        <is>
          <t>Travaux de réhabilitation des équipements</t>
        </is>
      </c>
      <c r="G33" s="5" t="inlineStr">
        <is>
          <t>Travaux de réhabilitation des ouvrages de génie civil</t>
        </is>
      </c>
      <c r="H33" s="5" t="inlineStr">
        <is>
          <t>Réhabilitation de l'ouvrage( genie civil ,gabiollannage,clapet anti retour et buse) de l'ouvrage de débouche SE1</t>
        </is>
      </c>
      <c r="I33" s="7" t="n">
        <v>2500000</v>
      </c>
      <c r="J33" s="8" t="inlineStr">
        <is>
          <t>U</t>
        </is>
      </c>
      <c r="K33" s="9" t="n">
        <v>5</v>
      </c>
      <c r="L33" s="51" t="n"/>
      <c r="M33" s="52">
        <f>'S45'!M33+L33</f>
        <v/>
      </c>
      <c r="N33" s="53">
        <f>IFERROR(M33/K33,0)</f>
        <v/>
      </c>
      <c r="O33" s="54">
        <f>'S45'!N33</f>
        <v/>
      </c>
      <c r="P33" s="53">
        <f>N33-O33</f>
        <v/>
      </c>
      <c r="Q33" s="32" t="n"/>
      <c r="R33" s="32" t="n"/>
      <c r="S33" s="32" t="n"/>
      <c r="T33" s="55" t="n"/>
      <c r="U33" s="54">
        <f>'S45'!T33</f>
        <v/>
      </c>
      <c r="V33" s="53">
        <f>T33-U33</f>
        <v/>
      </c>
      <c r="W33" s="53">
        <f>N33-T33</f>
        <v/>
      </c>
      <c r="X33" s="34" t="n"/>
    </row>
    <row r="34" ht="22" customHeight="1">
      <c r="B34" s="10" t="n">
        <v>30</v>
      </c>
      <c r="C34" s="6" t="inlineStr">
        <is>
          <t>Sidi Kacem</t>
        </is>
      </c>
      <c r="D34" s="10" t="inlineStr">
        <is>
          <t>NOUIRAT</t>
        </is>
      </c>
      <c r="E34" s="10" t="inlineStr">
        <is>
          <t>50-23</t>
        </is>
      </c>
      <c r="F34" s="10" t="inlineStr">
        <is>
          <t>Entretien et réparation du réseau d'assainissement et de drainage</t>
        </is>
      </c>
      <c r="G34" s="10" t="inlineStr">
        <is>
          <t>Curage des prises sur l’oued, bâche d’aspiration et bassin de régulation.</t>
        </is>
      </c>
      <c r="H34" s="10" t="inlineStr">
        <is>
          <t>Curage des prises sur l’oued de la station de pompage E1.
Nettoyage des grilles de préfiltration des boues colmaté de la station de pompage E1.
Curage de la bâche d’aspiration de la station E1.</t>
        </is>
      </c>
      <c r="I34" s="11" t="n">
        <v>800000</v>
      </c>
      <c r="J34" s="12" t="inlineStr">
        <is>
          <t>ml</t>
        </is>
      </c>
      <c r="K34" s="13" t="n">
        <v>267</v>
      </c>
      <c r="L34" s="51" t="n"/>
      <c r="M34" s="56">
        <f>'S45'!M34+L34</f>
        <v/>
      </c>
      <c r="N34" s="57">
        <f>IFERROR(M34/K34,0)</f>
        <v/>
      </c>
      <c r="O34" s="58">
        <f>'S45'!N34</f>
        <v/>
      </c>
      <c r="P34" s="57">
        <f>N34-O34</f>
        <v/>
      </c>
      <c r="Q34" s="32" t="n"/>
      <c r="R34" s="32" t="n"/>
      <c r="S34" s="32" t="n"/>
      <c r="T34" s="55" t="n"/>
      <c r="U34" s="58">
        <f>'S45'!T34</f>
        <v/>
      </c>
      <c r="V34" s="57">
        <f>T34-U34</f>
        <v/>
      </c>
      <c r="W34" s="57">
        <f>N34-T34</f>
        <v/>
      </c>
      <c r="X34" s="34" t="n"/>
    </row>
    <row r="35" ht="22" customHeight="1">
      <c r="B35" s="5" t="n">
        <v>31</v>
      </c>
      <c r="C35" s="6" t="inlineStr">
        <is>
          <t>Sidi Kacem</t>
        </is>
      </c>
      <c r="D35" s="5" t="inlineStr">
        <is>
          <t>NOUIRAT</t>
        </is>
      </c>
      <c r="E35" s="5" t="inlineStr">
        <is>
          <t>50-21</t>
        </is>
      </c>
      <c r="F35" s="5" t="inlineStr">
        <is>
          <t>Entretien et réparation des stations de pompage</t>
        </is>
      </c>
      <c r="G35" s="5" t="inlineStr">
        <is>
          <t>Prestation de maintenance des débitmètres et leurs équipements annexes installés au niveau des station de pompage</t>
        </is>
      </c>
      <c r="H35" s="5" t="inlineStr">
        <is>
          <t>Changement du débitmètre Ø 1200mm inondé de la station de pompage E1.</t>
        </is>
      </c>
      <c r="I35" s="7" t="n">
        <v>195000</v>
      </c>
      <c r="J35" s="8" t="inlineStr">
        <is>
          <t>U</t>
        </is>
      </c>
      <c r="K35" s="9" t="n">
        <v>2</v>
      </c>
      <c r="L35" s="51" t="n"/>
      <c r="M35" s="52">
        <f>'S45'!M35+L35</f>
        <v/>
      </c>
      <c r="N35" s="53">
        <f>IFERROR(M35/K35,0)</f>
        <v/>
      </c>
      <c r="O35" s="54">
        <f>'S45'!N35</f>
        <v/>
      </c>
      <c r="P35" s="53">
        <f>N35-O35</f>
        <v/>
      </c>
      <c r="Q35" s="32" t="n"/>
      <c r="R35" s="32" t="n"/>
      <c r="S35" s="32" t="n"/>
      <c r="T35" s="55" t="n"/>
      <c r="U35" s="54">
        <f>'S45'!T35</f>
        <v/>
      </c>
      <c r="V35" s="53">
        <f>T35-U35</f>
        <v/>
      </c>
      <c r="W35" s="53">
        <f>N35-T35</f>
        <v/>
      </c>
      <c r="X35" s="34" t="n"/>
    </row>
    <row r="36" ht="22" customHeight="1">
      <c r="B36" s="10" t="n">
        <v>32</v>
      </c>
      <c r="C36" s="6" t="inlineStr">
        <is>
          <t>Sidi Kacem</t>
        </is>
      </c>
      <c r="D36" s="10" t="inlineStr">
        <is>
          <t>NOUIRAT</t>
        </is>
      </c>
      <c r="E36" s="10" t="inlineStr">
        <is>
          <t>50-21</t>
        </is>
      </c>
      <c r="F36" s="10" t="inlineStr">
        <is>
          <t>Entretien et réparation des stations de pompage</t>
        </is>
      </c>
      <c r="G36" s="10" t="inlineStr">
        <is>
          <t>Prestations de maintenance des moteurs électriques des stations de pompage.</t>
        </is>
      </c>
      <c r="H36" s="10" t="inlineStr">
        <is>
          <t>Révision des deux moteurs électriques principaux de la station E1.</t>
        </is>
      </c>
      <c r="I36" s="11" t="n">
        <v>50000</v>
      </c>
      <c r="J36" s="12" t="inlineStr">
        <is>
          <t>U</t>
        </is>
      </c>
      <c r="K36" s="13" t="n">
        <v>2</v>
      </c>
      <c r="L36" s="51" t="n"/>
      <c r="M36" s="56">
        <f>'S45'!M36+L36</f>
        <v/>
      </c>
      <c r="N36" s="57">
        <f>IFERROR(M36/K36,0)</f>
        <v/>
      </c>
      <c r="O36" s="58">
        <f>'S45'!N36</f>
        <v/>
      </c>
      <c r="P36" s="57">
        <f>N36-O36</f>
        <v/>
      </c>
      <c r="Q36" s="32" t="n"/>
      <c r="R36" s="32" t="n"/>
      <c r="S36" s="32" t="n"/>
      <c r="T36" s="55" t="n"/>
      <c r="U36" s="58">
        <f>'S45'!T36</f>
        <v/>
      </c>
      <c r="V36" s="57">
        <f>T36-U36</f>
        <v/>
      </c>
      <c r="W36" s="57">
        <f>N36-T36</f>
        <v/>
      </c>
      <c r="X36" s="34" t="n"/>
    </row>
    <row r="37" ht="22" customHeight="1">
      <c r="B37" s="5" t="n">
        <v>33</v>
      </c>
      <c r="C37" s="6" t="inlineStr">
        <is>
          <t>Sidi Kacem</t>
        </is>
      </c>
      <c r="D37" s="5" t="inlineStr">
        <is>
          <t>NOUIRAT</t>
        </is>
      </c>
      <c r="E37" s="5" t="inlineStr">
        <is>
          <t>50-21</t>
        </is>
      </c>
      <c r="F37" s="5" t="inlineStr">
        <is>
          <t>Entretien et réparation des stations de pompage</t>
        </is>
      </c>
      <c r="G37" s="5" t="inlineStr">
        <is>
          <t>Prestations de maintenance et de réparation mécanique des pompes et des groupes motopompes submersibles des stations de pompage.</t>
        </is>
      </c>
      <c r="H37" s="5" t="inlineStr">
        <is>
          <t>Démontage et expertise des cinq pompes principaux et pompes a vide de la station E1.
Changement des roulements, tresses et organes d’effectués de la station E1.</t>
        </is>
      </c>
      <c r="I37" s="7" t="n">
        <v>245000</v>
      </c>
      <c r="J37" s="8" t="inlineStr">
        <is>
          <t>U</t>
        </is>
      </c>
      <c r="K37" s="9" t="n">
        <v>5</v>
      </c>
      <c r="L37" s="51" t="n"/>
      <c r="M37" s="52">
        <f>'S45'!M37+L37</f>
        <v/>
      </c>
      <c r="N37" s="53">
        <f>IFERROR(M37/K37,0)</f>
        <v/>
      </c>
      <c r="O37" s="54">
        <f>'S45'!N37</f>
        <v/>
      </c>
      <c r="P37" s="53">
        <f>N37-O37</f>
        <v/>
      </c>
      <c r="Q37" s="32" t="n"/>
      <c r="R37" s="32" t="n"/>
      <c r="S37" s="32" t="n"/>
      <c r="T37" s="55" t="n"/>
      <c r="U37" s="54">
        <f>'S45'!T37</f>
        <v/>
      </c>
      <c r="V37" s="53">
        <f>T37-U37</f>
        <v/>
      </c>
      <c r="W37" s="53">
        <f>N37-T37</f>
        <v/>
      </c>
      <c r="X37" s="34" t="n"/>
    </row>
    <row r="38" ht="22" customHeight="1">
      <c r="B38" s="10" t="n">
        <v>34</v>
      </c>
      <c r="C38" s="6" t="inlineStr">
        <is>
          <t>Sidi Kacem</t>
        </is>
      </c>
      <c r="D38" s="10" t="inlineStr">
        <is>
          <t>NOUIRAT</t>
        </is>
      </c>
      <c r="E38" s="10" t="inlineStr">
        <is>
          <t>50-21</t>
        </is>
      </c>
      <c r="F38" s="10" t="inlineStr">
        <is>
          <t>Entretien et réparation des stations de pompage</t>
        </is>
      </c>
      <c r="G38" s="10" t="inlineStr">
        <is>
          <t>Génie civile des locaux des stations de pompage.</t>
        </is>
      </c>
      <c r="H38" s="10" t="inlineStr">
        <is>
          <t>Expertise d’état et d’étanchéité des locaux pompes, commande, puissance de la station de pompage E1.
Renforcement d’étanchéité des locaux pompe sous niveau des oueds de la station de pompage E1.</t>
        </is>
      </c>
      <c r="I38" s="11" t="n">
        <v>1000000</v>
      </c>
      <c r="J38" s="12" t="inlineStr">
        <is>
          <t>U</t>
        </is>
      </c>
      <c r="K38" s="13" t="n">
        <v>1</v>
      </c>
      <c r="L38" s="51" t="n"/>
      <c r="M38" s="56">
        <f>'S45'!M38+L38</f>
        <v/>
      </c>
      <c r="N38" s="57">
        <f>IFERROR(M38/K38,0)</f>
        <v/>
      </c>
      <c r="O38" s="58">
        <f>'S45'!N38</f>
        <v/>
      </c>
      <c r="P38" s="57">
        <f>N38-O38</f>
        <v/>
      </c>
      <c r="Q38" s="32" t="n"/>
      <c r="R38" s="32" t="n"/>
      <c r="S38" s="32" t="n"/>
      <c r="T38" s="55" t="n"/>
      <c r="U38" s="58">
        <f>'S45'!T38</f>
        <v/>
      </c>
      <c r="V38" s="57">
        <f>T38-U38</f>
        <v/>
      </c>
      <c r="W38" s="57">
        <f>N38-T38</f>
        <v/>
      </c>
      <c r="X38" s="34" t="n"/>
    </row>
    <row r="39" ht="22" customHeight="1">
      <c r="B39" s="5" t="n">
        <v>35</v>
      </c>
      <c r="C39" s="6" t="inlineStr">
        <is>
          <t>Sidi Kacem</t>
        </is>
      </c>
      <c r="D39" s="5" t="inlineStr">
        <is>
          <t>RMILAT</t>
        </is>
      </c>
      <c r="E39" s="5" t="inlineStr">
        <is>
          <t>50-23</t>
        </is>
      </c>
      <c r="F39" s="5" t="inlineStr">
        <is>
          <t>Entretien et réparation du réseau d'assainissement et de drainage</t>
        </is>
      </c>
      <c r="G39" s="5" t="inlineStr">
        <is>
          <t>Travaux de curage des canaux en terre</t>
        </is>
      </c>
      <c r="H39" s="5" t="inlineStr">
        <is>
          <t>Curage des collecteurs d'assainissement des secteurs P7</t>
        </is>
      </c>
      <c r="I39" s="7" t="n">
        <v>5024032</v>
      </c>
      <c r="J39" s="8" t="inlineStr">
        <is>
          <t>ml</t>
        </is>
      </c>
      <c r="K39" s="9" t="n">
        <v>2512</v>
      </c>
      <c r="L39" s="51" t="n"/>
      <c r="M39" s="52">
        <f>'S45'!M39+L39</f>
        <v/>
      </c>
      <c r="N39" s="53">
        <f>IFERROR(M39/K39,0)</f>
        <v/>
      </c>
      <c r="O39" s="54">
        <f>'S45'!N39</f>
        <v/>
      </c>
      <c r="P39" s="53">
        <f>N39-O39</f>
        <v/>
      </c>
      <c r="Q39" s="32" t="n"/>
      <c r="R39" s="32" t="n"/>
      <c r="S39" s="32" t="n"/>
      <c r="T39" s="55" t="n"/>
      <c r="U39" s="54">
        <f>'S45'!T39</f>
        <v/>
      </c>
      <c r="V39" s="53">
        <f>T39-U39</f>
        <v/>
      </c>
      <c r="W39" s="53">
        <f>N39-T39</f>
        <v/>
      </c>
      <c r="X39" s="34" t="n"/>
    </row>
    <row r="40" ht="22" customHeight="1">
      <c r="B40" s="10" t="n">
        <v>36</v>
      </c>
      <c r="C40" s="6" t="inlineStr">
        <is>
          <t>Sidi Kacem</t>
        </is>
      </c>
      <c r="D40" s="10" t="inlineStr">
        <is>
          <t>RMILAT</t>
        </is>
      </c>
      <c r="E40" s="10" t="inlineStr">
        <is>
          <t>40-21</t>
        </is>
      </c>
      <c r="F40" s="10" t="inlineStr">
        <is>
          <t>Travaux de pistes</t>
        </is>
      </c>
      <c r="G40" s="10" t="inlineStr">
        <is>
          <t>Entretien des pistes agricoles</t>
        </is>
      </c>
      <c r="H40" s="10" t="inlineStr">
        <is>
          <t>Entretien des pistes agricoles</t>
        </is>
      </c>
      <c r="I40" s="11" t="n">
        <v>400000</v>
      </c>
      <c r="J40" s="12" t="inlineStr">
        <is>
          <t>km</t>
        </is>
      </c>
      <c r="K40" s="13" t="n">
        <v>1</v>
      </c>
      <c r="L40" s="51" t="n"/>
      <c r="M40" s="56">
        <f>'S45'!M40+L40</f>
        <v/>
      </c>
      <c r="N40" s="57">
        <f>IFERROR(M40/K40,0)</f>
        <v/>
      </c>
      <c r="O40" s="58">
        <f>'S45'!N40</f>
        <v/>
      </c>
      <c r="P40" s="57">
        <f>N40-O40</f>
        <v/>
      </c>
      <c r="Q40" s="32" t="n"/>
      <c r="R40" s="32" t="n"/>
      <c r="S40" s="32" t="n"/>
      <c r="T40" s="55" t="n"/>
      <c r="U40" s="58">
        <f>'S45'!T40</f>
        <v/>
      </c>
      <c r="V40" s="57">
        <f>T40-U40</f>
        <v/>
      </c>
      <c r="W40" s="57">
        <f>N40-T40</f>
        <v/>
      </c>
      <c r="X40" s="34" t="n"/>
    </row>
    <row r="41" ht="22" customHeight="1">
      <c r="B41" s="5" t="n">
        <v>37</v>
      </c>
      <c r="C41" s="6" t="inlineStr">
        <is>
          <t>Sidi Kacem</t>
        </is>
      </c>
      <c r="D41" s="5" t="inlineStr">
        <is>
          <t>SAFSAF</t>
        </is>
      </c>
      <c r="E41" s="5" t="inlineStr">
        <is>
          <t>50-23</t>
        </is>
      </c>
      <c r="F41" s="5" t="inlineStr">
        <is>
          <t>Entretien et réparation du réseau d'assainissement et de drainage</t>
        </is>
      </c>
      <c r="G41" s="5" t="inlineStr">
        <is>
          <t>Travaux de curage des canaux en terre</t>
        </is>
      </c>
      <c r="H41" s="5" t="inlineStr">
        <is>
          <t>Curage des collecteurs d'assainissement des secteurs S7, S9 et S11</t>
        </is>
      </c>
      <c r="I41" s="7" t="n">
        <v>6000000</v>
      </c>
      <c r="J41" s="8" t="inlineStr">
        <is>
          <t>ml</t>
        </is>
      </c>
      <c r="K41" s="9" t="n">
        <v>3000</v>
      </c>
      <c r="L41" s="51" t="n"/>
      <c r="M41" s="52">
        <f>'S45'!M41+L41</f>
        <v/>
      </c>
      <c r="N41" s="53">
        <f>IFERROR(M41/K41,0)</f>
        <v/>
      </c>
      <c r="O41" s="54">
        <f>'S45'!N41</f>
        <v/>
      </c>
      <c r="P41" s="53">
        <f>N41-O41</f>
        <v/>
      </c>
      <c r="Q41" s="32" t="n"/>
      <c r="R41" s="32" t="n"/>
      <c r="S41" s="32" t="n"/>
      <c r="T41" s="55" t="n"/>
      <c r="U41" s="54">
        <f>'S45'!T41</f>
        <v/>
      </c>
      <c r="V41" s="53">
        <f>T41-U41</f>
        <v/>
      </c>
      <c r="W41" s="53">
        <f>N41-T41</f>
        <v/>
      </c>
      <c r="X41" s="34" t="n"/>
    </row>
    <row r="42" ht="22" customHeight="1">
      <c r="B42" s="10" t="n">
        <v>38</v>
      </c>
      <c r="C42" s="6" t="inlineStr">
        <is>
          <t>Sidi Kacem</t>
        </is>
      </c>
      <c r="D42" s="10" t="inlineStr">
        <is>
          <t>SAFSAF</t>
        </is>
      </c>
      <c r="E42" s="10" t="inlineStr">
        <is>
          <t>20-11</t>
        </is>
      </c>
      <c r="F42" s="10" t="inlineStr">
        <is>
          <t>Travaux de réhabilitation des équipements</t>
        </is>
      </c>
      <c r="G42" s="10" t="inlineStr">
        <is>
          <t>Travaux de réhabilitation des canaux portés d'irrigation</t>
        </is>
      </c>
      <c r="H42" s="10" t="inlineStr">
        <is>
          <t>Fourniture et  pose de canaux porté et accessoires du réseau S4 du secteur S11</t>
        </is>
      </c>
      <c r="I42" s="11" t="n">
        <v>232266</v>
      </c>
      <c r="J42" s="12" t="inlineStr">
        <is>
          <t>ml</t>
        </is>
      </c>
      <c r="K42" s="13" t="n">
        <v>77</v>
      </c>
      <c r="L42" s="51" t="n"/>
      <c r="M42" s="56">
        <f>'S45'!M42+L42</f>
        <v/>
      </c>
      <c r="N42" s="57">
        <f>IFERROR(M42/K42,0)</f>
        <v/>
      </c>
      <c r="O42" s="58">
        <f>'S45'!N42</f>
        <v/>
      </c>
      <c r="P42" s="57">
        <f>N42-O42</f>
        <v/>
      </c>
      <c r="Q42" s="32" t="n"/>
      <c r="R42" s="32" t="n"/>
      <c r="S42" s="32" t="n"/>
      <c r="T42" s="55" t="n"/>
      <c r="U42" s="58">
        <f>'S45'!T42</f>
        <v/>
      </c>
      <c r="V42" s="57">
        <f>T42-U42</f>
        <v/>
      </c>
      <c r="W42" s="57">
        <f>N42-T42</f>
        <v/>
      </c>
      <c r="X42" s="34" t="n"/>
    </row>
    <row r="43" ht="22" customHeight="1">
      <c r="B43" s="5" t="n">
        <v>39</v>
      </c>
      <c r="C43" s="6" t="inlineStr">
        <is>
          <t>Sidi Kacem</t>
        </is>
      </c>
      <c r="D43" s="5" t="inlineStr">
        <is>
          <t>SAFSAF</t>
        </is>
      </c>
      <c r="E43" s="5" t="inlineStr">
        <is>
          <t>20-11</t>
        </is>
      </c>
      <c r="F43" s="5" t="inlineStr">
        <is>
          <t>Travaux de réhabilitation des équipements</t>
        </is>
      </c>
      <c r="G43" s="5" t="inlineStr"/>
      <c r="H43" s="5" t="inlineStr">
        <is>
          <t>Recalage des canaux portés du réseau T5S5 du secteur S9</t>
        </is>
      </c>
      <c r="I43" s="7" t="n">
        <v>1055025</v>
      </c>
      <c r="J43" s="8" t="inlineStr">
        <is>
          <t>ml</t>
        </is>
      </c>
      <c r="K43" s="9" t="n">
        <v>352</v>
      </c>
      <c r="L43" s="51" t="n"/>
      <c r="M43" s="52">
        <f>'S45'!M43+L43</f>
        <v/>
      </c>
      <c r="N43" s="53">
        <f>IFERROR(M43/K43,0)</f>
        <v/>
      </c>
      <c r="O43" s="54">
        <f>'S45'!N43</f>
        <v/>
      </c>
      <c r="P43" s="53">
        <f>N43-O43</f>
        <v/>
      </c>
      <c r="Q43" s="32" t="n"/>
      <c r="R43" s="32" t="n"/>
      <c r="S43" s="32" t="n"/>
      <c r="T43" s="55" t="n"/>
      <c r="U43" s="54">
        <f>'S45'!T43</f>
        <v/>
      </c>
      <c r="V43" s="53">
        <f>T43-U43</f>
        <v/>
      </c>
      <c r="W43" s="53">
        <f>N43-T43</f>
        <v/>
      </c>
      <c r="X43" s="34" t="n"/>
    </row>
    <row r="44" ht="22" customHeight="1">
      <c r="B44" s="10" t="n">
        <v>40</v>
      </c>
      <c r="C44" s="6" t="inlineStr">
        <is>
          <t>Sidi Kacem</t>
        </is>
      </c>
      <c r="D44" s="10" t="inlineStr">
        <is>
          <t>SAFSAF</t>
        </is>
      </c>
      <c r="E44" s="10" t="inlineStr">
        <is>
          <t>20-11</t>
        </is>
      </c>
      <c r="F44" s="10" t="inlineStr">
        <is>
          <t>Travaux de réhabilitation des équipements</t>
        </is>
      </c>
      <c r="G44" s="10" t="inlineStr"/>
      <c r="H44" s="10" t="inlineStr">
        <is>
          <t>Recalage des canaux portés du réseau T7S5 du secteur S9</t>
        </is>
      </c>
      <c r="I44" s="11" t="n">
        <v>1004535</v>
      </c>
      <c r="J44" s="12" t="inlineStr">
        <is>
          <t>ml</t>
        </is>
      </c>
      <c r="K44" s="13" t="n">
        <v>335</v>
      </c>
      <c r="L44" s="51" t="n"/>
      <c r="M44" s="56">
        <f>'S45'!M44+L44</f>
        <v/>
      </c>
      <c r="N44" s="57">
        <f>IFERROR(M44/K44,0)</f>
        <v/>
      </c>
      <c r="O44" s="58">
        <f>'S45'!N44</f>
        <v/>
      </c>
      <c r="P44" s="57">
        <f>N44-O44</f>
        <v/>
      </c>
      <c r="Q44" s="32" t="n"/>
      <c r="R44" s="32" t="n"/>
      <c r="S44" s="32" t="n"/>
      <c r="T44" s="55" t="n"/>
      <c r="U44" s="58">
        <f>'S45'!T44</f>
        <v/>
      </c>
      <c r="V44" s="57">
        <f>T44-U44</f>
        <v/>
      </c>
      <c r="W44" s="57">
        <f>N44-T44</f>
        <v/>
      </c>
      <c r="X44" s="34" t="n"/>
    </row>
    <row r="45" ht="22" customHeight="1">
      <c r="B45" s="5" t="n">
        <v>41</v>
      </c>
      <c r="C45" s="6" t="inlineStr">
        <is>
          <t>Sidi Kacem</t>
        </is>
      </c>
      <c r="D45" s="5" t="inlineStr">
        <is>
          <t>SAFSAF</t>
        </is>
      </c>
      <c r="E45" s="5" t="inlineStr">
        <is>
          <t>20-11</t>
        </is>
      </c>
      <c r="F45" s="5" t="inlineStr">
        <is>
          <t>Travaux de réhabilitation des équipements</t>
        </is>
      </c>
      <c r="G45" s="5" t="inlineStr"/>
      <c r="H45" s="5" t="inlineStr">
        <is>
          <t>Recalage des canaux portés du réseau T2S5 du secteur S9</t>
        </is>
      </c>
      <c r="I45" s="7" t="n">
        <v>793830</v>
      </c>
      <c r="J45" s="8" t="inlineStr">
        <is>
          <t>ml</t>
        </is>
      </c>
      <c r="K45" s="9" t="n">
        <v>265</v>
      </c>
      <c r="L45" s="51" t="n"/>
      <c r="M45" s="52">
        <f>'S45'!M45+L45</f>
        <v/>
      </c>
      <c r="N45" s="53">
        <f>IFERROR(M45/K45,0)</f>
        <v/>
      </c>
      <c r="O45" s="54">
        <f>'S45'!N45</f>
        <v/>
      </c>
      <c r="P45" s="53">
        <f>N45-O45</f>
        <v/>
      </c>
      <c r="Q45" s="32" t="n"/>
      <c r="R45" s="32" t="n"/>
      <c r="S45" s="32" t="n"/>
      <c r="T45" s="55" t="n"/>
      <c r="U45" s="54">
        <f>'S45'!T45</f>
        <v/>
      </c>
      <c r="V45" s="53">
        <f>T45-U45</f>
        <v/>
      </c>
      <c r="W45" s="53">
        <f>N45-T45</f>
        <v/>
      </c>
      <c r="X45" s="34" t="n"/>
    </row>
    <row r="46" ht="22" customHeight="1">
      <c r="B46" s="10" t="n">
        <v>42</v>
      </c>
      <c r="C46" s="6" t="inlineStr">
        <is>
          <t>Sidi Kacem</t>
        </is>
      </c>
      <c r="D46" s="10" t="inlineStr">
        <is>
          <t>SAFSAF</t>
        </is>
      </c>
      <c r="E46" s="10" t="inlineStr">
        <is>
          <t>40-21</t>
        </is>
      </c>
      <c r="F46" s="10" t="inlineStr">
        <is>
          <t>Travaux de pistes</t>
        </is>
      </c>
      <c r="G46" s="10" t="inlineStr">
        <is>
          <t>Entretien des pistes agricoles</t>
        </is>
      </c>
      <c r="H46" s="10" t="inlineStr">
        <is>
          <t>Entretien des pistes agricoles</t>
        </is>
      </c>
      <c r="I46" s="11" t="n">
        <v>2000000</v>
      </c>
      <c r="J46" s="12" t="inlineStr">
        <is>
          <t>km</t>
        </is>
      </c>
      <c r="K46" s="13" t="n">
        <v>4</v>
      </c>
      <c r="L46" s="51" t="n"/>
      <c r="M46" s="56">
        <f>'S45'!M46+L46</f>
        <v/>
      </c>
      <c r="N46" s="57">
        <f>IFERROR(M46/K46,0)</f>
        <v/>
      </c>
      <c r="O46" s="58">
        <f>'S45'!N46</f>
        <v/>
      </c>
      <c r="P46" s="57">
        <f>N46-O46</f>
        <v/>
      </c>
      <c r="Q46" s="32" t="n"/>
      <c r="R46" s="32" t="n"/>
      <c r="S46" s="32" t="n"/>
      <c r="T46" s="55" t="n"/>
      <c r="U46" s="58">
        <f>'S45'!T46</f>
        <v/>
      </c>
      <c r="V46" s="57">
        <f>T46-U46</f>
        <v/>
      </c>
      <c r="W46" s="57">
        <f>N46-T46</f>
        <v/>
      </c>
      <c r="X46" s="34" t="n"/>
    </row>
    <row r="47" ht="22" customHeight="1">
      <c r="B47" s="5" t="n">
        <v>43</v>
      </c>
      <c r="C47" s="6" t="inlineStr">
        <is>
          <t>Sidi Kacem</t>
        </is>
      </c>
      <c r="D47" s="5" t="inlineStr">
        <is>
          <t>SAFSAF</t>
        </is>
      </c>
      <c r="E47" s="5" t="inlineStr">
        <is>
          <t>50-23</t>
        </is>
      </c>
      <c r="F47" s="5" t="inlineStr">
        <is>
          <t>Entretien et réparation du réseau d'assainissement et de drainage</t>
        </is>
      </c>
      <c r="G47" s="5" t="inlineStr">
        <is>
          <t>Curage des prises sur l’oued, bâche d’aspiration et bassin de régulation.</t>
        </is>
      </c>
      <c r="H47" s="5" t="inlineStr">
        <is>
          <t>Curage des prises sur l’oued des stations de pompage S11, S9, 7D et 7B.
Nettoyage des grilles de préfiltration des boues colmaté des stations de pompage S11, S9, 7D et 7B.
Nettoyage des crépines des boues colmaté de station pompage 7D.
Curage des dalots et bâche d’aspiration des stations de pompage S11, S9, 7B.</t>
        </is>
      </c>
      <c r="I47" s="7" t="n">
        <v>200000</v>
      </c>
      <c r="J47" s="8" t="inlineStr">
        <is>
          <t>ml</t>
        </is>
      </c>
      <c r="K47" s="9" t="n">
        <v>67</v>
      </c>
      <c r="L47" s="51" t="n"/>
      <c r="M47" s="52">
        <f>'S45'!M47+L47</f>
        <v/>
      </c>
      <c r="N47" s="53">
        <f>IFERROR(M47/K47,0)</f>
        <v/>
      </c>
      <c r="O47" s="54">
        <f>'S45'!N47</f>
        <v/>
      </c>
      <c r="P47" s="53">
        <f>N47-O47</f>
        <v/>
      </c>
      <c r="Q47" s="32" t="n"/>
      <c r="R47" s="32" t="n"/>
      <c r="S47" s="32" t="n"/>
      <c r="T47" s="55" t="n"/>
      <c r="U47" s="54">
        <f>'S45'!T47</f>
        <v/>
      </c>
      <c r="V47" s="53">
        <f>T47-U47</f>
        <v/>
      </c>
      <c r="W47" s="53">
        <f>N47-T47</f>
        <v/>
      </c>
      <c r="X47" s="34" t="n"/>
    </row>
    <row r="48" ht="22" customHeight="1">
      <c r="B48" s="10" t="n">
        <v>44</v>
      </c>
      <c r="C48" s="6" t="inlineStr">
        <is>
          <t>Sidi Kacem</t>
        </is>
      </c>
      <c r="D48" s="10" t="inlineStr">
        <is>
          <t>SAFSAF</t>
        </is>
      </c>
      <c r="E48" s="10" t="inlineStr">
        <is>
          <t>50-21</t>
        </is>
      </c>
      <c r="F48" s="10" t="inlineStr">
        <is>
          <t>Entretien et réparation des stations de pompage</t>
        </is>
      </c>
      <c r="G48" s="10" t="inlineStr">
        <is>
          <t>Prestation de maintenance des débitmètres et leurs équipements annexes installés au niveau des station de pompage</t>
        </is>
      </c>
      <c r="H48" s="10" t="inlineStr">
        <is>
          <t>Changements Sept des débitmètres Ø 600mm inondé des deux stations de pompage S11 et S9.</t>
        </is>
      </c>
      <c r="I48" s="11" t="n">
        <v>580000</v>
      </c>
      <c r="J48" s="12" t="inlineStr">
        <is>
          <t>U</t>
        </is>
      </c>
      <c r="K48" s="13" t="n">
        <v>7</v>
      </c>
      <c r="L48" s="51" t="n"/>
      <c r="M48" s="56">
        <f>'S45'!M48+L48</f>
        <v/>
      </c>
      <c r="N48" s="57">
        <f>IFERROR(M48/K48,0)</f>
        <v/>
      </c>
      <c r="O48" s="58">
        <f>'S45'!N48</f>
        <v/>
      </c>
      <c r="P48" s="57">
        <f>N48-O48</f>
        <v/>
      </c>
      <c r="Q48" s="32" t="n"/>
      <c r="R48" s="32" t="n"/>
      <c r="S48" s="32" t="n"/>
      <c r="T48" s="55" t="n"/>
      <c r="U48" s="58">
        <f>'S45'!T48</f>
        <v/>
      </c>
      <c r="V48" s="57">
        <f>T48-U48</f>
        <v/>
      </c>
      <c r="W48" s="57">
        <f>N48-T48</f>
        <v/>
      </c>
      <c r="X48" s="34" t="n"/>
    </row>
    <row r="49" ht="22" customHeight="1">
      <c r="B49" s="5" t="n">
        <v>45</v>
      </c>
      <c r="C49" s="6" t="inlineStr">
        <is>
          <t>Sidi Kacem</t>
        </is>
      </c>
      <c r="D49" s="5" t="inlineStr">
        <is>
          <t>SAFSAF</t>
        </is>
      </c>
      <c r="E49" s="5" t="inlineStr">
        <is>
          <t>50-21</t>
        </is>
      </c>
      <c r="F49" s="5" t="inlineStr">
        <is>
          <t>Entretien et réparation des stations de pompage</t>
        </is>
      </c>
      <c r="G49" s="5" t="inlineStr">
        <is>
          <t>Stabilisation Berge oued</t>
        </is>
      </c>
      <c r="H49" s="5" t="inlineStr">
        <is>
          <t>Pose de murs en gabions et recouvrement du talus par matelas Reno des stations de pompage S11, S9, 7D et 7B .</t>
        </is>
      </c>
      <c r="I49" s="7" t="n">
        <v>4000000</v>
      </c>
      <c r="J49" s="8" t="inlineStr">
        <is>
          <t>m³</t>
        </is>
      </c>
      <c r="K49" s="9" t="n">
        <v>2667</v>
      </c>
      <c r="L49" s="51" t="n"/>
      <c r="M49" s="52">
        <f>'S45'!M49+L49</f>
        <v/>
      </c>
      <c r="N49" s="53">
        <f>IFERROR(M49/K49,0)</f>
        <v/>
      </c>
      <c r="O49" s="54">
        <f>'S45'!N49</f>
        <v/>
      </c>
      <c r="P49" s="53">
        <f>N49-O49</f>
        <v/>
      </c>
      <c r="Q49" s="32" t="n"/>
      <c r="R49" s="32" t="n"/>
      <c r="S49" s="32" t="n"/>
      <c r="T49" s="55" t="n"/>
      <c r="U49" s="54">
        <f>'S45'!T49</f>
        <v/>
      </c>
      <c r="V49" s="53">
        <f>T49-U49</f>
        <v/>
      </c>
      <c r="W49" s="53">
        <f>N49-T49</f>
        <v/>
      </c>
      <c r="X49" s="34" t="n"/>
    </row>
    <row r="50" ht="22" customHeight="1">
      <c r="B50" s="10" t="n">
        <v>46</v>
      </c>
      <c r="C50" s="6" t="inlineStr">
        <is>
          <t>Sidi Kacem</t>
        </is>
      </c>
      <c r="D50" s="10" t="inlineStr">
        <is>
          <t>SIDI AZZOUZ</t>
        </is>
      </c>
      <c r="E50" s="10" t="inlineStr">
        <is>
          <t>40-21</t>
        </is>
      </c>
      <c r="F50" s="10" t="inlineStr">
        <is>
          <t>Travaux de pistes</t>
        </is>
      </c>
      <c r="G50" s="10" t="inlineStr">
        <is>
          <t>Entretien des pistes agricoles</t>
        </is>
      </c>
      <c r="H50" s="10" t="inlineStr">
        <is>
          <t>Entretien des pistes agricoles</t>
        </is>
      </c>
      <c r="I50" s="11" t="n">
        <v>655000</v>
      </c>
      <c r="J50" s="12" t="inlineStr">
        <is>
          <t>km</t>
        </is>
      </c>
      <c r="K50" s="13" t="n">
        <v>1</v>
      </c>
      <c r="L50" s="51" t="n"/>
      <c r="M50" s="56">
        <f>'S45'!M50+L50</f>
        <v/>
      </c>
      <c r="N50" s="57">
        <f>IFERROR(M50/K50,0)</f>
        <v/>
      </c>
      <c r="O50" s="58">
        <f>'S45'!N50</f>
        <v/>
      </c>
      <c r="P50" s="57">
        <f>N50-O50</f>
        <v/>
      </c>
      <c r="Q50" s="32" t="n"/>
      <c r="R50" s="32" t="n"/>
      <c r="S50" s="32" t="n"/>
      <c r="T50" s="55" t="n"/>
      <c r="U50" s="58">
        <f>'S45'!T50</f>
        <v/>
      </c>
      <c r="V50" s="57">
        <f>T50-U50</f>
        <v/>
      </c>
      <c r="W50" s="57">
        <f>N50-T50</f>
        <v/>
      </c>
      <c r="X50" s="34" t="n"/>
    </row>
    <row r="51" ht="22" customHeight="1">
      <c r="B51" s="5" t="n">
        <v>47</v>
      </c>
      <c r="C51" s="6" t="inlineStr">
        <is>
          <t>Sidi Kacem</t>
        </is>
      </c>
      <c r="D51" s="5" t="inlineStr">
        <is>
          <t>SIDI EL KAMEL</t>
        </is>
      </c>
      <c r="E51" s="5" t="inlineStr">
        <is>
          <t>20-11</t>
        </is>
      </c>
      <c r="F51" s="5" t="inlineStr">
        <is>
          <t>Travaux de réhabilitation des équipements</t>
        </is>
      </c>
      <c r="G51" s="5" t="inlineStr">
        <is>
          <t>Travaux de réhabilitation des canaux portés d'irrigation</t>
        </is>
      </c>
      <c r="H51" s="5" t="inlineStr">
        <is>
          <t>Fourniture et de pose de canaux porté et accessoires du réseau SR4 du secteur S3R</t>
        </is>
      </c>
      <c r="I51" s="7" t="n">
        <v>5182920</v>
      </c>
      <c r="J51" s="8" t="inlineStr">
        <is>
          <t>ml</t>
        </is>
      </c>
      <c r="K51" s="9" t="n">
        <v>1728</v>
      </c>
      <c r="L51" s="51" t="n"/>
      <c r="M51" s="52">
        <f>'S45'!M51+L51</f>
        <v/>
      </c>
      <c r="N51" s="53">
        <f>IFERROR(M51/K51,0)</f>
        <v/>
      </c>
      <c r="O51" s="54">
        <f>'S45'!N51</f>
        <v/>
      </c>
      <c r="P51" s="53">
        <f>N51-O51</f>
        <v/>
      </c>
      <c r="Q51" s="32" t="n"/>
      <c r="R51" s="32" t="n"/>
      <c r="S51" s="32" t="n"/>
      <c r="T51" s="55" t="n"/>
      <c r="U51" s="54">
        <f>'S45'!T51</f>
        <v/>
      </c>
      <c r="V51" s="53">
        <f>T51-U51</f>
        <v/>
      </c>
      <c r="W51" s="53">
        <f>N51-T51</f>
        <v/>
      </c>
      <c r="X51" s="34" t="n"/>
    </row>
    <row r="52" ht="22" customHeight="1">
      <c r="B52" s="10" t="n">
        <v>48</v>
      </c>
      <c r="C52" s="6" t="inlineStr">
        <is>
          <t>Sidi Kacem</t>
        </is>
      </c>
      <c r="D52" s="10" t="inlineStr">
        <is>
          <t>SIDI EL KAMEL</t>
        </is>
      </c>
      <c r="E52" s="10" t="inlineStr">
        <is>
          <t>20-11</t>
        </is>
      </c>
      <c r="F52" s="10" t="inlineStr">
        <is>
          <t>Travaux de réhabilitation des équipements</t>
        </is>
      </c>
      <c r="G52" s="10" t="inlineStr"/>
      <c r="H52" s="10" t="inlineStr">
        <is>
          <t>Fourniture et de pose de canaux porté et accessoires du réseau SR6 du secteur S1RIZ</t>
        </is>
      </c>
      <c r="I52" s="11" t="n">
        <v>152818</v>
      </c>
      <c r="J52" s="12" t="inlineStr">
        <is>
          <t>ml</t>
        </is>
      </c>
      <c r="K52" s="13" t="n">
        <v>51</v>
      </c>
      <c r="L52" s="51" t="n"/>
      <c r="M52" s="56">
        <f>'S45'!M52+L52</f>
        <v/>
      </c>
      <c r="N52" s="57">
        <f>IFERROR(M52/K52,0)</f>
        <v/>
      </c>
      <c r="O52" s="58">
        <f>'S45'!N52</f>
        <v/>
      </c>
      <c r="P52" s="57">
        <f>N52-O52</f>
        <v/>
      </c>
      <c r="Q52" s="32" t="n"/>
      <c r="R52" s="32" t="n"/>
      <c r="S52" s="32" t="n"/>
      <c r="T52" s="55" t="n"/>
      <c r="U52" s="58">
        <f>'S45'!T52</f>
        <v/>
      </c>
      <c r="V52" s="57">
        <f>T52-U52</f>
        <v/>
      </c>
      <c r="W52" s="57">
        <f>N52-T52</f>
        <v/>
      </c>
      <c r="X52" s="34" t="n"/>
    </row>
    <row r="53" ht="22" customHeight="1">
      <c r="B53" s="5" t="n">
        <v>49</v>
      </c>
      <c r="C53" s="6" t="inlineStr">
        <is>
          <t>Sidi Kacem</t>
        </is>
      </c>
      <c r="D53" s="5" t="inlineStr">
        <is>
          <t>SIDI EL KAMEL</t>
        </is>
      </c>
      <c r="E53" s="5" t="inlineStr">
        <is>
          <t>20-11</t>
        </is>
      </c>
      <c r="F53" s="5" t="inlineStr">
        <is>
          <t>Travaux de réhabilitation des équipements</t>
        </is>
      </c>
      <c r="G53" s="5" t="inlineStr"/>
      <c r="H53" s="5" t="inlineStr">
        <is>
          <t>Recalage des canaux portés du réseau SR4 du secteur S3R</t>
        </is>
      </c>
      <c r="I53" s="7" t="n">
        <v>1418000</v>
      </c>
      <c r="J53" s="8" t="inlineStr">
        <is>
          <t>ml</t>
        </is>
      </c>
      <c r="K53" s="9" t="n">
        <v>473</v>
      </c>
      <c r="L53" s="51" t="n"/>
      <c r="M53" s="52">
        <f>'S45'!M53+L53</f>
        <v/>
      </c>
      <c r="N53" s="53">
        <f>IFERROR(M53/K53,0)</f>
        <v/>
      </c>
      <c r="O53" s="54">
        <f>'S45'!N53</f>
        <v/>
      </c>
      <c r="P53" s="53">
        <f>N53-O53</f>
        <v/>
      </c>
      <c r="Q53" s="32" t="n"/>
      <c r="R53" s="32" t="n"/>
      <c r="S53" s="32" t="n"/>
      <c r="T53" s="55" t="n"/>
      <c r="U53" s="54">
        <f>'S45'!T53</f>
        <v/>
      </c>
      <c r="V53" s="53">
        <f>T53-U53</f>
        <v/>
      </c>
      <c r="W53" s="53">
        <f>N53-T53</f>
        <v/>
      </c>
      <c r="X53" s="34" t="n"/>
    </row>
    <row r="54" ht="22" customHeight="1">
      <c r="B54" s="10" t="n">
        <v>50</v>
      </c>
      <c r="C54" s="6" t="inlineStr">
        <is>
          <t>Sidi Kacem</t>
        </is>
      </c>
      <c r="D54" s="10" t="inlineStr">
        <is>
          <t>SIDI EL KAMEL</t>
        </is>
      </c>
      <c r="E54" s="10" t="inlineStr">
        <is>
          <t>20-11</t>
        </is>
      </c>
      <c r="F54" s="10" t="inlineStr">
        <is>
          <t>Travaux de réhabilitation des équipements</t>
        </is>
      </c>
      <c r="G54" s="10" t="inlineStr">
        <is>
          <t>Travaux de réhabilitation des ouvrages de génie civil</t>
        </is>
      </c>
      <c r="H54" s="10" t="inlineStr">
        <is>
          <t>Réhabilitation des murs de soutènements des ouvrages de franchissements du canal d'assainissement CS3 secteur S3 et de l’ouvrage de franchissement du canal primaire d’irrigation du secteur S1R au niveau de la route provinciale P4234</t>
        </is>
      </c>
      <c r="I54" s="11" t="n">
        <v>800000</v>
      </c>
      <c r="J54" s="12" t="inlineStr">
        <is>
          <t>ml</t>
        </is>
      </c>
      <c r="K54" s="13" t="n">
        <v>400</v>
      </c>
      <c r="L54" s="51" t="n"/>
      <c r="M54" s="56">
        <f>'S45'!M54+L54</f>
        <v/>
      </c>
      <c r="N54" s="57">
        <f>IFERROR(M54/K54,0)</f>
        <v/>
      </c>
      <c r="O54" s="58">
        <f>'S45'!N54</f>
        <v/>
      </c>
      <c r="P54" s="57">
        <f>N54-O54</f>
        <v/>
      </c>
      <c r="Q54" s="32" t="n"/>
      <c r="R54" s="32" t="n"/>
      <c r="S54" s="32" t="n"/>
      <c r="T54" s="55" t="n"/>
      <c r="U54" s="58">
        <f>'S45'!T54</f>
        <v/>
      </c>
      <c r="V54" s="57">
        <f>T54-U54</f>
        <v/>
      </c>
      <c r="W54" s="57">
        <f>N54-T54</f>
        <v/>
      </c>
      <c r="X54" s="34" t="n"/>
    </row>
    <row r="55" ht="22" customHeight="1">
      <c r="B55" s="5" t="n">
        <v>51</v>
      </c>
      <c r="C55" s="6" t="inlineStr">
        <is>
          <t>Sidi Kacem</t>
        </is>
      </c>
      <c r="D55" s="5" t="inlineStr">
        <is>
          <t>SIDI EL KAMEL</t>
        </is>
      </c>
      <c r="E55" s="5" t="inlineStr">
        <is>
          <t>40-21</t>
        </is>
      </c>
      <c r="F55" s="5" t="inlineStr">
        <is>
          <t>Travaux de pistes</t>
        </is>
      </c>
      <c r="G55" s="5" t="inlineStr">
        <is>
          <t>Entretien des pistes agricoles</t>
        </is>
      </c>
      <c r="H55" s="5" t="inlineStr">
        <is>
          <t>Entretien des pistes agricoles</t>
        </is>
      </c>
      <c r="I55" s="7" t="n">
        <v>3700000</v>
      </c>
      <c r="J55" s="8" t="inlineStr">
        <is>
          <t>km</t>
        </is>
      </c>
      <c r="K55" s="9" t="n">
        <v>7</v>
      </c>
      <c r="L55" s="51" t="n"/>
      <c r="M55" s="52">
        <f>'S45'!M55+L55</f>
        <v/>
      </c>
      <c r="N55" s="53">
        <f>IFERROR(M55/K55,0)</f>
        <v/>
      </c>
      <c r="O55" s="54">
        <f>'S45'!N55</f>
        <v/>
      </c>
      <c r="P55" s="53">
        <f>N55-O55</f>
        <v/>
      </c>
      <c r="Q55" s="32" t="n"/>
      <c r="R55" s="32" t="n"/>
      <c r="S55" s="32" t="n"/>
      <c r="T55" s="55" t="n"/>
      <c r="U55" s="54">
        <f>'S45'!T55</f>
        <v/>
      </c>
      <c r="V55" s="53">
        <f>T55-U55</f>
        <v/>
      </c>
      <c r="W55" s="53">
        <f>N55-T55</f>
        <v/>
      </c>
      <c r="X55" s="34" t="n"/>
    </row>
    <row r="56" ht="22" customHeight="1">
      <c r="B56" s="10" t="n">
        <v>52</v>
      </c>
      <c r="C56" s="6" t="inlineStr">
        <is>
          <t>Sidi Kacem</t>
        </is>
      </c>
      <c r="D56" s="10" t="inlineStr">
        <is>
          <t>SIDI EL KAMEL</t>
        </is>
      </c>
      <c r="E56" s="10" t="inlineStr">
        <is>
          <t>50-21</t>
        </is>
      </c>
      <c r="F56" s="10" t="inlineStr">
        <is>
          <t>Entretien et réparation des stations de pompage</t>
        </is>
      </c>
      <c r="G56" s="10" t="inlineStr">
        <is>
          <t>Prestation de maintenance des débitmètres et leurs équipements annexes installés au niveau des station de pompage</t>
        </is>
      </c>
      <c r="H56" s="10" t="inlineStr">
        <is>
          <t>Changement de quatre débitmètres Ø 500mm et trois Ø 800mm inondé des stations de pompage 1R, 3R et 5R.</t>
        </is>
      </c>
      <c r="I56" s="11" t="n">
        <v>705000</v>
      </c>
      <c r="J56" s="12" t="inlineStr">
        <is>
          <t>U</t>
        </is>
      </c>
      <c r="K56" s="13" t="n">
        <v>3</v>
      </c>
      <c r="L56" s="51" t="n"/>
      <c r="M56" s="56">
        <f>'S45'!M56+L56</f>
        <v/>
      </c>
      <c r="N56" s="57">
        <f>IFERROR(M56/K56,0)</f>
        <v/>
      </c>
      <c r="O56" s="58">
        <f>'S45'!N56</f>
        <v/>
      </c>
      <c r="P56" s="57">
        <f>N56-O56</f>
        <v/>
      </c>
      <c r="Q56" s="32" t="n"/>
      <c r="R56" s="32" t="n"/>
      <c r="S56" s="32" t="n"/>
      <c r="T56" s="55" t="n"/>
      <c r="U56" s="58">
        <f>'S45'!T56</f>
        <v/>
      </c>
      <c r="V56" s="57">
        <f>T56-U56</f>
        <v/>
      </c>
      <c r="W56" s="57">
        <f>N56-T56</f>
        <v/>
      </c>
      <c r="X56" s="34" t="n"/>
    </row>
    <row r="57" ht="22" customHeight="1">
      <c r="B57" s="5" t="n">
        <v>53</v>
      </c>
      <c r="C57" s="6" t="inlineStr">
        <is>
          <t>Sidi Kacem</t>
        </is>
      </c>
      <c r="D57" s="5" t="inlineStr">
        <is>
          <t>SIDI EL KAMEL</t>
        </is>
      </c>
      <c r="E57" s="5" t="inlineStr">
        <is>
          <t>50-21</t>
        </is>
      </c>
      <c r="F57" s="5" t="inlineStr">
        <is>
          <t>Entretien et réparation des stations de pompage</t>
        </is>
      </c>
      <c r="G57" s="5" t="inlineStr">
        <is>
          <t>Mur clôture des stations de pompage.</t>
        </is>
      </c>
      <c r="H57" s="5" t="inlineStr">
        <is>
          <t>Stabilisation et reconstruction des murs clôture cote oued des stations de pompage 7A, 3R et 1R.</t>
        </is>
      </c>
      <c r="I57" s="7" t="n">
        <v>372000</v>
      </c>
      <c r="J57" s="8" t="inlineStr">
        <is>
          <t>ml</t>
        </is>
      </c>
      <c r="K57" s="9" t="n">
        <v>124</v>
      </c>
      <c r="L57" s="51" t="n"/>
      <c r="M57" s="52">
        <f>'S45'!M57+L57</f>
        <v/>
      </c>
      <c r="N57" s="53">
        <f>IFERROR(M57/K57,0)</f>
        <v/>
      </c>
      <c r="O57" s="54">
        <f>'S45'!N57</f>
        <v/>
      </c>
      <c r="P57" s="53">
        <f>N57-O57</f>
        <v/>
      </c>
      <c r="Q57" s="32" t="n"/>
      <c r="R57" s="32" t="n"/>
      <c r="S57" s="32" t="n"/>
      <c r="T57" s="55" t="n"/>
      <c r="U57" s="54">
        <f>'S45'!T57</f>
        <v/>
      </c>
      <c r="V57" s="53">
        <f>T57-U57</f>
        <v/>
      </c>
      <c r="W57" s="53">
        <f>N57-T57</f>
        <v/>
      </c>
      <c r="X57" s="34" t="n"/>
    </row>
    <row r="58" ht="22" customHeight="1">
      <c r="B58" s="10" t="n">
        <v>54</v>
      </c>
      <c r="C58" s="14" t="inlineStr">
        <is>
          <t>Kénitra</t>
        </is>
      </c>
      <c r="D58" s="10" t="inlineStr">
        <is>
          <t>Bni malek</t>
        </is>
      </c>
      <c r="E58" s="10" t="inlineStr">
        <is>
          <t>50-23</t>
        </is>
      </c>
      <c r="F58" s="10" t="inlineStr">
        <is>
          <t>Entretien et réparation du réseau d'assainissement et de drainage</t>
        </is>
      </c>
      <c r="G58" s="10" t="inlineStr">
        <is>
          <t>Travaux de curage des canaux en terre</t>
        </is>
      </c>
      <c r="H58" s="10" t="inlineStr">
        <is>
          <t>Curage des emissaires et colatures secondaire au niveau des secteurs MDA ET N9</t>
        </is>
      </c>
      <c r="I58" s="11" t="n">
        <v>10000000</v>
      </c>
      <c r="J58" s="12" t="inlineStr">
        <is>
          <t>ml</t>
        </is>
      </c>
      <c r="K58" s="13" t="n">
        <v>5000</v>
      </c>
      <c r="L58" s="51" t="n"/>
      <c r="M58" s="56">
        <f>'S45'!M58+L58</f>
        <v/>
      </c>
      <c r="N58" s="57">
        <f>IFERROR(M58/K58,0)</f>
        <v/>
      </c>
      <c r="O58" s="58">
        <f>'S45'!N58</f>
        <v/>
      </c>
      <c r="P58" s="57">
        <f>N58-O58</f>
        <v/>
      </c>
      <c r="Q58" s="32" t="n"/>
      <c r="R58" s="32" t="n"/>
      <c r="S58" s="32" t="n"/>
      <c r="T58" s="55" t="n"/>
      <c r="U58" s="58">
        <f>'S45'!T58</f>
        <v/>
      </c>
      <c r="V58" s="57">
        <f>T58-U58</f>
        <v/>
      </c>
      <c r="W58" s="57">
        <f>N58-T58</f>
        <v/>
      </c>
      <c r="X58" s="34" t="n"/>
    </row>
    <row r="59" ht="22" customHeight="1">
      <c r="B59" s="5" t="n">
        <v>55</v>
      </c>
      <c r="C59" s="14" t="inlineStr">
        <is>
          <t>Kénitra</t>
        </is>
      </c>
      <c r="D59" s="5" t="inlineStr">
        <is>
          <t>Bni malek</t>
        </is>
      </c>
      <c r="E59" s="5" t="inlineStr">
        <is>
          <t>40-21</t>
        </is>
      </c>
      <c r="F59" s="5" t="inlineStr">
        <is>
          <t>Travaux de pistes</t>
        </is>
      </c>
      <c r="G59" s="5" t="inlineStr">
        <is>
          <t>Travaux de réhabilitation des pistes agricoles</t>
        </is>
      </c>
      <c r="H59" s="5" t="inlineStr">
        <is>
          <t>Entretien des pistes agricoles des secteurs MDA et N3</t>
        </is>
      </c>
      <c r="I59" s="7" t="n">
        <v>2000000</v>
      </c>
      <c r="J59" s="8" t="inlineStr">
        <is>
          <t>km</t>
        </is>
      </c>
      <c r="K59" s="9" t="n">
        <v>4</v>
      </c>
      <c r="L59" s="51" t="n"/>
      <c r="M59" s="52">
        <f>'S45'!M59+L59</f>
        <v/>
      </c>
      <c r="N59" s="53">
        <f>IFERROR(M59/K59,0)</f>
        <v/>
      </c>
      <c r="O59" s="54">
        <f>'S45'!N59</f>
        <v/>
      </c>
      <c r="P59" s="53">
        <f>N59-O59</f>
        <v/>
      </c>
      <c r="Q59" s="32" t="n"/>
      <c r="R59" s="32" t="n"/>
      <c r="S59" s="32" t="n"/>
      <c r="T59" s="55" t="n"/>
      <c r="U59" s="54">
        <f>'S45'!T59</f>
        <v/>
      </c>
      <c r="V59" s="53">
        <f>T59-U59</f>
        <v/>
      </c>
      <c r="W59" s="53">
        <f>N59-T59</f>
        <v/>
      </c>
      <c r="X59" s="34" t="n"/>
    </row>
    <row r="60" ht="22" customHeight="1">
      <c r="B60" s="10" t="n">
        <v>56</v>
      </c>
      <c r="C60" s="14" t="inlineStr">
        <is>
          <t>Kénitra</t>
        </is>
      </c>
      <c r="D60" s="10" t="inlineStr">
        <is>
          <t>Bni malek</t>
        </is>
      </c>
      <c r="E60" s="10" t="inlineStr">
        <is>
          <t>50-21</t>
        </is>
      </c>
      <c r="F60" s="10" t="inlineStr">
        <is>
          <t>Entretien et réparation des stations de pompage</t>
        </is>
      </c>
      <c r="G60" s="10" t="inlineStr">
        <is>
          <t>Prestations de maintenance et de réparation mécanique des pompes et des groupes motopompes submersibles des stations de pompage.</t>
        </is>
      </c>
      <c r="H60" s="10" t="inlineStr">
        <is>
          <t>station de pompage MDA secteur MDA</t>
        </is>
      </c>
      <c r="I60" s="11" t="n">
        <v>300000</v>
      </c>
      <c r="J60" s="12" t="inlineStr">
        <is>
          <t>U</t>
        </is>
      </c>
      <c r="K60" s="13" t="n">
        <v>1</v>
      </c>
      <c r="L60" s="51" t="n"/>
      <c r="M60" s="56">
        <f>'S45'!M60+L60</f>
        <v/>
      </c>
      <c r="N60" s="57">
        <f>IFERROR(M60/K60,0)</f>
        <v/>
      </c>
      <c r="O60" s="58">
        <f>'S45'!N60</f>
        <v/>
      </c>
      <c r="P60" s="57">
        <f>N60-O60</f>
        <v/>
      </c>
      <c r="Q60" s="32" t="n"/>
      <c r="R60" s="32" t="n"/>
      <c r="S60" s="32" t="n"/>
      <c r="T60" s="55" t="n"/>
      <c r="U60" s="58">
        <f>'S45'!T60</f>
        <v/>
      </c>
      <c r="V60" s="57">
        <f>T60-U60</f>
        <v/>
      </c>
      <c r="W60" s="57">
        <f>N60-T60</f>
        <v/>
      </c>
      <c r="X60" s="34" t="n"/>
    </row>
    <row r="61" ht="22" customHeight="1">
      <c r="B61" s="5" t="n">
        <v>57</v>
      </c>
      <c r="C61" s="14" t="inlineStr">
        <is>
          <t>Kénitra</t>
        </is>
      </c>
      <c r="D61" s="5" t="inlineStr">
        <is>
          <t>Bni malek</t>
        </is>
      </c>
      <c r="E61" s="5" t="inlineStr">
        <is>
          <t>20-11</t>
        </is>
      </c>
      <c r="F61" s="5" t="inlineStr">
        <is>
          <t>Travaux de réhabilitation des équipements</t>
        </is>
      </c>
      <c r="G61" s="5" t="inlineStr">
        <is>
          <t>Travaux de réhabilitation des ouvrages de génie civil</t>
        </is>
      </c>
      <c r="H61" s="5" t="inlineStr">
        <is>
          <t>Rétablissement des bornes affaissées des secteurs N2 et N3</t>
        </is>
      </c>
      <c r="I61" s="7" t="n">
        <v>100000</v>
      </c>
      <c r="J61" s="8" t="inlineStr">
        <is>
          <t>U</t>
        </is>
      </c>
      <c r="K61" s="9" t="n">
        <v>200</v>
      </c>
      <c r="L61" s="51" t="n"/>
      <c r="M61" s="52">
        <f>'S45'!M61+L61</f>
        <v/>
      </c>
      <c r="N61" s="53">
        <f>IFERROR(M61/K61,0)</f>
        <v/>
      </c>
      <c r="O61" s="54">
        <f>'S45'!N61</f>
        <v/>
      </c>
      <c r="P61" s="53">
        <f>N61-O61</f>
        <v/>
      </c>
      <c r="Q61" s="32" t="n"/>
      <c r="R61" s="32" t="n"/>
      <c r="S61" s="32" t="n"/>
      <c r="T61" s="55" t="n"/>
      <c r="U61" s="54">
        <f>'S45'!T61</f>
        <v/>
      </c>
      <c r="V61" s="53">
        <f>T61-U61</f>
        <v/>
      </c>
      <c r="W61" s="53">
        <f>N61-T61</f>
        <v/>
      </c>
      <c r="X61" s="34" t="n"/>
    </row>
    <row r="62" ht="22" customHeight="1">
      <c r="B62" s="10" t="n">
        <v>58</v>
      </c>
      <c r="C62" s="14" t="inlineStr">
        <is>
          <t>Kénitra</t>
        </is>
      </c>
      <c r="D62" s="10" t="inlineStr">
        <is>
          <t>SOUK TLET</t>
        </is>
      </c>
      <c r="E62" s="10" t="inlineStr">
        <is>
          <t>50-23</t>
        </is>
      </c>
      <c r="F62" s="10" t="inlineStr">
        <is>
          <t>Entretien et réparation du réseau d'assainissement et de drainage</t>
        </is>
      </c>
      <c r="G62" s="10" t="inlineStr">
        <is>
          <t>Travaux de curage des canaux en terre</t>
        </is>
      </c>
      <c r="H62" s="10" t="inlineStr">
        <is>
          <t>curage des emissaires et colatures secondaire au niveau des secteurs N2,N3 ET N4,</t>
        </is>
      </c>
      <c r="I62" s="11" t="n">
        <v>3000000</v>
      </c>
      <c r="J62" s="12" t="inlineStr">
        <is>
          <t>ml</t>
        </is>
      </c>
      <c r="K62" s="13" t="n">
        <v>1500</v>
      </c>
      <c r="L62" s="51" t="n"/>
      <c r="M62" s="56">
        <f>'S45'!M62+L62</f>
        <v/>
      </c>
      <c r="N62" s="57">
        <f>IFERROR(M62/K62,0)</f>
        <v/>
      </c>
      <c r="O62" s="58">
        <f>'S45'!N62</f>
        <v/>
      </c>
      <c r="P62" s="57">
        <f>N62-O62</f>
        <v/>
      </c>
      <c r="Q62" s="32" t="n"/>
      <c r="R62" s="32" t="n"/>
      <c r="S62" s="32" t="n"/>
      <c r="T62" s="55" t="n"/>
      <c r="U62" s="58">
        <f>'S45'!T62</f>
        <v/>
      </c>
      <c r="V62" s="57">
        <f>T62-U62</f>
        <v/>
      </c>
      <c r="W62" s="57">
        <f>N62-T62</f>
        <v/>
      </c>
      <c r="X62" s="34" t="n"/>
    </row>
    <row r="63" ht="22" customHeight="1">
      <c r="B63" s="5" t="n">
        <v>59</v>
      </c>
      <c r="C63" s="14" t="inlineStr">
        <is>
          <t>Kénitra</t>
        </is>
      </c>
      <c r="D63" s="5" t="inlineStr">
        <is>
          <t>SOUK TLET</t>
        </is>
      </c>
      <c r="E63" s="5" t="inlineStr">
        <is>
          <t>40-21</t>
        </is>
      </c>
      <c r="F63" s="5" t="inlineStr">
        <is>
          <t>Travaux de pistes</t>
        </is>
      </c>
      <c r="G63" s="5" t="inlineStr">
        <is>
          <t>Travaux de réhabilitation des pistes agricoles</t>
        </is>
      </c>
      <c r="H63" s="5" t="inlineStr">
        <is>
          <t>Entretien des pistes des secteurs N2,N3,N4 et C4R,</t>
        </is>
      </c>
      <c r="I63" s="7" t="n">
        <v>5000000</v>
      </c>
      <c r="J63" s="8" t="inlineStr">
        <is>
          <t>U</t>
        </is>
      </c>
      <c r="K63" s="9" t="n">
        <v>1</v>
      </c>
      <c r="L63" s="51" t="n"/>
      <c r="M63" s="52">
        <f>'S45'!M63+L63</f>
        <v/>
      </c>
      <c r="N63" s="53">
        <f>IFERROR(M63/K63,0)</f>
        <v/>
      </c>
      <c r="O63" s="54">
        <f>'S45'!N63</f>
        <v/>
      </c>
      <c r="P63" s="53">
        <f>N63-O63</f>
        <v/>
      </c>
      <c r="Q63" s="32" t="n"/>
      <c r="R63" s="32" t="n"/>
      <c r="S63" s="32" t="n"/>
      <c r="T63" s="55" t="n"/>
      <c r="U63" s="54">
        <f>'S45'!T63</f>
        <v/>
      </c>
      <c r="V63" s="53">
        <f>T63-U63</f>
        <v/>
      </c>
      <c r="W63" s="53">
        <f>N63-T63</f>
        <v/>
      </c>
      <c r="X63" s="34" t="n"/>
    </row>
    <row r="64" ht="22" customHeight="1">
      <c r="B64" s="10" t="n">
        <v>60</v>
      </c>
      <c r="C64" s="14" t="inlineStr">
        <is>
          <t>Kénitra</t>
        </is>
      </c>
      <c r="D64" s="10" t="inlineStr">
        <is>
          <t>Sidi Med Lahmar</t>
        </is>
      </c>
      <c r="E64" s="10" t="inlineStr">
        <is>
          <t>50-23</t>
        </is>
      </c>
      <c r="F64" s="10" t="inlineStr">
        <is>
          <t>Entretien et réparation du réseau d'assainissement et de drainage</t>
        </is>
      </c>
      <c r="G64" s="10" t="inlineStr">
        <is>
          <t>Travaux de curage des canaux en terre</t>
        </is>
      </c>
      <c r="H64" s="10" t="inlineStr">
        <is>
          <t>Curage des emissaires et colatures secondaires secteurs N1</t>
        </is>
      </c>
      <c r="I64" s="11" t="n">
        <v>3000000</v>
      </c>
      <c r="J64" s="12" t="inlineStr">
        <is>
          <t>ml</t>
        </is>
      </c>
      <c r="K64" s="13" t="n">
        <v>1500</v>
      </c>
      <c r="L64" s="51" t="n"/>
      <c r="M64" s="56">
        <f>'S45'!M64+L64</f>
        <v/>
      </c>
      <c r="N64" s="57">
        <f>IFERROR(M64/K64,0)</f>
        <v/>
      </c>
      <c r="O64" s="58">
        <f>'S45'!N64</f>
        <v/>
      </c>
      <c r="P64" s="57">
        <f>N64-O64</f>
        <v/>
      </c>
      <c r="Q64" s="32" t="n"/>
      <c r="R64" s="32" t="n"/>
      <c r="S64" s="32" t="n"/>
      <c r="T64" s="55" t="n"/>
      <c r="U64" s="58">
        <f>'S45'!T64</f>
        <v/>
      </c>
      <c r="V64" s="57">
        <f>T64-U64</f>
        <v/>
      </c>
      <c r="W64" s="57">
        <f>N64-T64</f>
        <v/>
      </c>
      <c r="X64" s="34" t="n"/>
    </row>
    <row r="65" ht="22" customHeight="1">
      <c r="B65" s="5" t="n">
        <v>61</v>
      </c>
      <c r="C65" s="14" t="inlineStr">
        <is>
          <t>Kénitra</t>
        </is>
      </c>
      <c r="D65" s="5" t="inlineStr">
        <is>
          <t>Sidi Med Lahmar</t>
        </is>
      </c>
      <c r="E65" s="5" t="inlineStr">
        <is>
          <t>40-21</t>
        </is>
      </c>
      <c r="F65" s="5" t="inlineStr">
        <is>
          <t>Travaux de pistes</t>
        </is>
      </c>
      <c r="G65" s="5" t="inlineStr">
        <is>
          <t>Travaux de réhabilitation des pistes agricoles</t>
        </is>
      </c>
      <c r="H65" s="5" t="inlineStr">
        <is>
          <t>Entretien des pistes agricoles des secteurs N9 et N1</t>
        </is>
      </c>
      <c r="I65" s="7" t="n">
        <v>3000000</v>
      </c>
      <c r="J65" s="8" t="inlineStr">
        <is>
          <t>km</t>
        </is>
      </c>
      <c r="K65" s="9" t="n">
        <v>6</v>
      </c>
      <c r="L65" s="51" t="n"/>
      <c r="M65" s="52">
        <f>'S45'!M65+L65</f>
        <v/>
      </c>
      <c r="N65" s="53">
        <f>IFERROR(M65/K65,0)</f>
        <v/>
      </c>
      <c r="O65" s="54">
        <f>'S45'!N65</f>
        <v/>
      </c>
      <c r="P65" s="53">
        <f>N65-O65</f>
        <v/>
      </c>
      <c r="Q65" s="32" t="n"/>
      <c r="R65" s="32" t="n"/>
      <c r="S65" s="32" t="n"/>
      <c r="T65" s="55" t="n"/>
      <c r="U65" s="54">
        <f>'S45'!T65</f>
        <v/>
      </c>
      <c r="V65" s="53">
        <f>T65-U65</f>
        <v/>
      </c>
      <c r="W65" s="53">
        <f>N65-T65</f>
        <v/>
      </c>
      <c r="X65" s="34" t="n"/>
    </row>
    <row r="66" ht="22" customHeight="1">
      <c r="B66" s="10" t="n">
        <v>62</v>
      </c>
      <c r="C66" s="14" t="inlineStr">
        <is>
          <t>Kénitra</t>
        </is>
      </c>
      <c r="D66" s="10" t="inlineStr">
        <is>
          <t>Mograne</t>
        </is>
      </c>
      <c r="E66" s="10" t="inlineStr">
        <is>
          <t>50-23</t>
        </is>
      </c>
      <c r="F66" s="10" t="inlineStr">
        <is>
          <t>Entretien et réparation du réseau d'assainissement et de drainage</t>
        </is>
      </c>
      <c r="G66" s="10" t="inlineStr">
        <is>
          <t>Travaux de curage des canaux en terre</t>
        </is>
      </c>
      <c r="H66" s="10" t="inlineStr">
        <is>
          <t>Curage des canaux d'assainissement Hors secteur équipé ghoufera et laison beht sebou ,</t>
        </is>
      </c>
      <c r="I66" s="11" t="n">
        <v>6000000</v>
      </c>
      <c r="J66" s="12" t="inlineStr">
        <is>
          <t>ml</t>
        </is>
      </c>
      <c r="K66" s="13" t="n">
        <v>3000</v>
      </c>
      <c r="L66" s="51" t="n"/>
      <c r="M66" s="56">
        <f>'S45'!M66+L66</f>
        <v/>
      </c>
      <c r="N66" s="57">
        <f>IFERROR(M66/K66,0)</f>
        <v/>
      </c>
      <c r="O66" s="58">
        <f>'S45'!N66</f>
        <v/>
      </c>
      <c r="P66" s="57">
        <f>N66-O66</f>
        <v/>
      </c>
      <c r="Q66" s="32" t="n"/>
      <c r="R66" s="32" t="n"/>
      <c r="S66" s="32" t="n"/>
      <c r="T66" s="55" t="n"/>
      <c r="U66" s="58">
        <f>'S45'!T66</f>
        <v/>
      </c>
      <c r="V66" s="57">
        <f>T66-U66</f>
        <v/>
      </c>
      <c r="W66" s="57">
        <f>N66-T66</f>
        <v/>
      </c>
      <c r="X66" s="34" t="n"/>
    </row>
    <row r="67" ht="22" customHeight="1">
      <c r="B67" s="5" t="n">
        <v>63</v>
      </c>
      <c r="C67" s="14" t="inlineStr">
        <is>
          <t>Kénitra</t>
        </is>
      </c>
      <c r="D67" s="5" t="inlineStr">
        <is>
          <t>Mograne</t>
        </is>
      </c>
      <c r="E67" s="5" t="inlineStr">
        <is>
          <t>40-21</t>
        </is>
      </c>
      <c r="F67" s="5" t="inlineStr">
        <is>
          <t>Travaux de pistes</t>
        </is>
      </c>
      <c r="G67" s="5" t="inlineStr">
        <is>
          <t>Travaux de réhabilitation des pistes agricoles</t>
        </is>
      </c>
      <c r="H67" s="5" t="inlineStr">
        <is>
          <t>Entretien des pistes agricoles des secteurs SEBOU1,SEBOU2? BEHT3 et BEHT4</t>
        </is>
      </c>
      <c r="I67" s="7" t="n">
        <v>6000000</v>
      </c>
      <c r="J67" s="8" t="inlineStr">
        <is>
          <t>km</t>
        </is>
      </c>
      <c r="K67" s="9" t="n">
        <v>12</v>
      </c>
      <c r="L67" s="51" t="n"/>
      <c r="M67" s="52">
        <f>'S45'!M67+L67</f>
        <v/>
      </c>
      <c r="N67" s="53">
        <f>IFERROR(M67/K67,0)</f>
        <v/>
      </c>
      <c r="O67" s="54">
        <f>'S45'!N67</f>
        <v/>
      </c>
      <c r="P67" s="53">
        <f>N67-O67</f>
        <v/>
      </c>
      <c r="Q67" s="32" t="n"/>
      <c r="R67" s="32" t="n"/>
      <c r="S67" s="32" t="n"/>
      <c r="T67" s="55" t="n"/>
      <c r="U67" s="54">
        <f>'S45'!T67</f>
        <v/>
      </c>
      <c r="V67" s="53">
        <f>T67-U67</f>
        <v/>
      </c>
      <c r="W67" s="53">
        <f>N67-T67</f>
        <v/>
      </c>
      <c r="X67" s="34" t="n"/>
    </row>
    <row r="68" ht="22" customHeight="1">
      <c r="B68" s="10" t="n">
        <v>64</v>
      </c>
      <c r="C68" s="14" t="inlineStr">
        <is>
          <t>Kénitra</t>
        </is>
      </c>
      <c r="D68" s="10" t="inlineStr">
        <is>
          <t>Sidi allal tazi</t>
        </is>
      </c>
      <c r="E68" s="10" t="inlineStr">
        <is>
          <t>50-23</t>
        </is>
      </c>
      <c r="F68" s="10" t="inlineStr">
        <is>
          <t>Entretien et réparation du réseau d'assainissement et de drainage</t>
        </is>
      </c>
      <c r="G68" s="10" t="inlineStr">
        <is>
          <t>Travaux de curage des canaux en terre</t>
        </is>
      </c>
      <c r="H68" s="10" t="inlineStr">
        <is>
          <t>Curage du canaL d'assainissement CK,</t>
        </is>
      </c>
      <c r="I68" s="11" t="n">
        <v>3000000</v>
      </c>
      <c r="J68" s="12" t="inlineStr">
        <is>
          <t>ml</t>
        </is>
      </c>
      <c r="K68" s="13" t="n">
        <v>1500</v>
      </c>
      <c r="L68" s="51" t="n"/>
      <c r="M68" s="56">
        <f>'S45'!M68+L68</f>
        <v/>
      </c>
      <c r="N68" s="57">
        <f>IFERROR(M68/K68,0)</f>
        <v/>
      </c>
      <c r="O68" s="58">
        <f>'S45'!N68</f>
        <v/>
      </c>
      <c r="P68" s="57">
        <f>N68-O68</f>
        <v/>
      </c>
      <c r="Q68" s="32" t="n"/>
      <c r="R68" s="32" t="n"/>
      <c r="S68" s="32" t="n"/>
      <c r="T68" s="55" t="n"/>
      <c r="U68" s="58">
        <f>'S45'!T68</f>
        <v/>
      </c>
      <c r="V68" s="57">
        <f>T68-U68</f>
        <v/>
      </c>
      <c r="W68" s="57">
        <f>N68-T68</f>
        <v/>
      </c>
      <c r="X68" s="34" t="n"/>
    </row>
    <row r="69" ht="22" customHeight="1">
      <c r="B69" s="5" t="n">
        <v>65</v>
      </c>
      <c r="C69" s="14" t="inlineStr">
        <is>
          <t>Kénitra</t>
        </is>
      </c>
      <c r="D69" s="5" t="inlineStr">
        <is>
          <t>AMEUR SAFLIA</t>
        </is>
      </c>
      <c r="E69" s="5" t="inlineStr">
        <is>
          <t>50-23</t>
        </is>
      </c>
      <c r="F69" s="5" t="inlineStr">
        <is>
          <t>Entretien et réparation du réseau d'assainissement et de drainage</t>
        </is>
      </c>
      <c r="G69" s="5" t="inlineStr">
        <is>
          <t>Travaux de curage des canaux en terre</t>
        </is>
      </c>
      <c r="H69" s="5" t="inlineStr">
        <is>
          <t>Curage des canaux d'assainissement amontTtiflt Sebou,</t>
        </is>
      </c>
      <c r="I69" s="7" t="n">
        <v>1000000</v>
      </c>
      <c r="J69" s="8" t="inlineStr">
        <is>
          <t>ml</t>
        </is>
      </c>
      <c r="K69" s="9" t="n">
        <v>500</v>
      </c>
      <c r="L69" s="51" t="n"/>
      <c r="M69" s="52">
        <f>'S45'!M69+L69</f>
        <v/>
      </c>
      <c r="N69" s="53">
        <f>IFERROR(M69/K69,0)</f>
        <v/>
      </c>
      <c r="O69" s="54">
        <f>'S45'!N69</f>
        <v/>
      </c>
      <c r="P69" s="53">
        <f>N69-O69</f>
        <v/>
      </c>
      <c r="Q69" s="32" t="n"/>
      <c r="R69" s="32" t="n"/>
      <c r="S69" s="32" t="n"/>
      <c r="T69" s="55" t="n"/>
      <c r="U69" s="54">
        <f>'S45'!T69</f>
        <v/>
      </c>
      <c r="V69" s="53">
        <f>T69-U69</f>
        <v/>
      </c>
      <c r="W69" s="53">
        <f>N69-T69</f>
        <v/>
      </c>
      <c r="X69" s="34" t="n"/>
    </row>
    <row r="70" ht="22" customHeight="1">
      <c r="B70" s="10" t="n">
        <v>66</v>
      </c>
      <c r="C70" s="14" t="inlineStr">
        <is>
          <t>Kénitra</t>
        </is>
      </c>
      <c r="D70" s="10" t="inlineStr">
        <is>
          <t>Oulad SLAMA</t>
        </is>
      </c>
      <c r="E70" s="10" t="inlineStr">
        <is>
          <t>50-23</t>
        </is>
      </c>
      <c r="F70" s="10" t="inlineStr">
        <is>
          <t>Entretien et réparation du réseau d'assainissement et de drainage</t>
        </is>
      </c>
      <c r="G70" s="10" t="inlineStr">
        <is>
          <t>Travaux de curage des canaux en terre</t>
        </is>
      </c>
      <c r="H70" s="10" t="inlineStr">
        <is>
          <t>Curage des canaux d'assainissement debouche Tiflt aval,</t>
        </is>
      </c>
      <c r="I70" s="11" t="n">
        <v>1000000</v>
      </c>
      <c r="J70" s="12" t="inlineStr">
        <is>
          <t>ml</t>
        </is>
      </c>
      <c r="K70" s="13" t="n">
        <v>500</v>
      </c>
      <c r="L70" s="51" t="n"/>
      <c r="M70" s="56">
        <f>'S45'!M70+L70</f>
        <v/>
      </c>
      <c r="N70" s="57">
        <f>IFERROR(M70/K70,0)</f>
        <v/>
      </c>
      <c r="O70" s="58">
        <f>'S45'!N70</f>
        <v/>
      </c>
      <c r="P70" s="57">
        <f>N70-O70</f>
        <v/>
      </c>
      <c r="Q70" s="32" t="n"/>
      <c r="R70" s="32" t="n"/>
      <c r="S70" s="32" t="n"/>
      <c r="T70" s="55" t="n"/>
      <c r="U70" s="58">
        <f>'S45'!T70</f>
        <v/>
      </c>
      <c r="V70" s="57">
        <f>T70-U70</f>
        <v/>
      </c>
      <c r="W70" s="57">
        <f>N70-T70</f>
        <v/>
      </c>
      <c r="X70" s="34" t="n"/>
    </row>
    <row r="71" ht="22" customHeight="1">
      <c r="B71" s="5" t="n">
        <v>67</v>
      </c>
      <c r="C71" s="14" t="inlineStr">
        <is>
          <t>Kénitra</t>
        </is>
      </c>
      <c r="D71" s="5" t="inlineStr">
        <is>
          <t>BHARA Oulad AYAD</t>
        </is>
      </c>
      <c r="E71" s="5" t="inlineStr">
        <is>
          <t>50-23</t>
        </is>
      </c>
      <c r="F71" s="5" t="inlineStr">
        <is>
          <t>Entretien et réparation du réseau d'assainissement et de drainage</t>
        </is>
      </c>
      <c r="G71" s="5" t="inlineStr">
        <is>
          <t>Travaux de curage des canaux en terre</t>
        </is>
      </c>
      <c r="H71" s="5" t="inlineStr">
        <is>
          <t>Curage des canaux d'assainissement canal nador bas et haut segmet,</t>
        </is>
      </c>
      <c r="I71" s="7" t="n">
        <v>6600000</v>
      </c>
      <c r="J71" s="8" t="inlineStr">
        <is>
          <t>ml</t>
        </is>
      </c>
      <c r="K71" s="9" t="n">
        <v>3300</v>
      </c>
      <c r="L71" s="51" t="n"/>
      <c r="M71" s="52">
        <f>'S45'!M71+L71</f>
        <v/>
      </c>
      <c r="N71" s="53">
        <f>IFERROR(M71/K71,0)</f>
        <v/>
      </c>
      <c r="O71" s="54">
        <f>'S45'!N71</f>
        <v/>
      </c>
      <c r="P71" s="53">
        <f>N71-O71</f>
        <v/>
      </c>
      <c r="Q71" s="32" t="n"/>
      <c r="R71" s="32" t="n"/>
      <c r="S71" s="32" t="n"/>
      <c r="T71" s="55" t="n"/>
      <c r="U71" s="54">
        <f>'S45'!T71</f>
        <v/>
      </c>
      <c r="V71" s="53">
        <f>T71-U71</f>
        <v/>
      </c>
      <c r="W71" s="53">
        <f>N71-T71</f>
        <v/>
      </c>
      <c r="X71" s="34" t="n"/>
    </row>
    <row r="72" ht="22" customHeight="1">
      <c r="B72" s="10" t="n">
        <v>68</v>
      </c>
      <c r="C72" s="15" t="inlineStr">
        <is>
          <t>Sidi Slimane</t>
        </is>
      </c>
      <c r="D72" s="10" t="inlineStr">
        <is>
          <t>OULED HCEINE</t>
        </is>
      </c>
      <c r="E72" s="10" t="inlineStr">
        <is>
          <t>50-23</t>
        </is>
      </c>
      <c r="F72" s="10" t="inlineStr">
        <is>
          <t>Entretien et réparation du réseau d'assainissement et de drainage</t>
        </is>
      </c>
      <c r="G72" s="10" t="inlineStr">
        <is>
          <t>Travaux de curage des canaux en terre</t>
        </is>
      </c>
      <c r="H72" s="10" t="inlineStr">
        <is>
          <t>Curage des collecteurs d'assainissement du secteur EST4.</t>
        </is>
      </c>
      <c r="I72" s="11" t="n">
        <v>1805475</v>
      </c>
      <c r="J72" s="12" t="inlineStr">
        <is>
          <t>ml</t>
        </is>
      </c>
      <c r="K72" s="13" t="n">
        <v>903</v>
      </c>
      <c r="L72" s="51" t="n"/>
      <c r="M72" s="56">
        <f>'S45'!M72+L72</f>
        <v/>
      </c>
      <c r="N72" s="57">
        <f>IFERROR(M72/K72,0)</f>
        <v/>
      </c>
      <c r="O72" s="58">
        <f>'S45'!N72</f>
        <v/>
      </c>
      <c r="P72" s="57">
        <f>N72-O72</f>
        <v/>
      </c>
      <c r="Q72" s="32" t="n"/>
      <c r="R72" s="32" t="n"/>
      <c r="S72" s="32" t="n"/>
      <c r="T72" s="55" t="n"/>
      <c r="U72" s="58">
        <f>'S45'!T72</f>
        <v/>
      </c>
      <c r="V72" s="57">
        <f>T72-U72</f>
        <v/>
      </c>
      <c r="W72" s="57">
        <f>N72-T72</f>
        <v/>
      </c>
      <c r="X72" s="34" t="n"/>
    </row>
    <row r="73" ht="22" customHeight="1">
      <c r="B73" s="5" t="n">
        <v>69</v>
      </c>
      <c r="C73" s="15" t="inlineStr">
        <is>
          <t>Sidi Slimane</t>
        </is>
      </c>
      <c r="D73" s="5" t="inlineStr">
        <is>
          <t>OULED HCEINE</t>
        </is>
      </c>
      <c r="E73" s="5" t="inlineStr">
        <is>
          <t>50-23</t>
        </is>
      </c>
      <c r="F73" s="5" t="inlineStr">
        <is>
          <t>Entretien et réparation du réseau d'assainissement et de drainage</t>
        </is>
      </c>
      <c r="G73" s="5" t="inlineStr">
        <is>
          <t>Travaux de curage des canaux en terre</t>
        </is>
      </c>
      <c r="H73" s="5" t="inlineStr">
        <is>
          <t>Curage du canal d'assainissement Tihli central.</t>
        </is>
      </c>
      <c r="I73" s="7" t="n">
        <v>2587200</v>
      </c>
      <c r="J73" s="8" t="inlineStr">
        <is>
          <t>ml</t>
        </is>
      </c>
      <c r="K73" s="9" t="n">
        <v>1294</v>
      </c>
      <c r="L73" s="51" t="n"/>
      <c r="M73" s="52">
        <f>'S45'!M73+L73</f>
        <v/>
      </c>
      <c r="N73" s="53">
        <f>IFERROR(M73/K73,0)</f>
        <v/>
      </c>
      <c r="O73" s="54">
        <f>'S45'!N73</f>
        <v/>
      </c>
      <c r="P73" s="53">
        <f>N73-O73</f>
        <v/>
      </c>
      <c r="Q73" s="32" t="n"/>
      <c r="R73" s="32" t="n"/>
      <c r="S73" s="32" t="n"/>
      <c r="T73" s="55" t="n"/>
      <c r="U73" s="54">
        <f>'S45'!T73</f>
        <v/>
      </c>
      <c r="V73" s="53">
        <f>T73-U73</f>
        <v/>
      </c>
      <c r="W73" s="53">
        <f>N73-T73</f>
        <v/>
      </c>
      <c r="X73" s="34" t="n"/>
    </row>
    <row r="74" ht="22" customHeight="1">
      <c r="B74" s="10" t="n">
        <v>70</v>
      </c>
      <c r="C74" s="15" t="inlineStr">
        <is>
          <t>Sidi Slimane</t>
        </is>
      </c>
      <c r="D74" s="10" t="inlineStr">
        <is>
          <t>OULED HCEINE</t>
        </is>
      </c>
      <c r="E74" s="10" t="inlineStr">
        <is>
          <t>40-21</t>
        </is>
      </c>
      <c r="F74" s="10" t="inlineStr">
        <is>
          <t>Travaux de pistes</t>
        </is>
      </c>
      <c r="G74" s="10" t="inlineStr">
        <is>
          <t>Travaux de réhabilitation des pistes agricoles</t>
        </is>
      </c>
      <c r="H74" s="10" t="inlineStr">
        <is>
          <t>Entretien des pistes agricoles</t>
        </is>
      </c>
      <c r="I74" s="11" t="n">
        <v>3500000</v>
      </c>
      <c r="J74" s="12" t="inlineStr">
        <is>
          <t>km</t>
        </is>
      </c>
      <c r="K74" s="13" t="n">
        <v>7</v>
      </c>
      <c r="L74" s="51" t="n"/>
      <c r="M74" s="56">
        <f>'S45'!M74+L74</f>
        <v/>
      </c>
      <c r="N74" s="57">
        <f>IFERROR(M74/K74,0)</f>
        <v/>
      </c>
      <c r="O74" s="58">
        <f>'S45'!N74</f>
        <v/>
      </c>
      <c r="P74" s="57">
        <f>N74-O74</f>
        <v/>
      </c>
      <c r="Q74" s="32" t="n"/>
      <c r="R74" s="32" t="n"/>
      <c r="S74" s="32" t="n"/>
      <c r="T74" s="55" t="n"/>
      <c r="U74" s="58">
        <f>'S45'!T74</f>
        <v/>
      </c>
      <c r="V74" s="57">
        <f>T74-U74</f>
        <v/>
      </c>
      <c r="W74" s="57">
        <f>N74-T74</f>
        <v/>
      </c>
      <c r="X74" s="34" t="n"/>
    </row>
    <row r="75" ht="22" customHeight="1">
      <c r="B75" s="5" t="n">
        <v>71</v>
      </c>
      <c r="C75" s="15" t="inlineStr">
        <is>
          <t>Sidi Slimane</t>
        </is>
      </c>
      <c r="D75" s="5" t="inlineStr">
        <is>
          <t>OULED HCEINE</t>
        </is>
      </c>
      <c r="E75" s="5" t="inlineStr">
        <is>
          <t>50-21</t>
        </is>
      </c>
      <c r="F75" s="5" t="inlineStr">
        <is>
          <t>Entretien et réparation des stations de pompage</t>
        </is>
      </c>
      <c r="G75" s="5" t="inlineStr">
        <is>
          <t>Travaux de réparation des équipements hydromécaniques et éléctriques et entretien de la partie génie civil des stations de pompage.</t>
        </is>
      </c>
      <c r="H75" s="5" t="inlineStr">
        <is>
          <t>Démontage et expertise des roues des  pompes principaux et pompes a vide de la station EST4 et P11/2.
Changement des roulements, tresses et organes d’effectués de la station EST4 et P11/2
Changement deux débitmètre Ø 1200 mm de la station EST4 et un débimétre de la station P11/2.
Changement des capteurs de niveau inondés.
Révision et réparation des moteurs des vannes motorisées inondées.
changement de six contrôleurs de débits DW181 inondés.
Un capteur de débitmètre inondé nécessitent un diagnostic VEGASON  .
Entretien de l'éclairage du local de vide et bâche d’aspiration inondé de la station EST4 et la partie de l’éclairage du local des pompes inondées de la station P11/2.
Pose de gabions et recouvrement du talus par matelas Reno des stations de pompage P11/2</t>
        </is>
      </c>
      <c r="I75" s="7" t="n">
        <v>870000</v>
      </c>
      <c r="J75" s="8" t="inlineStr">
        <is>
          <t>U</t>
        </is>
      </c>
      <c r="K75" s="9" t="n">
        <v>4</v>
      </c>
      <c r="L75" s="51" t="n"/>
      <c r="M75" s="52">
        <f>'S45'!M75+L75</f>
        <v/>
      </c>
      <c r="N75" s="53">
        <f>IFERROR(M75/K75,0)</f>
        <v/>
      </c>
      <c r="O75" s="54">
        <f>'S45'!N75</f>
        <v/>
      </c>
      <c r="P75" s="53">
        <f>N75-O75</f>
        <v/>
      </c>
      <c r="Q75" s="32" t="n"/>
      <c r="R75" s="32" t="n"/>
      <c r="S75" s="32" t="n"/>
      <c r="T75" s="55" t="n"/>
      <c r="U75" s="54">
        <f>'S45'!T75</f>
        <v/>
      </c>
      <c r="V75" s="53">
        <f>T75-U75</f>
        <v/>
      </c>
      <c r="W75" s="53">
        <f>N75-T75</f>
        <v/>
      </c>
      <c r="X75" s="34" t="n"/>
    </row>
    <row r="76" ht="22" customHeight="1">
      <c r="B76" s="10" t="n">
        <v>72</v>
      </c>
      <c r="C76" s="15" t="inlineStr">
        <is>
          <t>Sidi Slimane</t>
        </is>
      </c>
      <c r="D76" s="10" t="inlineStr">
        <is>
          <t>OULED HCEINE</t>
        </is>
      </c>
      <c r="E76" s="10" t="inlineStr">
        <is>
          <t>50-23</t>
        </is>
      </c>
      <c r="F76" s="10" t="inlineStr">
        <is>
          <t>Entretien et réparation du réseau d'assainissement et de drainage</t>
        </is>
      </c>
      <c r="G76" s="10" t="inlineStr">
        <is>
          <t>Travaux de curage des prises des stations de pompage.</t>
        </is>
      </c>
      <c r="H76" s="10" t="inlineStr">
        <is>
          <t>Curage des siphones des station de pompage EST2 et P11/2.</t>
        </is>
      </c>
      <c r="I76" s="11" t="n">
        <v>500000</v>
      </c>
      <c r="J76" s="12" t="inlineStr">
        <is>
          <t>ml</t>
        </is>
      </c>
      <c r="K76" s="13" t="n">
        <v>167</v>
      </c>
      <c r="L76" s="51" t="n"/>
      <c r="M76" s="56">
        <f>'S45'!M76+L76</f>
        <v/>
      </c>
      <c r="N76" s="57">
        <f>IFERROR(M76/K76,0)</f>
        <v/>
      </c>
      <c r="O76" s="58">
        <f>'S45'!N76</f>
        <v/>
      </c>
      <c r="P76" s="57">
        <f>N76-O76</f>
        <v/>
      </c>
      <c r="Q76" s="32" t="n"/>
      <c r="R76" s="32" t="n"/>
      <c r="S76" s="32" t="n"/>
      <c r="T76" s="55" t="n"/>
      <c r="U76" s="58">
        <f>'S45'!T76</f>
        <v/>
      </c>
      <c r="V76" s="57">
        <f>T76-U76</f>
        <v/>
      </c>
      <c r="W76" s="57">
        <f>N76-T76</f>
        <v/>
      </c>
      <c r="X76" s="34" t="n"/>
    </row>
    <row r="77" ht="26" customHeight="1">
      <c r="B77" s="16" t="inlineStr">
        <is>
          <t>TOTAL</t>
        </is>
      </c>
      <c r="C77" s="16" t="n"/>
      <c r="D77" s="16" t="n"/>
      <c r="E77" s="16" t="n"/>
      <c r="F77" s="16" t="n"/>
      <c r="G77" s="16" t="n"/>
      <c r="H77" s="16" t="n"/>
      <c r="I77" s="17">
        <f>SUM(I5:I76)</f>
        <v/>
      </c>
      <c r="J77" s="16" t="n"/>
      <c r="K77" s="16" t="n"/>
      <c r="L77" s="59">
        <f>SUM(L5:L76)</f>
        <v/>
      </c>
      <c r="M77" s="59">
        <f>SUM(M5:M76)</f>
        <v/>
      </c>
      <c r="N77" s="60">
        <f>IFERROR(SUMPRODUCT(N5:N76,I5:I76)/I77,0)</f>
        <v/>
      </c>
      <c r="O77" s="60">
        <f>IFERROR(SUMPRODUCT(O5:O76,I5:I76)/I77,0)</f>
        <v/>
      </c>
      <c r="P77" s="60">
        <f>N77-O77</f>
        <v/>
      </c>
      <c r="Q77" s="17">
        <f>SUM(Q5:Q76)</f>
        <v/>
      </c>
      <c r="R77" s="17">
        <f>SUM(R5:R76)</f>
        <v/>
      </c>
      <c r="S77" s="17">
        <f>SUM(S5:S76)</f>
        <v/>
      </c>
      <c r="T77" s="60">
        <f>IFERROR(SUMPRODUCT(T5:T76,I5:I76)/I77,0)</f>
        <v/>
      </c>
      <c r="U77" s="60">
        <f>IFERROR(SUMPRODUCT(U5:U76,I5:I76)/I77,0)</f>
        <v/>
      </c>
      <c r="V77" s="60">
        <f>T77-U77</f>
        <v/>
      </c>
      <c r="W77" s="60">
        <f>N77-T77</f>
        <v/>
      </c>
      <c r="X77" s="16" t="n"/>
    </row>
  </sheetData>
  <sheetProtection selectLockedCells="0" selectUnlockedCells="0" sheet="1" objects="0" insertRows="1" insertHyperlinks="1" autoFilter="1" scenarios="0" formatColumns="1" deleteColumns="1" insertColumns="1" pivotTables="1" deleteRows="1" formatCells="1" formatRows="1" sort="1" password="CBBE"/>
  <mergeCells count="6">
    <mergeCell ref="E3:I3"/>
    <mergeCell ref="W3:X3"/>
    <mergeCell ref="J3:P3"/>
    <mergeCell ref="B2:X2"/>
    <mergeCell ref="C3:D3"/>
    <mergeCell ref="Q3:V3"/>
  </mergeCells>
  <conditionalFormatting sqref="P5:P76">
    <cfRule type="cellIs" priority="1" operator="greaterThan" dxfId="0">
      <formula>0</formula>
    </cfRule>
    <cfRule type="cellIs" priority="2" operator="lessThan" dxfId="1">
      <formula>0</formula>
    </cfRule>
  </conditionalFormatting>
  <conditionalFormatting sqref="V5:V76">
    <cfRule type="cellIs" priority="3" operator="greaterThan" dxfId="0">
      <formula>0</formula>
    </cfRule>
    <cfRule type="cellIs" priority="4" operator="lessThan" dxfId="1">
      <formula>0</formula>
    </cfRule>
  </conditionalFormatting>
  <conditionalFormatting sqref="W5:W76">
    <cfRule type="cellIs" priority="5" operator="greaterThan" dxfId="0">
      <formula>0.05</formula>
    </cfRule>
    <cfRule type="cellIs" priority="6" operator="lessThan" dxfId="1">
      <formula>-0.05</formula>
    </cfRule>
    <cfRule type="cellIs" priority="7" operator="between" dxfId="2">
      <formula>-0.05</formula>
      <formula>0.05</formula>
    </cfRule>
  </conditionalFormatting>
  <conditionalFormatting sqref="N5:N76">
    <cfRule type="dataBar" priority="8">
      <dataBar showValue="1">
        <cfvo type="num" val="0"/>
        <cfvo type="num" val="1"/>
        <color rgb="001B7D46"/>
      </dataBar>
    </cfRule>
  </conditionalFormatting>
  <conditionalFormatting sqref="T5:T76">
    <cfRule type="dataBar" priority="9">
      <dataBar showValue="1">
        <cfvo type="num" val="0"/>
        <cfvo type="num" val="1"/>
        <color rgb="00D4820A"/>
      </dataBar>
    </cfRule>
  </conditionalFormatting>
  <dataValidations count="2">
    <dataValidation sqref="T5:T76" showDropDown="0" showInputMessage="0" showErrorMessage="0" allowBlank="1" errorTitle="Invalide" error="Valeur entre 0% et 100%" promptTitle="Avancement %" prompt="Entrez 0.25 pour 25%" type="decimal" operator="between">
      <formula1>0</formula1>
      <formula2>1</formula2>
    </dataValidation>
    <dataValidation sqref="L5:L76" showDropDown="0" showInputMessage="0" showErrorMessage="0" allowBlank="1" errorTitle="Invalide" error="Quantité doit être &gt;= 0" promptTitle="Qté Réalisée" prompt="Entrez la quantité réalisée cette semaine" type="decimal" operator="greaterThanOrEqual">
      <formula1>0</formula1>
    </dataValidation>
  </dataValidations>
  <pageMargins left="0.75" right="0.75" top="1" bottom="1" header="0.5" footer="0.5"/>
</worksheet>
</file>

<file path=xl/worksheets/sheet27.xml><?xml version="1.0" encoding="utf-8"?>
<worksheet xmlns="http://schemas.openxmlformats.org/spreadsheetml/2006/main">
  <sheetPr>
    <tabColor rgb="00BF8F00"/>
    <outlinePr summaryBelow="1" summaryRight="1"/>
    <pageSetUpPr/>
  </sheetPr>
  <dimension ref="B2:X77"/>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5" customWidth="1" min="2" max="2"/>
    <col width="14" customWidth="1" min="3" max="3"/>
    <col width="18" customWidth="1" min="4" max="4"/>
    <col width="9" customWidth="1" min="5" max="5"/>
    <col width="32" customWidth="1" min="6" max="6"/>
    <col width="28" customWidth="1" min="7" max="7"/>
    <col width="34" customWidth="1" min="8" max="8"/>
    <col width="14" customWidth="1" min="9" max="9"/>
    <col width="8" customWidth="1" min="10" max="10"/>
    <col width="12" customWidth="1" min="11" max="11"/>
    <col width="14" customWidth="1" min="12" max="12"/>
    <col width="14" customWidth="1" min="13" max="13"/>
    <col width="14" customWidth="1" min="14" max="14"/>
    <col width="14" customWidth="1" min="15" max="15"/>
    <col width="14" customWidth="1" min="16" max="16"/>
    <col width="16" customWidth="1" min="17" max="17"/>
    <col width="16" customWidth="1" min="18" max="18"/>
    <col width="16" customWidth="1" min="19" max="19"/>
    <col width="14" customWidth="1" min="20" max="20"/>
    <col width="14" customWidth="1" min="21" max="21"/>
    <col width="14" customWidth="1" min="22" max="22"/>
    <col width="14" customWidth="1" min="23" max="23"/>
    <col width="24" customWidth="1" min="24" max="24"/>
  </cols>
  <sheetData>
    <row r="1" ht="15" customHeight="1"/>
    <row r="2" ht="32" customHeight="1">
      <c r="B2" s="1" t="inlineStr">
        <is>
          <t>Suivi Hebdomadaire - Semaine 47 (16/11 - 22/11) — Novembre 2026 - Exécution Physique et Financière</t>
        </is>
      </c>
    </row>
    <row r="3" ht="22" customHeight="1">
      <c r="B3" s="20" t="inlineStr">
        <is>
          <t>Date :</t>
        </is>
      </c>
      <c r="C3" s="49" t="n">
        <v>46342</v>
      </c>
      <c r="D3" s="50" t="n"/>
      <c r="E3" s="22" t="inlineStr">
        <is>
          <t>IDENTIFICATION</t>
        </is>
      </c>
      <c r="J3" s="23" t="inlineStr">
        <is>
          <t>INDICATEURS PHYSIQUES</t>
        </is>
      </c>
      <c r="Q3" s="24" t="inlineStr">
        <is>
          <t>INDICATEURS FINANCIERS</t>
        </is>
      </c>
      <c r="W3" s="25" t="inlineStr">
        <is>
          <t>SYNTHÈSE</t>
        </is>
      </c>
    </row>
    <row r="4" ht="28" customHeight="1">
      <c r="B4" s="4" t="inlineStr">
        <is>
          <t>N°</t>
        </is>
      </c>
      <c r="C4" s="4" t="inlineStr">
        <is>
          <t>Province</t>
        </is>
      </c>
      <c r="D4" s="4" t="inlineStr">
        <is>
          <t>Commune</t>
        </is>
      </c>
      <c r="E4" s="4" t="inlineStr">
        <is>
          <t>Rubrique</t>
        </is>
      </c>
      <c r="F4" s="4" t="inlineStr">
        <is>
          <t>Intitulé Rubrique</t>
        </is>
      </c>
      <c r="G4" s="4" t="inlineStr">
        <is>
          <t>Projet</t>
        </is>
      </c>
      <c r="H4" s="4" t="inlineStr">
        <is>
          <t>Consistance</t>
        </is>
      </c>
      <c r="I4" s="4" t="inlineStr">
        <is>
          <t>Coût Total (DH)</t>
        </is>
      </c>
      <c r="J4" s="26" t="inlineStr">
        <is>
          <t>Unité</t>
        </is>
      </c>
      <c r="K4" s="26" t="inlineStr">
        <is>
          <t>Qté Prévue</t>
        </is>
      </c>
      <c r="L4" s="26" t="inlineStr">
        <is>
          <t>Qté Réalisée Sem.</t>
        </is>
      </c>
      <c r="M4" s="26" t="inlineStr">
        <is>
          <t>Qté Réalisée Cumul</t>
        </is>
      </c>
      <c r="N4" s="26" t="inlineStr">
        <is>
          <t>Avancement Physique %</t>
        </is>
      </c>
      <c r="O4" s="26" t="inlineStr">
        <is>
          <t>% Phys. Sem. Préc.</t>
        </is>
      </c>
      <c r="P4" s="26" t="inlineStr">
        <is>
          <t>Accroissement Phys. %</t>
        </is>
      </c>
      <c r="Q4" s="27" t="inlineStr">
        <is>
          <t>Montant Décaissé (DH)</t>
        </is>
      </c>
      <c r="R4" s="27" t="inlineStr">
        <is>
          <t>Montant Payé (DH)</t>
        </is>
      </c>
      <c r="S4" s="27" t="inlineStr">
        <is>
          <t>Montant Ordonné (DH)</t>
        </is>
      </c>
      <c r="T4" s="27" t="inlineStr">
        <is>
          <t>Avancement Financier %</t>
        </is>
      </c>
      <c r="U4" s="27" t="inlineStr">
        <is>
          <t>% Fin. Sem. Préc.</t>
        </is>
      </c>
      <c r="V4" s="27" t="inlineStr">
        <is>
          <t>Accroissement Fin. %</t>
        </is>
      </c>
      <c r="W4" s="28" t="inlineStr">
        <is>
          <t>Écart Phys.-Fin.</t>
        </is>
      </c>
      <c r="X4" s="28" t="inlineStr">
        <is>
          <t>Observations</t>
        </is>
      </c>
    </row>
    <row r="5" ht="22" customHeight="1">
      <c r="B5" s="5" t="n">
        <v>1</v>
      </c>
      <c r="C5" s="6" t="inlineStr">
        <is>
          <t>Sidi Kacem</t>
        </is>
      </c>
      <c r="D5" s="5" t="inlineStr">
        <is>
          <t>KHENICHET</t>
        </is>
      </c>
      <c r="E5" s="5" t="inlineStr">
        <is>
          <t>50-23</t>
        </is>
      </c>
      <c r="F5" s="5" t="inlineStr">
        <is>
          <t>Entretien et réparation du réseau d'assainissement et de drainage</t>
        </is>
      </c>
      <c r="G5" s="5" t="inlineStr">
        <is>
          <t>Travaux de curage des canaux en terre</t>
        </is>
      </c>
      <c r="H5" s="5" t="inlineStr">
        <is>
          <t>Curage des collecteurs d'assainissement du secteur EST2</t>
        </is>
      </c>
      <c r="I5" s="7" t="n">
        <v>2091568</v>
      </c>
      <c r="J5" s="8" t="inlineStr">
        <is>
          <t>ml</t>
        </is>
      </c>
      <c r="K5" s="9" t="n">
        <v>1046</v>
      </c>
      <c r="L5" s="51" t="n"/>
      <c r="M5" s="52">
        <f>'S46'!M5+L5</f>
        <v/>
      </c>
      <c r="N5" s="53">
        <f>IFERROR(M5/K5,0)</f>
        <v/>
      </c>
      <c r="O5" s="54">
        <f>'S46'!N5</f>
        <v/>
      </c>
      <c r="P5" s="53">
        <f>N5-O5</f>
        <v/>
      </c>
      <c r="Q5" s="32" t="n"/>
      <c r="R5" s="32" t="n"/>
      <c r="S5" s="32" t="n"/>
      <c r="T5" s="55" t="n"/>
      <c r="U5" s="54">
        <f>'S46'!T5</f>
        <v/>
      </c>
      <c r="V5" s="53">
        <f>T5-U5</f>
        <v/>
      </c>
      <c r="W5" s="53">
        <f>N5-T5</f>
        <v/>
      </c>
      <c r="X5" s="34" t="n"/>
    </row>
    <row r="6" ht="22" customHeight="1">
      <c r="B6" s="10" t="n">
        <v>2</v>
      </c>
      <c r="C6" s="6" t="inlineStr">
        <is>
          <t>Sidi Kacem</t>
        </is>
      </c>
      <c r="D6" s="10" t="inlineStr">
        <is>
          <t>KHENICHET</t>
        </is>
      </c>
      <c r="E6" s="10" t="inlineStr">
        <is>
          <t>40-21</t>
        </is>
      </c>
      <c r="F6" s="10" t="inlineStr">
        <is>
          <t>Travaux de pistes</t>
        </is>
      </c>
      <c r="G6" s="10" t="inlineStr">
        <is>
          <t>Travaux de réhabilitation des pistes agricoles</t>
        </is>
      </c>
      <c r="H6" s="10" t="inlineStr">
        <is>
          <t>Entretien des pistes agricoles Douar Nouagra et Douar ouled Salem</t>
        </is>
      </c>
      <c r="I6" s="11" t="n">
        <v>78000</v>
      </c>
      <c r="J6" s="12" t="inlineStr">
        <is>
          <t>km</t>
        </is>
      </c>
      <c r="K6" s="13" t="n">
        <v>1</v>
      </c>
      <c r="L6" s="51" t="n"/>
      <c r="M6" s="56">
        <f>'S46'!M6+L6</f>
        <v/>
      </c>
      <c r="N6" s="57">
        <f>IFERROR(M6/K6,0)</f>
        <v/>
      </c>
      <c r="O6" s="58">
        <f>'S46'!N6</f>
        <v/>
      </c>
      <c r="P6" s="57">
        <f>N6-O6</f>
        <v/>
      </c>
      <c r="Q6" s="32" t="n"/>
      <c r="R6" s="32" t="n"/>
      <c r="S6" s="32" t="n"/>
      <c r="T6" s="55" t="n"/>
      <c r="U6" s="58">
        <f>'S46'!T6</f>
        <v/>
      </c>
      <c r="V6" s="57">
        <f>T6-U6</f>
        <v/>
      </c>
      <c r="W6" s="57">
        <f>N6-T6</f>
        <v/>
      </c>
      <c r="X6" s="34" t="n"/>
    </row>
    <row r="7" ht="22" customHeight="1">
      <c r="B7" s="5" t="n">
        <v>3</v>
      </c>
      <c r="C7" s="6" t="inlineStr">
        <is>
          <t>Sidi Kacem</t>
        </is>
      </c>
      <c r="D7" s="5" t="inlineStr">
        <is>
          <t>KHENICHET</t>
        </is>
      </c>
      <c r="E7" s="5" t="inlineStr">
        <is>
          <t>50-23</t>
        </is>
      </c>
      <c r="F7" s="5" t="inlineStr">
        <is>
          <t>Entretien et réparation du réseau d'assainissement et de drainage</t>
        </is>
      </c>
      <c r="G7" s="5" t="inlineStr">
        <is>
          <t>Curage des prises sur l’oued, bâche d’aspiration et bassin de régulation.</t>
        </is>
      </c>
      <c r="H7" s="5" t="inlineStr">
        <is>
          <t>Curage de la chambre des joints de démontage des siphonnes  de la station de pompage EST2.</t>
        </is>
      </c>
      <c r="I7" s="7" t="n">
        <v>126000</v>
      </c>
      <c r="J7" s="8" t="inlineStr">
        <is>
          <t>ml</t>
        </is>
      </c>
      <c r="K7" s="9" t="n">
        <v>42</v>
      </c>
      <c r="L7" s="51" t="n"/>
      <c r="M7" s="52">
        <f>'S46'!M7+L7</f>
        <v/>
      </c>
      <c r="N7" s="53">
        <f>IFERROR(M7/K7,0)</f>
        <v/>
      </c>
      <c r="O7" s="54">
        <f>'S46'!N7</f>
        <v/>
      </c>
      <c r="P7" s="53">
        <f>N7-O7</f>
        <v/>
      </c>
      <c r="Q7" s="32" t="n"/>
      <c r="R7" s="32" t="n"/>
      <c r="S7" s="32" t="n"/>
      <c r="T7" s="55" t="n"/>
      <c r="U7" s="54">
        <f>'S46'!T7</f>
        <v/>
      </c>
      <c r="V7" s="53">
        <f>T7-U7</f>
        <v/>
      </c>
      <c r="W7" s="53">
        <f>N7-T7</f>
        <v/>
      </c>
      <c r="X7" s="34" t="n"/>
    </row>
    <row r="8" ht="22" customHeight="1">
      <c r="B8" s="10" t="n">
        <v>4</v>
      </c>
      <c r="C8" s="6" t="inlineStr">
        <is>
          <t>Sidi Kacem</t>
        </is>
      </c>
      <c r="D8" s="10" t="inlineStr">
        <is>
          <t>KHENICHET</t>
        </is>
      </c>
      <c r="E8" s="10" t="inlineStr">
        <is>
          <t>50-21</t>
        </is>
      </c>
      <c r="F8" s="10" t="inlineStr">
        <is>
          <t>Entretien et réparation des stations de pompage</t>
        </is>
      </c>
      <c r="G8" s="10" t="inlineStr">
        <is>
          <t>Prestation de maintenance des débitmètres et leurs équipements annexes installés au niveau des station de pompage</t>
        </is>
      </c>
      <c r="H8" s="10" t="inlineStr">
        <is>
          <t>Changement trois débitmètre Ø 600mm inondés de la station de pompage EST 2 et deux capteurs VEGASON 62</t>
        </is>
      </c>
      <c r="I8" s="11" t="n">
        <v>165500</v>
      </c>
      <c r="J8" s="12" t="inlineStr">
        <is>
          <t>U</t>
        </is>
      </c>
      <c r="K8" s="13" t="n">
        <v>3</v>
      </c>
      <c r="L8" s="51" t="n"/>
      <c r="M8" s="56">
        <f>'S46'!M8+L8</f>
        <v/>
      </c>
      <c r="N8" s="57">
        <f>IFERROR(M8/K8,0)</f>
        <v/>
      </c>
      <c r="O8" s="58">
        <f>'S46'!N8</f>
        <v/>
      </c>
      <c r="P8" s="57">
        <f>N8-O8</f>
        <v/>
      </c>
      <c r="Q8" s="32" t="n"/>
      <c r="R8" s="32" t="n"/>
      <c r="S8" s="32" t="n"/>
      <c r="T8" s="55" t="n"/>
      <c r="U8" s="58">
        <f>'S46'!T8</f>
        <v/>
      </c>
      <c r="V8" s="57">
        <f>T8-U8</f>
        <v/>
      </c>
      <c r="W8" s="57">
        <f>N8-T8</f>
        <v/>
      </c>
      <c r="X8" s="34" t="n"/>
    </row>
    <row r="9" ht="22" customHeight="1">
      <c r="B9" s="5" t="n">
        <v>5</v>
      </c>
      <c r="C9" s="6" t="inlineStr">
        <is>
          <t>Sidi Kacem</t>
        </is>
      </c>
      <c r="D9" s="5" t="inlineStr">
        <is>
          <t>BIR TALEB</t>
        </is>
      </c>
      <c r="E9" s="5" t="inlineStr">
        <is>
          <t>50-23</t>
        </is>
      </c>
      <c r="F9" s="5" t="inlineStr">
        <is>
          <t>Entretien et réparation du réseau d'assainissement et de drainage</t>
        </is>
      </c>
      <c r="G9" s="5" t="inlineStr">
        <is>
          <t>Travaux de curage des canaux en terre</t>
        </is>
      </c>
      <c r="H9" s="5" t="inlineStr">
        <is>
          <t>Curage du canal d'assainisement Tihli Aval</t>
        </is>
      </c>
      <c r="I9" s="7" t="n">
        <v>1000000</v>
      </c>
      <c r="J9" s="8" t="inlineStr">
        <is>
          <t>ml</t>
        </is>
      </c>
      <c r="K9" s="9" t="n">
        <v>500</v>
      </c>
      <c r="L9" s="51" t="n"/>
      <c r="M9" s="52">
        <f>'S46'!M9+L9</f>
        <v/>
      </c>
      <c r="N9" s="53">
        <f>IFERROR(M9/K9,0)</f>
        <v/>
      </c>
      <c r="O9" s="54">
        <f>'S46'!N9</f>
        <v/>
      </c>
      <c r="P9" s="53">
        <f>N9-O9</f>
        <v/>
      </c>
      <c r="Q9" s="32" t="n"/>
      <c r="R9" s="32" t="n"/>
      <c r="S9" s="32" t="n"/>
      <c r="T9" s="55" t="n"/>
      <c r="U9" s="54">
        <f>'S46'!T9</f>
        <v/>
      </c>
      <c r="V9" s="53">
        <f>T9-U9</f>
        <v/>
      </c>
      <c r="W9" s="53">
        <f>N9-T9</f>
        <v/>
      </c>
      <c r="X9" s="34" t="n"/>
    </row>
    <row r="10" ht="22" customHeight="1">
      <c r="B10" s="10" t="n">
        <v>6</v>
      </c>
      <c r="C10" s="6" t="inlineStr">
        <is>
          <t>Sidi Kacem</t>
        </is>
      </c>
      <c r="D10" s="10" t="inlineStr">
        <is>
          <t>BIR TALEB</t>
        </is>
      </c>
      <c r="E10" s="10" t="inlineStr">
        <is>
          <t>50-23</t>
        </is>
      </c>
      <c r="F10" s="10" t="inlineStr">
        <is>
          <t>Entretien et réparation du réseau d'assainissement et de drainage</t>
        </is>
      </c>
      <c r="G10" s="10" t="inlineStr"/>
      <c r="H10" s="10" t="inlineStr">
        <is>
          <t>Curage des collecteurs d'assainissement du secteur P11/1</t>
        </is>
      </c>
      <c r="I10" s="11" t="n">
        <v>846731</v>
      </c>
      <c r="J10" s="12" t="inlineStr">
        <is>
          <t>ml</t>
        </is>
      </c>
      <c r="K10" s="13" t="n">
        <v>423</v>
      </c>
      <c r="L10" s="51" t="n"/>
      <c r="M10" s="56">
        <f>'S46'!M10+L10</f>
        <v/>
      </c>
      <c r="N10" s="57">
        <f>IFERROR(M10/K10,0)</f>
        <v/>
      </c>
      <c r="O10" s="58">
        <f>'S46'!N10</f>
        <v/>
      </c>
      <c r="P10" s="57">
        <f>N10-O10</f>
        <v/>
      </c>
      <c r="Q10" s="32" t="n"/>
      <c r="R10" s="32" t="n"/>
      <c r="S10" s="32" t="n"/>
      <c r="T10" s="55" t="n"/>
      <c r="U10" s="58">
        <f>'S46'!T10</f>
        <v/>
      </c>
      <c r="V10" s="57">
        <f>T10-U10</f>
        <v/>
      </c>
      <c r="W10" s="57">
        <f>N10-T10</f>
        <v/>
      </c>
      <c r="X10" s="34" t="n"/>
    </row>
    <row r="11" ht="22" customHeight="1">
      <c r="B11" s="5" t="n">
        <v>7</v>
      </c>
      <c r="C11" s="6" t="inlineStr">
        <is>
          <t>Sidi Kacem</t>
        </is>
      </c>
      <c r="D11" s="5" t="inlineStr">
        <is>
          <t>BIR TALEB</t>
        </is>
      </c>
      <c r="E11" s="5" t="inlineStr">
        <is>
          <t>50-23</t>
        </is>
      </c>
      <c r="F11" s="5" t="inlineStr">
        <is>
          <t>Entretien et réparation du réseau d'assainissement et de drainage</t>
        </is>
      </c>
      <c r="G11" s="5" t="inlineStr">
        <is>
          <t>Curage des prises sur l’oued, bâche d’aspiration et bassin de régulation.</t>
        </is>
      </c>
      <c r="H11" s="5" t="inlineStr">
        <is>
          <t>Curage des prises sur l’oued de la station de pompage P11/1.</t>
        </is>
      </c>
      <c r="I11" s="7" t="n">
        <v>200000</v>
      </c>
      <c r="J11" s="8" t="inlineStr">
        <is>
          <t>ml</t>
        </is>
      </c>
      <c r="K11" s="9" t="n">
        <v>67</v>
      </c>
      <c r="L11" s="51" t="n"/>
      <c r="M11" s="52">
        <f>'S46'!M11+L11</f>
        <v/>
      </c>
      <c r="N11" s="53">
        <f>IFERROR(M11/K11,0)</f>
        <v/>
      </c>
      <c r="O11" s="54">
        <f>'S46'!N11</f>
        <v/>
      </c>
      <c r="P11" s="53">
        <f>N11-O11</f>
        <v/>
      </c>
      <c r="Q11" s="32" t="n"/>
      <c r="R11" s="32" t="n"/>
      <c r="S11" s="32" t="n"/>
      <c r="T11" s="55" t="n"/>
      <c r="U11" s="54">
        <f>'S46'!T11</f>
        <v/>
      </c>
      <c r="V11" s="53">
        <f>T11-U11</f>
        <v/>
      </c>
      <c r="W11" s="53">
        <f>N11-T11</f>
        <v/>
      </c>
      <c r="X11" s="34" t="n"/>
    </row>
    <row r="12" ht="22" customHeight="1">
      <c r="B12" s="10" t="n">
        <v>8</v>
      </c>
      <c r="C12" s="6" t="inlineStr">
        <is>
          <t>Sidi Kacem</t>
        </is>
      </c>
      <c r="D12" s="10" t="inlineStr">
        <is>
          <t>BIR TALEB</t>
        </is>
      </c>
      <c r="E12" s="10" t="inlineStr">
        <is>
          <t>50-21</t>
        </is>
      </c>
      <c r="F12" s="10" t="inlineStr">
        <is>
          <t>Entretien et réparation des stations de pompage</t>
        </is>
      </c>
      <c r="G12" s="10" t="inlineStr">
        <is>
          <t>Prestation de maintenance des débitmètres et leurs équipements annexes installés au niveau des station de pompage</t>
        </is>
      </c>
      <c r="H12" s="10" t="inlineStr">
        <is>
          <t>Changement trois débitmètre Ø 400mm inondés de la station de pompage P11/1</t>
        </is>
      </c>
      <c r="I12" s="11" t="n">
        <v>141900</v>
      </c>
      <c r="J12" s="12" t="inlineStr">
        <is>
          <t>U</t>
        </is>
      </c>
      <c r="K12" s="13" t="n">
        <v>3</v>
      </c>
      <c r="L12" s="51" t="n"/>
      <c r="M12" s="56">
        <f>'S46'!M12+L12</f>
        <v/>
      </c>
      <c r="N12" s="57">
        <f>IFERROR(M12/K12,0)</f>
        <v/>
      </c>
      <c r="O12" s="58">
        <f>'S46'!N12</f>
        <v/>
      </c>
      <c r="P12" s="57">
        <f>N12-O12</f>
        <v/>
      </c>
      <c r="Q12" s="32" t="n"/>
      <c r="R12" s="32" t="n"/>
      <c r="S12" s="32" t="n"/>
      <c r="T12" s="55" t="n"/>
      <c r="U12" s="58">
        <f>'S46'!T12</f>
        <v/>
      </c>
      <c r="V12" s="57">
        <f>T12-U12</f>
        <v/>
      </c>
      <c r="W12" s="57">
        <f>N12-T12</f>
        <v/>
      </c>
      <c r="X12" s="34" t="n"/>
    </row>
    <row r="13" ht="22" customHeight="1">
      <c r="B13" s="5" t="n">
        <v>9</v>
      </c>
      <c r="C13" s="6" t="inlineStr">
        <is>
          <t>Sidi Kacem</t>
        </is>
      </c>
      <c r="D13" s="5" t="inlineStr">
        <is>
          <t>BIR TALEB</t>
        </is>
      </c>
      <c r="E13" s="5" t="inlineStr">
        <is>
          <t>50-21</t>
        </is>
      </c>
      <c r="F13" s="5" t="inlineStr">
        <is>
          <t>Entretien et réparation des stations de pompage</t>
        </is>
      </c>
      <c r="G13" s="5" t="inlineStr">
        <is>
          <t>Prestations de maintenance et de réparation mécanique des pompes et des groupes motopompes submersibles des stations de pompage.</t>
        </is>
      </c>
      <c r="H13" s="5" t="inlineStr">
        <is>
          <t>Démontage et expertise des roues des  pompes principaux et pompes a vide de la station P11/1
Changement des roulements, tresses et organes d’effectués de la station P11/1</t>
        </is>
      </c>
      <c r="I13" s="7" t="n">
        <v>26700</v>
      </c>
      <c r="J13" s="8" t="inlineStr">
        <is>
          <t>U</t>
        </is>
      </c>
      <c r="K13" s="9" t="n">
        <v>1</v>
      </c>
      <c r="L13" s="51" t="n"/>
      <c r="M13" s="52">
        <f>'S46'!M13+L13</f>
        <v/>
      </c>
      <c r="N13" s="53">
        <f>IFERROR(M13/K13,0)</f>
        <v/>
      </c>
      <c r="O13" s="54">
        <f>'S46'!N13</f>
        <v/>
      </c>
      <c r="P13" s="53">
        <f>N13-O13</f>
        <v/>
      </c>
      <c r="Q13" s="32" t="n"/>
      <c r="R13" s="32" t="n"/>
      <c r="S13" s="32" t="n"/>
      <c r="T13" s="55" t="n"/>
      <c r="U13" s="54">
        <f>'S46'!T13</f>
        <v/>
      </c>
      <c r="V13" s="53">
        <f>T13-U13</f>
        <v/>
      </c>
      <c r="W13" s="53">
        <f>N13-T13</f>
        <v/>
      </c>
      <c r="X13" s="34" t="n"/>
    </row>
    <row r="14" ht="22" customHeight="1">
      <c r="B14" s="10" t="n">
        <v>10</v>
      </c>
      <c r="C14" s="6" t="inlineStr">
        <is>
          <t>Sidi Kacem</t>
        </is>
      </c>
      <c r="D14" s="10" t="inlineStr">
        <is>
          <t>BIR TALEB</t>
        </is>
      </c>
      <c r="E14" s="10" t="inlineStr">
        <is>
          <t>50-21</t>
        </is>
      </c>
      <c r="F14" s="10" t="inlineStr">
        <is>
          <t>Entretien et réparation des stations de pompage</t>
        </is>
      </c>
      <c r="G14" s="10" t="inlineStr">
        <is>
          <t>Stabilisation Berge oued</t>
        </is>
      </c>
      <c r="H14" s="10" t="inlineStr">
        <is>
          <t>Pose de  gabions et recouvrement du talus par matelas Reno des stations de pompage P11/1.</t>
        </is>
      </c>
      <c r="I14" s="11" t="n">
        <v>480000</v>
      </c>
      <c r="J14" s="12" t="inlineStr">
        <is>
          <t>m³</t>
        </is>
      </c>
      <c r="K14" s="13" t="n">
        <v>320</v>
      </c>
      <c r="L14" s="51" t="n"/>
      <c r="M14" s="56">
        <f>'S46'!M14+L14</f>
        <v/>
      </c>
      <c r="N14" s="57">
        <f>IFERROR(M14/K14,0)</f>
        <v/>
      </c>
      <c r="O14" s="58">
        <f>'S46'!N14</f>
        <v/>
      </c>
      <c r="P14" s="57">
        <f>N14-O14</f>
        <v/>
      </c>
      <c r="Q14" s="32" t="n"/>
      <c r="R14" s="32" t="n"/>
      <c r="S14" s="32" t="n"/>
      <c r="T14" s="55" t="n"/>
      <c r="U14" s="58">
        <f>'S46'!T14</f>
        <v/>
      </c>
      <c r="V14" s="57">
        <f>T14-U14</f>
        <v/>
      </c>
      <c r="W14" s="57">
        <f>N14-T14</f>
        <v/>
      </c>
      <c r="X14" s="34" t="n"/>
    </row>
    <row r="15" ht="22" customHeight="1">
      <c r="B15" s="5" t="n">
        <v>11</v>
      </c>
      <c r="C15" s="6" t="inlineStr">
        <is>
          <t>Sidi Kacem</t>
        </is>
      </c>
      <c r="D15" s="5" t="inlineStr">
        <is>
          <t>BIR TALEB</t>
        </is>
      </c>
      <c r="E15" s="5" t="inlineStr">
        <is>
          <t>50-21</t>
        </is>
      </c>
      <c r="F15" s="5" t="inlineStr">
        <is>
          <t>Entretien et réparation des stations de pompage</t>
        </is>
      </c>
      <c r="G15" s="5" t="inlineStr">
        <is>
          <t>Génie civile des locaux des stations de pompage.</t>
        </is>
      </c>
      <c r="H15" s="5" t="inlineStr">
        <is>
          <t>Expertise d’état et d’étanchéité des locaux pompes.
Renforcement d’étanchéité des locaux pompe sous niveau des oueds des stations de pompage P11/1.
Entretien des supports en béton des conduites d’aspiration.</t>
        </is>
      </c>
      <c r="I15" s="7" t="n">
        <v>300000</v>
      </c>
      <c r="J15" s="8" t="inlineStr">
        <is>
          <t>U</t>
        </is>
      </c>
      <c r="K15" s="9" t="n">
        <v>1</v>
      </c>
      <c r="L15" s="51" t="n"/>
      <c r="M15" s="52">
        <f>'S46'!M15+L15</f>
        <v/>
      </c>
      <c r="N15" s="53">
        <f>IFERROR(M15/K15,0)</f>
        <v/>
      </c>
      <c r="O15" s="54">
        <f>'S46'!N15</f>
        <v/>
      </c>
      <c r="P15" s="53">
        <f>N15-O15</f>
        <v/>
      </c>
      <c r="Q15" s="32" t="n"/>
      <c r="R15" s="32" t="n"/>
      <c r="S15" s="32" t="n"/>
      <c r="T15" s="55" t="n"/>
      <c r="U15" s="54">
        <f>'S46'!T15</f>
        <v/>
      </c>
      <c r="V15" s="53">
        <f>T15-U15</f>
        <v/>
      </c>
      <c r="W15" s="53">
        <f>N15-T15</f>
        <v/>
      </c>
      <c r="X15" s="34" t="n"/>
    </row>
    <row r="16" ht="22" customHeight="1">
      <c r="B16" s="10" t="n">
        <v>12</v>
      </c>
      <c r="C16" s="6" t="inlineStr">
        <is>
          <t>Sidi Kacem</t>
        </is>
      </c>
      <c r="D16" s="10" t="inlineStr">
        <is>
          <t>CHEBANAT</t>
        </is>
      </c>
      <c r="E16" s="10" t="inlineStr">
        <is>
          <t>50-23</t>
        </is>
      </c>
      <c r="F16" s="10" t="inlineStr">
        <is>
          <t>Entretien et réparation du réseau d'assainissement et de drainage</t>
        </is>
      </c>
      <c r="G16" s="10" t="inlineStr">
        <is>
          <t>Travaux de curage des canaux en terre</t>
        </is>
      </c>
      <c r="H16" s="10" t="inlineStr">
        <is>
          <t>Curage des collecteurs d'assainissement des secteur SH5 et SH6.</t>
        </is>
      </c>
      <c r="I16" s="11" t="n">
        <v>1000000</v>
      </c>
      <c r="J16" s="12" t="inlineStr">
        <is>
          <t>ml</t>
        </is>
      </c>
      <c r="K16" s="13" t="n">
        <v>500</v>
      </c>
      <c r="L16" s="51" t="n"/>
      <c r="M16" s="56">
        <f>'S46'!M16+L16</f>
        <v/>
      </c>
      <c r="N16" s="57">
        <f>IFERROR(M16/K16,0)</f>
        <v/>
      </c>
      <c r="O16" s="58">
        <f>'S46'!N16</f>
        <v/>
      </c>
      <c r="P16" s="57">
        <f>N16-O16</f>
        <v/>
      </c>
      <c r="Q16" s="32" t="n"/>
      <c r="R16" s="32" t="n"/>
      <c r="S16" s="32" t="n"/>
      <c r="T16" s="55" t="n"/>
      <c r="U16" s="58">
        <f>'S46'!T16</f>
        <v/>
      </c>
      <c r="V16" s="57">
        <f>T16-U16</f>
        <v/>
      </c>
      <c r="W16" s="57">
        <f>N16-T16</f>
        <v/>
      </c>
      <c r="X16" s="34" t="n"/>
    </row>
    <row r="17" ht="22" customHeight="1">
      <c r="B17" s="5" t="n">
        <v>13</v>
      </c>
      <c r="C17" s="6" t="inlineStr">
        <is>
          <t>Sidi Kacem</t>
        </is>
      </c>
      <c r="D17" s="5" t="inlineStr">
        <is>
          <t>CHEBANAT</t>
        </is>
      </c>
      <c r="E17" s="5" t="inlineStr">
        <is>
          <t>50-23</t>
        </is>
      </c>
      <c r="F17" s="5" t="inlineStr">
        <is>
          <t>Entretien et réparation du réseau d'assainissement et de drainage</t>
        </is>
      </c>
      <c r="G17" s="5" t="inlineStr">
        <is>
          <t>Travaux de curage des canaux révetus</t>
        </is>
      </c>
      <c r="H17" s="5" t="inlineStr">
        <is>
          <t>Curage du canal principal d'irrigation beht partie aval 1.</t>
        </is>
      </c>
      <c r="I17" s="7" t="n">
        <v>739200</v>
      </c>
      <c r="J17" s="8" t="inlineStr">
        <is>
          <t>ml</t>
        </is>
      </c>
      <c r="K17" s="9" t="n">
        <v>370</v>
      </c>
      <c r="L17" s="51" t="n"/>
      <c r="M17" s="52">
        <f>'S46'!M17+L17</f>
        <v/>
      </c>
      <c r="N17" s="53">
        <f>IFERROR(M17/K17,0)</f>
        <v/>
      </c>
      <c r="O17" s="54">
        <f>'S46'!N17</f>
        <v/>
      </c>
      <c r="P17" s="53">
        <f>N17-O17</f>
        <v/>
      </c>
      <c r="Q17" s="32" t="n"/>
      <c r="R17" s="32" t="n"/>
      <c r="S17" s="32" t="n"/>
      <c r="T17" s="55" t="n"/>
      <c r="U17" s="54">
        <f>'S46'!T17</f>
        <v/>
      </c>
      <c r="V17" s="53">
        <f>T17-U17</f>
        <v/>
      </c>
      <c r="W17" s="53">
        <f>N17-T17</f>
        <v/>
      </c>
      <c r="X17" s="34" t="n"/>
    </row>
    <row r="18" ht="22" customHeight="1">
      <c r="B18" s="10" t="n">
        <v>14</v>
      </c>
      <c r="C18" s="6" t="inlineStr">
        <is>
          <t>Sidi Kacem</t>
        </is>
      </c>
      <c r="D18" s="10" t="inlineStr">
        <is>
          <t>ZIRARA</t>
        </is>
      </c>
      <c r="E18" s="10" t="inlineStr">
        <is>
          <t>50-23</t>
        </is>
      </c>
      <c r="F18" s="10" t="inlineStr">
        <is>
          <t>Entretien et réparation du réseau d'assainissement et de drainage</t>
        </is>
      </c>
      <c r="G18" s="10" t="inlineStr">
        <is>
          <t>Travaux de curage des canaux révetus</t>
        </is>
      </c>
      <c r="H18" s="10" t="inlineStr">
        <is>
          <t>Curage du canal principal d'irrigation beht partie aval 2.</t>
        </is>
      </c>
      <c r="I18" s="11" t="n">
        <v>1276800</v>
      </c>
      <c r="J18" s="12" t="inlineStr">
        <is>
          <t>ml</t>
        </is>
      </c>
      <c r="K18" s="13" t="n">
        <v>638</v>
      </c>
      <c r="L18" s="51" t="n"/>
      <c r="M18" s="56">
        <f>'S46'!M18+L18</f>
        <v/>
      </c>
      <c r="N18" s="57">
        <f>IFERROR(M18/K18,0)</f>
        <v/>
      </c>
      <c r="O18" s="58">
        <f>'S46'!N18</f>
        <v/>
      </c>
      <c r="P18" s="57">
        <f>N18-O18</f>
        <v/>
      </c>
      <c r="Q18" s="32" t="n"/>
      <c r="R18" s="32" t="n"/>
      <c r="S18" s="32" t="n"/>
      <c r="T18" s="55" t="n"/>
      <c r="U18" s="58">
        <f>'S46'!T18</f>
        <v/>
      </c>
      <c r="V18" s="57">
        <f>T18-U18</f>
        <v/>
      </c>
      <c r="W18" s="57">
        <f>N18-T18</f>
        <v/>
      </c>
      <c r="X18" s="34" t="n"/>
    </row>
    <row r="19" ht="22" customHeight="1">
      <c r="B19" s="5" t="n">
        <v>15</v>
      </c>
      <c r="C19" s="6" t="inlineStr">
        <is>
          <t>Sidi Kacem</t>
        </is>
      </c>
      <c r="D19" s="5" t="inlineStr">
        <is>
          <t>DAR LAASLOUJI</t>
        </is>
      </c>
      <c r="E19" s="5" t="inlineStr">
        <is>
          <t>50-23</t>
        </is>
      </c>
      <c r="F19" s="5" t="inlineStr">
        <is>
          <t>Entretien et réparation du réseau d'assainissement et de drainage</t>
        </is>
      </c>
      <c r="G19" s="5" t="inlineStr">
        <is>
          <t>Travaux de curage des canaux en terre</t>
        </is>
      </c>
      <c r="H19" s="5" t="inlineStr">
        <is>
          <t>Curage des collecteurs d'assainissement des secteurs P8-1 et P8-2</t>
        </is>
      </c>
      <c r="I19" s="7" t="n">
        <v>5796360</v>
      </c>
      <c r="J19" s="8" t="inlineStr">
        <is>
          <t>ml</t>
        </is>
      </c>
      <c r="K19" s="9" t="n">
        <v>2898</v>
      </c>
      <c r="L19" s="51" t="n"/>
      <c r="M19" s="52">
        <f>'S46'!M19+L19</f>
        <v/>
      </c>
      <c r="N19" s="53">
        <f>IFERROR(M19/K19,0)</f>
        <v/>
      </c>
      <c r="O19" s="54">
        <f>'S46'!N19</f>
        <v/>
      </c>
      <c r="P19" s="53">
        <f>N19-O19</f>
        <v/>
      </c>
      <c r="Q19" s="32" t="n"/>
      <c r="R19" s="32" t="n"/>
      <c r="S19" s="32" t="n"/>
      <c r="T19" s="55" t="n"/>
      <c r="U19" s="54">
        <f>'S46'!T19</f>
        <v/>
      </c>
      <c r="V19" s="53">
        <f>T19-U19</f>
        <v/>
      </c>
      <c r="W19" s="53">
        <f>N19-T19</f>
        <v/>
      </c>
      <c r="X19" s="34" t="n"/>
    </row>
    <row r="20" ht="22" customHeight="1">
      <c r="B20" s="10" t="n">
        <v>16</v>
      </c>
      <c r="C20" s="6" t="inlineStr">
        <is>
          <t>Sidi Kacem</t>
        </is>
      </c>
      <c r="D20" s="10" t="inlineStr">
        <is>
          <t>DAR LAASLOUJI</t>
        </is>
      </c>
      <c r="E20" s="10" t="inlineStr">
        <is>
          <t>40-21</t>
        </is>
      </c>
      <c r="F20" s="10" t="inlineStr">
        <is>
          <t>Travaux de pistes</t>
        </is>
      </c>
      <c r="G20" s="10" t="inlineStr">
        <is>
          <t>Entretien des pistes agricoles</t>
        </is>
      </c>
      <c r="H20" s="10" t="inlineStr">
        <is>
          <t>Entretien des pistes agricoles</t>
        </is>
      </c>
      <c r="I20" s="11" t="n">
        <v>340000</v>
      </c>
      <c r="J20" s="12" t="inlineStr">
        <is>
          <t>km</t>
        </is>
      </c>
      <c r="K20" s="13" t="n">
        <v>1</v>
      </c>
      <c r="L20" s="51" t="n"/>
      <c r="M20" s="56">
        <f>'S46'!M20+L20</f>
        <v/>
      </c>
      <c r="N20" s="57">
        <f>IFERROR(M20/K20,0)</f>
        <v/>
      </c>
      <c r="O20" s="58">
        <f>'S46'!N20</f>
        <v/>
      </c>
      <c r="P20" s="57">
        <f>N20-O20</f>
        <v/>
      </c>
      <c r="Q20" s="32" t="n"/>
      <c r="R20" s="32" t="n"/>
      <c r="S20" s="32" t="n"/>
      <c r="T20" s="55" t="n"/>
      <c r="U20" s="58">
        <f>'S46'!T20</f>
        <v/>
      </c>
      <c r="V20" s="57">
        <f>T20-U20</f>
        <v/>
      </c>
      <c r="W20" s="57">
        <f>N20-T20</f>
        <v/>
      </c>
      <c r="X20" s="34" t="n"/>
    </row>
    <row r="21" ht="22" customHeight="1">
      <c r="B21" s="5" t="n">
        <v>17</v>
      </c>
      <c r="C21" s="6" t="inlineStr">
        <is>
          <t>Sidi Kacem</t>
        </is>
      </c>
      <c r="D21" s="5" t="inlineStr">
        <is>
          <t>HOUAFATE</t>
        </is>
      </c>
      <c r="E21" s="5" t="inlineStr">
        <is>
          <t>20-11</t>
        </is>
      </c>
      <c r="F21" s="5" t="inlineStr">
        <is>
          <t>Travaux de réhabilitation des équipements</t>
        </is>
      </c>
      <c r="G21" s="5" t="inlineStr">
        <is>
          <t>Travaux de réhabilitation des canaux portés d'irrigation</t>
        </is>
      </c>
      <c r="H21" s="5" t="inlineStr">
        <is>
          <t>Fourniture et de pose de canaux porté et accessoires du réseau S3 du secteur S13</t>
        </is>
      </c>
      <c r="I21" s="7" t="n">
        <v>397934</v>
      </c>
      <c r="J21" s="8" t="inlineStr">
        <is>
          <t>ml</t>
        </is>
      </c>
      <c r="K21" s="9" t="n">
        <v>133</v>
      </c>
      <c r="L21" s="51" t="n"/>
      <c r="M21" s="52">
        <f>'S46'!M21+L21</f>
        <v/>
      </c>
      <c r="N21" s="53">
        <f>IFERROR(M21/K21,0)</f>
        <v/>
      </c>
      <c r="O21" s="54">
        <f>'S46'!N21</f>
        <v/>
      </c>
      <c r="P21" s="53">
        <f>N21-O21</f>
        <v/>
      </c>
      <c r="Q21" s="32" t="n"/>
      <c r="R21" s="32" t="n"/>
      <c r="S21" s="32" t="n"/>
      <c r="T21" s="55" t="n"/>
      <c r="U21" s="54">
        <f>'S46'!T21</f>
        <v/>
      </c>
      <c r="V21" s="53">
        <f>T21-U21</f>
        <v/>
      </c>
      <c r="W21" s="53">
        <f>N21-T21</f>
        <v/>
      </c>
      <c r="X21" s="34" t="n"/>
    </row>
    <row r="22" ht="22" customHeight="1">
      <c r="B22" s="10" t="n">
        <v>18</v>
      </c>
      <c r="C22" s="6" t="inlineStr">
        <is>
          <t>Sidi Kacem</t>
        </is>
      </c>
      <c r="D22" s="10" t="inlineStr">
        <is>
          <t>HOUAFATE</t>
        </is>
      </c>
      <c r="E22" s="10" t="inlineStr">
        <is>
          <t>20-11</t>
        </is>
      </c>
      <c r="F22" s="10" t="inlineStr">
        <is>
          <t>Travaux de réhabilitation des équipements</t>
        </is>
      </c>
      <c r="G22" s="10" t="inlineStr"/>
      <c r="H22" s="10" t="inlineStr">
        <is>
          <t>Fourniture et de pose de canaux porté et accessoires du réseau T2S1 du secteur S13</t>
        </is>
      </c>
      <c r="I22" s="11" t="n">
        <v>207575</v>
      </c>
      <c r="J22" s="12" t="inlineStr">
        <is>
          <t>ml</t>
        </is>
      </c>
      <c r="K22" s="13" t="n">
        <v>69</v>
      </c>
      <c r="L22" s="51" t="n"/>
      <c r="M22" s="56">
        <f>'S46'!M22+L22</f>
        <v/>
      </c>
      <c r="N22" s="57">
        <f>IFERROR(M22/K22,0)</f>
        <v/>
      </c>
      <c r="O22" s="58">
        <f>'S46'!N22</f>
        <v/>
      </c>
      <c r="P22" s="57">
        <f>N22-O22</f>
        <v/>
      </c>
      <c r="Q22" s="32" t="n"/>
      <c r="R22" s="32" t="n"/>
      <c r="S22" s="32" t="n"/>
      <c r="T22" s="55" t="n"/>
      <c r="U22" s="58">
        <f>'S46'!T22</f>
        <v/>
      </c>
      <c r="V22" s="57">
        <f>T22-U22</f>
        <v/>
      </c>
      <c r="W22" s="57">
        <f>N22-T22</f>
        <v/>
      </c>
      <c r="X22" s="34" t="n"/>
    </row>
    <row r="23" ht="22" customHeight="1">
      <c r="B23" s="5" t="n">
        <v>19</v>
      </c>
      <c r="C23" s="6" t="inlineStr">
        <is>
          <t>Sidi Kacem</t>
        </is>
      </c>
      <c r="D23" s="5" t="inlineStr">
        <is>
          <t>HOUAFATE</t>
        </is>
      </c>
      <c r="E23" s="5" t="inlineStr">
        <is>
          <t>40-21</t>
        </is>
      </c>
      <c r="F23" s="5" t="inlineStr">
        <is>
          <t>Travaux de pistes</t>
        </is>
      </c>
      <c r="G23" s="5" t="inlineStr">
        <is>
          <t>Entretien des pistes agricoles</t>
        </is>
      </c>
      <c r="H23" s="5" t="inlineStr">
        <is>
          <t>Entretien des pistes agricoles</t>
        </is>
      </c>
      <c r="I23" s="7" t="n">
        <v>2200000</v>
      </c>
      <c r="J23" s="8" t="inlineStr">
        <is>
          <t>km</t>
        </is>
      </c>
      <c r="K23" s="9" t="n">
        <v>4</v>
      </c>
      <c r="L23" s="51" t="n"/>
      <c r="M23" s="52">
        <f>'S46'!M23+L23</f>
        <v/>
      </c>
      <c r="N23" s="53">
        <f>IFERROR(M23/K23,0)</f>
        <v/>
      </c>
      <c r="O23" s="54">
        <f>'S46'!N23</f>
        <v/>
      </c>
      <c r="P23" s="53">
        <f>N23-O23</f>
        <v/>
      </c>
      <c r="Q23" s="32" t="n"/>
      <c r="R23" s="32" t="n"/>
      <c r="S23" s="32" t="n"/>
      <c r="T23" s="55" t="n"/>
      <c r="U23" s="54">
        <f>'S46'!T23</f>
        <v/>
      </c>
      <c r="V23" s="53">
        <f>T23-U23</f>
        <v/>
      </c>
      <c r="W23" s="53">
        <f>N23-T23</f>
        <v/>
      </c>
      <c r="X23" s="34" t="n"/>
    </row>
    <row r="24" ht="22" customHeight="1">
      <c r="B24" s="10" t="n">
        <v>20</v>
      </c>
      <c r="C24" s="6" t="inlineStr">
        <is>
          <t>Sidi Kacem</t>
        </is>
      </c>
      <c r="D24" s="10" t="inlineStr">
        <is>
          <t>HOUAFATE</t>
        </is>
      </c>
      <c r="E24" s="10" t="inlineStr">
        <is>
          <t>50-23</t>
        </is>
      </c>
      <c r="F24" s="10" t="inlineStr">
        <is>
          <t>Entretien et réparation du réseau d'assainissement et de drainage</t>
        </is>
      </c>
      <c r="G24" s="10" t="inlineStr">
        <is>
          <t>Curage des prises sur l’oued, bâche d’aspiration et bassin de régulation.</t>
        </is>
      </c>
      <c r="H24" s="10" t="inlineStr">
        <is>
          <t>Curage des prises sur l’oued de la station de pompage S17 et S13.
Nettoyage des grilles de préfiltration des boues colmaté de la station de pompage S17 et S13.
Curage de la bâche d’aspiration de la station S17 et S13.</t>
        </is>
      </c>
      <c r="I24" s="11" t="n">
        <v>300000</v>
      </c>
      <c r="J24" s="12" t="inlineStr">
        <is>
          <t>ml</t>
        </is>
      </c>
      <c r="K24" s="13" t="n">
        <v>100</v>
      </c>
      <c r="L24" s="51" t="n"/>
      <c r="M24" s="56">
        <f>'S46'!M24+L24</f>
        <v/>
      </c>
      <c r="N24" s="57">
        <f>IFERROR(M24/K24,0)</f>
        <v/>
      </c>
      <c r="O24" s="58">
        <f>'S46'!N24</f>
        <v/>
      </c>
      <c r="P24" s="57">
        <f>N24-O24</f>
        <v/>
      </c>
      <c r="Q24" s="32" t="n"/>
      <c r="R24" s="32" t="n"/>
      <c r="S24" s="32" t="n"/>
      <c r="T24" s="55" t="n"/>
      <c r="U24" s="58">
        <f>'S46'!T24</f>
        <v/>
      </c>
      <c r="V24" s="57">
        <f>T24-U24</f>
        <v/>
      </c>
      <c r="W24" s="57">
        <f>N24-T24</f>
        <v/>
      </c>
      <c r="X24" s="34" t="n"/>
    </row>
    <row r="25" ht="22" customHeight="1">
      <c r="B25" s="5" t="n">
        <v>21</v>
      </c>
      <c r="C25" s="6" t="inlineStr">
        <is>
          <t>Sidi Kacem</t>
        </is>
      </c>
      <c r="D25" s="5" t="inlineStr">
        <is>
          <t>HOUAFATE</t>
        </is>
      </c>
      <c r="E25" s="5" t="inlineStr">
        <is>
          <t>50-21</t>
        </is>
      </c>
      <c r="F25" s="5" t="inlineStr">
        <is>
          <t>Entretien et réparation des stations de pompage</t>
        </is>
      </c>
      <c r="G25" s="5" t="inlineStr">
        <is>
          <t>Prestation de maintenance des débitmètres et leurs équipements annexes installés au niveau des station de pompage</t>
        </is>
      </c>
      <c r="H25" s="5" t="inlineStr">
        <is>
          <t>Changement trois débitmètre Ø 600mm inondés de la station de pompage S13.</t>
        </is>
      </c>
      <c r="I25" s="7" t="n">
        <v>250000</v>
      </c>
      <c r="J25" s="8" t="inlineStr">
        <is>
          <t>U</t>
        </is>
      </c>
      <c r="K25" s="9" t="n">
        <v>3</v>
      </c>
      <c r="L25" s="51" t="n"/>
      <c r="M25" s="52">
        <f>'S46'!M25+L25</f>
        <v/>
      </c>
      <c r="N25" s="53">
        <f>IFERROR(M25/K25,0)</f>
        <v/>
      </c>
      <c r="O25" s="54">
        <f>'S46'!N25</f>
        <v/>
      </c>
      <c r="P25" s="53">
        <f>N25-O25</f>
        <v/>
      </c>
      <c r="Q25" s="32" t="n"/>
      <c r="R25" s="32" t="n"/>
      <c r="S25" s="32" t="n"/>
      <c r="T25" s="55" t="n"/>
      <c r="U25" s="54">
        <f>'S46'!T25</f>
        <v/>
      </c>
      <c r="V25" s="53">
        <f>T25-U25</f>
        <v/>
      </c>
      <c r="W25" s="53">
        <f>N25-T25</f>
        <v/>
      </c>
      <c r="X25" s="34" t="n"/>
    </row>
    <row r="26" ht="22" customHeight="1">
      <c r="B26" s="10" t="n">
        <v>22</v>
      </c>
      <c r="C26" s="6" t="inlineStr">
        <is>
          <t>Sidi Kacem</t>
        </is>
      </c>
      <c r="D26" s="10" t="inlineStr">
        <is>
          <t>HOUAFATE</t>
        </is>
      </c>
      <c r="E26" s="10" t="inlineStr">
        <is>
          <t>50-21</t>
        </is>
      </c>
      <c r="F26" s="10" t="inlineStr">
        <is>
          <t>Entretien et réparation des stations de pompage</t>
        </is>
      </c>
      <c r="G26" s="10" t="inlineStr">
        <is>
          <t>Prestations de maintenance des moteurs électriques des stations de pompage.</t>
        </is>
      </c>
      <c r="H26" s="10" t="inlineStr">
        <is>
          <t>Révision des trois moteurs électriques 200 KW principaux de la station S13. 
Révision des deux moteurs électriques 5,5 KW groupes vide de la station S13.</t>
        </is>
      </c>
      <c r="I26" s="11" t="n">
        <v>25000</v>
      </c>
      <c r="J26" s="12" t="inlineStr">
        <is>
          <t>U</t>
        </is>
      </c>
      <c r="K26" s="13" t="n">
        <v>3</v>
      </c>
      <c r="L26" s="51" t="n"/>
      <c r="M26" s="56">
        <f>'S46'!M26+L26</f>
        <v/>
      </c>
      <c r="N26" s="57">
        <f>IFERROR(M26/K26,0)</f>
        <v/>
      </c>
      <c r="O26" s="58">
        <f>'S46'!N26</f>
        <v/>
      </c>
      <c r="P26" s="57">
        <f>N26-O26</f>
        <v/>
      </c>
      <c r="Q26" s="32" t="n"/>
      <c r="R26" s="32" t="n"/>
      <c r="S26" s="32" t="n"/>
      <c r="T26" s="55" t="n"/>
      <c r="U26" s="58">
        <f>'S46'!T26</f>
        <v/>
      </c>
      <c r="V26" s="57">
        <f>T26-U26</f>
        <v/>
      </c>
      <c r="W26" s="57">
        <f>N26-T26</f>
        <v/>
      </c>
      <c r="X26" s="34" t="n"/>
    </row>
    <row r="27" ht="22" customHeight="1">
      <c r="B27" s="5" t="n">
        <v>23</v>
      </c>
      <c r="C27" s="6" t="inlineStr">
        <is>
          <t>Sidi Kacem</t>
        </is>
      </c>
      <c r="D27" s="5" t="inlineStr">
        <is>
          <t>HOUAFATE</t>
        </is>
      </c>
      <c r="E27" s="5" t="inlineStr">
        <is>
          <t>50-21</t>
        </is>
      </c>
      <c r="F27" s="5" t="inlineStr">
        <is>
          <t>Entretien et réparation des stations de pompage</t>
        </is>
      </c>
      <c r="G27" s="5" t="inlineStr">
        <is>
          <t>Prestations de maintenance et de réparation mécanique des pompes et des groupes motopompes submersibles des stations de pompage.</t>
        </is>
      </c>
      <c r="H27" s="5" t="inlineStr">
        <is>
          <t>Démontage et expertise des roues des  pompes principaux et pompes a vide de la station S13.
Changement des roulements, tresses et organes d’effectués de la station S13.</t>
        </is>
      </c>
      <c r="I27" s="7" t="n">
        <v>38000</v>
      </c>
      <c r="J27" s="8" t="inlineStr">
        <is>
          <t>U</t>
        </is>
      </c>
      <c r="K27" s="9" t="n">
        <v>1</v>
      </c>
      <c r="L27" s="51" t="n"/>
      <c r="M27" s="52">
        <f>'S46'!M27+L27</f>
        <v/>
      </c>
      <c r="N27" s="53">
        <f>IFERROR(M27/K27,0)</f>
        <v/>
      </c>
      <c r="O27" s="54">
        <f>'S46'!N27</f>
        <v/>
      </c>
      <c r="P27" s="53">
        <f>N27-O27</f>
        <v/>
      </c>
      <c r="Q27" s="32" t="n"/>
      <c r="R27" s="32" t="n"/>
      <c r="S27" s="32" t="n"/>
      <c r="T27" s="55" t="n"/>
      <c r="U27" s="54">
        <f>'S46'!T27</f>
        <v/>
      </c>
      <c r="V27" s="53">
        <f>T27-U27</f>
        <v/>
      </c>
      <c r="W27" s="53">
        <f>N27-T27</f>
        <v/>
      </c>
      <c r="X27" s="34" t="n"/>
    </row>
    <row r="28" ht="22" customHeight="1">
      <c r="B28" s="10" t="n">
        <v>24</v>
      </c>
      <c r="C28" s="6" t="inlineStr">
        <is>
          <t>Sidi Kacem</t>
        </is>
      </c>
      <c r="D28" s="10" t="inlineStr">
        <is>
          <t>HOUAFATE</t>
        </is>
      </c>
      <c r="E28" s="10" t="inlineStr">
        <is>
          <t>50-21</t>
        </is>
      </c>
      <c r="F28" s="10" t="inlineStr">
        <is>
          <t>Entretien et réparation des stations de pompage</t>
        </is>
      </c>
      <c r="G28" s="10" t="inlineStr">
        <is>
          <t>Stabilisation Berge oued</t>
        </is>
      </c>
      <c r="H28" s="10" t="inlineStr">
        <is>
          <t>Pose de  gabions et recouvrement du talus par matelas Reno des stations de pompage S13.</t>
        </is>
      </c>
      <c r="I28" s="11" t="n">
        <v>10560000</v>
      </c>
      <c r="J28" s="12" t="inlineStr">
        <is>
          <t>m³</t>
        </is>
      </c>
      <c r="K28" s="13" t="n">
        <v>7040</v>
      </c>
      <c r="L28" s="51" t="n"/>
      <c r="M28" s="56">
        <f>'S46'!M28+L28</f>
        <v/>
      </c>
      <c r="N28" s="57">
        <f>IFERROR(M28/K28,0)</f>
        <v/>
      </c>
      <c r="O28" s="58">
        <f>'S46'!N28</f>
        <v/>
      </c>
      <c r="P28" s="57">
        <f>N28-O28</f>
        <v/>
      </c>
      <c r="Q28" s="32" t="n"/>
      <c r="R28" s="32" t="n"/>
      <c r="S28" s="32" t="n"/>
      <c r="T28" s="55" t="n"/>
      <c r="U28" s="58">
        <f>'S46'!T28</f>
        <v/>
      </c>
      <c r="V28" s="57">
        <f>T28-U28</f>
        <v/>
      </c>
      <c r="W28" s="57">
        <f>N28-T28</f>
        <v/>
      </c>
      <c r="X28" s="34" t="n"/>
    </row>
    <row r="29" ht="22" customHeight="1">
      <c r="B29" s="5" t="n">
        <v>25</v>
      </c>
      <c r="C29" s="6" t="inlineStr">
        <is>
          <t>Sidi Kacem</t>
        </is>
      </c>
      <c r="D29" s="5" t="inlineStr">
        <is>
          <t>HOUAFATE</t>
        </is>
      </c>
      <c r="E29" s="5" t="inlineStr">
        <is>
          <t>50-21</t>
        </is>
      </c>
      <c r="F29" s="5" t="inlineStr">
        <is>
          <t>Entretien et réparation des stations de pompage</t>
        </is>
      </c>
      <c r="G29" s="5" t="inlineStr">
        <is>
          <t>Mur clôture des stations de pompage.</t>
        </is>
      </c>
      <c r="H29" s="5" t="inlineStr">
        <is>
          <t>Stabilisation du sol et reconstruction des murs clôture (270m) cote oued de la station S17.</t>
        </is>
      </c>
      <c r="I29" s="7" t="n">
        <v>144000</v>
      </c>
      <c r="J29" s="8" t="inlineStr">
        <is>
          <t>ml</t>
        </is>
      </c>
      <c r="K29" s="9" t="n">
        <v>270</v>
      </c>
      <c r="L29" s="51" t="n"/>
      <c r="M29" s="52">
        <f>'S46'!M29+L29</f>
        <v/>
      </c>
      <c r="N29" s="53">
        <f>IFERROR(M29/K29,0)</f>
        <v/>
      </c>
      <c r="O29" s="54">
        <f>'S46'!N29</f>
        <v/>
      </c>
      <c r="P29" s="53">
        <f>N29-O29</f>
        <v/>
      </c>
      <c r="Q29" s="32" t="n"/>
      <c r="R29" s="32" t="n"/>
      <c r="S29" s="32" t="n"/>
      <c r="T29" s="55" t="n"/>
      <c r="U29" s="54">
        <f>'S46'!T29</f>
        <v/>
      </c>
      <c r="V29" s="53">
        <f>T29-U29</f>
        <v/>
      </c>
      <c r="W29" s="53">
        <f>N29-T29</f>
        <v/>
      </c>
      <c r="X29" s="34" t="n"/>
    </row>
    <row r="30" ht="22" customHeight="1">
      <c r="B30" s="10" t="n">
        <v>26</v>
      </c>
      <c r="C30" s="6" t="inlineStr">
        <is>
          <t>Sidi Kacem</t>
        </is>
      </c>
      <c r="D30" s="10" t="inlineStr">
        <is>
          <t>HOUAFATE</t>
        </is>
      </c>
      <c r="E30" s="10" t="inlineStr">
        <is>
          <t>50-21</t>
        </is>
      </c>
      <c r="F30" s="10" t="inlineStr">
        <is>
          <t>Entretien et réparation des stations de pompage</t>
        </is>
      </c>
      <c r="G30" s="10" t="inlineStr">
        <is>
          <t>Génie civile des locaux des stations de pompage.</t>
        </is>
      </c>
      <c r="H30" s="10" t="inlineStr">
        <is>
          <t>Expertise d’état et d’étanchéité des locaux pompes, commande, puissance des stations de pompage S17 et S13.
Renforcement d’étanchéité des locaux pompe sous niveau des oueds des stations de pompage S17 et S13.</t>
        </is>
      </c>
      <c r="I30" s="11" t="n">
        <v>800000</v>
      </c>
      <c r="J30" s="12" t="inlineStr">
        <is>
          <t>U</t>
        </is>
      </c>
      <c r="K30" s="13" t="n">
        <v>1</v>
      </c>
      <c r="L30" s="51" t="n"/>
      <c r="M30" s="56">
        <f>'S46'!M30+L30</f>
        <v/>
      </c>
      <c r="N30" s="57">
        <f>IFERROR(M30/K30,0)</f>
        <v/>
      </c>
      <c r="O30" s="58">
        <f>'S46'!N30</f>
        <v/>
      </c>
      <c r="P30" s="57">
        <f>N30-O30</f>
        <v/>
      </c>
      <c r="Q30" s="32" t="n"/>
      <c r="R30" s="32" t="n"/>
      <c r="S30" s="32" t="n"/>
      <c r="T30" s="55" t="n"/>
      <c r="U30" s="58">
        <f>'S46'!T30</f>
        <v/>
      </c>
      <c r="V30" s="57">
        <f>T30-U30</f>
        <v/>
      </c>
      <c r="W30" s="57">
        <f>N30-T30</f>
        <v/>
      </c>
      <c r="X30" s="34" t="n"/>
    </row>
    <row r="31" ht="22" customHeight="1">
      <c r="B31" s="5" t="n">
        <v>27</v>
      </c>
      <c r="C31" s="6" t="inlineStr">
        <is>
          <t>Sidi Kacem</t>
        </is>
      </c>
      <c r="D31" s="5" t="inlineStr">
        <is>
          <t>NOUIRAT</t>
        </is>
      </c>
      <c r="E31" s="5" t="inlineStr">
        <is>
          <t>50-23</t>
        </is>
      </c>
      <c r="F31" s="5" t="inlineStr">
        <is>
          <t>Entretien et réparation du réseau d'assainissement et de drainage</t>
        </is>
      </c>
      <c r="G31" s="5" t="inlineStr">
        <is>
          <t>Travaux de curage des canaux en terre</t>
        </is>
      </c>
      <c r="H31" s="5" t="inlineStr">
        <is>
          <t>Curage des collecteurs d'assainissement des secteurs EST1 et N5</t>
        </is>
      </c>
      <c r="I31" s="7" t="n">
        <v>1733306</v>
      </c>
      <c r="J31" s="8" t="inlineStr">
        <is>
          <t>ml</t>
        </is>
      </c>
      <c r="K31" s="9" t="n">
        <v>867</v>
      </c>
      <c r="L31" s="51" t="n"/>
      <c r="M31" s="52">
        <f>'S46'!M31+L31</f>
        <v/>
      </c>
      <c r="N31" s="53">
        <f>IFERROR(M31/K31,0)</f>
        <v/>
      </c>
      <c r="O31" s="54">
        <f>'S46'!N31</f>
        <v/>
      </c>
      <c r="P31" s="53">
        <f>N31-O31</f>
        <v/>
      </c>
      <c r="Q31" s="32" t="n"/>
      <c r="R31" s="32" t="n"/>
      <c r="S31" s="32" t="n"/>
      <c r="T31" s="55" t="n"/>
      <c r="U31" s="54">
        <f>'S46'!T31</f>
        <v/>
      </c>
      <c r="V31" s="53">
        <f>T31-U31</f>
        <v/>
      </c>
      <c r="W31" s="53">
        <f>N31-T31</f>
        <v/>
      </c>
      <c r="X31" s="34" t="n"/>
    </row>
    <row r="32" ht="22" customHeight="1">
      <c r="B32" s="10" t="n">
        <v>28</v>
      </c>
      <c r="C32" s="6" t="inlineStr">
        <is>
          <t>Sidi Kacem</t>
        </is>
      </c>
      <c r="D32" s="10" t="inlineStr">
        <is>
          <t>NOUIRAT</t>
        </is>
      </c>
      <c r="E32" s="10" t="inlineStr">
        <is>
          <t>40-21</t>
        </is>
      </c>
      <c r="F32" s="10" t="inlineStr">
        <is>
          <t>Travaux de pistes</t>
        </is>
      </c>
      <c r="G32" s="10" t="inlineStr">
        <is>
          <t>Entretien des pistes agricoles</t>
        </is>
      </c>
      <c r="H32" s="10" t="inlineStr">
        <is>
          <t>Entretien des pistes agricoles</t>
        </is>
      </c>
      <c r="I32" s="11" t="n">
        <v>670000</v>
      </c>
      <c r="J32" s="12" t="inlineStr">
        <is>
          <t>km</t>
        </is>
      </c>
      <c r="K32" s="13" t="n">
        <v>1</v>
      </c>
      <c r="L32" s="51" t="n"/>
      <c r="M32" s="56">
        <f>'S46'!M32+L32</f>
        <v/>
      </c>
      <c r="N32" s="57">
        <f>IFERROR(M32/K32,0)</f>
        <v/>
      </c>
      <c r="O32" s="58">
        <f>'S46'!N32</f>
        <v/>
      </c>
      <c r="P32" s="57">
        <f>N32-O32</f>
        <v/>
      </c>
      <c r="Q32" s="32" t="n"/>
      <c r="R32" s="32" t="n"/>
      <c r="S32" s="32" t="n"/>
      <c r="T32" s="55" t="n"/>
      <c r="U32" s="58">
        <f>'S46'!T32</f>
        <v/>
      </c>
      <c r="V32" s="57">
        <f>T32-U32</f>
        <v/>
      </c>
      <c r="W32" s="57">
        <f>N32-T32</f>
        <v/>
      </c>
      <c r="X32" s="34" t="n"/>
    </row>
    <row r="33" ht="22" customHeight="1">
      <c r="B33" s="5" t="n">
        <v>29</v>
      </c>
      <c r="C33" s="6" t="inlineStr">
        <is>
          <t>Sidi Kacem</t>
        </is>
      </c>
      <c r="D33" s="5" t="inlineStr">
        <is>
          <t>NOUIRAT</t>
        </is>
      </c>
      <c r="E33" s="5" t="inlineStr">
        <is>
          <t>20-11</t>
        </is>
      </c>
      <c r="F33" s="5" t="inlineStr">
        <is>
          <t>Travaux de réhabilitation des équipements</t>
        </is>
      </c>
      <c r="G33" s="5" t="inlineStr">
        <is>
          <t>Travaux de réhabilitation des ouvrages de génie civil</t>
        </is>
      </c>
      <c r="H33" s="5" t="inlineStr">
        <is>
          <t>Réhabilitation de l'ouvrage( genie civil ,gabiollannage,clapet anti retour et buse) de l'ouvrage de débouche SE1</t>
        </is>
      </c>
      <c r="I33" s="7" t="n">
        <v>2500000</v>
      </c>
      <c r="J33" s="8" t="inlineStr">
        <is>
          <t>U</t>
        </is>
      </c>
      <c r="K33" s="9" t="n">
        <v>5</v>
      </c>
      <c r="L33" s="51" t="n"/>
      <c r="M33" s="52">
        <f>'S46'!M33+L33</f>
        <v/>
      </c>
      <c r="N33" s="53">
        <f>IFERROR(M33/K33,0)</f>
        <v/>
      </c>
      <c r="O33" s="54">
        <f>'S46'!N33</f>
        <v/>
      </c>
      <c r="P33" s="53">
        <f>N33-O33</f>
        <v/>
      </c>
      <c r="Q33" s="32" t="n"/>
      <c r="R33" s="32" t="n"/>
      <c r="S33" s="32" t="n"/>
      <c r="T33" s="55" t="n"/>
      <c r="U33" s="54">
        <f>'S46'!T33</f>
        <v/>
      </c>
      <c r="V33" s="53">
        <f>T33-U33</f>
        <v/>
      </c>
      <c r="W33" s="53">
        <f>N33-T33</f>
        <v/>
      </c>
      <c r="X33" s="34" t="n"/>
    </row>
    <row r="34" ht="22" customHeight="1">
      <c r="B34" s="10" t="n">
        <v>30</v>
      </c>
      <c r="C34" s="6" t="inlineStr">
        <is>
          <t>Sidi Kacem</t>
        </is>
      </c>
      <c r="D34" s="10" t="inlineStr">
        <is>
          <t>NOUIRAT</t>
        </is>
      </c>
      <c r="E34" s="10" t="inlineStr">
        <is>
          <t>50-23</t>
        </is>
      </c>
      <c r="F34" s="10" t="inlineStr">
        <is>
          <t>Entretien et réparation du réseau d'assainissement et de drainage</t>
        </is>
      </c>
      <c r="G34" s="10" t="inlineStr">
        <is>
          <t>Curage des prises sur l’oued, bâche d’aspiration et bassin de régulation.</t>
        </is>
      </c>
      <c r="H34" s="10" t="inlineStr">
        <is>
          <t>Curage des prises sur l’oued de la station de pompage E1.
Nettoyage des grilles de préfiltration des boues colmaté de la station de pompage E1.
Curage de la bâche d’aspiration de la station E1.</t>
        </is>
      </c>
      <c r="I34" s="11" t="n">
        <v>800000</v>
      </c>
      <c r="J34" s="12" t="inlineStr">
        <is>
          <t>ml</t>
        </is>
      </c>
      <c r="K34" s="13" t="n">
        <v>267</v>
      </c>
      <c r="L34" s="51" t="n"/>
      <c r="M34" s="56">
        <f>'S46'!M34+L34</f>
        <v/>
      </c>
      <c r="N34" s="57">
        <f>IFERROR(M34/K34,0)</f>
        <v/>
      </c>
      <c r="O34" s="58">
        <f>'S46'!N34</f>
        <v/>
      </c>
      <c r="P34" s="57">
        <f>N34-O34</f>
        <v/>
      </c>
      <c r="Q34" s="32" t="n"/>
      <c r="R34" s="32" t="n"/>
      <c r="S34" s="32" t="n"/>
      <c r="T34" s="55" t="n"/>
      <c r="U34" s="58">
        <f>'S46'!T34</f>
        <v/>
      </c>
      <c r="V34" s="57">
        <f>T34-U34</f>
        <v/>
      </c>
      <c r="W34" s="57">
        <f>N34-T34</f>
        <v/>
      </c>
      <c r="X34" s="34" t="n"/>
    </row>
    <row r="35" ht="22" customHeight="1">
      <c r="B35" s="5" t="n">
        <v>31</v>
      </c>
      <c r="C35" s="6" t="inlineStr">
        <is>
          <t>Sidi Kacem</t>
        </is>
      </c>
      <c r="D35" s="5" t="inlineStr">
        <is>
          <t>NOUIRAT</t>
        </is>
      </c>
      <c r="E35" s="5" t="inlineStr">
        <is>
          <t>50-21</t>
        </is>
      </c>
      <c r="F35" s="5" t="inlineStr">
        <is>
          <t>Entretien et réparation des stations de pompage</t>
        </is>
      </c>
      <c r="G35" s="5" t="inlineStr">
        <is>
          <t>Prestation de maintenance des débitmètres et leurs équipements annexes installés au niveau des station de pompage</t>
        </is>
      </c>
      <c r="H35" s="5" t="inlineStr">
        <is>
          <t>Changement du débitmètre Ø 1200mm inondé de la station de pompage E1.</t>
        </is>
      </c>
      <c r="I35" s="7" t="n">
        <v>195000</v>
      </c>
      <c r="J35" s="8" t="inlineStr">
        <is>
          <t>U</t>
        </is>
      </c>
      <c r="K35" s="9" t="n">
        <v>2</v>
      </c>
      <c r="L35" s="51" t="n"/>
      <c r="M35" s="52">
        <f>'S46'!M35+L35</f>
        <v/>
      </c>
      <c r="N35" s="53">
        <f>IFERROR(M35/K35,0)</f>
        <v/>
      </c>
      <c r="O35" s="54">
        <f>'S46'!N35</f>
        <v/>
      </c>
      <c r="P35" s="53">
        <f>N35-O35</f>
        <v/>
      </c>
      <c r="Q35" s="32" t="n"/>
      <c r="R35" s="32" t="n"/>
      <c r="S35" s="32" t="n"/>
      <c r="T35" s="55" t="n"/>
      <c r="U35" s="54">
        <f>'S46'!T35</f>
        <v/>
      </c>
      <c r="V35" s="53">
        <f>T35-U35</f>
        <v/>
      </c>
      <c r="W35" s="53">
        <f>N35-T35</f>
        <v/>
      </c>
      <c r="X35" s="34" t="n"/>
    </row>
    <row r="36" ht="22" customHeight="1">
      <c r="B36" s="10" t="n">
        <v>32</v>
      </c>
      <c r="C36" s="6" t="inlineStr">
        <is>
          <t>Sidi Kacem</t>
        </is>
      </c>
      <c r="D36" s="10" t="inlineStr">
        <is>
          <t>NOUIRAT</t>
        </is>
      </c>
      <c r="E36" s="10" t="inlineStr">
        <is>
          <t>50-21</t>
        </is>
      </c>
      <c r="F36" s="10" t="inlineStr">
        <is>
          <t>Entretien et réparation des stations de pompage</t>
        </is>
      </c>
      <c r="G36" s="10" t="inlineStr">
        <is>
          <t>Prestations de maintenance des moteurs électriques des stations de pompage.</t>
        </is>
      </c>
      <c r="H36" s="10" t="inlineStr">
        <is>
          <t>Révision des deux moteurs électriques principaux de la station E1.</t>
        </is>
      </c>
      <c r="I36" s="11" t="n">
        <v>50000</v>
      </c>
      <c r="J36" s="12" t="inlineStr">
        <is>
          <t>U</t>
        </is>
      </c>
      <c r="K36" s="13" t="n">
        <v>2</v>
      </c>
      <c r="L36" s="51" t="n"/>
      <c r="M36" s="56">
        <f>'S46'!M36+L36</f>
        <v/>
      </c>
      <c r="N36" s="57">
        <f>IFERROR(M36/K36,0)</f>
        <v/>
      </c>
      <c r="O36" s="58">
        <f>'S46'!N36</f>
        <v/>
      </c>
      <c r="P36" s="57">
        <f>N36-O36</f>
        <v/>
      </c>
      <c r="Q36" s="32" t="n"/>
      <c r="R36" s="32" t="n"/>
      <c r="S36" s="32" t="n"/>
      <c r="T36" s="55" t="n"/>
      <c r="U36" s="58">
        <f>'S46'!T36</f>
        <v/>
      </c>
      <c r="V36" s="57">
        <f>T36-U36</f>
        <v/>
      </c>
      <c r="W36" s="57">
        <f>N36-T36</f>
        <v/>
      </c>
      <c r="X36" s="34" t="n"/>
    </row>
    <row r="37" ht="22" customHeight="1">
      <c r="B37" s="5" t="n">
        <v>33</v>
      </c>
      <c r="C37" s="6" t="inlineStr">
        <is>
          <t>Sidi Kacem</t>
        </is>
      </c>
      <c r="D37" s="5" t="inlineStr">
        <is>
          <t>NOUIRAT</t>
        </is>
      </c>
      <c r="E37" s="5" t="inlineStr">
        <is>
          <t>50-21</t>
        </is>
      </c>
      <c r="F37" s="5" t="inlineStr">
        <is>
          <t>Entretien et réparation des stations de pompage</t>
        </is>
      </c>
      <c r="G37" s="5" t="inlineStr">
        <is>
          <t>Prestations de maintenance et de réparation mécanique des pompes et des groupes motopompes submersibles des stations de pompage.</t>
        </is>
      </c>
      <c r="H37" s="5" t="inlineStr">
        <is>
          <t>Démontage et expertise des cinq pompes principaux et pompes a vide de la station E1.
Changement des roulements, tresses et organes d’effectués de la station E1.</t>
        </is>
      </c>
      <c r="I37" s="7" t="n">
        <v>245000</v>
      </c>
      <c r="J37" s="8" t="inlineStr">
        <is>
          <t>U</t>
        </is>
      </c>
      <c r="K37" s="9" t="n">
        <v>5</v>
      </c>
      <c r="L37" s="51" t="n"/>
      <c r="M37" s="52">
        <f>'S46'!M37+L37</f>
        <v/>
      </c>
      <c r="N37" s="53">
        <f>IFERROR(M37/K37,0)</f>
        <v/>
      </c>
      <c r="O37" s="54">
        <f>'S46'!N37</f>
        <v/>
      </c>
      <c r="P37" s="53">
        <f>N37-O37</f>
        <v/>
      </c>
      <c r="Q37" s="32" t="n"/>
      <c r="R37" s="32" t="n"/>
      <c r="S37" s="32" t="n"/>
      <c r="T37" s="55" t="n"/>
      <c r="U37" s="54">
        <f>'S46'!T37</f>
        <v/>
      </c>
      <c r="V37" s="53">
        <f>T37-U37</f>
        <v/>
      </c>
      <c r="W37" s="53">
        <f>N37-T37</f>
        <v/>
      </c>
      <c r="X37" s="34" t="n"/>
    </row>
    <row r="38" ht="22" customHeight="1">
      <c r="B38" s="10" t="n">
        <v>34</v>
      </c>
      <c r="C38" s="6" t="inlineStr">
        <is>
          <t>Sidi Kacem</t>
        </is>
      </c>
      <c r="D38" s="10" t="inlineStr">
        <is>
          <t>NOUIRAT</t>
        </is>
      </c>
      <c r="E38" s="10" t="inlineStr">
        <is>
          <t>50-21</t>
        </is>
      </c>
      <c r="F38" s="10" t="inlineStr">
        <is>
          <t>Entretien et réparation des stations de pompage</t>
        </is>
      </c>
      <c r="G38" s="10" t="inlineStr">
        <is>
          <t>Génie civile des locaux des stations de pompage.</t>
        </is>
      </c>
      <c r="H38" s="10" t="inlineStr">
        <is>
          <t>Expertise d’état et d’étanchéité des locaux pompes, commande, puissance de la station de pompage E1.
Renforcement d’étanchéité des locaux pompe sous niveau des oueds de la station de pompage E1.</t>
        </is>
      </c>
      <c r="I38" s="11" t="n">
        <v>1000000</v>
      </c>
      <c r="J38" s="12" t="inlineStr">
        <is>
          <t>U</t>
        </is>
      </c>
      <c r="K38" s="13" t="n">
        <v>1</v>
      </c>
      <c r="L38" s="51" t="n"/>
      <c r="M38" s="56">
        <f>'S46'!M38+L38</f>
        <v/>
      </c>
      <c r="N38" s="57">
        <f>IFERROR(M38/K38,0)</f>
        <v/>
      </c>
      <c r="O38" s="58">
        <f>'S46'!N38</f>
        <v/>
      </c>
      <c r="P38" s="57">
        <f>N38-O38</f>
        <v/>
      </c>
      <c r="Q38" s="32" t="n"/>
      <c r="R38" s="32" t="n"/>
      <c r="S38" s="32" t="n"/>
      <c r="T38" s="55" t="n"/>
      <c r="U38" s="58">
        <f>'S46'!T38</f>
        <v/>
      </c>
      <c r="V38" s="57">
        <f>T38-U38</f>
        <v/>
      </c>
      <c r="W38" s="57">
        <f>N38-T38</f>
        <v/>
      </c>
      <c r="X38" s="34" t="n"/>
    </row>
    <row r="39" ht="22" customHeight="1">
      <c r="B39" s="5" t="n">
        <v>35</v>
      </c>
      <c r="C39" s="6" t="inlineStr">
        <is>
          <t>Sidi Kacem</t>
        </is>
      </c>
      <c r="D39" s="5" t="inlineStr">
        <is>
          <t>RMILAT</t>
        </is>
      </c>
      <c r="E39" s="5" t="inlineStr">
        <is>
          <t>50-23</t>
        </is>
      </c>
      <c r="F39" s="5" t="inlineStr">
        <is>
          <t>Entretien et réparation du réseau d'assainissement et de drainage</t>
        </is>
      </c>
      <c r="G39" s="5" t="inlineStr">
        <is>
          <t>Travaux de curage des canaux en terre</t>
        </is>
      </c>
      <c r="H39" s="5" t="inlineStr">
        <is>
          <t>Curage des collecteurs d'assainissement des secteurs P7</t>
        </is>
      </c>
      <c r="I39" s="7" t="n">
        <v>5024032</v>
      </c>
      <c r="J39" s="8" t="inlineStr">
        <is>
          <t>ml</t>
        </is>
      </c>
      <c r="K39" s="9" t="n">
        <v>2512</v>
      </c>
      <c r="L39" s="51" t="n"/>
      <c r="M39" s="52">
        <f>'S46'!M39+L39</f>
        <v/>
      </c>
      <c r="N39" s="53">
        <f>IFERROR(M39/K39,0)</f>
        <v/>
      </c>
      <c r="O39" s="54">
        <f>'S46'!N39</f>
        <v/>
      </c>
      <c r="P39" s="53">
        <f>N39-O39</f>
        <v/>
      </c>
      <c r="Q39" s="32" t="n"/>
      <c r="R39" s="32" t="n"/>
      <c r="S39" s="32" t="n"/>
      <c r="T39" s="55" t="n"/>
      <c r="U39" s="54">
        <f>'S46'!T39</f>
        <v/>
      </c>
      <c r="V39" s="53">
        <f>T39-U39</f>
        <v/>
      </c>
      <c r="W39" s="53">
        <f>N39-T39</f>
        <v/>
      </c>
      <c r="X39" s="34" t="n"/>
    </row>
    <row r="40" ht="22" customHeight="1">
      <c r="B40" s="10" t="n">
        <v>36</v>
      </c>
      <c r="C40" s="6" t="inlineStr">
        <is>
          <t>Sidi Kacem</t>
        </is>
      </c>
      <c r="D40" s="10" t="inlineStr">
        <is>
          <t>RMILAT</t>
        </is>
      </c>
      <c r="E40" s="10" t="inlineStr">
        <is>
          <t>40-21</t>
        </is>
      </c>
      <c r="F40" s="10" t="inlineStr">
        <is>
          <t>Travaux de pistes</t>
        </is>
      </c>
      <c r="G40" s="10" t="inlineStr">
        <is>
          <t>Entretien des pistes agricoles</t>
        </is>
      </c>
      <c r="H40" s="10" t="inlineStr">
        <is>
          <t>Entretien des pistes agricoles</t>
        </is>
      </c>
      <c r="I40" s="11" t="n">
        <v>400000</v>
      </c>
      <c r="J40" s="12" t="inlineStr">
        <is>
          <t>km</t>
        </is>
      </c>
      <c r="K40" s="13" t="n">
        <v>1</v>
      </c>
      <c r="L40" s="51" t="n"/>
      <c r="M40" s="56">
        <f>'S46'!M40+L40</f>
        <v/>
      </c>
      <c r="N40" s="57">
        <f>IFERROR(M40/K40,0)</f>
        <v/>
      </c>
      <c r="O40" s="58">
        <f>'S46'!N40</f>
        <v/>
      </c>
      <c r="P40" s="57">
        <f>N40-O40</f>
        <v/>
      </c>
      <c r="Q40" s="32" t="n"/>
      <c r="R40" s="32" t="n"/>
      <c r="S40" s="32" t="n"/>
      <c r="T40" s="55" t="n"/>
      <c r="U40" s="58">
        <f>'S46'!T40</f>
        <v/>
      </c>
      <c r="V40" s="57">
        <f>T40-U40</f>
        <v/>
      </c>
      <c r="W40" s="57">
        <f>N40-T40</f>
        <v/>
      </c>
      <c r="X40" s="34" t="n"/>
    </row>
    <row r="41" ht="22" customHeight="1">
      <c r="B41" s="5" t="n">
        <v>37</v>
      </c>
      <c r="C41" s="6" t="inlineStr">
        <is>
          <t>Sidi Kacem</t>
        </is>
      </c>
      <c r="D41" s="5" t="inlineStr">
        <is>
          <t>SAFSAF</t>
        </is>
      </c>
      <c r="E41" s="5" t="inlineStr">
        <is>
          <t>50-23</t>
        </is>
      </c>
      <c r="F41" s="5" t="inlineStr">
        <is>
          <t>Entretien et réparation du réseau d'assainissement et de drainage</t>
        </is>
      </c>
      <c r="G41" s="5" t="inlineStr">
        <is>
          <t>Travaux de curage des canaux en terre</t>
        </is>
      </c>
      <c r="H41" s="5" t="inlineStr">
        <is>
          <t>Curage des collecteurs d'assainissement des secteurs S7, S9 et S11</t>
        </is>
      </c>
      <c r="I41" s="7" t="n">
        <v>6000000</v>
      </c>
      <c r="J41" s="8" t="inlineStr">
        <is>
          <t>ml</t>
        </is>
      </c>
      <c r="K41" s="9" t="n">
        <v>3000</v>
      </c>
      <c r="L41" s="51" t="n"/>
      <c r="M41" s="52">
        <f>'S46'!M41+L41</f>
        <v/>
      </c>
      <c r="N41" s="53">
        <f>IFERROR(M41/K41,0)</f>
        <v/>
      </c>
      <c r="O41" s="54">
        <f>'S46'!N41</f>
        <v/>
      </c>
      <c r="P41" s="53">
        <f>N41-O41</f>
        <v/>
      </c>
      <c r="Q41" s="32" t="n"/>
      <c r="R41" s="32" t="n"/>
      <c r="S41" s="32" t="n"/>
      <c r="T41" s="55" t="n"/>
      <c r="U41" s="54">
        <f>'S46'!T41</f>
        <v/>
      </c>
      <c r="V41" s="53">
        <f>T41-U41</f>
        <v/>
      </c>
      <c r="W41" s="53">
        <f>N41-T41</f>
        <v/>
      </c>
      <c r="X41" s="34" t="n"/>
    </row>
    <row r="42" ht="22" customHeight="1">
      <c r="B42" s="10" t="n">
        <v>38</v>
      </c>
      <c r="C42" s="6" t="inlineStr">
        <is>
          <t>Sidi Kacem</t>
        </is>
      </c>
      <c r="D42" s="10" t="inlineStr">
        <is>
          <t>SAFSAF</t>
        </is>
      </c>
      <c r="E42" s="10" t="inlineStr">
        <is>
          <t>20-11</t>
        </is>
      </c>
      <c r="F42" s="10" t="inlineStr">
        <is>
          <t>Travaux de réhabilitation des équipements</t>
        </is>
      </c>
      <c r="G42" s="10" t="inlineStr">
        <is>
          <t>Travaux de réhabilitation des canaux portés d'irrigation</t>
        </is>
      </c>
      <c r="H42" s="10" t="inlineStr">
        <is>
          <t>Fourniture et  pose de canaux porté et accessoires du réseau S4 du secteur S11</t>
        </is>
      </c>
      <c r="I42" s="11" t="n">
        <v>232266</v>
      </c>
      <c r="J42" s="12" t="inlineStr">
        <is>
          <t>ml</t>
        </is>
      </c>
      <c r="K42" s="13" t="n">
        <v>77</v>
      </c>
      <c r="L42" s="51" t="n"/>
      <c r="M42" s="56">
        <f>'S46'!M42+L42</f>
        <v/>
      </c>
      <c r="N42" s="57">
        <f>IFERROR(M42/K42,0)</f>
        <v/>
      </c>
      <c r="O42" s="58">
        <f>'S46'!N42</f>
        <v/>
      </c>
      <c r="P42" s="57">
        <f>N42-O42</f>
        <v/>
      </c>
      <c r="Q42" s="32" t="n"/>
      <c r="R42" s="32" t="n"/>
      <c r="S42" s="32" t="n"/>
      <c r="T42" s="55" t="n"/>
      <c r="U42" s="58">
        <f>'S46'!T42</f>
        <v/>
      </c>
      <c r="V42" s="57">
        <f>T42-U42</f>
        <v/>
      </c>
      <c r="W42" s="57">
        <f>N42-T42</f>
        <v/>
      </c>
      <c r="X42" s="34" t="n"/>
    </row>
    <row r="43" ht="22" customHeight="1">
      <c r="B43" s="5" t="n">
        <v>39</v>
      </c>
      <c r="C43" s="6" t="inlineStr">
        <is>
          <t>Sidi Kacem</t>
        </is>
      </c>
      <c r="D43" s="5" t="inlineStr">
        <is>
          <t>SAFSAF</t>
        </is>
      </c>
      <c r="E43" s="5" t="inlineStr">
        <is>
          <t>20-11</t>
        </is>
      </c>
      <c r="F43" s="5" t="inlineStr">
        <is>
          <t>Travaux de réhabilitation des équipements</t>
        </is>
      </c>
      <c r="G43" s="5" t="inlineStr"/>
      <c r="H43" s="5" t="inlineStr">
        <is>
          <t>Recalage des canaux portés du réseau T5S5 du secteur S9</t>
        </is>
      </c>
      <c r="I43" s="7" t="n">
        <v>1055025</v>
      </c>
      <c r="J43" s="8" t="inlineStr">
        <is>
          <t>ml</t>
        </is>
      </c>
      <c r="K43" s="9" t="n">
        <v>352</v>
      </c>
      <c r="L43" s="51" t="n"/>
      <c r="M43" s="52">
        <f>'S46'!M43+L43</f>
        <v/>
      </c>
      <c r="N43" s="53">
        <f>IFERROR(M43/K43,0)</f>
        <v/>
      </c>
      <c r="O43" s="54">
        <f>'S46'!N43</f>
        <v/>
      </c>
      <c r="P43" s="53">
        <f>N43-O43</f>
        <v/>
      </c>
      <c r="Q43" s="32" t="n"/>
      <c r="R43" s="32" t="n"/>
      <c r="S43" s="32" t="n"/>
      <c r="T43" s="55" t="n"/>
      <c r="U43" s="54">
        <f>'S46'!T43</f>
        <v/>
      </c>
      <c r="V43" s="53">
        <f>T43-U43</f>
        <v/>
      </c>
      <c r="W43" s="53">
        <f>N43-T43</f>
        <v/>
      </c>
      <c r="X43" s="34" t="n"/>
    </row>
    <row r="44" ht="22" customHeight="1">
      <c r="B44" s="10" t="n">
        <v>40</v>
      </c>
      <c r="C44" s="6" t="inlineStr">
        <is>
          <t>Sidi Kacem</t>
        </is>
      </c>
      <c r="D44" s="10" t="inlineStr">
        <is>
          <t>SAFSAF</t>
        </is>
      </c>
      <c r="E44" s="10" t="inlineStr">
        <is>
          <t>20-11</t>
        </is>
      </c>
      <c r="F44" s="10" t="inlineStr">
        <is>
          <t>Travaux de réhabilitation des équipements</t>
        </is>
      </c>
      <c r="G44" s="10" t="inlineStr"/>
      <c r="H44" s="10" t="inlineStr">
        <is>
          <t>Recalage des canaux portés du réseau T7S5 du secteur S9</t>
        </is>
      </c>
      <c r="I44" s="11" t="n">
        <v>1004535</v>
      </c>
      <c r="J44" s="12" t="inlineStr">
        <is>
          <t>ml</t>
        </is>
      </c>
      <c r="K44" s="13" t="n">
        <v>335</v>
      </c>
      <c r="L44" s="51" t="n"/>
      <c r="M44" s="56">
        <f>'S46'!M44+L44</f>
        <v/>
      </c>
      <c r="N44" s="57">
        <f>IFERROR(M44/K44,0)</f>
        <v/>
      </c>
      <c r="O44" s="58">
        <f>'S46'!N44</f>
        <v/>
      </c>
      <c r="P44" s="57">
        <f>N44-O44</f>
        <v/>
      </c>
      <c r="Q44" s="32" t="n"/>
      <c r="R44" s="32" t="n"/>
      <c r="S44" s="32" t="n"/>
      <c r="T44" s="55" t="n"/>
      <c r="U44" s="58">
        <f>'S46'!T44</f>
        <v/>
      </c>
      <c r="V44" s="57">
        <f>T44-U44</f>
        <v/>
      </c>
      <c r="W44" s="57">
        <f>N44-T44</f>
        <v/>
      </c>
      <c r="X44" s="34" t="n"/>
    </row>
    <row r="45" ht="22" customHeight="1">
      <c r="B45" s="5" t="n">
        <v>41</v>
      </c>
      <c r="C45" s="6" t="inlineStr">
        <is>
          <t>Sidi Kacem</t>
        </is>
      </c>
      <c r="D45" s="5" t="inlineStr">
        <is>
          <t>SAFSAF</t>
        </is>
      </c>
      <c r="E45" s="5" t="inlineStr">
        <is>
          <t>20-11</t>
        </is>
      </c>
      <c r="F45" s="5" t="inlineStr">
        <is>
          <t>Travaux de réhabilitation des équipements</t>
        </is>
      </c>
      <c r="G45" s="5" t="inlineStr"/>
      <c r="H45" s="5" t="inlineStr">
        <is>
          <t>Recalage des canaux portés du réseau T2S5 du secteur S9</t>
        </is>
      </c>
      <c r="I45" s="7" t="n">
        <v>793830</v>
      </c>
      <c r="J45" s="8" t="inlineStr">
        <is>
          <t>ml</t>
        </is>
      </c>
      <c r="K45" s="9" t="n">
        <v>265</v>
      </c>
      <c r="L45" s="51" t="n"/>
      <c r="M45" s="52">
        <f>'S46'!M45+L45</f>
        <v/>
      </c>
      <c r="N45" s="53">
        <f>IFERROR(M45/K45,0)</f>
        <v/>
      </c>
      <c r="O45" s="54">
        <f>'S46'!N45</f>
        <v/>
      </c>
      <c r="P45" s="53">
        <f>N45-O45</f>
        <v/>
      </c>
      <c r="Q45" s="32" t="n"/>
      <c r="R45" s="32" t="n"/>
      <c r="S45" s="32" t="n"/>
      <c r="T45" s="55" t="n"/>
      <c r="U45" s="54">
        <f>'S46'!T45</f>
        <v/>
      </c>
      <c r="V45" s="53">
        <f>T45-U45</f>
        <v/>
      </c>
      <c r="W45" s="53">
        <f>N45-T45</f>
        <v/>
      </c>
      <c r="X45" s="34" t="n"/>
    </row>
    <row r="46" ht="22" customHeight="1">
      <c r="B46" s="10" t="n">
        <v>42</v>
      </c>
      <c r="C46" s="6" t="inlineStr">
        <is>
          <t>Sidi Kacem</t>
        </is>
      </c>
      <c r="D46" s="10" t="inlineStr">
        <is>
          <t>SAFSAF</t>
        </is>
      </c>
      <c r="E46" s="10" t="inlineStr">
        <is>
          <t>40-21</t>
        </is>
      </c>
      <c r="F46" s="10" t="inlineStr">
        <is>
          <t>Travaux de pistes</t>
        </is>
      </c>
      <c r="G46" s="10" t="inlineStr">
        <is>
          <t>Entretien des pistes agricoles</t>
        </is>
      </c>
      <c r="H46" s="10" t="inlineStr">
        <is>
          <t>Entretien des pistes agricoles</t>
        </is>
      </c>
      <c r="I46" s="11" t="n">
        <v>2000000</v>
      </c>
      <c r="J46" s="12" t="inlineStr">
        <is>
          <t>km</t>
        </is>
      </c>
      <c r="K46" s="13" t="n">
        <v>4</v>
      </c>
      <c r="L46" s="51" t="n"/>
      <c r="M46" s="56">
        <f>'S46'!M46+L46</f>
        <v/>
      </c>
      <c r="N46" s="57">
        <f>IFERROR(M46/K46,0)</f>
        <v/>
      </c>
      <c r="O46" s="58">
        <f>'S46'!N46</f>
        <v/>
      </c>
      <c r="P46" s="57">
        <f>N46-O46</f>
        <v/>
      </c>
      <c r="Q46" s="32" t="n"/>
      <c r="R46" s="32" t="n"/>
      <c r="S46" s="32" t="n"/>
      <c r="T46" s="55" t="n"/>
      <c r="U46" s="58">
        <f>'S46'!T46</f>
        <v/>
      </c>
      <c r="V46" s="57">
        <f>T46-U46</f>
        <v/>
      </c>
      <c r="W46" s="57">
        <f>N46-T46</f>
        <v/>
      </c>
      <c r="X46" s="34" t="n"/>
    </row>
    <row r="47" ht="22" customHeight="1">
      <c r="B47" s="5" t="n">
        <v>43</v>
      </c>
      <c r="C47" s="6" t="inlineStr">
        <is>
          <t>Sidi Kacem</t>
        </is>
      </c>
      <c r="D47" s="5" t="inlineStr">
        <is>
          <t>SAFSAF</t>
        </is>
      </c>
      <c r="E47" s="5" t="inlineStr">
        <is>
          <t>50-23</t>
        </is>
      </c>
      <c r="F47" s="5" t="inlineStr">
        <is>
          <t>Entretien et réparation du réseau d'assainissement et de drainage</t>
        </is>
      </c>
      <c r="G47" s="5" t="inlineStr">
        <is>
          <t>Curage des prises sur l’oued, bâche d’aspiration et bassin de régulation.</t>
        </is>
      </c>
      <c r="H47" s="5" t="inlineStr">
        <is>
          <t>Curage des prises sur l’oued des stations de pompage S11, S9, 7D et 7B.
Nettoyage des grilles de préfiltration des boues colmaté des stations de pompage S11, S9, 7D et 7B.
Nettoyage des crépines des boues colmaté de station pompage 7D.
Curage des dalots et bâche d’aspiration des stations de pompage S11, S9, 7B.</t>
        </is>
      </c>
      <c r="I47" s="7" t="n">
        <v>200000</v>
      </c>
      <c r="J47" s="8" t="inlineStr">
        <is>
          <t>ml</t>
        </is>
      </c>
      <c r="K47" s="9" t="n">
        <v>67</v>
      </c>
      <c r="L47" s="51" t="n"/>
      <c r="M47" s="52">
        <f>'S46'!M47+L47</f>
        <v/>
      </c>
      <c r="N47" s="53">
        <f>IFERROR(M47/K47,0)</f>
        <v/>
      </c>
      <c r="O47" s="54">
        <f>'S46'!N47</f>
        <v/>
      </c>
      <c r="P47" s="53">
        <f>N47-O47</f>
        <v/>
      </c>
      <c r="Q47" s="32" t="n"/>
      <c r="R47" s="32" t="n"/>
      <c r="S47" s="32" t="n"/>
      <c r="T47" s="55" t="n"/>
      <c r="U47" s="54">
        <f>'S46'!T47</f>
        <v/>
      </c>
      <c r="V47" s="53">
        <f>T47-U47</f>
        <v/>
      </c>
      <c r="W47" s="53">
        <f>N47-T47</f>
        <v/>
      </c>
      <c r="X47" s="34" t="n"/>
    </row>
    <row r="48" ht="22" customHeight="1">
      <c r="B48" s="10" t="n">
        <v>44</v>
      </c>
      <c r="C48" s="6" t="inlineStr">
        <is>
          <t>Sidi Kacem</t>
        </is>
      </c>
      <c r="D48" s="10" t="inlineStr">
        <is>
          <t>SAFSAF</t>
        </is>
      </c>
      <c r="E48" s="10" t="inlineStr">
        <is>
          <t>50-21</t>
        </is>
      </c>
      <c r="F48" s="10" t="inlineStr">
        <is>
          <t>Entretien et réparation des stations de pompage</t>
        </is>
      </c>
      <c r="G48" s="10" t="inlineStr">
        <is>
          <t>Prestation de maintenance des débitmètres et leurs équipements annexes installés au niveau des station de pompage</t>
        </is>
      </c>
      <c r="H48" s="10" t="inlineStr">
        <is>
          <t>Changements Sept des débitmètres Ø 600mm inondé des deux stations de pompage S11 et S9.</t>
        </is>
      </c>
      <c r="I48" s="11" t="n">
        <v>580000</v>
      </c>
      <c r="J48" s="12" t="inlineStr">
        <is>
          <t>U</t>
        </is>
      </c>
      <c r="K48" s="13" t="n">
        <v>7</v>
      </c>
      <c r="L48" s="51" t="n"/>
      <c r="M48" s="56">
        <f>'S46'!M48+L48</f>
        <v/>
      </c>
      <c r="N48" s="57">
        <f>IFERROR(M48/K48,0)</f>
        <v/>
      </c>
      <c r="O48" s="58">
        <f>'S46'!N48</f>
        <v/>
      </c>
      <c r="P48" s="57">
        <f>N48-O48</f>
        <v/>
      </c>
      <c r="Q48" s="32" t="n"/>
      <c r="R48" s="32" t="n"/>
      <c r="S48" s="32" t="n"/>
      <c r="T48" s="55" t="n"/>
      <c r="U48" s="58">
        <f>'S46'!T48</f>
        <v/>
      </c>
      <c r="V48" s="57">
        <f>T48-U48</f>
        <v/>
      </c>
      <c r="W48" s="57">
        <f>N48-T48</f>
        <v/>
      </c>
      <c r="X48" s="34" t="n"/>
    </row>
    <row r="49" ht="22" customHeight="1">
      <c r="B49" s="5" t="n">
        <v>45</v>
      </c>
      <c r="C49" s="6" t="inlineStr">
        <is>
          <t>Sidi Kacem</t>
        </is>
      </c>
      <c r="D49" s="5" t="inlineStr">
        <is>
          <t>SAFSAF</t>
        </is>
      </c>
      <c r="E49" s="5" t="inlineStr">
        <is>
          <t>50-21</t>
        </is>
      </c>
      <c r="F49" s="5" t="inlineStr">
        <is>
          <t>Entretien et réparation des stations de pompage</t>
        </is>
      </c>
      <c r="G49" s="5" t="inlineStr">
        <is>
          <t>Stabilisation Berge oued</t>
        </is>
      </c>
      <c r="H49" s="5" t="inlineStr">
        <is>
          <t>Pose de murs en gabions et recouvrement du talus par matelas Reno des stations de pompage S11, S9, 7D et 7B .</t>
        </is>
      </c>
      <c r="I49" s="7" t="n">
        <v>4000000</v>
      </c>
      <c r="J49" s="8" t="inlineStr">
        <is>
          <t>m³</t>
        </is>
      </c>
      <c r="K49" s="9" t="n">
        <v>2667</v>
      </c>
      <c r="L49" s="51" t="n"/>
      <c r="M49" s="52">
        <f>'S46'!M49+L49</f>
        <v/>
      </c>
      <c r="N49" s="53">
        <f>IFERROR(M49/K49,0)</f>
        <v/>
      </c>
      <c r="O49" s="54">
        <f>'S46'!N49</f>
        <v/>
      </c>
      <c r="P49" s="53">
        <f>N49-O49</f>
        <v/>
      </c>
      <c r="Q49" s="32" t="n"/>
      <c r="R49" s="32" t="n"/>
      <c r="S49" s="32" t="n"/>
      <c r="T49" s="55" t="n"/>
      <c r="U49" s="54">
        <f>'S46'!T49</f>
        <v/>
      </c>
      <c r="V49" s="53">
        <f>T49-U49</f>
        <v/>
      </c>
      <c r="W49" s="53">
        <f>N49-T49</f>
        <v/>
      </c>
      <c r="X49" s="34" t="n"/>
    </row>
    <row r="50" ht="22" customHeight="1">
      <c r="B50" s="10" t="n">
        <v>46</v>
      </c>
      <c r="C50" s="6" t="inlineStr">
        <is>
          <t>Sidi Kacem</t>
        </is>
      </c>
      <c r="D50" s="10" t="inlineStr">
        <is>
          <t>SIDI AZZOUZ</t>
        </is>
      </c>
      <c r="E50" s="10" t="inlineStr">
        <is>
          <t>40-21</t>
        </is>
      </c>
      <c r="F50" s="10" t="inlineStr">
        <is>
          <t>Travaux de pistes</t>
        </is>
      </c>
      <c r="G50" s="10" t="inlineStr">
        <is>
          <t>Entretien des pistes agricoles</t>
        </is>
      </c>
      <c r="H50" s="10" t="inlineStr">
        <is>
          <t>Entretien des pistes agricoles</t>
        </is>
      </c>
      <c r="I50" s="11" t="n">
        <v>655000</v>
      </c>
      <c r="J50" s="12" t="inlineStr">
        <is>
          <t>km</t>
        </is>
      </c>
      <c r="K50" s="13" t="n">
        <v>1</v>
      </c>
      <c r="L50" s="51" t="n"/>
      <c r="M50" s="56">
        <f>'S46'!M50+L50</f>
        <v/>
      </c>
      <c r="N50" s="57">
        <f>IFERROR(M50/K50,0)</f>
        <v/>
      </c>
      <c r="O50" s="58">
        <f>'S46'!N50</f>
        <v/>
      </c>
      <c r="P50" s="57">
        <f>N50-O50</f>
        <v/>
      </c>
      <c r="Q50" s="32" t="n"/>
      <c r="R50" s="32" t="n"/>
      <c r="S50" s="32" t="n"/>
      <c r="T50" s="55" t="n"/>
      <c r="U50" s="58">
        <f>'S46'!T50</f>
        <v/>
      </c>
      <c r="V50" s="57">
        <f>T50-U50</f>
        <v/>
      </c>
      <c r="W50" s="57">
        <f>N50-T50</f>
        <v/>
      </c>
      <c r="X50" s="34" t="n"/>
    </row>
    <row r="51" ht="22" customHeight="1">
      <c r="B51" s="5" t="n">
        <v>47</v>
      </c>
      <c r="C51" s="6" t="inlineStr">
        <is>
          <t>Sidi Kacem</t>
        </is>
      </c>
      <c r="D51" s="5" t="inlineStr">
        <is>
          <t>SIDI EL KAMEL</t>
        </is>
      </c>
      <c r="E51" s="5" t="inlineStr">
        <is>
          <t>20-11</t>
        </is>
      </c>
      <c r="F51" s="5" t="inlineStr">
        <is>
          <t>Travaux de réhabilitation des équipements</t>
        </is>
      </c>
      <c r="G51" s="5" t="inlineStr">
        <is>
          <t>Travaux de réhabilitation des canaux portés d'irrigation</t>
        </is>
      </c>
      <c r="H51" s="5" t="inlineStr">
        <is>
          <t>Fourniture et de pose de canaux porté et accessoires du réseau SR4 du secteur S3R</t>
        </is>
      </c>
      <c r="I51" s="7" t="n">
        <v>5182920</v>
      </c>
      <c r="J51" s="8" t="inlineStr">
        <is>
          <t>ml</t>
        </is>
      </c>
      <c r="K51" s="9" t="n">
        <v>1728</v>
      </c>
      <c r="L51" s="51" t="n"/>
      <c r="M51" s="52">
        <f>'S46'!M51+L51</f>
        <v/>
      </c>
      <c r="N51" s="53">
        <f>IFERROR(M51/K51,0)</f>
        <v/>
      </c>
      <c r="O51" s="54">
        <f>'S46'!N51</f>
        <v/>
      </c>
      <c r="P51" s="53">
        <f>N51-O51</f>
        <v/>
      </c>
      <c r="Q51" s="32" t="n"/>
      <c r="R51" s="32" t="n"/>
      <c r="S51" s="32" t="n"/>
      <c r="T51" s="55" t="n"/>
      <c r="U51" s="54">
        <f>'S46'!T51</f>
        <v/>
      </c>
      <c r="V51" s="53">
        <f>T51-U51</f>
        <v/>
      </c>
      <c r="W51" s="53">
        <f>N51-T51</f>
        <v/>
      </c>
      <c r="X51" s="34" t="n"/>
    </row>
    <row r="52" ht="22" customHeight="1">
      <c r="B52" s="10" t="n">
        <v>48</v>
      </c>
      <c r="C52" s="6" t="inlineStr">
        <is>
          <t>Sidi Kacem</t>
        </is>
      </c>
      <c r="D52" s="10" t="inlineStr">
        <is>
          <t>SIDI EL KAMEL</t>
        </is>
      </c>
      <c r="E52" s="10" t="inlineStr">
        <is>
          <t>20-11</t>
        </is>
      </c>
      <c r="F52" s="10" t="inlineStr">
        <is>
          <t>Travaux de réhabilitation des équipements</t>
        </is>
      </c>
      <c r="G52" s="10" t="inlineStr"/>
      <c r="H52" s="10" t="inlineStr">
        <is>
          <t>Fourniture et de pose de canaux porté et accessoires du réseau SR6 du secteur S1RIZ</t>
        </is>
      </c>
      <c r="I52" s="11" t="n">
        <v>152818</v>
      </c>
      <c r="J52" s="12" t="inlineStr">
        <is>
          <t>ml</t>
        </is>
      </c>
      <c r="K52" s="13" t="n">
        <v>51</v>
      </c>
      <c r="L52" s="51" t="n"/>
      <c r="M52" s="56">
        <f>'S46'!M52+L52</f>
        <v/>
      </c>
      <c r="N52" s="57">
        <f>IFERROR(M52/K52,0)</f>
        <v/>
      </c>
      <c r="O52" s="58">
        <f>'S46'!N52</f>
        <v/>
      </c>
      <c r="P52" s="57">
        <f>N52-O52</f>
        <v/>
      </c>
      <c r="Q52" s="32" t="n"/>
      <c r="R52" s="32" t="n"/>
      <c r="S52" s="32" t="n"/>
      <c r="T52" s="55" t="n"/>
      <c r="U52" s="58">
        <f>'S46'!T52</f>
        <v/>
      </c>
      <c r="V52" s="57">
        <f>T52-U52</f>
        <v/>
      </c>
      <c r="W52" s="57">
        <f>N52-T52</f>
        <v/>
      </c>
      <c r="X52" s="34" t="n"/>
    </row>
    <row r="53" ht="22" customHeight="1">
      <c r="B53" s="5" t="n">
        <v>49</v>
      </c>
      <c r="C53" s="6" t="inlineStr">
        <is>
          <t>Sidi Kacem</t>
        </is>
      </c>
      <c r="D53" s="5" t="inlineStr">
        <is>
          <t>SIDI EL KAMEL</t>
        </is>
      </c>
      <c r="E53" s="5" t="inlineStr">
        <is>
          <t>20-11</t>
        </is>
      </c>
      <c r="F53" s="5" t="inlineStr">
        <is>
          <t>Travaux de réhabilitation des équipements</t>
        </is>
      </c>
      <c r="G53" s="5" t="inlineStr"/>
      <c r="H53" s="5" t="inlineStr">
        <is>
          <t>Recalage des canaux portés du réseau SR4 du secteur S3R</t>
        </is>
      </c>
      <c r="I53" s="7" t="n">
        <v>1418000</v>
      </c>
      <c r="J53" s="8" t="inlineStr">
        <is>
          <t>ml</t>
        </is>
      </c>
      <c r="K53" s="9" t="n">
        <v>473</v>
      </c>
      <c r="L53" s="51" t="n"/>
      <c r="M53" s="52">
        <f>'S46'!M53+L53</f>
        <v/>
      </c>
      <c r="N53" s="53">
        <f>IFERROR(M53/K53,0)</f>
        <v/>
      </c>
      <c r="O53" s="54">
        <f>'S46'!N53</f>
        <v/>
      </c>
      <c r="P53" s="53">
        <f>N53-O53</f>
        <v/>
      </c>
      <c r="Q53" s="32" t="n"/>
      <c r="R53" s="32" t="n"/>
      <c r="S53" s="32" t="n"/>
      <c r="T53" s="55" t="n"/>
      <c r="U53" s="54">
        <f>'S46'!T53</f>
        <v/>
      </c>
      <c r="V53" s="53">
        <f>T53-U53</f>
        <v/>
      </c>
      <c r="W53" s="53">
        <f>N53-T53</f>
        <v/>
      </c>
      <c r="X53" s="34" t="n"/>
    </row>
    <row r="54" ht="22" customHeight="1">
      <c r="B54" s="10" t="n">
        <v>50</v>
      </c>
      <c r="C54" s="6" t="inlineStr">
        <is>
          <t>Sidi Kacem</t>
        </is>
      </c>
      <c r="D54" s="10" t="inlineStr">
        <is>
          <t>SIDI EL KAMEL</t>
        </is>
      </c>
      <c r="E54" s="10" t="inlineStr">
        <is>
          <t>20-11</t>
        </is>
      </c>
      <c r="F54" s="10" t="inlineStr">
        <is>
          <t>Travaux de réhabilitation des équipements</t>
        </is>
      </c>
      <c r="G54" s="10" t="inlineStr">
        <is>
          <t>Travaux de réhabilitation des ouvrages de génie civil</t>
        </is>
      </c>
      <c r="H54" s="10" t="inlineStr">
        <is>
          <t>Réhabilitation des murs de soutènements des ouvrages de franchissements du canal d'assainissement CS3 secteur S3 et de l’ouvrage de franchissement du canal primaire d’irrigation du secteur S1R au niveau de la route provinciale P4234</t>
        </is>
      </c>
      <c r="I54" s="11" t="n">
        <v>800000</v>
      </c>
      <c r="J54" s="12" t="inlineStr">
        <is>
          <t>ml</t>
        </is>
      </c>
      <c r="K54" s="13" t="n">
        <v>400</v>
      </c>
      <c r="L54" s="51" t="n"/>
      <c r="M54" s="56">
        <f>'S46'!M54+L54</f>
        <v/>
      </c>
      <c r="N54" s="57">
        <f>IFERROR(M54/K54,0)</f>
        <v/>
      </c>
      <c r="O54" s="58">
        <f>'S46'!N54</f>
        <v/>
      </c>
      <c r="P54" s="57">
        <f>N54-O54</f>
        <v/>
      </c>
      <c r="Q54" s="32" t="n"/>
      <c r="R54" s="32" t="n"/>
      <c r="S54" s="32" t="n"/>
      <c r="T54" s="55" t="n"/>
      <c r="U54" s="58">
        <f>'S46'!T54</f>
        <v/>
      </c>
      <c r="V54" s="57">
        <f>T54-U54</f>
        <v/>
      </c>
      <c r="W54" s="57">
        <f>N54-T54</f>
        <v/>
      </c>
      <c r="X54" s="34" t="n"/>
    </row>
    <row r="55" ht="22" customHeight="1">
      <c r="B55" s="5" t="n">
        <v>51</v>
      </c>
      <c r="C55" s="6" t="inlineStr">
        <is>
          <t>Sidi Kacem</t>
        </is>
      </c>
      <c r="D55" s="5" t="inlineStr">
        <is>
          <t>SIDI EL KAMEL</t>
        </is>
      </c>
      <c r="E55" s="5" t="inlineStr">
        <is>
          <t>40-21</t>
        </is>
      </c>
      <c r="F55" s="5" t="inlineStr">
        <is>
          <t>Travaux de pistes</t>
        </is>
      </c>
      <c r="G55" s="5" t="inlineStr">
        <is>
          <t>Entretien des pistes agricoles</t>
        </is>
      </c>
      <c r="H55" s="5" t="inlineStr">
        <is>
          <t>Entretien des pistes agricoles</t>
        </is>
      </c>
      <c r="I55" s="7" t="n">
        <v>3700000</v>
      </c>
      <c r="J55" s="8" t="inlineStr">
        <is>
          <t>km</t>
        </is>
      </c>
      <c r="K55" s="9" t="n">
        <v>7</v>
      </c>
      <c r="L55" s="51" t="n"/>
      <c r="M55" s="52">
        <f>'S46'!M55+L55</f>
        <v/>
      </c>
      <c r="N55" s="53">
        <f>IFERROR(M55/K55,0)</f>
        <v/>
      </c>
      <c r="O55" s="54">
        <f>'S46'!N55</f>
        <v/>
      </c>
      <c r="P55" s="53">
        <f>N55-O55</f>
        <v/>
      </c>
      <c r="Q55" s="32" t="n"/>
      <c r="R55" s="32" t="n"/>
      <c r="S55" s="32" t="n"/>
      <c r="T55" s="55" t="n"/>
      <c r="U55" s="54">
        <f>'S46'!T55</f>
        <v/>
      </c>
      <c r="V55" s="53">
        <f>T55-U55</f>
        <v/>
      </c>
      <c r="W55" s="53">
        <f>N55-T55</f>
        <v/>
      </c>
      <c r="X55" s="34" t="n"/>
    </row>
    <row r="56" ht="22" customHeight="1">
      <c r="B56" s="10" t="n">
        <v>52</v>
      </c>
      <c r="C56" s="6" t="inlineStr">
        <is>
          <t>Sidi Kacem</t>
        </is>
      </c>
      <c r="D56" s="10" t="inlineStr">
        <is>
          <t>SIDI EL KAMEL</t>
        </is>
      </c>
      <c r="E56" s="10" t="inlineStr">
        <is>
          <t>50-21</t>
        </is>
      </c>
      <c r="F56" s="10" t="inlineStr">
        <is>
          <t>Entretien et réparation des stations de pompage</t>
        </is>
      </c>
      <c r="G56" s="10" t="inlineStr">
        <is>
          <t>Prestation de maintenance des débitmètres et leurs équipements annexes installés au niveau des station de pompage</t>
        </is>
      </c>
      <c r="H56" s="10" t="inlineStr">
        <is>
          <t>Changement de quatre débitmètres Ø 500mm et trois Ø 800mm inondé des stations de pompage 1R, 3R et 5R.</t>
        </is>
      </c>
      <c r="I56" s="11" t="n">
        <v>705000</v>
      </c>
      <c r="J56" s="12" t="inlineStr">
        <is>
          <t>U</t>
        </is>
      </c>
      <c r="K56" s="13" t="n">
        <v>3</v>
      </c>
      <c r="L56" s="51" t="n"/>
      <c r="M56" s="56">
        <f>'S46'!M56+L56</f>
        <v/>
      </c>
      <c r="N56" s="57">
        <f>IFERROR(M56/K56,0)</f>
        <v/>
      </c>
      <c r="O56" s="58">
        <f>'S46'!N56</f>
        <v/>
      </c>
      <c r="P56" s="57">
        <f>N56-O56</f>
        <v/>
      </c>
      <c r="Q56" s="32" t="n"/>
      <c r="R56" s="32" t="n"/>
      <c r="S56" s="32" t="n"/>
      <c r="T56" s="55" t="n"/>
      <c r="U56" s="58">
        <f>'S46'!T56</f>
        <v/>
      </c>
      <c r="V56" s="57">
        <f>T56-U56</f>
        <v/>
      </c>
      <c r="W56" s="57">
        <f>N56-T56</f>
        <v/>
      </c>
      <c r="X56" s="34" t="n"/>
    </row>
    <row r="57" ht="22" customHeight="1">
      <c r="B57" s="5" t="n">
        <v>53</v>
      </c>
      <c r="C57" s="6" t="inlineStr">
        <is>
          <t>Sidi Kacem</t>
        </is>
      </c>
      <c r="D57" s="5" t="inlineStr">
        <is>
          <t>SIDI EL KAMEL</t>
        </is>
      </c>
      <c r="E57" s="5" t="inlineStr">
        <is>
          <t>50-21</t>
        </is>
      </c>
      <c r="F57" s="5" t="inlineStr">
        <is>
          <t>Entretien et réparation des stations de pompage</t>
        </is>
      </c>
      <c r="G57" s="5" t="inlineStr">
        <is>
          <t>Mur clôture des stations de pompage.</t>
        </is>
      </c>
      <c r="H57" s="5" t="inlineStr">
        <is>
          <t>Stabilisation et reconstruction des murs clôture cote oued des stations de pompage 7A, 3R et 1R.</t>
        </is>
      </c>
      <c r="I57" s="7" t="n">
        <v>372000</v>
      </c>
      <c r="J57" s="8" t="inlineStr">
        <is>
          <t>ml</t>
        </is>
      </c>
      <c r="K57" s="9" t="n">
        <v>124</v>
      </c>
      <c r="L57" s="51" t="n"/>
      <c r="M57" s="52">
        <f>'S46'!M57+L57</f>
        <v/>
      </c>
      <c r="N57" s="53">
        <f>IFERROR(M57/K57,0)</f>
        <v/>
      </c>
      <c r="O57" s="54">
        <f>'S46'!N57</f>
        <v/>
      </c>
      <c r="P57" s="53">
        <f>N57-O57</f>
        <v/>
      </c>
      <c r="Q57" s="32" t="n"/>
      <c r="R57" s="32" t="n"/>
      <c r="S57" s="32" t="n"/>
      <c r="T57" s="55" t="n"/>
      <c r="U57" s="54">
        <f>'S46'!T57</f>
        <v/>
      </c>
      <c r="V57" s="53">
        <f>T57-U57</f>
        <v/>
      </c>
      <c r="W57" s="53">
        <f>N57-T57</f>
        <v/>
      </c>
      <c r="X57" s="34" t="n"/>
    </row>
    <row r="58" ht="22" customHeight="1">
      <c r="B58" s="10" t="n">
        <v>54</v>
      </c>
      <c r="C58" s="14" t="inlineStr">
        <is>
          <t>Kénitra</t>
        </is>
      </c>
      <c r="D58" s="10" t="inlineStr">
        <is>
          <t>Bni malek</t>
        </is>
      </c>
      <c r="E58" s="10" t="inlineStr">
        <is>
          <t>50-23</t>
        </is>
      </c>
      <c r="F58" s="10" t="inlineStr">
        <is>
          <t>Entretien et réparation du réseau d'assainissement et de drainage</t>
        </is>
      </c>
      <c r="G58" s="10" t="inlineStr">
        <is>
          <t>Travaux de curage des canaux en terre</t>
        </is>
      </c>
      <c r="H58" s="10" t="inlineStr">
        <is>
          <t>Curage des emissaires et colatures secondaire au niveau des secteurs MDA ET N9</t>
        </is>
      </c>
      <c r="I58" s="11" t="n">
        <v>10000000</v>
      </c>
      <c r="J58" s="12" t="inlineStr">
        <is>
          <t>ml</t>
        </is>
      </c>
      <c r="K58" s="13" t="n">
        <v>5000</v>
      </c>
      <c r="L58" s="51" t="n"/>
      <c r="M58" s="56">
        <f>'S46'!M58+L58</f>
        <v/>
      </c>
      <c r="N58" s="57">
        <f>IFERROR(M58/K58,0)</f>
        <v/>
      </c>
      <c r="O58" s="58">
        <f>'S46'!N58</f>
        <v/>
      </c>
      <c r="P58" s="57">
        <f>N58-O58</f>
        <v/>
      </c>
      <c r="Q58" s="32" t="n"/>
      <c r="R58" s="32" t="n"/>
      <c r="S58" s="32" t="n"/>
      <c r="T58" s="55" t="n"/>
      <c r="U58" s="58">
        <f>'S46'!T58</f>
        <v/>
      </c>
      <c r="V58" s="57">
        <f>T58-U58</f>
        <v/>
      </c>
      <c r="W58" s="57">
        <f>N58-T58</f>
        <v/>
      </c>
      <c r="X58" s="34" t="n"/>
    </row>
    <row r="59" ht="22" customHeight="1">
      <c r="B59" s="5" t="n">
        <v>55</v>
      </c>
      <c r="C59" s="14" t="inlineStr">
        <is>
          <t>Kénitra</t>
        </is>
      </c>
      <c r="D59" s="5" t="inlineStr">
        <is>
          <t>Bni malek</t>
        </is>
      </c>
      <c r="E59" s="5" t="inlineStr">
        <is>
          <t>40-21</t>
        </is>
      </c>
      <c r="F59" s="5" t="inlineStr">
        <is>
          <t>Travaux de pistes</t>
        </is>
      </c>
      <c r="G59" s="5" t="inlineStr">
        <is>
          <t>Travaux de réhabilitation des pistes agricoles</t>
        </is>
      </c>
      <c r="H59" s="5" t="inlineStr">
        <is>
          <t>Entretien des pistes agricoles des secteurs MDA et N3</t>
        </is>
      </c>
      <c r="I59" s="7" t="n">
        <v>2000000</v>
      </c>
      <c r="J59" s="8" t="inlineStr">
        <is>
          <t>km</t>
        </is>
      </c>
      <c r="K59" s="9" t="n">
        <v>4</v>
      </c>
      <c r="L59" s="51" t="n"/>
      <c r="M59" s="52">
        <f>'S46'!M59+L59</f>
        <v/>
      </c>
      <c r="N59" s="53">
        <f>IFERROR(M59/K59,0)</f>
        <v/>
      </c>
      <c r="O59" s="54">
        <f>'S46'!N59</f>
        <v/>
      </c>
      <c r="P59" s="53">
        <f>N59-O59</f>
        <v/>
      </c>
      <c r="Q59" s="32" t="n"/>
      <c r="R59" s="32" t="n"/>
      <c r="S59" s="32" t="n"/>
      <c r="T59" s="55" t="n"/>
      <c r="U59" s="54">
        <f>'S46'!T59</f>
        <v/>
      </c>
      <c r="V59" s="53">
        <f>T59-U59</f>
        <v/>
      </c>
      <c r="W59" s="53">
        <f>N59-T59</f>
        <v/>
      </c>
      <c r="X59" s="34" t="n"/>
    </row>
    <row r="60" ht="22" customHeight="1">
      <c r="B60" s="10" t="n">
        <v>56</v>
      </c>
      <c r="C60" s="14" t="inlineStr">
        <is>
          <t>Kénitra</t>
        </is>
      </c>
      <c r="D60" s="10" t="inlineStr">
        <is>
          <t>Bni malek</t>
        </is>
      </c>
      <c r="E60" s="10" t="inlineStr">
        <is>
          <t>50-21</t>
        </is>
      </c>
      <c r="F60" s="10" t="inlineStr">
        <is>
          <t>Entretien et réparation des stations de pompage</t>
        </is>
      </c>
      <c r="G60" s="10" t="inlineStr">
        <is>
          <t>Prestations de maintenance et de réparation mécanique des pompes et des groupes motopompes submersibles des stations de pompage.</t>
        </is>
      </c>
      <c r="H60" s="10" t="inlineStr">
        <is>
          <t>station de pompage MDA secteur MDA</t>
        </is>
      </c>
      <c r="I60" s="11" t="n">
        <v>300000</v>
      </c>
      <c r="J60" s="12" t="inlineStr">
        <is>
          <t>U</t>
        </is>
      </c>
      <c r="K60" s="13" t="n">
        <v>1</v>
      </c>
      <c r="L60" s="51" t="n"/>
      <c r="M60" s="56">
        <f>'S46'!M60+L60</f>
        <v/>
      </c>
      <c r="N60" s="57">
        <f>IFERROR(M60/K60,0)</f>
        <v/>
      </c>
      <c r="O60" s="58">
        <f>'S46'!N60</f>
        <v/>
      </c>
      <c r="P60" s="57">
        <f>N60-O60</f>
        <v/>
      </c>
      <c r="Q60" s="32" t="n"/>
      <c r="R60" s="32" t="n"/>
      <c r="S60" s="32" t="n"/>
      <c r="T60" s="55" t="n"/>
      <c r="U60" s="58">
        <f>'S46'!T60</f>
        <v/>
      </c>
      <c r="V60" s="57">
        <f>T60-U60</f>
        <v/>
      </c>
      <c r="W60" s="57">
        <f>N60-T60</f>
        <v/>
      </c>
      <c r="X60" s="34" t="n"/>
    </row>
    <row r="61" ht="22" customHeight="1">
      <c r="B61" s="5" t="n">
        <v>57</v>
      </c>
      <c r="C61" s="14" t="inlineStr">
        <is>
          <t>Kénitra</t>
        </is>
      </c>
      <c r="D61" s="5" t="inlineStr">
        <is>
          <t>Bni malek</t>
        </is>
      </c>
      <c r="E61" s="5" t="inlineStr">
        <is>
          <t>20-11</t>
        </is>
      </c>
      <c r="F61" s="5" t="inlineStr">
        <is>
          <t>Travaux de réhabilitation des équipements</t>
        </is>
      </c>
      <c r="G61" s="5" t="inlineStr">
        <is>
          <t>Travaux de réhabilitation des ouvrages de génie civil</t>
        </is>
      </c>
      <c r="H61" s="5" t="inlineStr">
        <is>
          <t>Rétablissement des bornes affaissées des secteurs N2 et N3</t>
        </is>
      </c>
      <c r="I61" s="7" t="n">
        <v>100000</v>
      </c>
      <c r="J61" s="8" t="inlineStr">
        <is>
          <t>U</t>
        </is>
      </c>
      <c r="K61" s="9" t="n">
        <v>200</v>
      </c>
      <c r="L61" s="51" t="n"/>
      <c r="M61" s="52">
        <f>'S46'!M61+L61</f>
        <v/>
      </c>
      <c r="N61" s="53">
        <f>IFERROR(M61/K61,0)</f>
        <v/>
      </c>
      <c r="O61" s="54">
        <f>'S46'!N61</f>
        <v/>
      </c>
      <c r="P61" s="53">
        <f>N61-O61</f>
        <v/>
      </c>
      <c r="Q61" s="32" t="n"/>
      <c r="R61" s="32" t="n"/>
      <c r="S61" s="32" t="n"/>
      <c r="T61" s="55" t="n"/>
      <c r="U61" s="54">
        <f>'S46'!T61</f>
        <v/>
      </c>
      <c r="V61" s="53">
        <f>T61-U61</f>
        <v/>
      </c>
      <c r="W61" s="53">
        <f>N61-T61</f>
        <v/>
      </c>
      <c r="X61" s="34" t="n"/>
    </row>
    <row r="62" ht="22" customHeight="1">
      <c r="B62" s="10" t="n">
        <v>58</v>
      </c>
      <c r="C62" s="14" t="inlineStr">
        <is>
          <t>Kénitra</t>
        </is>
      </c>
      <c r="D62" s="10" t="inlineStr">
        <is>
          <t>SOUK TLET</t>
        </is>
      </c>
      <c r="E62" s="10" t="inlineStr">
        <is>
          <t>50-23</t>
        </is>
      </c>
      <c r="F62" s="10" t="inlineStr">
        <is>
          <t>Entretien et réparation du réseau d'assainissement et de drainage</t>
        </is>
      </c>
      <c r="G62" s="10" t="inlineStr">
        <is>
          <t>Travaux de curage des canaux en terre</t>
        </is>
      </c>
      <c r="H62" s="10" t="inlineStr">
        <is>
          <t>curage des emissaires et colatures secondaire au niveau des secteurs N2,N3 ET N4,</t>
        </is>
      </c>
      <c r="I62" s="11" t="n">
        <v>3000000</v>
      </c>
      <c r="J62" s="12" t="inlineStr">
        <is>
          <t>ml</t>
        </is>
      </c>
      <c r="K62" s="13" t="n">
        <v>1500</v>
      </c>
      <c r="L62" s="51" t="n"/>
      <c r="M62" s="56">
        <f>'S46'!M62+L62</f>
        <v/>
      </c>
      <c r="N62" s="57">
        <f>IFERROR(M62/K62,0)</f>
        <v/>
      </c>
      <c r="O62" s="58">
        <f>'S46'!N62</f>
        <v/>
      </c>
      <c r="P62" s="57">
        <f>N62-O62</f>
        <v/>
      </c>
      <c r="Q62" s="32" t="n"/>
      <c r="R62" s="32" t="n"/>
      <c r="S62" s="32" t="n"/>
      <c r="T62" s="55" t="n"/>
      <c r="U62" s="58">
        <f>'S46'!T62</f>
        <v/>
      </c>
      <c r="V62" s="57">
        <f>T62-U62</f>
        <v/>
      </c>
      <c r="W62" s="57">
        <f>N62-T62</f>
        <v/>
      </c>
      <c r="X62" s="34" t="n"/>
    </row>
    <row r="63" ht="22" customHeight="1">
      <c r="B63" s="5" t="n">
        <v>59</v>
      </c>
      <c r="C63" s="14" t="inlineStr">
        <is>
          <t>Kénitra</t>
        </is>
      </c>
      <c r="D63" s="5" t="inlineStr">
        <is>
          <t>SOUK TLET</t>
        </is>
      </c>
      <c r="E63" s="5" t="inlineStr">
        <is>
          <t>40-21</t>
        </is>
      </c>
      <c r="F63" s="5" t="inlineStr">
        <is>
          <t>Travaux de pistes</t>
        </is>
      </c>
      <c r="G63" s="5" t="inlineStr">
        <is>
          <t>Travaux de réhabilitation des pistes agricoles</t>
        </is>
      </c>
      <c r="H63" s="5" t="inlineStr">
        <is>
          <t>Entretien des pistes des secteurs N2,N3,N4 et C4R,</t>
        </is>
      </c>
      <c r="I63" s="7" t="n">
        <v>5000000</v>
      </c>
      <c r="J63" s="8" t="inlineStr">
        <is>
          <t>U</t>
        </is>
      </c>
      <c r="K63" s="9" t="n">
        <v>1</v>
      </c>
      <c r="L63" s="51" t="n"/>
      <c r="M63" s="52">
        <f>'S46'!M63+L63</f>
        <v/>
      </c>
      <c r="N63" s="53">
        <f>IFERROR(M63/K63,0)</f>
        <v/>
      </c>
      <c r="O63" s="54">
        <f>'S46'!N63</f>
        <v/>
      </c>
      <c r="P63" s="53">
        <f>N63-O63</f>
        <v/>
      </c>
      <c r="Q63" s="32" t="n"/>
      <c r="R63" s="32" t="n"/>
      <c r="S63" s="32" t="n"/>
      <c r="T63" s="55" t="n"/>
      <c r="U63" s="54">
        <f>'S46'!T63</f>
        <v/>
      </c>
      <c r="V63" s="53">
        <f>T63-U63</f>
        <v/>
      </c>
      <c r="W63" s="53">
        <f>N63-T63</f>
        <v/>
      </c>
      <c r="X63" s="34" t="n"/>
    </row>
    <row r="64" ht="22" customHeight="1">
      <c r="B64" s="10" t="n">
        <v>60</v>
      </c>
      <c r="C64" s="14" t="inlineStr">
        <is>
          <t>Kénitra</t>
        </is>
      </c>
      <c r="D64" s="10" t="inlineStr">
        <is>
          <t>Sidi Med Lahmar</t>
        </is>
      </c>
      <c r="E64" s="10" t="inlineStr">
        <is>
          <t>50-23</t>
        </is>
      </c>
      <c r="F64" s="10" t="inlineStr">
        <is>
          <t>Entretien et réparation du réseau d'assainissement et de drainage</t>
        </is>
      </c>
      <c r="G64" s="10" t="inlineStr">
        <is>
          <t>Travaux de curage des canaux en terre</t>
        </is>
      </c>
      <c r="H64" s="10" t="inlineStr">
        <is>
          <t>Curage des emissaires et colatures secondaires secteurs N1</t>
        </is>
      </c>
      <c r="I64" s="11" t="n">
        <v>3000000</v>
      </c>
      <c r="J64" s="12" t="inlineStr">
        <is>
          <t>ml</t>
        </is>
      </c>
      <c r="K64" s="13" t="n">
        <v>1500</v>
      </c>
      <c r="L64" s="51" t="n"/>
      <c r="M64" s="56">
        <f>'S46'!M64+L64</f>
        <v/>
      </c>
      <c r="N64" s="57">
        <f>IFERROR(M64/K64,0)</f>
        <v/>
      </c>
      <c r="O64" s="58">
        <f>'S46'!N64</f>
        <v/>
      </c>
      <c r="P64" s="57">
        <f>N64-O64</f>
        <v/>
      </c>
      <c r="Q64" s="32" t="n"/>
      <c r="R64" s="32" t="n"/>
      <c r="S64" s="32" t="n"/>
      <c r="T64" s="55" t="n"/>
      <c r="U64" s="58">
        <f>'S46'!T64</f>
        <v/>
      </c>
      <c r="V64" s="57">
        <f>T64-U64</f>
        <v/>
      </c>
      <c r="W64" s="57">
        <f>N64-T64</f>
        <v/>
      </c>
      <c r="X64" s="34" t="n"/>
    </row>
    <row r="65" ht="22" customHeight="1">
      <c r="B65" s="5" t="n">
        <v>61</v>
      </c>
      <c r="C65" s="14" t="inlineStr">
        <is>
          <t>Kénitra</t>
        </is>
      </c>
      <c r="D65" s="5" t="inlineStr">
        <is>
          <t>Sidi Med Lahmar</t>
        </is>
      </c>
      <c r="E65" s="5" t="inlineStr">
        <is>
          <t>40-21</t>
        </is>
      </c>
      <c r="F65" s="5" t="inlineStr">
        <is>
          <t>Travaux de pistes</t>
        </is>
      </c>
      <c r="G65" s="5" t="inlineStr">
        <is>
          <t>Travaux de réhabilitation des pistes agricoles</t>
        </is>
      </c>
      <c r="H65" s="5" t="inlineStr">
        <is>
          <t>Entretien des pistes agricoles des secteurs N9 et N1</t>
        </is>
      </c>
      <c r="I65" s="7" t="n">
        <v>3000000</v>
      </c>
      <c r="J65" s="8" t="inlineStr">
        <is>
          <t>km</t>
        </is>
      </c>
      <c r="K65" s="9" t="n">
        <v>6</v>
      </c>
      <c r="L65" s="51" t="n"/>
      <c r="M65" s="52">
        <f>'S46'!M65+L65</f>
        <v/>
      </c>
      <c r="N65" s="53">
        <f>IFERROR(M65/K65,0)</f>
        <v/>
      </c>
      <c r="O65" s="54">
        <f>'S46'!N65</f>
        <v/>
      </c>
      <c r="P65" s="53">
        <f>N65-O65</f>
        <v/>
      </c>
      <c r="Q65" s="32" t="n"/>
      <c r="R65" s="32" t="n"/>
      <c r="S65" s="32" t="n"/>
      <c r="T65" s="55" t="n"/>
      <c r="U65" s="54">
        <f>'S46'!T65</f>
        <v/>
      </c>
      <c r="V65" s="53">
        <f>T65-U65</f>
        <v/>
      </c>
      <c r="W65" s="53">
        <f>N65-T65</f>
        <v/>
      </c>
      <c r="X65" s="34" t="n"/>
    </row>
    <row r="66" ht="22" customHeight="1">
      <c r="B66" s="10" t="n">
        <v>62</v>
      </c>
      <c r="C66" s="14" t="inlineStr">
        <is>
          <t>Kénitra</t>
        </is>
      </c>
      <c r="D66" s="10" t="inlineStr">
        <is>
          <t>Mograne</t>
        </is>
      </c>
      <c r="E66" s="10" t="inlineStr">
        <is>
          <t>50-23</t>
        </is>
      </c>
      <c r="F66" s="10" t="inlineStr">
        <is>
          <t>Entretien et réparation du réseau d'assainissement et de drainage</t>
        </is>
      </c>
      <c r="G66" s="10" t="inlineStr">
        <is>
          <t>Travaux de curage des canaux en terre</t>
        </is>
      </c>
      <c r="H66" s="10" t="inlineStr">
        <is>
          <t>Curage des canaux d'assainissement Hors secteur équipé ghoufera et laison beht sebou ,</t>
        </is>
      </c>
      <c r="I66" s="11" t="n">
        <v>6000000</v>
      </c>
      <c r="J66" s="12" t="inlineStr">
        <is>
          <t>ml</t>
        </is>
      </c>
      <c r="K66" s="13" t="n">
        <v>3000</v>
      </c>
      <c r="L66" s="51" t="n"/>
      <c r="M66" s="56">
        <f>'S46'!M66+L66</f>
        <v/>
      </c>
      <c r="N66" s="57">
        <f>IFERROR(M66/K66,0)</f>
        <v/>
      </c>
      <c r="O66" s="58">
        <f>'S46'!N66</f>
        <v/>
      </c>
      <c r="P66" s="57">
        <f>N66-O66</f>
        <v/>
      </c>
      <c r="Q66" s="32" t="n"/>
      <c r="R66" s="32" t="n"/>
      <c r="S66" s="32" t="n"/>
      <c r="T66" s="55" t="n"/>
      <c r="U66" s="58">
        <f>'S46'!T66</f>
        <v/>
      </c>
      <c r="V66" s="57">
        <f>T66-U66</f>
        <v/>
      </c>
      <c r="W66" s="57">
        <f>N66-T66</f>
        <v/>
      </c>
      <c r="X66" s="34" t="n"/>
    </row>
    <row r="67" ht="22" customHeight="1">
      <c r="B67" s="5" t="n">
        <v>63</v>
      </c>
      <c r="C67" s="14" t="inlineStr">
        <is>
          <t>Kénitra</t>
        </is>
      </c>
      <c r="D67" s="5" t="inlineStr">
        <is>
          <t>Mograne</t>
        </is>
      </c>
      <c r="E67" s="5" t="inlineStr">
        <is>
          <t>40-21</t>
        </is>
      </c>
      <c r="F67" s="5" t="inlineStr">
        <is>
          <t>Travaux de pistes</t>
        </is>
      </c>
      <c r="G67" s="5" t="inlineStr">
        <is>
          <t>Travaux de réhabilitation des pistes agricoles</t>
        </is>
      </c>
      <c r="H67" s="5" t="inlineStr">
        <is>
          <t>Entretien des pistes agricoles des secteurs SEBOU1,SEBOU2? BEHT3 et BEHT4</t>
        </is>
      </c>
      <c r="I67" s="7" t="n">
        <v>6000000</v>
      </c>
      <c r="J67" s="8" t="inlineStr">
        <is>
          <t>km</t>
        </is>
      </c>
      <c r="K67" s="9" t="n">
        <v>12</v>
      </c>
      <c r="L67" s="51" t="n"/>
      <c r="M67" s="52">
        <f>'S46'!M67+L67</f>
        <v/>
      </c>
      <c r="N67" s="53">
        <f>IFERROR(M67/K67,0)</f>
        <v/>
      </c>
      <c r="O67" s="54">
        <f>'S46'!N67</f>
        <v/>
      </c>
      <c r="P67" s="53">
        <f>N67-O67</f>
        <v/>
      </c>
      <c r="Q67" s="32" t="n"/>
      <c r="R67" s="32" t="n"/>
      <c r="S67" s="32" t="n"/>
      <c r="T67" s="55" t="n"/>
      <c r="U67" s="54">
        <f>'S46'!T67</f>
        <v/>
      </c>
      <c r="V67" s="53">
        <f>T67-U67</f>
        <v/>
      </c>
      <c r="W67" s="53">
        <f>N67-T67</f>
        <v/>
      </c>
      <c r="X67" s="34" t="n"/>
    </row>
    <row r="68" ht="22" customHeight="1">
      <c r="B68" s="10" t="n">
        <v>64</v>
      </c>
      <c r="C68" s="14" t="inlineStr">
        <is>
          <t>Kénitra</t>
        </is>
      </c>
      <c r="D68" s="10" t="inlineStr">
        <is>
          <t>Sidi allal tazi</t>
        </is>
      </c>
      <c r="E68" s="10" t="inlineStr">
        <is>
          <t>50-23</t>
        </is>
      </c>
      <c r="F68" s="10" t="inlineStr">
        <is>
          <t>Entretien et réparation du réseau d'assainissement et de drainage</t>
        </is>
      </c>
      <c r="G68" s="10" t="inlineStr">
        <is>
          <t>Travaux de curage des canaux en terre</t>
        </is>
      </c>
      <c r="H68" s="10" t="inlineStr">
        <is>
          <t>Curage du canaL d'assainissement CK,</t>
        </is>
      </c>
      <c r="I68" s="11" t="n">
        <v>3000000</v>
      </c>
      <c r="J68" s="12" t="inlineStr">
        <is>
          <t>ml</t>
        </is>
      </c>
      <c r="K68" s="13" t="n">
        <v>1500</v>
      </c>
      <c r="L68" s="51" t="n"/>
      <c r="M68" s="56">
        <f>'S46'!M68+L68</f>
        <v/>
      </c>
      <c r="N68" s="57">
        <f>IFERROR(M68/K68,0)</f>
        <v/>
      </c>
      <c r="O68" s="58">
        <f>'S46'!N68</f>
        <v/>
      </c>
      <c r="P68" s="57">
        <f>N68-O68</f>
        <v/>
      </c>
      <c r="Q68" s="32" t="n"/>
      <c r="R68" s="32" t="n"/>
      <c r="S68" s="32" t="n"/>
      <c r="T68" s="55" t="n"/>
      <c r="U68" s="58">
        <f>'S46'!T68</f>
        <v/>
      </c>
      <c r="V68" s="57">
        <f>T68-U68</f>
        <v/>
      </c>
      <c r="W68" s="57">
        <f>N68-T68</f>
        <v/>
      </c>
      <c r="X68" s="34" t="n"/>
    </row>
    <row r="69" ht="22" customHeight="1">
      <c r="B69" s="5" t="n">
        <v>65</v>
      </c>
      <c r="C69" s="14" t="inlineStr">
        <is>
          <t>Kénitra</t>
        </is>
      </c>
      <c r="D69" s="5" t="inlineStr">
        <is>
          <t>AMEUR SAFLIA</t>
        </is>
      </c>
      <c r="E69" s="5" t="inlineStr">
        <is>
          <t>50-23</t>
        </is>
      </c>
      <c r="F69" s="5" t="inlineStr">
        <is>
          <t>Entretien et réparation du réseau d'assainissement et de drainage</t>
        </is>
      </c>
      <c r="G69" s="5" t="inlineStr">
        <is>
          <t>Travaux de curage des canaux en terre</t>
        </is>
      </c>
      <c r="H69" s="5" t="inlineStr">
        <is>
          <t>Curage des canaux d'assainissement amontTtiflt Sebou,</t>
        </is>
      </c>
      <c r="I69" s="7" t="n">
        <v>1000000</v>
      </c>
      <c r="J69" s="8" t="inlineStr">
        <is>
          <t>ml</t>
        </is>
      </c>
      <c r="K69" s="9" t="n">
        <v>500</v>
      </c>
      <c r="L69" s="51" t="n"/>
      <c r="M69" s="52">
        <f>'S46'!M69+L69</f>
        <v/>
      </c>
      <c r="N69" s="53">
        <f>IFERROR(M69/K69,0)</f>
        <v/>
      </c>
      <c r="O69" s="54">
        <f>'S46'!N69</f>
        <v/>
      </c>
      <c r="P69" s="53">
        <f>N69-O69</f>
        <v/>
      </c>
      <c r="Q69" s="32" t="n"/>
      <c r="R69" s="32" t="n"/>
      <c r="S69" s="32" t="n"/>
      <c r="T69" s="55" t="n"/>
      <c r="U69" s="54">
        <f>'S46'!T69</f>
        <v/>
      </c>
      <c r="V69" s="53">
        <f>T69-U69</f>
        <v/>
      </c>
      <c r="W69" s="53">
        <f>N69-T69</f>
        <v/>
      </c>
      <c r="X69" s="34" t="n"/>
    </row>
    <row r="70" ht="22" customHeight="1">
      <c r="B70" s="10" t="n">
        <v>66</v>
      </c>
      <c r="C70" s="14" t="inlineStr">
        <is>
          <t>Kénitra</t>
        </is>
      </c>
      <c r="D70" s="10" t="inlineStr">
        <is>
          <t>Oulad SLAMA</t>
        </is>
      </c>
      <c r="E70" s="10" t="inlineStr">
        <is>
          <t>50-23</t>
        </is>
      </c>
      <c r="F70" s="10" t="inlineStr">
        <is>
          <t>Entretien et réparation du réseau d'assainissement et de drainage</t>
        </is>
      </c>
      <c r="G70" s="10" t="inlineStr">
        <is>
          <t>Travaux de curage des canaux en terre</t>
        </is>
      </c>
      <c r="H70" s="10" t="inlineStr">
        <is>
          <t>Curage des canaux d'assainissement debouche Tiflt aval,</t>
        </is>
      </c>
      <c r="I70" s="11" t="n">
        <v>1000000</v>
      </c>
      <c r="J70" s="12" t="inlineStr">
        <is>
          <t>ml</t>
        </is>
      </c>
      <c r="K70" s="13" t="n">
        <v>500</v>
      </c>
      <c r="L70" s="51" t="n"/>
      <c r="M70" s="56">
        <f>'S46'!M70+L70</f>
        <v/>
      </c>
      <c r="N70" s="57">
        <f>IFERROR(M70/K70,0)</f>
        <v/>
      </c>
      <c r="O70" s="58">
        <f>'S46'!N70</f>
        <v/>
      </c>
      <c r="P70" s="57">
        <f>N70-O70</f>
        <v/>
      </c>
      <c r="Q70" s="32" t="n"/>
      <c r="R70" s="32" t="n"/>
      <c r="S70" s="32" t="n"/>
      <c r="T70" s="55" t="n"/>
      <c r="U70" s="58">
        <f>'S46'!T70</f>
        <v/>
      </c>
      <c r="V70" s="57">
        <f>T70-U70</f>
        <v/>
      </c>
      <c r="W70" s="57">
        <f>N70-T70</f>
        <v/>
      </c>
      <c r="X70" s="34" t="n"/>
    </row>
    <row r="71" ht="22" customHeight="1">
      <c r="B71" s="5" t="n">
        <v>67</v>
      </c>
      <c r="C71" s="14" t="inlineStr">
        <is>
          <t>Kénitra</t>
        </is>
      </c>
      <c r="D71" s="5" t="inlineStr">
        <is>
          <t>BHARA Oulad AYAD</t>
        </is>
      </c>
      <c r="E71" s="5" t="inlineStr">
        <is>
          <t>50-23</t>
        </is>
      </c>
      <c r="F71" s="5" t="inlineStr">
        <is>
          <t>Entretien et réparation du réseau d'assainissement et de drainage</t>
        </is>
      </c>
      <c r="G71" s="5" t="inlineStr">
        <is>
          <t>Travaux de curage des canaux en terre</t>
        </is>
      </c>
      <c r="H71" s="5" t="inlineStr">
        <is>
          <t>Curage des canaux d'assainissement canal nador bas et haut segmet,</t>
        </is>
      </c>
      <c r="I71" s="7" t="n">
        <v>6600000</v>
      </c>
      <c r="J71" s="8" t="inlineStr">
        <is>
          <t>ml</t>
        </is>
      </c>
      <c r="K71" s="9" t="n">
        <v>3300</v>
      </c>
      <c r="L71" s="51" t="n"/>
      <c r="M71" s="52">
        <f>'S46'!M71+L71</f>
        <v/>
      </c>
      <c r="N71" s="53">
        <f>IFERROR(M71/K71,0)</f>
        <v/>
      </c>
      <c r="O71" s="54">
        <f>'S46'!N71</f>
        <v/>
      </c>
      <c r="P71" s="53">
        <f>N71-O71</f>
        <v/>
      </c>
      <c r="Q71" s="32" t="n"/>
      <c r="R71" s="32" t="n"/>
      <c r="S71" s="32" t="n"/>
      <c r="T71" s="55" t="n"/>
      <c r="U71" s="54">
        <f>'S46'!T71</f>
        <v/>
      </c>
      <c r="V71" s="53">
        <f>T71-U71</f>
        <v/>
      </c>
      <c r="W71" s="53">
        <f>N71-T71</f>
        <v/>
      </c>
      <c r="X71" s="34" t="n"/>
    </row>
    <row r="72" ht="22" customHeight="1">
      <c r="B72" s="10" t="n">
        <v>68</v>
      </c>
      <c r="C72" s="15" t="inlineStr">
        <is>
          <t>Sidi Slimane</t>
        </is>
      </c>
      <c r="D72" s="10" t="inlineStr">
        <is>
          <t>OULED HCEINE</t>
        </is>
      </c>
      <c r="E72" s="10" t="inlineStr">
        <is>
          <t>50-23</t>
        </is>
      </c>
      <c r="F72" s="10" t="inlineStr">
        <is>
          <t>Entretien et réparation du réseau d'assainissement et de drainage</t>
        </is>
      </c>
      <c r="G72" s="10" t="inlineStr">
        <is>
          <t>Travaux de curage des canaux en terre</t>
        </is>
      </c>
      <c r="H72" s="10" t="inlineStr">
        <is>
          <t>Curage des collecteurs d'assainissement du secteur EST4.</t>
        </is>
      </c>
      <c r="I72" s="11" t="n">
        <v>1805475</v>
      </c>
      <c r="J72" s="12" t="inlineStr">
        <is>
          <t>ml</t>
        </is>
      </c>
      <c r="K72" s="13" t="n">
        <v>903</v>
      </c>
      <c r="L72" s="51" t="n"/>
      <c r="M72" s="56">
        <f>'S46'!M72+L72</f>
        <v/>
      </c>
      <c r="N72" s="57">
        <f>IFERROR(M72/K72,0)</f>
        <v/>
      </c>
      <c r="O72" s="58">
        <f>'S46'!N72</f>
        <v/>
      </c>
      <c r="P72" s="57">
        <f>N72-O72</f>
        <v/>
      </c>
      <c r="Q72" s="32" t="n"/>
      <c r="R72" s="32" t="n"/>
      <c r="S72" s="32" t="n"/>
      <c r="T72" s="55" t="n"/>
      <c r="U72" s="58">
        <f>'S46'!T72</f>
        <v/>
      </c>
      <c r="V72" s="57">
        <f>T72-U72</f>
        <v/>
      </c>
      <c r="W72" s="57">
        <f>N72-T72</f>
        <v/>
      </c>
      <c r="X72" s="34" t="n"/>
    </row>
    <row r="73" ht="22" customHeight="1">
      <c r="B73" s="5" t="n">
        <v>69</v>
      </c>
      <c r="C73" s="15" t="inlineStr">
        <is>
          <t>Sidi Slimane</t>
        </is>
      </c>
      <c r="D73" s="5" t="inlineStr">
        <is>
          <t>OULED HCEINE</t>
        </is>
      </c>
      <c r="E73" s="5" t="inlineStr">
        <is>
          <t>50-23</t>
        </is>
      </c>
      <c r="F73" s="5" t="inlineStr">
        <is>
          <t>Entretien et réparation du réseau d'assainissement et de drainage</t>
        </is>
      </c>
      <c r="G73" s="5" t="inlineStr">
        <is>
          <t>Travaux de curage des canaux en terre</t>
        </is>
      </c>
      <c r="H73" s="5" t="inlineStr">
        <is>
          <t>Curage du canal d'assainissement Tihli central.</t>
        </is>
      </c>
      <c r="I73" s="7" t="n">
        <v>2587200</v>
      </c>
      <c r="J73" s="8" t="inlineStr">
        <is>
          <t>ml</t>
        </is>
      </c>
      <c r="K73" s="9" t="n">
        <v>1294</v>
      </c>
      <c r="L73" s="51" t="n"/>
      <c r="M73" s="52">
        <f>'S46'!M73+L73</f>
        <v/>
      </c>
      <c r="N73" s="53">
        <f>IFERROR(M73/K73,0)</f>
        <v/>
      </c>
      <c r="O73" s="54">
        <f>'S46'!N73</f>
        <v/>
      </c>
      <c r="P73" s="53">
        <f>N73-O73</f>
        <v/>
      </c>
      <c r="Q73" s="32" t="n"/>
      <c r="R73" s="32" t="n"/>
      <c r="S73" s="32" t="n"/>
      <c r="T73" s="55" t="n"/>
      <c r="U73" s="54">
        <f>'S46'!T73</f>
        <v/>
      </c>
      <c r="V73" s="53">
        <f>T73-U73</f>
        <v/>
      </c>
      <c r="W73" s="53">
        <f>N73-T73</f>
        <v/>
      </c>
      <c r="X73" s="34" t="n"/>
    </row>
    <row r="74" ht="22" customHeight="1">
      <c r="B74" s="10" t="n">
        <v>70</v>
      </c>
      <c r="C74" s="15" t="inlineStr">
        <is>
          <t>Sidi Slimane</t>
        </is>
      </c>
      <c r="D74" s="10" t="inlineStr">
        <is>
          <t>OULED HCEINE</t>
        </is>
      </c>
      <c r="E74" s="10" t="inlineStr">
        <is>
          <t>40-21</t>
        </is>
      </c>
      <c r="F74" s="10" t="inlineStr">
        <is>
          <t>Travaux de pistes</t>
        </is>
      </c>
      <c r="G74" s="10" t="inlineStr">
        <is>
          <t>Travaux de réhabilitation des pistes agricoles</t>
        </is>
      </c>
      <c r="H74" s="10" t="inlineStr">
        <is>
          <t>Entretien des pistes agricoles</t>
        </is>
      </c>
      <c r="I74" s="11" t="n">
        <v>3500000</v>
      </c>
      <c r="J74" s="12" t="inlineStr">
        <is>
          <t>km</t>
        </is>
      </c>
      <c r="K74" s="13" t="n">
        <v>7</v>
      </c>
      <c r="L74" s="51" t="n"/>
      <c r="M74" s="56">
        <f>'S46'!M74+L74</f>
        <v/>
      </c>
      <c r="N74" s="57">
        <f>IFERROR(M74/K74,0)</f>
        <v/>
      </c>
      <c r="O74" s="58">
        <f>'S46'!N74</f>
        <v/>
      </c>
      <c r="P74" s="57">
        <f>N74-O74</f>
        <v/>
      </c>
      <c r="Q74" s="32" t="n"/>
      <c r="R74" s="32" t="n"/>
      <c r="S74" s="32" t="n"/>
      <c r="T74" s="55" t="n"/>
      <c r="U74" s="58">
        <f>'S46'!T74</f>
        <v/>
      </c>
      <c r="V74" s="57">
        <f>T74-U74</f>
        <v/>
      </c>
      <c r="W74" s="57">
        <f>N74-T74</f>
        <v/>
      </c>
      <c r="X74" s="34" t="n"/>
    </row>
    <row r="75" ht="22" customHeight="1">
      <c r="B75" s="5" t="n">
        <v>71</v>
      </c>
      <c r="C75" s="15" t="inlineStr">
        <is>
          <t>Sidi Slimane</t>
        </is>
      </c>
      <c r="D75" s="5" t="inlineStr">
        <is>
          <t>OULED HCEINE</t>
        </is>
      </c>
      <c r="E75" s="5" t="inlineStr">
        <is>
          <t>50-21</t>
        </is>
      </c>
      <c r="F75" s="5" t="inlineStr">
        <is>
          <t>Entretien et réparation des stations de pompage</t>
        </is>
      </c>
      <c r="G75" s="5" t="inlineStr">
        <is>
          <t>Travaux de réparation des équipements hydromécaniques et éléctriques et entretien de la partie génie civil des stations de pompage.</t>
        </is>
      </c>
      <c r="H75" s="5" t="inlineStr">
        <is>
          <t>Démontage et expertise des roues des  pompes principaux et pompes a vide de la station EST4 et P11/2.
Changement des roulements, tresses et organes d’effectués de la station EST4 et P11/2
Changement deux débitmètre Ø 1200 mm de la station EST4 et un débimétre de la station P11/2.
Changement des capteurs de niveau inondés.
Révision et réparation des moteurs des vannes motorisées inondées.
changement de six contrôleurs de débits DW181 inondés.
Un capteur de débitmètre inondé nécessitent un diagnostic VEGASON  .
Entretien de l'éclairage du local de vide et bâche d’aspiration inondé de la station EST4 et la partie de l’éclairage du local des pompes inondées de la station P11/2.
Pose de gabions et recouvrement du talus par matelas Reno des stations de pompage P11/2</t>
        </is>
      </c>
      <c r="I75" s="7" t="n">
        <v>870000</v>
      </c>
      <c r="J75" s="8" t="inlineStr">
        <is>
          <t>U</t>
        </is>
      </c>
      <c r="K75" s="9" t="n">
        <v>4</v>
      </c>
      <c r="L75" s="51" t="n"/>
      <c r="M75" s="52">
        <f>'S46'!M75+L75</f>
        <v/>
      </c>
      <c r="N75" s="53">
        <f>IFERROR(M75/K75,0)</f>
        <v/>
      </c>
      <c r="O75" s="54">
        <f>'S46'!N75</f>
        <v/>
      </c>
      <c r="P75" s="53">
        <f>N75-O75</f>
        <v/>
      </c>
      <c r="Q75" s="32" t="n"/>
      <c r="R75" s="32" t="n"/>
      <c r="S75" s="32" t="n"/>
      <c r="T75" s="55" t="n"/>
      <c r="U75" s="54">
        <f>'S46'!T75</f>
        <v/>
      </c>
      <c r="V75" s="53">
        <f>T75-U75</f>
        <v/>
      </c>
      <c r="W75" s="53">
        <f>N75-T75</f>
        <v/>
      </c>
      <c r="X75" s="34" t="n"/>
    </row>
    <row r="76" ht="22" customHeight="1">
      <c r="B76" s="10" t="n">
        <v>72</v>
      </c>
      <c r="C76" s="15" t="inlineStr">
        <is>
          <t>Sidi Slimane</t>
        </is>
      </c>
      <c r="D76" s="10" t="inlineStr">
        <is>
          <t>OULED HCEINE</t>
        </is>
      </c>
      <c r="E76" s="10" t="inlineStr">
        <is>
          <t>50-23</t>
        </is>
      </c>
      <c r="F76" s="10" t="inlineStr">
        <is>
          <t>Entretien et réparation du réseau d'assainissement et de drainage</t>
        </is>
      </c>
      <c r="G76" s="10" t="inlineStr">
        <is>
          <t>Travaux de curage des prises des stations de pompage.</t>
        </is>
      </c>
      <c r="H76" s="10" t="inlineStr">
        <is>
          <t>Curage des siphones des station de pompage EST2 et P11/2.</t>
        </is>
      </c>
      <c r="I76" s="11" t="n">
        <v>500000</v>
      </c>
      <c r="J76" s="12" t="inlineStr">
        <is>
          <t>ml</t>
        </is>
      </c>
      <c r="K76" s="13" t="n">
        <v>167</v>
      </c>
      <c r="L76" s="51" t="n"/>
      <c r="M76" s="56">
        <f>'S46'!M76+L76</f>
        <v/>
      </c>
      <c r="N76" s="57">
        <f>IFERROR(M76/K76,0)</f>
        <v/>
      </c>
      <c r="O76" s="58">
        <f>'S46'!N76</f>
        <v/>
      </c>
      <c r="P76" s="57">
        <f>N76-O76</f>
        <v/>
      </c>
      <c r="Q76" s="32" t="n"/>
      <c r="R76" s="32" t="n"/>
      <c r="S76" s="32" t="n"/>
      <c r="T76" s="55" t="n"/>
      <c r="U76" s="58">
        <f>'S46'!T76</f>
        <v/>
      </c>
      <c r="V76" s="57">
        <f>T76-U76</f>
        <v/>
      </c>
      <c r="W76" s="57">
        <f>N76-T76</f>
        <v/>
      </c>
      <c r="X76" s="34" t="n"/>
    </row>
    <row r="77" ht="26" customHeight="1">
      <c r="B77" s="16" t="inlineStr">
        <is>
          <t>TOTAL</t>
        </is>
      </c>
      <c r="C77" s="16" t="n"/>
      <c r="D77" s="16" t="n"/>
      <c r="E77" s="16" t="n"/>
      <c r="F77" s="16" t="n"/>
      <c r="G77" s="16" t="n"/>
      <c r="H77" s="16" t="n"/>
      <c r="I77" s="17">
        <f>SUM(I5:I76)</f>
        <v/>
      </c>
      <c r="J77" s="16" t="n"/>
      <c r="K77" s="16" t="n"/>
      <c r="L77" s="59">
        <f>SUM(L5:L76)</f>
        <v/>
      </c>
      <c r="M77" s="59">
        <f>SUM(M5:M76)</f>
        <v/>
      </c>
      <c r="N77" s="60">
        <f>IFERROR(SUMPRODUCT(N5:N76,I5:I76)/I77,0)</f>
        <v/>
      </c>
      <c r="O77" s="60">
        <f>IFERROR(SUMPRODUCT(O5:O76,I5:I76)/I77,0)</f>
        <v/>
      </c>
      <c r="P77" s="60">
        <f>N77-O77</f>
        <v/>
      </c>
      <c r="Q77" s="17">
        <f>SUM(Q5:Q76)</f>
        <v/>
      </c>
      <c r="R77" s="17">
        <f>SUM(R5:R76)</f>
        <v/>
      </c>
      <c r="S77" s="17">
        <f>SUM(S5:S76)</f>
        <v/>
      </c>
      <c r="T77" s="60">
        <f>IFERROR(SUMPRODUCT(T5:T76,I5:I76)/I77,0)</f>
        <v/>
      </c>
      <c r="U77" s="60">
        <f>IFERROR(SUMPRODUCT(U5:U76,I5:I76)/I77,0)</f>
        <v/>
      </c>
      <c r="V77" s="60">
        <f>T77-U77</f>
        <v/>
      </c>
      <c r="W77" s="60">
        <f>N77-T77</f>
        <v/>
      </c>
      <c r="X77" s="16" t="n"/>
    </row>
  </sheetData>
  <sheetProtection selectLockedCells="0" selectUnlockedCells="0" sheet="1" objects="0" insertRows="1" insertHyperlinks="1" autoFilter="1" scenarios="0" formatColumns="1" deleteColumns="1" insertColumns="1" pivotTables="1" deleteRows="1" formatCells="1" formatRows="1" sort="1" password="CBBE"/>
  <mergeCells count="6">
    <mergeCell ref="E3:I3"/>
    <mergeCell ref="W3:X3"/>
    <mergeCell ref="J3:P3"/>
    <mergeCell ref="B2:X2"/>
    <mergeCell ref="C3:D3"/>
    <mergeCell ref="Q3:V3"/>
  </mergeCells>
  <conditionalFormatting sqref="P5:P76">
    <cfRule type="cellIs" priority="1" operator="greaterThan" dxfId="0">
      <formula>0</formula>
    </cfRule>
    <cfRule type="cellIs" priority="2" operator="lessThan" dxfId="1">
      <formula>0</formula>
    </cfRule>
  </conditionalFormatting>
  <conditionalFormatting sqref="V5:V76">
    <cfRule type="cellIs" priority="3" operator="greaterThan" dxfId="0">
      <formula>0</formula>
    </cfRule>
    <cfRule type="cellIs" priority="4" operator="lessThan" dxfId="1">
      <formula>0</formula>
    </cfRule>
  </conditionalFormatting>
  <conditionalFormatting sqref="W5:W76">
    <cfRule type="cellIs" priority="5" operator="greaterThan" dxfId="0">
      <formula>0.05</formula>
    </cfRule>
    <cfRule type="cellIs" priority="6" operator="lessThan" dxfId="1">
      <formula>-0.05</formula>
    </cfRule>
    <cfRule type="cellIs" priority="7" operator="between" dxfId="2">
      <formula>-0.05</formula>
      <formula>0.05</formula>
    </cfRule>
  </conditionalFormatting>
  <conditionalFormatting sqref="N5:N76">
    <cfRule type="dataBar" priority="8">
      <dataBar showValue="1">
        <cfvo type="num" val="0"/>
        <cfvo type="num" val="1"/>
        <color rgb="001B7D46"/>
      </dataBar>
    </cfRule>
  </conditionalFormatting>
  <conditionalFormatting sqref="T5:T76">
    <cfRule type="dataBar" priority="9">
      <dataBar showValue="1">
        <cfvo type="num" val="0"/>
        <cfvo type="num" val="1"/>
        <color rgb="00D4820A"/>
      </dataBar>
    </cfRule>
  </conditionalFormatting>
  <dataValidations count="2">
    <dataValidation sqref="T5:T76" showDropDown="0" showInputMessage="0" showErrorMessage="0" allowBlank="1" errorTitle="Invalide" error="Valeur entre 0% et 100%" promptTitle="Avancement %" prompt="Entrez 0.25 pour 25%" type="decimal" operator="between">
      <formula1>0</formula1>
      <formula2>1</formula2>
    </dataValidation>
    <dataValidation sqref="L5:L76" showDropDown="0" showInputMessage="0" showErrorMessage="0" allowBlank="1" errorTitle="Invalide" error="Quantité doit être &gt;= 0" promptTitle="Qté Réalisée" prompt="Entrez la quantité réalisée cette semaine" type="decimal" operator="greaterThanOrEqual">
      <formula1>0</formula1>
    </dataValidation>
  </dataValidations>
  <pageMargins left="0.75" right="0.75" top="1" bottom="1" header="0.5" footer="0.5"/>
</worksheet>
</file>

<file path=xl/worksheets/sheet28.xml><?xml version="1.0" encoding="utf-8"?>
<worksheet xmlns="http://schemas.openxmlformats.org/spreadsheetml/2006/main">
  <sheetPr>
    <tabColor rgb="00BF8F00"/>
    <outlinePr summaryBelow="1" summaryRight="1"/>
    <pageSetUpPr/>
  </sheetPr>
  <dimension ref="B2:X77"/>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5" customWidth="1" min="2" max="2"/>
    <col width="14" customWidth="1" min="3" max="3"/>
    <col width="18" customWidth="1" min="4" max="4"/>
    <col width="9" customWidth="1" min="5" max="5"/>
    <col width="32" customWidth="1" min="6" max="6"/>
    <col width="28" customWidth="1" min="7" max="7"/>
    <col width="34" customWidth="1" min="8" max="8"/>
    <col width="14" customWidth="1" min="9" max="9"/>
    <col width="8" customWidth="1" min="10" max="10"/>
    <col width="12" customWidth="1" min="11" max="11"/>
    <col width="14" customWidth="1" min="12" max="12"/>
    <col width="14" customWidth="1" min="13" max="13"/>
    <col width="14" customWidth="1" min="14" max="14"/>
    <col width="14" customWidth="1" min="15" max="15"/>
    <col width="14" customWidth="1" min="16" max="16"/>
    <col width="16" customWidth="1" min="17" max="17"/>
    <col width="16" customWidth="1" min="18" max="18"/>
    <col width="16" customWidth="1" min="19" max="19"/>
    <col width="14" customWidth="1" min="20" max="20"/>
    <col width="14" customWidth="1" min="21" max="21"/>
    <col width="14" customWidth="1" min="22" max="22"/>
    <col width="14" customWidth="1" min="23" max="23"/>
    <col width="24" customWidth="1" min="24" max="24"/>
  </cols>
  <sheetData>
    <row r="1" ht="15" customHeight="1"/>
    <row r="2" ht="32" customHeight="1">
      <c r="B2" s="1" t="inlineStr">
        <is>
          <t>Suivi Hebdomadaire - Semaine 48 (23/11 - 29/11) — Novembre 2026 - Exécution Physique et Financière</t>
        </is>
      </c>
    </row>
    <row r="3" ht="22" customHeight="1">
      <c r="B3" s="20" t="inlineStr">
        <is>
          <t>Date :</t>
        </is>
      </c>
      <c r="C3" s="49" t="n">
        <v>46349</v>
      </c>
      <c r="D3" s="50" t="n"/>
      <c r="E3" s="22" t="inlineStr">
        <is>
          <t>IDENTIFICATION</t>
        </is>
      </c>
      <c r="J3" s="23" t="inlineStr">
        <is>
          <t>INDICATEURS PHYSIQUES</t>
        </is>
      </c>
      <c r="Q3" s="24" t="inlineStr">
        <is>
          <t>INDICATEURS FINANCIERS</t>
        </is>
      </c>
      <c r="W3" s="25" t="inlineStr">
        <is>
          <t>SYNTHÈSE</t>
        </is>
      </c>
    </row>
    <row r="4" ht="28" customHeight="1">
      <c r="B4" s="4" t="inlineStr">
        <is>
          <t>N°</t>
        </is>
      </c>
      <c r="C4" s="4" t="inlineStr">
        <is>
          <t>Province</t>
        </is>
      </c>
      <c r="D4" s="4" t="inlineStr">
        <is>
          <t>Commune</t>
        </is>
      </c>
      <c r="E4" s="4" t="inlineStr">
        <is>
          <t>Rubrique</t>
        </is>
      </c>
      <c r="F4" s="4" t="inlineStr">
        <is>
          <t>Intitulé Rubrique</t>
        </is>
      </c>
      <c r="G4" s="4" t="inlineStr">
        <is>
          <t>Projet</t>
        </is>
      </c>
      <c r="H4" s="4" t="inlineStr">
        <is>
          <t>Consistance</t>
        </is>
      </c>
      <c r="I4" s="4" t="inlineStr">
        <is>
          <t>Coût Total (DH)</t>
        </is>
      </c>
      <c r="J4" s="26" t="inlineStr">
        <is>
          <t>Unité</t>
        </is>
      </c>
      <c r="K4" s="26" t="inlineStr">
        <is>
          <t>Qté Prévue</t>
        </is>
      </c>
      <c r="L4" s="26" t="inlineStr">
        <is>
          <t>Qté Réalisée Sem.</t>
        </is>
      </c>
      <c r="M4" s="26" t="inlineStr">
        <is>
          <t>Qté Réalisée Cumul</t>
        </is>
      </c>
      <c r="N4" s="26" t="inlineStr">
        <is>
          <t>Avancement Physique %</t>
        </is>
      </c>
      <c r="O4" s="26" t="inlineStr">
        <is>
          <t>% Phys. Sem. Préc.</t>
        </is>
      </c>
      <c r="P4" s="26" t="inlineStr">
        <is>
          <t>Accroissement Phys. %</t>
        </is>
      </c>
      <c r="Q4" s="27" t="inlineStr">
        <is>
          <t>Montant Décaissé (DH)</t>
        </is>
      </c>
      <c r="R4" s="27" t="inlineStr">
        <is>
          <t>Montant Payé (DH)</t>
        </is>
      </c>
      <c r="S4" s="27" t="inlineStr">
        <is>
          <t>Montant Ordonné (DH)</t>
        </is>
      </c>
      <c r="T4" s="27" t="inlineStr">
        <is>
          <t>Avancement Financier %</t>
        </is>
      </c>
      <c r="U4" s="27" t="inlineStr">
        <is>
          <t>% Fin. Sem. Préc.</t>
        </is>
      </c>
      <c r="V4" s="27" t="inlineStr">
        <is>
          <t>Accroissement Fin. %</t>
        </is>
      </c>
      <c r="W4" s="28" t="inlineStr">
        <is>
          <t>Écart Phys.-Fin.</t>
        </is>
      </c>
      <c r="X4" s="28" t="inlineStr">
        <is>
          <t>Observations</t>
        </is>
      </c>
    </row>
    <row r="5" ht="22" customHeight="1">
      <c r="B5" s="5" t="n">
        <v>1</v>
      </c>
      <c r="C5" s="6" t="inlineStr">
        <is>
          <t>Sidi Kacem</t>
        </is>
      </c>
      <c r="D5" s="5" t="inlineStr">
        <is>
          <t>KHENICHET</t>
        </is>
      </c>
      <c r="E5" s="5" t="inlineStr">
        <is>
          <t>50-23</t>
        </is>
      </c>
      <c r="F5" s="5" t="inlineStr">
        <is>
          <t>Entretien et réparation du réseau d'assainissement et de drainage</t>
        </is>
      </c>
      <c r="G5" s="5" t="inlineStr">
        <is>
          <t>Travaux de curage des canaux en terre</t>
        </is>
      </c>
      <c r="H5" s="5" t="inlineStr">
        <is>
          <t>Curage des collecteurs d'assainissement du secteur EST2</t>
        </is>
      </c>
      <c r="I5" s="7" t="n">
        <v>2091568</v>
      </c>
      <c r="J5" s="8" t="inlineStr">
        <is>
          <t>ml</t>
        </is>
      </c>
      <c r="K5" s="9" t="n">
        <v>1046</v>
      </c>
      <c r="L5" s="51" t="n"/>
      <c r="M5" s="52">
        <f>'S47'!M5+L5</f>
        <v/>
      </c>
      <c r="N5" s="53">
        <f>IFERROR(M5/K5,0)</f>
        <v/>
      </c>
      <c r="O5" s="54">
        <f>'S47'!N5</f>
        <v/>
      </c>
      <c r="P5" s="53">
        <f>N5-O5</f>
        <v/>
      </c>
      <c r="Q5" s="32" t="n"/>
      <c r="R5" s="32" t="n"/>
      <c r="S5" s="32" t="n"/>
      <c r="T5" s="55" t="n"/>
      <c r="U5" s="54">
        <f>'S47'!T5</f>
        <v/>
      </c>
      <c r="V5" s="53">
        <f>T5-U5</f>
        <v/>
      </c>
      <c r="W5" s="53">
        <f>N5-T5</f>
        <v/>
      </c>
      <c r="X5" s="34" t="n"/>
    </row>
    <row r="6" ht="22" customHeight="1">
      <c r="B6" s="10" t="n">
        <v>2</v>
      </c>
      <c r="C6" s="6" t="inlineStr">
        <is>
          <t>Sidi Kacem</t>
        </is>
      </c>
      <c r="D6" s="10" t="inlineStr">
        <is>
          <t>KHENICHET</t>
        </is>
      </c>
      <c r="E6" s="10" t="inlineStr">
        <is>
          <t>40-21</t>
        </is>
      </c>
      <c r="F6" s="10" t="inlineStr">
        <is>
          <t>Travaux de pistes</t>
        </is>
      </c>
      <c r="G6" s="10" t="inlineStr">
        <is>
          <t>Travaux de réhabilitation des pistes agricoles</t>
        </is>
      </c>
      <c r="H6" s="10" t="inlineStr">
        <is>
          <t>Entretien des pistes agricoles Douar Nouagra et Douar ouled Salem</t>
        </is>
      </c>
      <c r="I6" s="11" t="n">
        <v>78000</v>
      </c>
      <c r="J6" s="12" t="inlineStr">
        <is>
          <t>km</t>
        </is>
      </c>
      <c r="K6" s="13" t="n">
        <v>1</v>
      </c>
      <c r="L6" s="51" t="n"/>
      <c r="M6" s="56">
        <f>'S47'!M6+L6</f>
        <v/>
      </c>
      <c r="N6" s="57">
        <f>IFERROR(M6/K6,0)</f>
        <v/>
      </c>
      <c r="O6" s="58">
        <f>'S47'!N6</f>
        <v/>
      </c>
      <c r="P6" s="57">
        <f>N6-O6</f>
        <v/>
      </c>
      <c r="Q6" s="32" t="n"/>
      <c r="R6" s="32" t="n"/>
      <c r="S6" s="32" t="n"/>
      <c r="T6" s="55" t="n"/>
      <c r="U6" s="58">
        <f>'S47'!T6</f>
        <v/>
      </c>
      <c r="V6" s="57">
        <f>T6-U6</f>
        <v/>
      </c>
      <c r="W6" s="57">
        <f>N6-T6</f>
        <v/>
      </c>
      <c r="X6" s="34" t="n"/>
    </row>
    <row r="7" ht="22" customHeight="1">
      <c r="B7" s="5" t="n">
        <v>3</v>
      </c>
      <c r="C7" s="6" t="inlineStr">
        <is>
          <t>Sidi Kacem</t>
        </is>
      </c>
      <c r="D7" s="5" t="inlineStr">
        <is>
          <t>KHENICHET</t>
        </is>
      </c>
      <c r="E7" s="5" t="inlineStr">
        <is>
          <t>50-23</t>
        </is>
      </c>
      <c r="F7" s="5" t="inlineStr">
        <is>
          <t>Entretien et réparation du réseau d'assainissement et de drainage</t>
        </is>
      </c>
      <c r="G7" s="5" t="inlineStr">
        <is>
          <t>Curage des prises sur l’oued, bâche d’aspiration et bassin de régulation.</t>
        </is>
      </c>
      <c r="H7" s="5" t="inlineStr">
        <is>
          <t>Curage de la chambre des joints de démontage des siphonnes  de la station de pompage EST2.</t>
        </is>
      </c>
      <c r="I7" s="7" t="n">
        <v>126000</v>
      </c>
      <c r="J7" s="8" t="inlineStr">
        <is>
          <t>ml</t>
        </is>
      </c>
      <c r="K7" s="9" t="n">
        <v>42</v>
      </c>
      <c r="L7" s="51" t="n"/>
      <c r="M7" s="52">
        <f>'S47'!M7+L7</f>
        <v/>
      </c>
      <c r="N7" s="53">
        <f>IFERROR(M7/K7,0)</f>
        <v/>
      </c>
      <c r="O7" s="54">
        <f>'S47'!N7</f>
        <v/>
      </c>
      <c r="P7" s="53">
        <f>N7-O7</f>
        <v/>
      </c>
      <c r="Q7" s="32" t="n"/>
      <c r="R7" s="32" t="n"/>
      <c r="S7" s="32" t="n"/>
      <c r="T7" s="55" t="n"/>
      <c r="U7" s="54">
        <f>'S47'!T7</f>
        <v/>
      </c>
      <c r="V7" s="53">
        <f>T7-U7</f>
        <v/>
      </c>
      <c r="W7" s="53">
        <f>N7-T7</f>
        <v/>
      </c>
      <c r="X7" s="34" t="n"/>
    </row>
    <row r="8" ht="22" customHeight="1">
      <c r="B8" s="10" t="n">
        <v>4</v>
      </c>
      <c r="C8" s="6" t="inlineStr">
        <is>
          <t>Sidi Kacem</t>
        </is>
      </c>
      <c r="D8" s="10" t="inlineStr">
        <is>
          <t>KHENICHET</t>
        </is>
      </c>
      <c r="E8" s="10" t="inlineStr">
        <is>
          <t>50-21</t>
        </is>
      </c>
      <c r="F8" s="10" t="inlineStr">
        <is>
          <t>Entretien et réparation des stations de pompage</t>
        </is>
      </c>
      <c r="G8" s="10" t="inlineStr">
        <is>
          <t>Prestation de maintenance des débitmètres et leurs équipements annexes installés au niveau des station de pompage</t>
        </is>
      </c>
      <c r="H8" s="10" t="inlineStr">
        <is>
          <t>Changement trois débitmètre Ø 600mm inondés de la station de pompage EST 2 et deux capteurs VEGASON 62</t>
        </is>
      </c>
      <c r="I8" s="11" t="n">
        <v>165500</v>
      </c>
      <c r="J8" s="12" t="inlineStr">
        <is>
          <t>U</t>
        </is>
      </c>
      <c r="K8" s="13" t="n">
        <v>3</v>
      </c>
      <c r="L8" s="51" t="n"/>
      <c r="M8" s="56">
        <f>'S47'!M8+L8</f>
        <v/>
      </c>
      <c r="N8" s="57">
        <f>IFERROR(M8/K8,0)</f>
        <v/>
      </c>
      <c r="O8" s="58">
        <f>'S47'!N8</f>
        <v/>
      </c>
      <c r="P8" s="57">
        <f>N8-O8</f>
        <v/>
      </c>
      <c r="Q8" s="32" t="n"/>
      <c r="R8" s="32" t="n"/>
      <c r="S8" s="32" t="n"/>
      <c r="T8" s="55" t="n"/>
      <c r="U8" s="58">
        <f>'S47'!T8</f>
        <v/>
      </c>
      <c r="V8" s="57">
        <f>T8-U8</f>
        <v/>
      </c>
      <c r="W8" s="57">
        <f>N8-T8</f>
        <v/>
      </c>
      <c r="X8" s="34" t="n"/>
    </row>
    <row r="9" ht="22" customHeight="1">
      <c r="B9" s="5" t="n">
        <v>5</v>
      </c>
      <c r="C9" s="6" t="inlineStr">
        <is>
          <t>Sidi Kacem</t>
        </is>
      </c>
      <c r="D9" s="5" t="inlineStr">
        <is>
          <t>BIR TALEB</t>
        </is>
      </c>
      <c r="E9" s="5" t="inlineStr">
        <is>
          <t>50-23</t>
        </is>
      </c>
      <c r="F9" s="5" t="inlineStr">
        <is>
          <t>Entretien et réparation du réseau d'assainissement et de drainage</t>
        </is>
      </c>
      <c r="G9" s="5" t="inlineStr">
        <is>
          <t>Travaux de curage des canaux en terre</t>
        </is>
      </c>
      <c r="H9" s="5" t="inlineStr">
        <is>
          <t>Curage du canal d'assainisement Tihli Aval</t>
        </is>
      </c>
      <c r="I9" s="7" t="n">
        <v>1000000</v>
      </c>
      <c r="J9" s="8" t="inlineStr">
        <is>
          <t>ml</t>
        </is>
      </c>
      <c r="K9" s="9" t="n">
        <v>500</v>
      </c>
      <c r="L9" s="51" t="n"/>
      <c r="M9" s="52">
        <f>'S47'!M9+L9</f>
        <v/>
      </c>
      <c r="N9" s="53">
        <f>IFERROR(M9/K9,0)</f>
        <v/>
      </c>
      <c r="O9" s="54">
        <f>'S47'!N9</f>
        <v/>
      </c>
      <c r="P9" s="53">
        <f>N9-O9</f>
        <v/>
      </c>
      <c r="Q9" s="32" t="n"/>
      <c r="R9" s="32" t="n"/>
      <c r="S9" s="32" t="n"/>
      <c r="T9" s="55" t="n"/>
      <c r="U9" s="54">
        <f>'S47'!T9</f>
        <v/>
      </c>
      <c r="V9" s="53">
        <f>T9-U9</f>
        <v/>
      </c>
      <c r="W9" s="53">
        <f>N9-T9</f>
        <v/>
      </c>
      <c r="X9" s="34" t="n"/>
    </row>
    <row r="10" ht="22" customHeight="1">
      <c r="B10" s="10" t="n">
        <v>6</v>
      </c>
      <c r="C10" s="6" t="inlineStr">
        <is>
          <t>Sidi Kacem</t>
        </is>
      </c>
      <c r="D10" s="10" t="inlineStr">
        <is>
          <t>BIR TALEB</t>
        </is>
      </c>
      <c r="E10" s="10" t="inlineStr">
        <is>
          <t>50-23</t>
        </is>
      </c>
      <c r="F10" s="10" t="inlineStr">
        <is>
          <t>Entretien et réparation du réseau d'assainissement et de drainage</t>
        </is>
      </c>
      <c r="G10" s="10" t="inlineStr"/>
      <c r="H10" s="10" t="inlineStr">
        <is>
          <t>Curage des collecteurs d'assainissement du secteur P11/1</t>
        </is>
      </c>
      <c r="I10" s="11" t="n">
        <v>846731</v>
      </c>
      <c r="J10" s="12" t="inlineStr">
        <is>
          <t>ml</t>
        </is>
      </c>
      <c r="K10" s="13" t="n">
        <v>423</v>
      </c>
      <c r="L10" s="51" t="n"/>
      <c r="M10" s="56">
        <f>'S47'!M10+L10</f>
        <v/>
      </c>
      <c r="N10" s="57">
        <f>IFERROR(M10/K10,0)</f>
        <v/>
      </c>
      <c r="O10" s="58">
        <f>'S47'!N10</f>
        <v/>
      </c>
      <c r="P10" s="57">
        <f>N10-O10</f>
        <v/>
      </c>
      <c r="Q10" s="32" t="n"/>
      <c r="R10" s="32" t="n"/>
      <c r="S10" s="32" t="n"/>
      <c r="T10" s="55" t="n"/>
      <c r="U10" s="58">
        <f>'S47'!T10</f>
        <v/>
      </c>
      <c r="V10" s="57">
        <f>T10-U10</f>
        <v/>
      </c>
      <c r="W10" s="57">
        <f>N10-T10</f>
        <v/>
      </c>
      <c r="X10" s="34" t="n"/>
    </row>
    <row r="11" ht="22" customHeight="1">
      <c r="B11" s="5" t="n">
        <v>7</v>
      </c>
      <c r="C11" s="6" t="inlineStr">
        <is>
          <t>Sidi Kacem</t>
        </is>
      </c>
      <c r="D11" s="5" t="inlineStr">
        <is>
          <t>BIR TALEB</t>
        </is>
      </c>
      <c r="E11" s="5" t="inlineStr">
        <is>
          <t>50-23</t>
        </is>
      </c>
      <c r="F11" s="5" t="inlineStr">
        <is>
          <t>Entretien et réparation du réseau d'assainissement et de drainage</t>
        </is>
      </c>
      <c r="G11" s="5" t="inlineStr">
        <is>
          <t>Curage des prises sur l’oued, bâche d’aspiration et bassin de régulation.</t>
        </is>
      </c>
      <c r="H11" s="5" t="inlineStr">
        <is>
          <t>Curage des prises sur l’oued de la station de pompage P11/1.</t>
        </is>
      </c>
      <c r="I11" s="7" t="n">
        <v>200000</v>
      </c>
      <c r="J11" s="8" t="inlineStr">
        <is>
          <t>ml</t>
        </is>
      </c>
      <c r="K11" s="9" t="n">
        <v>67</v>
      </c>
      <c r="L11" s="51" t="n"/>
      <c r="M11" s="52">
        <f>'S47'!M11+L11</f>
        <v/>
      </c>
      <c r="N11" s="53">
        <f>IFERROR(M11/K11,0)</f>
        <v/>
      </c>
      <c r="O11" s="54">
        <f>'S47'!N11</f>
        <v/>
      </c>
      <c r="P11" s="53">
        <f>N11-O11</f>
        <v/>
      </c>
      <c r="Q11" s="32" t="n"/>
      <c r="R11" s="32" t="n"/>
      <c r="S11" s="32" t="n"/>
      <c r="T11" s="55" t="n"/>
      <c r="U11" s="54">
        <f>'S47'!T11</f>
        <v/>
      </c>
      <c r="V11" s="53">
        <f>T11-U11</f>
        <v/>
      </c>
      <c r="W11" s="53">
        <f>N11-T11</f>
        <v/>
      </c>
      <c r="X11" s="34" t="n"/>
    </row>
    <row r="12" ht="22" customHeight="1">
      <c r="B12" s="10" t="n">
        <v>8</v>
      </c>
      <c r="C12" s="6" t="inlineStr">
        <is>
          <t>Sidi Kacem</t>
        </is>
      </c>
      <c r="D12" s="10" t="inlineStr">
        <is>
          <t>BIR TALEB</t>
        </is>
      </c>
      <c r="E12" s="10" t="inlineStr">
        <is>
          <t>50-21</t>
        </is>
      </c>
      <c r="F12" s="10" t="inlineStr">
        <is>
          <t>Entretien et réparation des stations de pompage</t>
        </is>
      </c>
      <c r="G12" s="10" t="inlineStr">
        <is>
          <t>Prestation de maintenance des débitmètres et leurs équipements annexes installés au niveau des station de pompage</t>
        </is>
      </c>
      <c r="H12" s="10" t="inlineStr">
        <is>
          <t>Changement trois débitmètre Ø 400mm inondés de la station de pompage P11/1</t>
        </is>
      </c>
      <c r="I12" s="11" t="n">
        <v>141900</v>
      </c>
      <c r="J12" s="12" t="inlineStr">
        <is>
          <t>U</t>
        </is>
      </c>
      <c r="K12" s="13" t="n">
        <v>3</v>
      </c>
      <c r="L12" s="51" t="n"/>
      <c r="M12" s="56">
        <f>'S47'!M12+L12</f>
        <v/>
      </c>
      <c r="N12" s="57">
        <f>IFERROR(M12/K12,0)</f>
        <v/>
      </c>
      <c r="O12" s="58">
        <f>'S47'!N12</f>
        <v/>
      </c>
      <c r="P12" s="57">
        <f>N12-O12</f>
        <v/>
      </c>
      <c r="Q12" s="32" t="n"/>
      <c r="R12" s="32" t="n"/>
      <c r="S12" s="32" t="n"/>
      <c r="T12" s="55" t="n"/>
      <c r="U12" s="58">
        <f>'S47'!T12</f>
        <v/>
      </c>
      <c r="V12" s="57">
        <f>T12-U12</f>
        <v/>
      </c>
      <c r="W12" s="57">
        <f>N12-T12</f>
        <v/>
      </c>
      <c r="X12" s="34" t="n"/>
    </row>
    <row r="13" ht="22" customHeight="1">
      <c r="B13" s="5" t="n">
        <v>9</v>
      </c>
      <c r="C13" s="6" t="inlineStr">
        <is>
          <t>Sidi Kacem</t>
        </is>
      </c>
      <c r="D13" s="5" t="inlineStr">
        <is>
          <t>BIR TALEB</t>
        </is>
      </c>
      <c r="E13" s="5" t="inlineStr">
        <is>
          <t>50-21</t>
        </is>
      </c>
      <c r="F13" s="5" t="inlineStr">
        <is>
          <t>Entretien et réparation des stations de pompage</t>
        </is>
      </c>
      <c r="G13" s="5" t="inlineStr">
        <is>
          <t>Prestations de maintenance et de réparation mécanique des pompes et des groupes motopompes submersibles des stations de pompage.</t>
        </is>
      </c>
      <c r="H13" s="5" t="inlineStr">
        <is>
          <t>Démontage et expertise des roues des  pompes principaux et pompes a vide de la station P11/1
Changement des roulements, tresses et organes d’effectués de la station P11/1</t>
        </is>
      </c>
      <c r="I13" s="7" t="n">
        <v>26700</v>
      </c>
      <c r="J13" s="8" t="inlineStr">
        <is>
          <t>U</t>
        </is>
      </c>
      <c r="K13" s="9" t="n">
        <v>1</v>
      </c>
      <c r="L13" s="51" t="n"/>
      <c r="M13" s="52">
        <f>'S47'!M13+L13</f>
        <v/>
      </c>
      <c r="N13" s="53">
        <f>IFERROR(M13/K13,0)</f>
        <v/>
      </c>
      <c r="O13" s="54">
        <f>'S47'!N13</f>
        <v/>
      </c>
      <c r="P13" s="53">
        <f>N13-O13</f>
        <v/>
      </c>
      <c r="Q13" s="32" t="n"/>
      <c r="R13" s="32" t="n"/>
      <c r="S13" s="32" t="n"/>
      <c r="T13" s="55" t="n"/>
      <c r="U13" s="54">
        <f>'S47'!T13</f>
        <v/>
      </c>
      <c r="V13" s="53">
        <f>T13-U13</f>
        <v/>
      </c>
      <c r="W13" s="53">
        <f>N13-T13</f>
        <v/>
      </c>
      <c r="X13" s="34" t="n"/>
    </row>
    <row r="14" ht="22" customHeight="1">
      <c r="B14" s="10" t="n">
        <v>10</v>
      </c>
      <c r="C14" s="6" t="inlineStr">
        <is>
          <t>Sidi Kacem</t>
        </is>
      </c>
      <c r="D14" s="10" t="inlineStr">
        <is>
          <t>BIR TALEB</t>
        </is>
      </c>
      <c r="E14" s="10" t="inlineStr">
        <is>
          <t>50-21</t>
        </is>
      </c>
      <c r="F14" s="10" t="inlineStr">
        <is>
          <t>Entretien et réparation des stations de pompage</t>
        </is>
      </c>
      <c r="G14" s="10" t="inlineStr">
        <is>
          <t>Stabilisation Berge oued</t>
        </is>
      </c>
      <c r="H14" s="10" t="inlineStr">
        <is>
          <t>Pose de  gabions et recouvrement du talus par matelas Reno des stations de pompage P11/1.</t>
        </is>
      </c>
      <c r="I14" s="11" t="n">
        <v>480000</v>
      </c>
      <c r="J14" s="12" t="inlineStr">
        <is>
          <t>m³</t>
        </is>
      </c>
      <c r="K14" s="13" t="n">
        <v>320</v>
      </c>
      <c r="L14" s="51" t="n"/>
      <c r="M14" s="56">
        <f>'S47'!M14+L14</f>
        <v/>
      </c>
      <c r="N14" s="57">
        <f>IFERROR(M14/K14,0)</f>
        <v/>
      </c>
      <c r="O14" s="58">
        <f>'S47'!N14</f>
        <v/>
      </c>
      <c r="P14" s="57">
        <f>N14-O14</f>
        <v/>
      </c>
      <c r="Q14" s="32" t="n"/>
      <c r="R14" s="32" t="n"/>
      <c r="S14" s="32" t="n"/>
      <c r="T14" s="55" t="n"/>
      <c r="U14" s="58">
        <f>'S47'!T14</f>
        <v/>
      </c>
      <c r="V14" s="57">
        <f>T14-U14</f>
        <v/>
      </c>
      <c r="W14" s="57">
        <f>N14-T14</f>
        <v/>
      </c>
      <c r="X14" s="34" t="n"/>
    </row>
    <row r="15" ht="22" customHeight="1">
      <c r="B15" s="5" t="n">
        <v>11</v>
      </c>
      <c r="C15" s="6" t="inlineStr">
        <is>
          <t>Sidi Kacem</t>
        </is>
      </c>
      <c r="D15" s="5" t="inlineStr">
        <is>
          <t>BIR TALEB</t>
        </is>
      </c>
      <c r="E15" s="5" t="inlineStr">
        <is>
          <t>50-21</t>
        </is>
      </c>
      <c r="F15" s="5" t="inlineStr">
        <is>
          <t>Entretien et réparation des stations de pompage</t>
        </is>
      </c>
      <c r="G15" s="5" t="inlineStr">
        <is>
          <t>Génie civile des locaux des stations de pompage.</t>
        </is>
      </c>
      <c r="H15" s="5" t="inlineStr">
        <is>
          <t>Expertise d’état et d’étanchéité des locaux pompes.
Renforcement d’étanchéité des locaux pompe sous niveau des oueds des stations de pompage P11/1.
Entretien des supports en béton des conduites d’aspiration.</t>
        </is>
      </c>
      <c r="I15" s="7" t="n">
        <v>300000</v>
      </c>
      <c r="J15" s="8" t="inlineStr">
        <is>
          <t>U</t>
        </is>
      </c>
      <c r="K15" s="9" t="n">
        <v>1</v>
      </c>
      <c r="L15" s="51" t="n"/>
      <c r="M15" s="52">
        <f>'S47'!M15+L15</f>
        <v/>
      </c>
      <c r="N15" s="53">
        <f>IFERROR(M15/K15,0)</f>
        <v/>
      </c>
      <c r="O15" s="54">
        <f>'S47'!N15</f>
        <v/>
      </c>
      <c r="P15" s="53">
        <f>N15-O15</f>
        <v/>
      </c>
      <c r="Q15" s="32" t="n"/>
      <c r="R15" s="32" t="n"/>
      <c r="S15" s="32" t="n"/>
      <c r="T15" s="55" t="n"/>
      <c r="U15" s="54">
        <f>'S47'!T15</f>
        <v/>
      </c>
      <c r="V15" s="53">
        <f>T15-U15</f>
        <v/>
      </c>
      <c r="W15" s="53">
        <f>N15-T15</f>
        <v/>
      </c>
      <c r="X15" s="34" t="n"/>
    </row>
    <row r="16" ht="22" customHeight="1">
      <c r="B16" s="10" t="n">
        <v>12</v>
      </c>
      <c r="C16" s="6" t="inlineStr">
        <is>
          <t>Sidi Kacem</t>
        </is>
      </c>
      <c r="D16" s="10" t="inlineStr">
        <is>
          <t>CHEBANAT</t>
        </is>
      </c>
      <c r="E16" s="10" t="inlineStr">
        <is>
          <t>50-23</t>
        </is>
      </c>
      <c r="F16" s="10" t="inlineStr">
        <is>
          <t>Entretien et réparation du réseau d'assainissement et de drainage</t>
        </is>
      </c>
      <c r="G16" s="10" t="inlineStr">
        <is>
          <t>Travaux de curage des canaux en terre</t>
        </is>
      </c>
      <c r="H16" s="10" t="inlineStr">
        <is>
          <t>Curage des collecteurs d'assainissement des secteur SH5 et SH6.</t>
        </is>
      </c>
      <c r="I16" s="11" t="n">
        <v>1000000</v>
      </c>
      <c r="J16" s="12" t="inlineStr">
        <is>
          <t>ml</t>
        </is>
      </c>
      <c r="K16" s="13" t="n">
        <v>500</v>
      </c>
      <c r="L16" s="51" t="n"/>
      <c r="M16" s="56">
        <f>'S47'!M16+L16</f>
        <v/>
      </c>
      <c r="N16" s="57">
        <f>IFERROR(M16/K16,0)</f>
        <v/>
      </c>
      <c r="O16" s="58">
        <f>'S47'!N16</f>
        <v/>
      </c>
      <c r="P16" s="57">
        <f>N16-O16</f>
        <v/>
      </c>
      <c r="Q16" s="32" t="n"/>
      <c r="R16" s="32" t="n"/>
      <c r="S16" s="32" t="n"/>
      <c r="T16" s="55" t="n"/>
      <c r="U16" s="58">
        <f>'S47'!T16</f>
        <v/>
      </c>
      <c r="V16" s="57">
        <f>T16-U16</f>
        <v/>
      </c>
      <c r="W16" s="57">
        <f>N16-T16</f>
        <v/>
      </c>
      <c r="X16" s="34" t="n"/>
    </row>
    <row r="17" ht="22" customHeight="1">
      <c r="B17" s="5" t="n">
        <v>13</v>
      </c>
      <c r="C17" s="6" t="inlineStr">
        <is>
          <t>Sidi Kacem</t>
        </is>
      </c>
      <c r="D17" s="5" t="inlineStr">
        <is>
          <t>CHEBANAT</t>
        </is>
      </c>
      <c r="E17" s="5" t="inlineStr">
        <is>
          <t>50-23</t>
        </is>
      </c>
      <c r="F17" s="5" t="inlineStr">
        <is>
          <t>Entretien et réparation du réseau d'assainissement et de drainage</t>
        </is>
      </c>
      <c r="G17" s="5" t="inlineStr">
        <is>
          <t>Travaux de curage des canaux révetus</t>
        </is>
      </c>
      <c r="H17" s="5" t="inlineStr">
        <is>
          <t>Curage du canal principal d'irrigation beht partie aval 1.</t>
        </is>
      </c>
      <c r="I17" s="7" t="n">
        <v>739200</v>
      </c>
      <c r="J17" s="8" t="inlineStr">
        <is>
          <t>ml</t>
        </is>
      </c>
      <c r="K17" s="9" t="n">
        <v>370</v>
      </c>
      <c r="L17" s="51" t="n"/>
      <c r="M17" s="52">
        <f>'S47'!M17+L17</f>
        <v/>
      </c>
      <c r="N17" s="53">
        <f>IFERROR(M17/K17,0)</f>
        <v/>
      </c>
      <c r="O17" s="54">
        <f>'S47'!N17</f>
        <v/>
      </c>
      <c r="P17" s="53">
        <f>N17-O17</f>
        <v/>
      </c>
      <c r="Q17" s="32" t="n"/>
      <c r="R17" s="32" t="n"/>
      <c r="S17" s="32" t="n"/>
      <c r="T17" s="55" t="n"/>
      <c r="U17" s="54">
        <f>'S47'!T17</f>
        <v/>
      </c>
      <c r="V17" s="53">
        <f>T17-U17</f>
        <v/>
      </c>
      <c r="W17" s="53">
        <f>N17-T17</f>
        <v/>
      </c>
      <c r="X17" s="34" t="n"/>
    </row>
    <row r="18" ht="22" customHeight="1">
      <c r="B18" s="10" t="n">
        <v>14</v>
      </c>
      <c r="C18" s="6" t="inlineStr">
        <is>
          <t>Sidi Kacem</t>
        </is>
      </c>
      <c r="D18" s="10" t="inlineStr">
        <is>
          <t>ZIRARA</t>
        </is>
      </c>
      <c r="E18" s="10" t="inlineStr">
        <is>
          <t>50-23</t>
        </is>
      </c>
      <c r="F18" s="10" t="inlineStr">
        <is>
          <t>Entretien et réparation du réseau d'assainissement et de drainage</t>
        </is>
      </c>
      <c r="G18" s="10" t="inlineStr">
        <is>
          <t>Travaux de curage des canaux révetus</t>
        </is>
      </c>
      <c r="H18" s="10" t="inlineStr">
        <is>
          <t>Curage du canal principal d'irrigation beht partie aval 2.</t>
        </is>
      </c>
      <c r="I18" s="11" t="n">
        <v>1276800</v>
      </c>
      <c r="J18" s="12" t="inlineStr">
        <is>
          <t>ml</t>
        </is>
      </c>
      <c r="K18" s="13" t="n">
        <v>638</v>
      </c>
      <c r="L18" s="51" t="n"/>
      <c r="M18" s="56">
        <f>'S47'!M18+L18</f>
        <v/>
      </c>
      <c r="N18" s="57">
        <f>IFERROR(M18/K18,0)</f>
        <v/>
      </c>
      <c r="O18" s="58">
        <f>'S47'!N18</f>
        <v/>
      </c>
      <c r="P18" s="57">
        <f>N18-O18</f>
        <v/>
      </c>
      <c r="Q18" s="32" t="n"/>
      <c r="R18" s="32" t="n"/>
      <c r="S18" s="32" t="n"/>
      <c r="T18" s="55" t="n"/>
      <c r="U18" s="58">
        <f>'S47'!T18</f>
        <v/>
      </c>
      <c r="V18" s="57">
        <f>T18-U18</f>
        <v/>
      </c>
      <c r="W18" s="57">
        <f>N18-T18</f>
        <v/>
      </c>
      <c r="X18" s="34" t="n"/>
    </row>
    <row r="19" ht="22" customHeight="1">
      <c r="B19" s="5" t="n">
        <v>15</v>
      </c>
      <c r="C19" s="6" t="inlineStr">
        <is>
          <t>Sidi Kacem</t>
        </is>
      </c>
      <c r="D19" s="5" t="inlineStr">
        <is>
          <t>DAR LAASLOUJI</t>
        </is>
      </c>
      <c r="E19" s="5" t="inlineStr">
        <is>
          <t>50-23</t>
        </is>
      </c>
      <c r="F19" s="5" t="inlineStr">
        <is>
          <t>Entretien et réparation du réseau d'assainissement et de drainage</t>
        </is>
      </c>
      <c r="G19" s="5" t="inlineStr">
        <is>
          <t>Travaux de curage des canaux en terre</t>
        </is>
      </c>
      <c r="H19" s="5" t="inlineStr">
        <is>
          <t>Curage des collecteurs d'assainissement des secteurs P8-1 et P8-2</t>
        </is>
      </c>
      <c r="I19" s="7" t="n">
        <v>5796360</v>
      </c>
      <c r="J19" s="8" t="inlineStr">
        <is>
          <t>ml</t>
        </is>
      </c>
      <c r="K19" s="9" t="n">
        <v>2898</v>
      </c>
      <c r="L19" s="51" t="n"/>
      <c r="M19" s="52">
        <f>'S47'!M19+L19</f>
        <v/>
      </c>
      <c r="N19" s="53">
        <f>IFERROR(M19/K19,0)</f>
        <v/>
      </c>
      <c r="O19" s="54">
        <f>'S47'!N19</f>
        <v/>
      </c>
      <c r="P19" s="53">
        <f>N19-O19</f>
        <v/>
      </c>
      <c r="Q19" s="32" t="n"/>
      <c r="R19" s="32" t="n"/>
      <c r="S19" s="32" t="n"/>
      <c r="T19" s="55" t="n"/>
      <c r="U19" s="54">
        <f>'S47'!T19</f>
        <v/>
      </c>
      <c r="V19" s="53">
        <f>T19-U19</f>
        <v/>
      </c>
      <c r="W19" s="53">
        <f>N19-T19</f>
        <v/>
      </c>
      <c r="X19" s="34" t="n"/>
    </row>
    <row r="20" ht="22" customHeight="1">
      <c r="B20" s="10" t="n">
        <v>16</v>
      </c>
      <c r="C20" s="6" t="inlineStr">
        <is>
          <t>Sidi Kacem</t>
        </is>
      </c>
      <c r="D20" s="10" t="inlineStr">
        <is>
          <t>DAR LAASLOUJI</t>
        </is>
      </c>
      <c r="E20" s="10" t="inlineStr">
        <is>
          <t>40-21</t>
        </is>
      </c>
      <c r="F20" s="10" t="inlineStr">
        <is>
          <t>Travaux de pistes</t>
        </is>
      </c>
      <c r="G20" s="10" t="inlineStr">
        <is>
          <t>Entretien des pistes agricoles</t>
        </is>
      </c>
      <c r="H20" s="10" t="inlineStr">
        <is>
          <t>Entretien des pistes agricoles</t>
        </is>
      </c>
      <c r="I20" s="11" t="n">
        <v>340000</v>
      </c>
      <c r="J20" s="12" t="inlineStr">
        <is>
          <t>km</t>
        </is>
      </c>
      <c r="K20" s="13" t="n">
        <v>1</v>
      </c>
      <c r="L20" s="51" t="n"/>
      <c r="M20" s="56">
        <f>'S47'!M20+L20</f>
        <v/>
      </c>
      <c r="N20" s="57">
        <f>IFERROR(M20/K20,0)</f>
        <v/>
      </c>
      <c r="O20" s="58">
        <f>'S47'!N20</f>
        <v/>
      </c>
      <c r="P20" s="57">
        <f>N20-O20</f>
        <v/>
      </c>
      <c r="Q20" s="32" t="n"/>
      <c r="R20" s="32" t="n"/>
      <c r="S20" s="32" t="n"/>
      <c r="T20" s="55" t="n"/>
      <c r="U20" s="58">
        <f>'S47'!T20</f>
        <v/>
      </c>
      <c r="V20" s="57">
        <f>T20-U20</f>
        <v/>
      </c>
      <c r="W20" s="57">
        <f>N20-T20</f>
        <v/>
      </c>
      <c r="X20" s="34" t="n"/>
    </row>
    <row r="21" ht="22" customHeight="1">
      <c r="B21" s="5" t="n">
        <v>17</v>
      </c>
      <c r="C21" s="6" t="inlineStr">
        <is>
          <t>Sidi Kacem</t>
        </is>
      </c>
      <c r="D21" s="5" t="inlineStr">
        <is>
          <t>HOUAFATE</t>
        </is>
      </c>
      <c r="E21" s="5" t="inlineStr">
        <is>
          <t>20-11</t>
        </is>
      </c>
      <c r="F21" s="5" t="inlineStr">
        <is>
          <t>Travaux de réhabilitation des équipements</t>
        </is>
      </c>
      <c r="G21" s="5" t="inlineStr">
        <is>
          <t>Travaux de réhabilitation des canaux portés d'irrigation</t>
        </is>
      </c>
      <c r="H21" s="5" t="inlineStr">
        <is>
          <t>Fourniture et de pose de canaux porté et accessoires du réseau S3 du secteur S13</t>
        </is>
      </c>
      <c r="I21" s="7" t="n">
        <v>397934</v>
      </c>
      <c r="J21" s="8" t="inlineStr">
        <is>
          <t>ml</t>
        </is>
      </c>
      <c r="K21" s="9" t="n">
        <v>133</v>
      </c>
      <c r="L21" s="51" t="n"/>
      <c r="M21" s="52">
        <f>'S47'!M21+L21</f>
        <v/>
      </c>
      <c r="N21" s="53">
        <f>IFERROR(M21/K21,0)</f>
        <v/>
      </c>
      <c r="O21" s="54">
        <f>'S47'!N21</f>
        <v/>
      </c>
      <c r="P21" s="53">
        <f>N21-O21</f>
        <v/>
      </c>
      <c r="Q21" s="32" t="n"/>
      <c r="R21" s="32" t="n"/>
      <c r="S21" s="32" t="n"/>
      <c r="T21" s="55" t="n"/>
      <c r="U21" s="54">
        <f>'S47'!T21</f>
        <v/>
      </c>
      <c r="V21" s="53">
        <f>T21-U21</f>
        <v/>
      </c>
      <c r="W21" s="53">
        <f>N21-T21</f>
        <v/>
      </c>
      <c r="X21" s="34" t="n"/>
    </row>
    <row r="22" ht="22" customHeight="1">
      <c r="B22" s="10" t="n">
        <v>18</v>
      </c>
      <c r="C22" s="6" t="inlineStr">
        <is>
          <t>Sidi Kacem</t>
        </is>
      </c>
      <c r="D22" s="10" t="inlineStr">
        <is>
          <t>HOUAFATE</t>
        </is>
      </c>
      <c r="E22" s="10" t="inlineStr">
        <is>
          <t>20-11</t>
        </is>
      </c>
      <c r="F22" s="10" t="inlineStr">
        <is>
          <t>Travaux de réhabilitation des équipements</t>
        </is>
      </c>
      <c r="G22" s="10" t="inlineStr"/>
      <c r="H22" s="10" t="inlineStr">
        <is>
          <t>Fourniture et de pose de canaux porté et accessoires du réseau T2S1 du secteur S13</t>
        </is>
      </c>
      <c r="I22" s="11" t="n">
        <v>207575</v>
      </c>
      <c r="J22" s="12" t="inlineStr">
        <is>
          <t>ml</t>
        </is>
      </c>
      <c r="K22" s="13" t="n">
        <v>69</v>
      </c>
      <c r="L22" s="51" t="n"/>
      <c r="M22" s="56">
        <f>'S47'!M22+L22</f>
        <v/>
      </c>
      <c r="N22" s="57">
        <f>IFERROR(M22/K22,0)</f>
        <v/>
      </c>
      <c r="O22" s="58">
        <f>'S47'!N22</f>
        <v/>
      </c>
      <c r="P22" s="57">
        <f>N22-O22</f>
        <v/>
      </c>
      <c r="Q22" s="32" t="n"/>
      <c r="R22" s="32" t="n"/>
      <c r="S22" s="32" t="n"/>
      <c r="T22" s="55" t="n"/>
      <c r="U22" s="58">
        <f>'S47'!T22</f>
        <v/>
      </c>
      <c r="V22" s="57">
        <f>T22-U22</f>
        <v/>
      </c>
      <c r="W22" s="57">
        <f>N22-T22</f>
        <v/>
      </c>
      <c r="X22" s="34" t="n"/>
    </row>
    <row r="23" ht="22" customHeight="1">
      <c r="B23" s="5" t="n">
        <v>19</v>
      </c>
      <c r="C23" s="6" t="inlineStr">
        <is>
          <t>Sidi Kacem</t>
        </is>
      </c>
      <c r="D23" s="5" t="inlineStr">
        <is>
          <t>HOUAFATE</t>
        </is>
      </c>
      <c r="E23" s="5" t="inlineStr">
        <is>
          <t>40-21</t>
        </is>
      </c>
      <c r="F23" s="5" t="inlineStr">
        <is>
          <t>Travaux de pistes</t>
        </is>
      </c>
      <c r="G23" s="5" t="inlineStr">
        <is>
          <t>Entretien des pistes agricoles</t>
        </is>
      </c>
      <c r="H23" s="5" t="inlineStr">
        <is>
          <t>Entretien des pistes agricoles</t>
        </is>
      </c>
      <c r="I23" s="7" t="n">
        <v>2200000</v>
      </c>
      <c r="J23" s="8" t="inlineStr">
        <is>
          <t>km</t>
        </is>
      </c>
      <c r="K23" s="9" t="n">
        <v>4</v>
      </c>
      <c r="L23" s="51" t="n"/>
      <c r="M23" s="52">
        <f>'S47'!M23+L23</f>
        <v/>
      </c>
      <c r="N23" s="53">
        <f>IFERROR(M23/K23,0)</f>
        <v/>
      </c>
      <c r="O23" s="54">
        <f>'S47'!N23</f>
        <v/>
      </c>
      <c r="P23" s="53">
        <f>N23-O23</f>
        <v/>
      </c>
      <c r="Q23" s="32" t="n"/>
      <c r="R23" s="32" t="n"/>
      <c r="S23" s="32" t="n"/>
      <c r="T23" s="55" t="n"/>
      <c r="U23" s="54">
        <f>'S47'!T23</f>
        <v/>
      </c>
      <c r="V23" s="53">
        <f>T23-U23</f>
        <v/>
      </c>
      <c r="W23" s="53">
        <f>N23-T23</f>
        <v/>
      </c>
      <c r="X23" s="34" t="n"/>
    </row>
    <row r="24" ht="22" customHeight="1">
      <c r="B24" s="10" t="n">
        <v>20</v>
      </c>
      <c r="C24" s="6" t="inlineStr">
        <is>
          <t>Sidi Kacem</t>
        </is>
      </c>
      <c r="D24" s="10" t="inlineStr">
        <is>
          <t>HOUAFATE</t>
        </is>
      </c>
      <c r="E24" s="10" t="inlineStr">
        <is>
          <t>50-23</t>
        </is>
      </c>
      <c r="F24" s="10" t="inlineStr">
        <is>
          <t>Entretien et réparation du réseau d'assainissement et de drainage</t>
        </is>
      </c>
      <c r="G24" s="10" t="inlineStr">
        <is>
          <t>Curage des prises sur l’oued, bâche d’aspiration et bassin de régulation.</t>
        </is>
      </c>
      <c r="H24" s="10" t="inlineStr">
        <is>
          <t>Curage des prises sur l’oued de la station de pompage S17 et S13.
Nettoyage des grilles de préfiltration des boues colmaté de la station de pompage S17 et S13.
Curage de la bâche d’aspiration de la station S17 et S13.</t>
        </is>
      </c>
      <c r="I24" s="11" t="n">
        <v>300000</v>
      </c>
      <c r="J24" s="12" t="inlineStr">
        <is>
          <t>ml</t>
        </is>
      </c>
      <c r="K24" s="13" t="n">
        <v>100</v>
      </c>
      <c r="L24" s="51" t="n"/>
      <c r="M24" s="56">
        <f>'S47'!M24+L24</f>
        <v/>
      </c>
      <c r="N24" s="57">
        <f>IFERROR(M24/K24,0)</f>
        <v/>
      </c>
      <c r="O24" s="58">
        <f>'S47'!N24</f>
        <v/>
      </c>
      <c r="P24" s="57">
        <f>N24-O24</f>
        <v/>
      </c>
      <c r="Q24" s="32" t="n"/>
      <c r="R24" s="32" t="n"/>
      <c r="S24" s="32" t="n"/>
      <c r="T24" s="55" t="n"/>
      <c r="U24" s="58">
        <f>'S47'!T24</f>
        <v/>
      </c>
      <c r="V24" s="57">
        <f>T24-U24</f>
        <v/>
      </c>
      <c r="W24" s="57">
        <f>N24-T24</f>
        <v/>
      </c>
      <c r="X24" s="34" t="n"/>
    </row>
    <row r="25" ht="22" customHeight="1">
      <c r="B25" s="5" t="n">
        <v>21</v>
      </c>
      <c r="C25" s="6" t="inlineStr">
        <is>
          <t>Sidi Kacem</t>
        </is>
      </c>
      <c r="D25" s="5" t="inlineStr">
        <is>
          <t>HOUAFATE</t>
        </is>
      </c>
      <c r="E25" s="5" t="inlineStr">
        <is>
          <t>50-21</t>
        </is>
      </c>
      <c r="F25" s="5" t="inlineStr">
        <is>
          <t>Entretien et réparation des stations de pompage</t>
        </is>
      </c>
      <c r="G25" s="5" t="inlineStr">
        <is>
          <t>Prestation de maintenance des débitmètres et leurs équipements annexes installés au niveau des station de pompage</t>
        </is>
      </c>
      <c r="H25" s="5" t="inlineStr">
        <is>
          <t>Changement trois débitmètre Ø 600mm inondés de la station de pompage S13.</t>
        </is>
      </c>
      <c r="I25" s="7" t="n">
        <v>250000</v>
      </c>
      <c r="J25" s="8" t="inlineStr">
        <is>
          <t>U</t>
        </is>
      </c>
      <c r="K25" s="9" t="n">
        <v>3</v>
      </c>
      <c r="L25" s="51" t="n"/>
      <c r="M25" s="52">
        <f>'S47'!M25+L25</f>
        <v/>
      </c>
      <c r="N25" s="53">
        <f>IFERROR(M25/K25,0)</f>
        <v/>
      </c>
      <c r="O25" s="54">
        <f>'S47'!N25</f>
        <v/>
      </c>
      <c r="P25" s="53">
        <f>N25-O25</f>
        <v/>
      </c>
      <c r="Q25" s="32" t="n"/>
      <c r="R25" s="32" t="n"/>
      <c r="S25" s="32" t="n"/>
      <c r="T25" s="55" t="n"/>
      <c r="U25" s="54">
        <f>'S47'!T25</f>
        <v/>
      </c>
      <c r="V25" s="53">
        <f>T25-U25</f>
        <v/>
      </c>
      <c r="W25" s="53">
        <f>N25-T25</f>
        <v/>
      </c>
      <c r="X25" s="34" t="n"/>
    </row>
    <row r="26" ht="22" customHeight="1">
      <c r="B26" s="10" t="n">
        <v>22</v>
      </c>
      <c r="C26" s="6" t="inlineStr">
        <is>
          <t>Sidi Kacem</t>
        </is>
      </c>
      <c r="D26" s="10" t="inlineStr">
        <is>
          <t>HOUAFATE</t>
        </is>
      </c>
      <c r="E26" s="10" t="inlineStr">
        <is>
          <t>50-21</t>
        </is>
      </c>
      <c r="F26" s="10" t="inlineStr">
        <is>
          <t>Entretien et réparation des stations de pompage</t>
        </is>
      </c>
      <c r="G26" s="10" t="inlineStr">
        <is>
          <t>Prestations de maintenance des moteurs électriques des stations de pompage.</t>
        </is>
      </c>
      <c r="H26" s="10" t="inlineStr">
        <is>
          <t>Révision des trois moteurs électriques 200 KW principaux de la station S13. 
Révision des deux moteurs électriques 5,5 KW groupes vide de la station S13.</t>
        </is>
      </c>
      <c r="I26" s="11" t="n">
        <v>25000</v>
      </c>
      <c r="J26" s="12" t="inlineStr">
        <is>
          <t>U</t>
        </is>
      </c>
      <c r="K26" s="13" t="n">
        <v>3</v>
      </c>
      <c r="L26" s="51" t="n"/>
      <c r="M26" s="56">
        <f>'S47'!M26+L26</f>
        <v/>
      </c>
      <c r="N26" s="57">
        <f>IFERROR(M26/K26,0)</f>
        <v/>
      </c>
      <c r="O26" s="58">
        <f>'S47'!N26</f>
        <v/>
      </c>
      <c r="P26" s="57">
        <f>N26-O26</f>
        <v/>
      </c>
      <c r="Q26" s="32" t="n"/>
      <c r="R26" s="32" t="n"/>
      <c r="S26" s="32" t="n"/>
      <c r="T26" s="55" t="n"/>
      <c r="U26" s="58">
        <f>'S47'!T26</f>
        <v/>
      </c>
      <c r="V26" s="57">
        <f>T26-U26</f>
        <v/>
      </c>
      <c r="W26" s="57">
        <f>N26-T26</f>
        <v/>
      </c>
      <c r="X26" s="34" t="n"/>
    </row>
    <row r="27" ht="22" customHeight="1">
      <c r="B27" s="5" t="n">
        <v>23</v>
      </c>
      <c r="C27" s="6" t="inlineStr">
        <is>
          <t>Sidi Kacem</t>
        </is>
      </c>
      <c r="D27" s="5" t="inlineStr">
        <is>
          <t>HOUAFATE</t>
        </is>
      </c>
      <c r="E27" s="5" t="inlineStr">
        <is>
          <t>50-21</t>
        </is>
      </c>
      <c r="F27" s="5" t="inlineStr">
        <is>
          <t>Entretien et réparation des stations de pompage</t>
        </is>
      </c>
      <c r="G27" s="5" t="inlineStr">
        <is>
          <t>Prestations de maintenance et de réparation mécanique des pompes et des groupes motopompes submersibles des stations de pompage.</t>
        </is>
      </c>
      <c r="H27" s="5" t="inlineStr">
        <is>
          <t>Démontage et expertise des roues des  pompes principaux et pompes a vide de la station S13.
Changement des roulements, tresses et organes d’effectués de la station S13.</t>
        </is>
      </c>
      <c r="I27" s="7" t="n">
        <v>38000</v>
      </c>
      <c r="J27" s="8" t="inlineStr">
        <is>
          <t>U</t>
        </is>
      </c>
      <c r="K27" s="9" t="n">
        <v>1</v>
      </c>
      <c r="L27" s="51" t="n"/>
      <c r="M27" s="52">
        <f>'S47'!M27+L27</f>
        <v/>
      </c>
      <c r="N27" s="53">
        <f>IFERROR(M27/K27,0)</f>
        <v/>
      </c>
      <c r="O27" s="54">
        <f>'S47'!N27</f>
        <v/>
      </c>
      <c r="P27" s="53">
        <f>N27-O27</f>
        <v/>
      </c>
      <c r="Q27" s="32" t="n"/>
      <c r="R27" s="32" t="n"/>
      <c r="S27" s="32" t="n"/>
      <c r="T27" s="55" t="n"/>
      <c r="U27" s="54">
        <f>'S47'!T27</f>
        <v/>
      </c>
      <c r="V27" s="53">
        <f>T27-U27</f>
        <v/>
      </c>
      <c r="W27" s="53">
        <f>N27-T27</f>
        <v/>
      </c>
      <c r="X27" s="34" t="n"/>
    </row>
    <row r="28" ht="22" customHeight="1">
      <c r="B28" s="10" t="n">
        <v>24</v>
      </c>
      <c r="C28" s="6" t="inlineStr">
        <is>
          <t>Sidi Kacem</t>
        </is>
      </c>
      <c r="D28" s="10" t="inlineStr">
        <is>
          <t>HOUAFATE</t>
        </is>
      </c>
      <c r="E28" s="10" t="inlineStr">
        <is>
          <t>50-21</t>
        </is>
      </c>
      <c r="F28" s="10" t="inlineStr">
        <is>
          <t>Entretien et réparation des stations de pompage</t>
        </is>
      </c>
      <c r="G28" s="10" t="inlineStr">
        <is>
          <t>Stabilisation Berge oued</t>
        </is>
      </c>
      <c r="H28" s="10" t="inlineStr">
        <is>
          <t>Pose de  gabions et recouvrement du talus par matelas Reno des stations de pompage S13.</t>
        </is>
      </c>
      <c r="I28" s="11" t="n">
        <v>10560000</v>
      </c>
      <c r="J28" s="12" t="inlineStr">
        <is>
          <t>m³</t>
        </is>
      </c>
      <c r="K28" s="13" t="n">
        <v>7040</v>
      </c>
      <c r="L28" s="51" t="n"/>
      <c r="M28" s="56">
        <f>'S47'!M28+L28</f>
        <v/>
      </c>
      <c r="N28" s="57">
        <f>IFERROR(M28/K28,0)</f>
        <v/>
      </c>
      <c r="O28" s="58">
        <f>'S47'!N28</f>
        <v/>
      </c>
      <c r="P28" s="57">
        <f>N28-O28</f>
        <v/>
      </c>
      <c r="Q28" s="32" t="n"/>
      <c r="R28" s="32" t="n"/>
      <c r="S28" s="32" t="n"/>
      <c r="T28" s="55" t="n"/>
      <c r="U28" s="58">
        <f>'S47'!T28</f>
        <v/>
      </c>
      <c r="V28" s="57">
        <f>T28-U28</f>
        <v/>
      </c>
      <c r="W28" s="57">
        <f>N28-T28</f>
        <v/>
      </c>
      <c r="X28" s="34" t="n"/>
    </row>
    <row r="29" ht="22" customHeight="1">
      <c r="B29" s="5" t="n">
        <v>25</v>
      </c>
      <c r="C29" s="6" t="inlineStr">
        <is>
          <t>Sidi Kacem</t>
        </is>
      </c>
      <c r="D29" s="5" t="inlineStr">
        <is>
          <t>HOUAFATE</t>
        </is>
      </c>
      <c r="E29" s="5" t="inlineStr">
        <is>
          <t>50-21</t>
        </is>
      </c>
      <c r="F29" s="5" t="inlineStr">
        <is>
          <t>Entretien et réparation des stations de pompage</t>
        </is>
      </c>
      <c r="G29" s="5" t="inlineStr">
        <is>
          <t>Mur clôture des stations de pompage.</t>
        </is>
      </c>
      <c r="H29" s="5" t="inlineStr">
        <is>
          <t>Stabilisation du sol et reconstruction des murs clôture (270m) cote oued de la station S17.</t>
        </is>
      </c>
      <c r="I29" s="7" t="n">
        <v>144000</v>
      </c>
      <c r="J29" s="8" t="inlineStr">
        <is>
          <t>ml</t>
        </is>
      </c>
      <c r="K29" s="9" t="n">
        <v>270</v>
      </c>
      <c r="L29" s="51" t="n"/>
      <c r="M29" s="52">
        <f>'S47'!M29+L29</f>
        <v/>
      </c>
      <c r="N29" s="53">
        <f>IFERROR(M29/K29,0)</f>
        <v/>
      </c>
      <c r="O29" s="54">
        <f>'S47'!N29</f>
        <v/>
      </c>
      <c r="P29" s="53">
        <f>N29-O29</f>
        <v/>
      </c>
      <c r="Q29" s="32" t="n"/>
      <c r="R29" s="32" t="n"/>
      <c r="S29" s="32" t="n"/>
      <c r="T29" s="55" t="n"/>
      <c r="U29" s="54">
        <f>'S47'!T29</f>
        <v/>
      </c>
      <c r="V29" s="53">
        <f>T29-U29</f>
        <v/>
      </c>
      <c r="W29" s="53">
        <f>N29-T29</f>
        <v/>
      </c>
      <c r="X29" s="34" t="n"/>
    </row>
    <row r="30" ht="22" customHeight="1">
      <c r="B30" s="10" t="n">
        <v>26</v>
      </c>
      <c r="C30" s="6" t="inlineStr">
        <is>
          <t>Sidi Kacem</t>
        </is>
      </c>
      <c r="D30" s="10" t="inlineStr">
        <is>
          <t>HOUAFATE</t>
        </is>
      </c>
      <c r="E30" s="10" t="inlineStr">
        <is>
          <t>50-21</t>
        </is>
      </c>
      <c r="F30" s="10" t="inlineStr">
        <is>
          <t>Entretien et réparation des stations de pompage</t>
        </is>
      </c>
      <c r="G30" s="10" t="inlineStr">
        <is>
          <t>Génie civile des locaux des stations de pompage.</t>
        </is>
      </c>
      <c r="H30" s="10" t="inlineStr">
        <is>
          <t>Expertise d’état et d’étanchéité des locaux pompes, commande, puissance des stations de pompage S17 et S13.
Renforcement d’étanchéité des locaux pompe sous niveau des oueds des stations de pompage S17 et S13.</t>
        </is>
      </c>
      <c r="I30" s="11" t="n">
        <v>800000</v>
      </c>
      <c r="J30" s="12" t="inlineStr">
        <is>
          <t>U</t>
        </is>
      </c>
      <c r="K30" s="13" t="n">
        <v>1</v>
      </c>
      <c r="L30" s="51" t="n"/>
      <c r="M30" s="56">
        <f>'S47'!M30+L30</f>
        <v/>
      </c>
      <c r="N30" s="57">
        <f>IFERROR(M30/K30,0)</f>
        <v/>
      </c>
      <c r="O30" s="58">
        <f>'S47'!N30</f>
        <v/>
      </c>
      <c r="P30" s="57">
        <f>N30-O30</f>
        <v/>
      </c>
      <c r="Q30" s="32" t="n"/>
      <c r="R30" s="32" t="n"/>
      <c r="S30" s="32" t="n"/>
      <c r="T30" s="55" t="n"/>
      <c r="U30" s="58">
        <f>'S47'!T30</f>
        <v/>
      </c>
      <c r="V30" s="57">
        <f>T30-U30</f>
        <v/>
      </c>
      <c r="W30" s="57">
        <f>N30-T30</f>
        <v/>
      </c>
      <c r="X30" s="34" t="n"/>
    </row>
    <row r="31" ht="22" customHeight="1">
      <c r="B31" s="5" t="n">
        <v>27</v>
      </c>
      <c r="C31" s="6" t="inlineStr">
        <is>
          <t>Sidi Kacem</t>
        </is>
      </c>
      <c r="D31" s="5" t="inlineStr">
        <is>
          <t>NOUIRAT</t>
        </is>
      </c>
      <c r="E31" s="5" t="inlineStr">
        <is>
          <t>50-23</t>
        </is>
      </c>
      <c r="F31" s="5" t="inlineStr">
        <is>
          <t>Entretien et réparation du réseau d'assainissement et de drainage</t>
        </is>
      </c>
      <c r="G31" s="5" t="inlineStr">
        <is>
          <t>Travaux de curage des canaux en terre</t>
        </is>
      </c>
      <c r="H31" s="5" t="inlineStr">
        <is>
          <t>Curage des collecteurs d'assainissement des secteurs EST1 et N5</t>
        </is>
      </c>
      <c r="I31" s="7" t="n">
        <v>1733306</v>
      </c>
      <c r="J31" s="8" t="inlineStr">
        <is>
          <t>ml</t>
        </is>
      </c>
      <c r="K31" s="9" t="n">
        <v>867</v>
      </c>
      <c r="L31" s="51" t="n"/>
      <c r="M31" s="52">
        <f>'S47'!M31+L31</f>
        <v/>
      </c>
      <c r="N31" s="53">
        <f>IFERROR(M31/K31,0)</f>
        <v/>
      </c>
      <c r="O31" s="54">
        <f>'S47'!N31</f>
        <v/>
      </c>
      <c r="P31" s="53">
        <f>N31-O31</f>
        <v/>
      </c>
      <c r="Q31" s="32" t="n"/>
      <c r="R31" s="32" t="n"/>
      <c r="S31" s="32" t="n"/>
      <c r="T31" s="55" t="n"/>
      <c r="U31" s="54">
        <f>'S47'!T31</f>
        <v/>
      </c>
      <c r="V31" s="53">
        <f>T31-U31</f>
        <v/>
      </c>
      <c r="W31" s="53">
        <f>N31-T31</f>
        <v/>
      </c>
      <c r="X31" s="34" t="n"/>
    </row>
    <row r="32" ht="22" customHeight="1">
      <c r="B32" s="10" t="n">
        <v>28</v>
      </c>
      <c r="C32" s="6" t="inlineStr">
        <is>
          <t>Sidi Kacem</t>
        </is>
      </c>
      <c r="D32" s="10" t="inlineStr">
        <is>
          <t>NOUIRAT</t>
        </is>
      </c>
      <c r="E32" s="10" t="inlineStr">
        <is>
          <t>40-21</t>
        </is>
      </c>
      <c r="F32" s="10" t="inlineStr">
        <is>
          <t>Travaux de pistes</t>
        </is>
      </c>
      <c r="G32" s="10" t="inlineStr">
        <is>
          <t>Entretien des pistes agricoles</t>
        </is>
      </c>
      <c r="H32" s="10" t="inlineStr">
        <is>
          <t>Entretien des pistes agricoles</t>
        </is>
      </c>
      <c r="I32" s="11" t="n">
        <v>670000</v>
      </c>
      <c r="J32" s="12" t="inlineStr">
        <is>
          <t>km</t>
        </is>
      </c>
      <c r="K32" s="13" t="n">
        <v>1</v>
      </c>
      <c r="L32" s="51" t="n"/>
      <c r="M32" s="56">
        <f>'S47'!M32+L32</f>
        <v/>
      </c>
      <c r="N32" s="57">
        <f>IFERROR(M32/K32,0)</f>
        <v/>
      </c>
      <c r="O32" s="58">
        <f>'S47'!N32</f>
        <v/>
      </c>
      <c r="P32" s="57">
        <f>N32-O32</f>
        <v/>
      </c>
      <c r="Q32" s="32" t="n"/>
      <c r="R32" s="32" t="n"/>
      <c r="S32" s="32" t="n"/>
      <c r="T32" s="55" t="n"/>
      <c r="U32" s="58">
        <f>'S47'!T32</f>
        <v/>
      </c>
      <c r="V32" s="57">
        <f>T32-U32</f>
        <v/>
      </c>
      <c r="W32" s="57">
        <f>N32-T32</f>
        <v/>
      </c>
      <c r="X32" s="34" t="n"/>
    </row>
    <row r="33" ht="22" customHeight="1">
      <c r="B33" s="5" t="n">
        <v>29</v>
      </c>
      <c r="C33" s="6" t="inlineStr">
        <is>
          <t>Sidi Kacem</t>
        </is>
      </c>
      <c r="D33" s="5" t="inlineStr">
        <is>
          <t>NOUIRAT</t>
        </is>
      </c>
      <c r="E33" s="5" t="inlineStr">
        <is>
          <t>20-11</t>
        </is>
      </c>
      <c r="F33" s="5" t="inlineStr">
        <is>
          <t>Travaux de réhabilitation des équipements</t>
        </is>
      </c>
      <c r="G33" s="5" t="inlineStr">
        <is>
          <t>Travaux de réhabilitation des ouvrages de génie civil</t>
        </is>
      </c>
      <c r="H33" s="5" t="inlineStr">
        <is>
          <t>Réhabilitation de l'ouvrage( genie civil ,gabiollannage,clapet anti retour et buse) de l'ouvrage de débouche SE1</t>
        </is>
      </c>
      <c r="I33" s="7" t="n">
        <v>2500000</v>
      </c>
      <c r="J33" s="8" t="inlineStr">
        <is>
          <t>U</t>
        </is>
      </c>
      <c r="K33" s="9" t="n">
        <v>5</v>
      </c>
      <c r="L33" s="51" t="n"/>
      <c r="M33" s="52">
        <f>'S47'!M33+L33</f>
        <v/>
      </c>
      <c r="N33" s="53">
        <f>IFERROR(M33/K33,0)</f>
        <v/>
      </c>
      <c r="O33" s="54">
        <f>'S47'!N33</f>
        <v/>
      </c>
      <c r="P33" s="53">
        <f>N33-O33</f>
        <v/>
      </c>
      <c r="Q33" s="32" t="n"/>
      <c r="R33" s="32" t="n"/>
      <c r="S33" s="32" t="n"/>
      <c r="T33" s="55" t="n"/>
      <c r="U33" s="54">
        <f>'S47'!T33</f>
        <v/>
      </c>
      <c r="V33" s="53">
        <f>T33-U33</f>
        <v/>
      </c>
      <c r="W33" s="53">
        <f>N33-T33</f>
        <v/>
      </c>
      <c r="X33" s="34" t="n"/>
    </row>
    <row r="34" ht="22" customHeight="1">
      <c r="B34" s="10" t="n">
        <v>30</v>
      </c>
      <c r="C34" s="6" t="inlineStr">
        <is>
          <t>Sidi Kacem</t>
        </is>
      </c>
      <c r="D34" s="10" t="inlineStr">
        <is>
          <t>NOUIRAT</t>
        </is>
      </c>
      <c r="E34" s="10" t="inlineStr">
        <is>
          <t>50-23</t>
        </is>
      </c>
      <c r="F34" s="10" t="inlineStr">
        <is>
          <t>Entretien et réparation du réseau d'assainissement et de drainage</t>
        </is>
      </c>
      <c r="G34" s="10" t="inlineStr">
        <is>
          <t>Curage des prises sur l’oued, bâche d’aspiration et bassin de régulation.</t>
        </is>
      </c>
      <c r="H34" s="10" t="inlineStr">
        <is>
          <t>Curage des prises sur l’oued de la station de pompage E1.
Nettoyage des grilles de préfiltration des boues colmaté de la station de pompage E1.
Curage de la bâche d’aspiration de la station E1.</t>
        </is>
      </c>
      <c r="I34" s="11" t="n">
        <v>800000</v>
      </c>
      <c r="J34" s="12" t="inlineStr">
        <is>
          <t>ml</t>
        </is>
      </c>
      <c r="K34" s="13" t="n">
        <v>267</v>
      </c>
      <c r="L34" s="51" t="n"/>
      <c r="M34" s="56">
        <f>'S47'!M34+L34</f>
        <v/>
      </c>
      <c r="N34" s="57">
        <f>IFERROR(M34/K34,0)</f>
        <v/>
      </c>
      <c r="O34" s="58">
        <f>'S47'!N34</f>
        <v/>
      </c>
      <c r="P34" s="57">
        <f>N34-O34</f>
        <v/>
      </c>
      <c r="Q34" s="32" t="n"/>
      <c r="R34" s="32" t="n"/>
      <c r="S34" s="32" t="n"/>
      <c r="T34" s="55" t="n"/>
      <c r="U34" s="58">
        <f>'S47'!T34</f>
        <v/>
      </c>
      <c r="V34" s="57">
        <f>T34-U34</f>
        <v/>
      </c>
      <c r="W34" s="57">
        <f>N34-T34</f>
        <v/>
      </c>
      <c r="X34" s="34" t="n"/>
    </row>
    <row r="35" ht="22" customHeight="1">
      <c r="B35" s="5" t="n">
        <v>31</v>
      </c>
      <c r="C35" s="6" t="inlineStr">
        <is>
          <t>Sidi Kacem</t>
        </is>
      </c>
      <c r="D35" s="5" t="inlineStr">
        <is>
          <t>NOUIRAT</t>
        </is>
      </c>
      <c r="E35" s="5" t="inlineStr">
        <is>
          <t>50-21</t>
        </is>
      </c>
      <c r="F35" s="5" t="inlineStr">
        <is>
          <t>Entretien et réparation des stations de pompage</t>
        </is>
      </c>
      <c r="G35" s="5" t="inlineStr">
        <is>
          <t>Prestation de maintenance des débitmètres et leurs équipements annexes installés au niveau des station de pompage</t>
        </is>
      </c>
      <c r="H35" s="5" t="inlineStr">
        <is>
          <t>Changement du débitmètre Ø 1200mm inondé de la station de pompage E1.</t>
        </is>
      </c>
      <c r="I35" s="7" t="n">
        <v>195000</v>
      </c>
      <c r="J35" s="8" t="inlineStr">
        <is>
          <t>U</t>
        </is>
      </c>
      <c r="K35" s="9" t="n">
        <v>2</v>
      </c>
      <c r="L35" s="51" t="n"/>
      <c r="M35" s="52">
        <f>'S47'!M35+L35</f>
        <v/>
      </c>
      <c r="N35" s="53">
        <f>IFERROR(M35/K35,0)</f>
        <v/>
      </c>
      <c r="O35" s="54">
        <f>'S47'!N35</f>
        <v/>
      </c>
      <c r="P35" s="53">
        <f>N35-O35</f>
        <v/>
      </c>
      <c r="Q35" s="32" t="n"/>
      <c r="R35" s="32" t="n"/>
      <c r="S35" s="32" t="n"/>
      <c r="T35" s="55" t="n"/>
      <c r="U35" s="54">
        <f>'S47'!T35</f>
        <v/>
      </c>
      <c r="V35" s="53">
        <f>T35-U35</f>
        <v/>
      </c>
      <c r="W35" s="53">
        <f>N35-T35</f>
        <v/>
      </c>
      <c r="X35" s="34" t="n"/>
    </row>
    <row r="36" ht="22" customHeight="1">
      <c r="B36" s="10" t="n">
        <v>32</v>
      </c>
      <c r="C36" s="6" t="inlineStr">
        <is>
          <t>Sidi Kacem</t>
        </is>
      </c>
      <c r="D36" s="10" t="inlineStr">
        <is>
          <t>NOUIRAT</t>
        </is>
      </c>
      <c r="E36" s="10" t="inlineStr">
        <is>
          <t>50-21</t>
        </is>
      </c>
      <c r="F36" s="10" t="inlineStr">
        <is>
          <t>Entretien et réparation des stations de pompage</t>
        </is>
      </c>
      <c r="G36" s="10" t="inlineStr">
        <is>
          <t>Prestations de maintenance des moteurs électriques des stations de pompage.</t>
        </is>
      </c>
      <c r="H36" s="10" t="inlineStr">
        <is>
          <t>Révision des deux moteurs électriques principaux de la station E1.</t>
        </is>
      </c>
      <c r="I36" s="11" t="n">
        <v>50000</v>
      </c>
      <c r="J36" s="12" t="inlineStr">
        <is>
          <t>U</t>
        </is>
      </c>
      <c r="K36" s="13" t="n">
        <v>2</v>
      </c>
      <c r="L36" s="51" t="n"/>
      <c r="M36" s="56">
        <f>'S47'!M36+L36</f>
        <v/>
      </c>
      <c r="N36" s="57">
        <f>IFERROR(M36/K36,0)</f>
        <v/>
      </c>
      <c r="O36" s="58">
        <f>'S47'!N36</f>
        <v/>
      </c>
      <c r="P36" s="57">
        <f>N36-O36</f>
        <v/>
      </c>
      <c r="Q36" s="32" t="n"/>
      <c r="R36" s="32" t="n"/>
      <c r="S36" s="32" t="n"/>
      <c r="T36" s="55" t="n"/>
      <c r="U36" s="58">
        <f>'S47'!T36</f>
        <v/>
      </c>
      <c r="V36" s="57">
        <f>T36-U36</f>
        <v/>
      </c>
      <c r="W36" s="57">
        <f>N36-T36</f>
        <v/>
      </c>
      <c r="X36" s="34" t="n"/>
    </row>
    <row r="37" ht="22" customHeight="1">
      <c r="B37" s="5" t="n">
        <v>33</v>
      </c>
      <c r="C37" s="6" t="inlineStr">
        <is>
          <t>Sidi Kacem</t>
        </is>
      </c>
      <c r="D37" s="5" t="inlineStr">
        <is>
          <t>NOUIRAT</t>
        </is>
      </c>
      <c r="E37" s="5" t="inlineStr">
        <is>
          <t>50-21</t>
        </is>
      </c>
      <c r="F37" s="5" t="inlineStr">
        <is>
          <t>Entretien et réparation des stations de pompage</t>
        </is>
      </c>
      <c r="G37" s="5" t="inlineStr">
        <is>
          <t>Prestations de maintenance et de réparation mécanique des pompes et des groupes motopompes submersibles des stations de pompage.</t>
        </is>
      </c>
      <c r="H37" s="5" t="inlineStr">
        <is>
          <t>Démontage et expertise des cinq pompes principaux et pompes a vide de la station E1.
Changement des roulements, tresses et organes d’effectués de la station E1.</t>
        </is>
      </c>
      <c r="I37" s="7" t="n">
        <v>245000</v>
      </c>
      <c r="J37" s="8" t="inlineStr">
        <is>
          <t>U</t>
        </is>
      </c>
      <c r="K37" s="9" t="n">
        <v>5</v>
      </c>
      <c r="L37" s="51" t="n"/>
      <c r="M37" s="52">
        <f>'S47'!M37+L37</f>
        <v/>
      </c>
      <c r="N37" s="53">
        <f>IFERROR(M37/K37,0)</f>
        <v/>
      </c>
      <c r="O37" s="54">
        <f>'S47'!N37</f>
        <v/>
      </c>
      <c r="P37" s="53">
        <f>N37-O37</f>
        <v/>
      </c>
      <c r="Q37" s="32" t="n"/>
      <c r="R37" s="32" t="n"/>
      <c r="S37" s="32" t="n"/>
      <c r="T37" s="55" t="n"/>
      <c r="U37" s="54">
        <f>'S47'!T37</f>
        <v/>
      </c>
      <c r="V37" s="53">
        <f>T37-U37</f>
        <v/>
      </c>
      <c r="W37" s="53">
        <f>N37-T37</f>
        <v/>
      </c>
      <c r="X37" s="34" t="n"/>
    </row>
    <row r="38" ht="22" customHeight="1">
      <c r="B38" s="10" t="n">
        <v>34</v>
      </c>
      <c r="C38" s="6" t="inlineStr">
        <is>
          <t>Sidi Kacem</t>
        </is>
      </c>
      <c r="D38" s="10" t="inlineStr">
        <is>
          <t>NOUIRAT</t>
        </is>
      </c>
      <c r="E38" s="10" t="inlineStr">
        <is>
          <t>50-21</t>
        </is>
      </c>
      <c r="F38" s="10" t="inlineStr">
        <is>
          <t>Entretien et réparation des stations de pompage</t>
        </is>
      </c>
      <c r="G38" s="10" t="inlineStr">
        <is>
          <t>Génie civile des locaux des stations de pompage.</t>
        </is>
      </c>
      <c r="H38" s="10" t="inlineStr">
        <is>
          <t>Expertise d’état et d’étanchéité des locaux pompes, commande, puissance de la station de pompage E1.
Renforcement d’étanchéité des locaux pompe sous niveau des oueds de la station de pompage E1.</t>
        </is>
      </c>
      <c r="I38" s="11" t="n">
        <v>1000000</v>
      </c>
      <c r="J38" s="12" t="inlineStr">
        <is>
          <t>U</t>
        </is>
      </c>
      <c r="K38" s="13" t="n">
        <v>1</v>
      </c>
      <c r="L38" s="51" t="n"/>
      <c r="M38" s="56">
        <f>'S47'!M38+L38</f>
        <v/>
      </c>
      <c r="N38" s="57">
        <f>IFERROR(M38/K38,0)</f>
        <v/>
      </c>
      <c r="O38" s="58">
        <f>'S47'!N38</f>
        <v/>
      </c>
      <c r="P38" s="57">
        <f>N38-O38</f>
        <v/>
      </c>
      <c r="Q38" s="32" t="n"/>
      <c r="R38" s="32" t="n"/>
      <c r="S38" s="32" t="n"/>
      <c r="T38" s="55" t="n"/>
      <c r="U38" s="58">
        <f>'S47'!T38</f>
        <v/>
      </c>
      <c r="V38" s="57">
        <f>T38-U38</f>
        <v/>
      </c>
      <c r="W38" s="57">
        <f>N38-T38</f>
        <v/>
      </c>
      <c r="X38" s="34" t="n"/>
    </row>
    <row r="39" ht="22" customHeight="1">
      <c r="B39" s="5" t="n">
        <v>35</v>
      </c>
      <c r="C39" s="6" t="inlineStr">
        <is>
          <t>Sidi Kacem</t>
        </is>
      </c>
      <c r="D39" s="5" t="inlineStr">
        <is>
          <t>RMILAT</t>
        </is>
      </c>
      <c r="E39" s="5" t="inlineStr">
        <is>
          <t>50-23</t>
        </is>
      </c>
      <c r="F39" s="5" t="inlineStr">
        <is>
          <t>Entretien et réparation du réseau d'assainissement et de drainage</t>
        </is>
      </c>
      <c r="G39" s="5" t="inlineStr">
        <is>
          <t>Travaux de curage des canaux en terre</t>
        </is>
      </c>
      <c r="H39" s="5" t="inlineStr">
        <is>
          <t>Curage des collecteurs d'assainissement des secteurs P7</t>
        </is>
      </c>
      <c r="I39" s="7" t="n">
        <v>5024032</v>
      </c>
      <c r="J39" s="8" t="inlineStr">
        <is>
          <t>ml</t>
        </is>
      </c>
      <c r="K39" s="9" t="n">
        <v>2512</v>
      </c>
      <c r="L39" s="51" t="n"/>
      <c r="M39" s="52">
        <f>'S47'!M39+L39</f>
        <v/>
      </c>
      <c r="N39" s="53">
        <f>IFERROR(M39/K39,0)</f>
        <v/>
      </c>
      <c r="O39" s="54">
        <f>'S47'!N39</f>
        <v/>
      </c>
      <c r="P39" s="53">
        <f>N39-O39</f>
        <v/>
      </c>
      <c r="Q39" s="32" t="n"/>
      <c r="R39" s="32" t="n"/>
      <c r="S39" s="32" t="n"/>
      <c r="T39" s="55" t="n"/>
      <c r="U39" s="54">
        <f>'S47'!T39</f>
        <v/>
      </c>
      <c r="V39" s="53">
        <f>T39-U39</f>
        <v/>
      </c>
      <c r="W39" s="53">
        <f>N39-T39</f>
        <v/>
      </c>
      <c r="X39" s="34" t="n"/>
    </row>
    <row r="40" ht="22" customHeight="1">
      <c r="B40" s="10" t="n">
        <v>36</v>
      </c>
      <c r="C40" s="6" t="inlineStr">
        <is>
          <t>Sidi Kacem</t>
        </is>
      </c>
      <c r="D40" s="10" t="inlineStr">
        <is>
          <t>RMILAT</t>
        </is>
      </c>
      <c r="E40" s="10" t="inlineStr">
        <is>
          <t>40-21</t>
        </is>
      </c>
      <c r="F40" s="10" t="inlineStr">
        <is>
          <t>Travaux de pistes</t>
        </is>
      </c>
      <c r="G40" s="10" t="inlineStr">
        <is>
          <t>Entretien des pistes agricoles</t>
        </is>
      </c>
      <c r="H40" s="10" t="inlineStr">
        <is>
          <t>Entretien des pistes agricoles</t>
        </is>
      </c>
      <c r="I40" s="11" t="n">
        <v>400000</v>
      </c>
      <c r="J40" s="12" t="inlineStr">
        <is>
          <t>km</t>
        </is>
      </c>
      <c r="K40" s="13" t="n">
        <v>1</v>
      </c>
      <c r="L40" s="51" t="n"/>
      <c r="M40" s="56">
        <f>'S47'!M40+L40</f>
        <v/>
      </c>
      <c r="N40" s="57">
        <f>IFERROR(M40/K40,0)</f>
        <v/>
      </c>
      <c r="O40" s="58">
        <f>'S47'!N40</f>
        <v/>
      </c>
      <c r="P40" s="57">
        <f>N40-O40</f>
        <v/>
      </c>
      <c r="Q40" s="32" t="n"/>
      <c r="R40" s="32" t="n"/>
      <c r="S40" s="32" t="n"/>
      <c r="T40" s="55" t="n"/>
      <c r="U40" s="58">
        <f>'S47'!T40</f>
        <v/>
      </c>
      <c r="V40" s="57">
        <f>T40-U40</f>
        <v/>
      </c>
      <c r="W40" s="57">
        <f>N40-T40</f>
        <v/>
      </c>
      <c r="X40" s="34" t="n"/>
    </row>
    <row r="41" ht="22" customHeight="1">
      <c r="B41" s="5" t="n">
        <v>37</v>
      </c>
      <c r="C41" s="6" t="inlineStr">
        <is>
          <t>Sidi Kacem</t>
        </is>
      </c>
      <c r="D41" s="5" t="inlineStr">
        <is>
          <t>SAFSAF</t>
        </is>
      </c>
      <c r="E41" s="5" t="inlineStr">
        <is>
          <t>50-23</t>
        </is>
      </c>
      <c r="F41" s="5" t="inlineStr">
        <is>
          <t>Entretien et réparation du réseau d'assainissement et de drainage</t>
        </is>
      </c>
      <c r="G41" s="5" t="inlineStr">
        <is>
          <t>Travaux de curage des canaux en terre</t>
        </is>
      </c>
      <c r="H41" s="5" t="inlineStr">
        <is>
          <t>Curage des collecteurs d'assainissement des secteurs S7, S9 et S11</t>
        </is>
      </c>
      <c r="I41" s="7" t="n">
        <v>6000000</v>
      </c>
      <c r="J41" s="8" t="inlineStr">
        <is>
          <t>ml</t>
        </is>
      </c>
      <c r="K41" s="9" t="n">
        <v>3000</v>
      </c>
      <c r="L41" s="51" t="n"/>
      <c r="M41" s="52">
        <f>'S47'!M41+L41</f>
        <v/>
      </c>
      <c r="N41" s="53">
        <f>IFERROR(M41/K41,0)</f>
        <v/>
      </c>
      <c r="O41" s="54">
        <f>'S47'!N41</f>
        <v/>
      </c>
      <c r="P41" s="53">
        <f>N41-O41</f>
        <v/>
      </c>
      <c r="Q41" s="32" t="n"/>
      <c r="R41" s="32" t="n"/>
      <c r="S41" s="32" t="n"/>
      <c r="T41" s="55" t="n"/>
      <c r="U41" s="54">
        <f>'S47'!T41</f>
        <v/>
      </c>
      <c r="V41" s="53">
        <f>T41-U41</f>
        <v/>
      </c>
      <c r="W41" s="53">
        <f>N41-T41</f>
        <v/>
      </c>
      <c r="X41" s="34" t="n"/>
    </row>
    <row r="42" ht="22" customHeight="1">
      <c r="B42" s="10" t="n">
        <v>38</v>
      </c>
      <c r="C42" s="6" t="inlineStr">
        <is>
          <t>Sidi Kacem</t>
        </is>
      </c>
      <c r="D42" s="10" t="inlineStr">
        <is>
          <t>SAFSAF</t>
        </is>
      </c>
      <c r="E42" s="10" t="inlineStr">
        <is>
          <t>20-11</t>
        </is>
      </c>
      <c r="F42" s="10" t="inlineStr">
        <is>
          <t>Travaux de réhabilitation des équipements</t>
        </is>
      </c>
      <c r="G42" s="10" t="inlineStr">
        <is>
          <t>Travaux de réhabilitation des canaux portés d'irrigation</t>
        </is>
      </c>
      <c r="H42" s="10" t="inlineStr">
        <is>
          <t>Fourniture et  pose de canaux porté et accessoires du réseau S4 du secteur S11</t>
        </is>
      </c>
      <c r="I42" s="11" t="n">
        <v>232266</v>
      </c>
      <c r="J42" s="12" t="inlineStr">
        <is>
          <t>ml</t>
        </is>
      </c>
      <c r="K42" s="13" t="n">
        <v>77</v>
      </c>
      <c r="L42" s="51" t="n"/>
      <c r="M42" s="56">
        <f>'S47'!M42+L42</f>
        <v/>
      </c>
      <c r="N42" s="57">
        <f>IFERROR(M42/K42,0)</f>
        <v/>
      </c>
      <c r="O42" s="58">
        <f>'S47'!N42</f>
        <v/>
      </c>
      <c r="P42" s="57">
        <f>N42-O42</f>
        <v/>
      </c>
      <c r="Q42" s="32" t="n"/>
      <c r="R42" s="32" t="n"/>
      <c r="S42" s="32" t="n"/>
      <c r="T42" s="55" t="n"/>
      <c r="U42" s="58">
        <f>'S47'!T42</f>
        <v/>
      </c>
      <c r="V42" s="57">
        <f>T42-U42</f>
        <v/>
      </c>
      <c r="W42" s="57">
        <f>N42-T42</f>
        <v/>
      </c>
      <c r="X42" s="34" t="n"/>
    </row>
    <row r="43" ht="22" customHeight="1">
      <c r="B43" s="5" t="n">
        <v>39</v>
      </c>
      <c r="C43" s="6" t="inlineStr">
        <is>
          <t>Sidi Kacem</t>
        </is>
      </c>
      <c r="D43" s="5" t="inlineStr">
        <is>
          <t>SAFSAF</t>
        </is>
      </c>
      <c r="E43" s="5" t="inlineStr">
        <is>
          <t>20-11</t>
        </is>
      </c>
      <c r="F43" s="5" t="inlineStr">
        <is>
          <t>Travaux de réhabilitation des équipements</t>
        </is>
      </c>
      <c r="G43" s="5" t="inlineStr"/>
      <c r="H43" s="5" t="inlineStr">
        <is>
          <t>Recalage des canaux portés du réseau T5S5 du secteur S9</t>
        </is>
      </c>
      <c r="I43" s="7" t="n">
        <v>1055025</v>
      </c>
      <c r="J43" s="8" t="inlineStr">
        <is>
          <t>ml</t>
        </is>
      </c>
      <c r="K43" s="9" t="n">
        <v>352</v>
      </c>
      <c r="L43" s="51" t="n"/>
      <c r="M43" s="52">
        <f>'S47'!M43+L43</f>
        <v/>
      </c>
      <c r="N43" s="53">
        <f>IFERROR(M43/K43,0)</f>
        <v/>
      </c>
      <c r="O43" s="54">
        <f>'S47'!N43</f>
        <v/>
      </c>
      <c r="P43" s="53">
        <f>N43-O43</f>
        <v/>
      </c>
      <c r="Q43" s="32" t="n"/>
      <c r="R43" s="32" t="n"/>
      <c r="S43" s="32" t="n"/>
      <c r="T43" s="55" t="n"/>
      <c r="U43" s="54">
        <f>'S47'!T43</f>
        <v/>
      </c>
      <c r="V43" s="53">
        <f>T43-U43</f>
        <v/>
      </c>
      <c r="W43" s="53">
        <f>N43-T43</f>
        <v/>
      </c>
      <c r="X43" s="34" t="n"/>
    </row>
    <row r="44" ht="22" customHeight="1">
      <c r="B44" s="10" t="n">
        <v>40</v>
      </c>
      <c r="C44" s="6" t="inlineStr">
        <is>
          <t>Sidi Kacem</t>
        </is>
      </c>
      <c r="D44" s="10" t="inlineStr">
        <is>
          <t>SAFSAF</t>
        </is>
      </c>
      <c r="E44" s="10" t="inlineStr">
        <is>
          <t>20-11</t>
        </is>
      </c>
      <c r="F44" s="10" t="inlineStr">
        <is>
          <t>Travaux de réhabilitation des équipements</t>
        </is>
      </c>
      <c r="G44" s="10" t="inlineStr"/>
      <c r="H44" s="10" t="inlineStr">
        <is>
          <t>Recalage des canaux portés du réseau T7S5 du secteur S9</t>
        </is>
      </c>
      <c r="I44" s="11" t="n">
        <v>1004535</v>
      </c>
      <c r="J44" s="12" t="inlineStr">
        <is>
          <t>ml</t>
        </is>
      </c>
      <c r="K44" s="13" t="n">
        <v>335</v>
      </c>
      <c r="L44" s="51" t="n"/>
      <c r="M44" s="56">
        <f>'S47'!M44+L44</f>
        <v/>
      </c>
      <c r="N44" s="57">
        <f>IFERROR(M44/K44,0)</f>
        <v/>
      </c>
      <c r="O44" s="58">
        <f>'S47'!N44</f>
        <v/>
      </c>
      <c r="P44" s="57">
        <f>N44-O44</f>
        <v/>
      </c>
      <c r="Q44" s="32" t="n"/>
      <c r="R44" s="32" t="n"/>
      <c r="S44" s="32" t="n"/>
      <c r="T44" s="55" t="n"/>
      <c r="U44" s="58">
        <f>'S47'!T44</f>
        <v/>
      </c>
      <c r="V44" s="57">
        <f>T44-U44</f>
        <v/>
      </c>
      <c r="W44" s="57">
        <f>N44-T44</f>
        <v/>
      </c>
      <c r="X44" s="34" t="n"/>
    </row>
    <row r="45" ht="22" customHeight="1">
      <c r="B45" s="5" t="n">
        <v>41</v>
      </c>
      <c r="C45" s="6" t="inlineStr">
        <is>
          <t>Sidi Kacem</t>
        </is>
      </c>
      <c r="D45" s="5" t="inlineStr">
        <is>
          <t>SAFSAF</t>
        </is>
      </c>
      <c r="E45" s="5" t="inlineStr">
        <is>
          <t>20-11</t>
        </is>
      </c>
      <c r="F45" s="5" t="inlineStr">
        <is>
          <t>Travaux de réhabilitation des équipements</t>
        </is>
      </c>
      <c r="G45" s="5" t="inlineStr"/>
      <c r="H45" s="5" t="inlineStr">
        <is>
          <t>Recalage des canaux portés du réseau T2S5 du secteur S9</t>
        </is>
      </c>
      <c r="I45" s="7" t="n">
        <v>793830</v>
      </c>
      <c r="J45" s="8" t="inlineStr">
        <is>
          <t>ml</t>
        </is>
      </c>
      <c r="K45" s="9" t="n">
        <v>265</v>
      </c>
      <c r="L45" s="51" t="n"/>
      <c r="M45" s="52">
        <f>'S47'!M45+L45</f>
        <v/>
      </c>
      <c r="N45" s="53">
        <f>IFERROR(M45/K45,0)</f>
        <v/>
      </c>
      <c r="O45" s="54">
        <f>'S47'!N45</f>
        <v/>
      </c>
      <c r="P45" s="53">
        <f>N45-O45</f>
        <v/>
      </c>
      <c r="Q45" s="32" t="n"/>
      <c r="R45" s="32" t="n"/>
      <c r="S45" s="32" t="n"/>
      <c r="T45" s="55" t="n"/>
      <c r="U45" s="54">
        <f>'S47'!T45</f>
        <v/>
      </c>
      <c r="V45" s="53">
        <f>T45-U45</f>
        <v/>
      </c>
      <c r="W45" s="53">
        <f>N45-T45</f>
        <v/>
      </c>
      <c r="X45" s="34" t="n"/>
    </row>
    <row r="46" ht="22" customHeight="1">
      <c r="B46" s="10" t="n">
        <v>42</v>
      </c>
      <c r="C46" s="6" t="inlineStr">
        <is>
          <t>Sidi Kacem</t>
        </is>
      </c>
      <c r="D46" s="10" t="inlineStr">
        <is>
          <t>SAFSAF</t>
        </is>
      </c>
      <c r="E46" s="10" t="inlineStr">
        <is>
          <t>40-21</t>
        </is>
      </c>
      <c r="F46" s="10" t="inlineStr">
        <is>
          <t>Travaux de pistes</t>
        </is>
      </c>
      <c r="G46" s="10" t="inlineStr">
        <is>
          <t>Entretien des pistes agricoles</t>
        </is>
      </c>
      <c r="H46" s="10" t="inlineStr">
        <is>
          <t>Entretien des pistes agricoles</t>
        </is>
      </c>
      <c r="I46" s="11" t="n">
        <v>2000000</v>
      </c>
      <c r="J46" s="12" t="inlineStr">
        <is>
          <t>km</t>
        </is>
      </c>
      <c r="K46" s="13" t="n">
        <v>4</v>
      </c>
      <c r="L46" s="51" t="n"/>
      <c r="M46" s="56">
        <f>'S47'!M46+L46</f>
        <v/>
      </c>
      <c r="N46" s="57">
        <f>IFERROR(M46/K46,0)</f>
        <v/>
      </c>
      <c r="O46" s="58">
        <f>'S47'!N46</f>
        <v/>
      </c>
      <c r="P46" s="57">
        <f>N46-O46</f>
        <v/>
      </c>
      <c r="Q46" s="32" t="n"/>
      <c r="R46" s="32" t="n"/>
      <c r="S46" s="32" t="n"/>
      <c r="T46" s="55" t="n"/>
      <c r="U46" s="58">
        <f>'S47'!T46</f>
        <v/>
      </c>
      <c r="V46" s="57">
        <f>T46-U46</f>
        <v/>
      </c>
      <c r="W46" s="57">
        <f>N46-T46</f>
        <v/>
      </c>
      <c r="X46" s="34" t="n"/>
    </row>
    <row r="47" ht="22" customHeight="1">
      <c r="B47" s="5" t="n">
        <v>43</v>
      </c>
      <c r="C47" s="6" t="inlineStr">
        <is>
          <t>Sidi Kacem</t>
        </is>
      </c>
      <c r="D47" s="5" t="inlineStr">
        <is>
          <t>SAFSAF</t>
        </is>
      </c>
      <c r="E47" s="5" t="inlineStr">
        <is>
          <t>50-23</t>
        </is>
      </c>
      <c r="F47" s="5" t="inlineStr">
        <is>
          <t>Entretien et réparation du réseau d'assainissement et de drainage</t>
        </is>
      </c>
      <c r="G47" s="5" t="inlineStr">
        <is>
          <t>Curage des prises sur l’oued, bâche d’aspiration et bassin de régulation.</t>
        </is>
      </c>
      <c r="H47" s="5" t="inlineStr">
        <is>
          <t>Curage des prises sur l’oued des stations de pompage S11, S9, 7D et 7B.
Nettoyage des grilles de préfiltration des boues colmaté des stations de pompage S11, S9, 7D et 7B.
Nettoyage des crépines des boues colmaté de station pompage 7D.
Curage des dalots et bâche d’aspiration des stations de pompage S11, S9, 7B.</t>
        </is>
      </c>
      <c r="I47" s="7" t="n">
        <v>200000</v>
      </c>
      <c r="J47" s="8" t="inlineStr">
        <is>
          <t>ml</t>
        </is>
      </c>
      <c r="K47" s="9" t="n">
        <v>67</v>
      </c>
      <c r="L47" s="51" t="n"/>
      <c r="M47" s="52">
        <f>'S47'!M47+L47</f>
        <v/>
      </c>
      <c r="N47" s="53">
        <f>IFERROR(M47/K47,0)</f>
        <v/>
      </c>
      <c r="O47" s="54">
        <f>'S47'!N47</f>
        <v/>
      </c>
      <c r="P47" s="53">
        <f>N47-O47</f>
        <v/>
      </c>
      <c r="Q47" s="32" t="n"/>
      <c r="R47" s="32" t="n"/>
      <c r="S47" s="32" t="n"/>
      <c r="T47" s="55" t="n"/>
      <c r="U47" s="54">
        <f>'S47'!T47</f>
        <v/>
      </c>
      <c r="V47" s="53">
        <f>T47-U47</f>
        <v/>
      </c>
      <c r="W47" s="53">
        <f>N47-T47</f>
        <v/>
      </c>
      <c r="X47" s="34" t="n"/>
    </row>
    <row r="48" ht="22" customHeight="1">
      <c r="B48" s="10" t="n">
        <v>44</v>
      </c>
      <c r="C48" s="6" t="inlineStr">
        <is>
          <t>Sidi Kacem</t>
        </is>
      </c>
      <c r="D48" s="10" t="inlineStr">
        <is>
          <t>SAFSAF</t>
        </is>
      </c>
      <c r="E48" s="10" t="inlineStr">
        <is>
          <t>50-21</t>
        </is>
      </c>
      <c r="F48" s="10" t="inlineStr">
        <is>
          <t>Entretien et réparation des stations de pompage</t>
        </is>
      </c>
      <c r="G48" s="10" t="inlineStr">
        <is>
          <t>Prestation de maintenance des débitmètres et leurs équipements annexes installés au niveau des station de pompage</t>
        </is>
      </c>
      <c r="H48" s="10" t="inlineStr">
        <is>
          <t>Changements Sept des débitmètres Ø 600mm inondé des deux stations de pompage S11 et S9.</t>
        </is>
      </c>
      <c r="I48" s="11" t="n">
        <v>580000</v>
      </c>
      <c r="J48" s="12" t="inlineStr">
        <is>
          <t>U</t>
        </is>
      </c>
      <c r="K48" s="13" t="n">
        <v>7</v>
      </c>
      <c r="L48" s="51" t="n"/>
      <c r="M48" s="56">
        <f>'S47'!M48+L48</f>
        <v/>
      </c>
      <c r="N48" s="57">
        <f>IFERROR(M48/K48,0)</f>
        <v/>
      </c>
      <c r="O48" s="58">
        <f>'S47'!N48</f>
        <v/>
      </c>
      <c r="P48" s="57">
        <f>N48-O48</f>
        <v/>
      </c>
      <c r="Q48" s="32" t="n"/>
      <c r="R48" s="32" t="n"/>
      <c r="S48" s="32" t="n"/>
      <c r="T48" s="55" t="n"/>
      <c r="U48" s="58">
        <f>'S47'!T48</f>
        <v/>
      </c>
      <c r="V48" s="57">
        <f>T48-U48</f>
        <v/>
      </c>
      <c r="W48" s="57">
        <f>N48-T48</f>
        <v/>
      </c>
      <c r="X48" s="34" t="n"/>
    </row>
    <row r="49" ht="22" customHeight="1">
      <c r="B49" s="5" t="n">
        <v>45</v>
      </c>
      <c r="C49" s="6" t="inlineStr">
        <is>
          <t>Sidi Kacem</t>
        </is>
      </c>
      <c r="D49" s="5" t="inlineStr">
        <is>
          <t>SAFSAF</t>
        </is>
      </c>
      <c r="E49" s="5" t="inlineStr">
        <is>
          <t>50-21</t>
        </is>
      </c>
      <c r="F49" s="5" t="inlineStr">
        <is>
          <t>Entretien et réparation des stations de pompage</t>
        </is>
      </c>
      <c r="G49" s="5" t="inlineStr">
        <is>
          <t>Stabilisation Berge oued</t>
        </is>
      </c>
      <c r="H49" s="5" t="inlineStr">
        <is>
          <t>Pose de murs en gabions et recouvrement du talus par matelas Reno des stations de pompage S11, S9, 7D et 7B .</t>
        </is>
      </c>
      <c r="I49" s="7" t="n">
        <v>4000000</v>
      </c>
      <c r="J49" s="8" t="inlineStr">
        <is>
          <t>m³</t>
        </is>
      </c>
      <c r="K49" s="9" t="n">
        <v>2667</v>
      </c>
      <c r="L49" s="51" t="n"/>
      <c r="M49" s="52">
        <f>'S47'!M49+L49</f>
        <v/>
      </c>
      <c r="N49" s="53">
        <f>IFERROR(M49/K49,0)</f>
        <v/>
      </c>
      <c r="O49" s="54">
        <f>'S47'!N49</f>
        <v/>
      </c>
      <c r="P49" s="53">
        <f>N49-O49</f>
        <v/>
      </c>
      <c r="Q49" s="32" t="n"/>
      <c r="R49" s="32" t="n"/>
      <c r="S49" s="32" t="n"/>
      <c r="T49" s="55" t="n"/>
      <c r="U49" s="54">
        <f>'S47'!T49</f>
        <v/>
      </c>
      <c r="V49" s="53">
        <f>T49-U49</f>
        <v/>
      </c>
      <c r="W49" s="53">
        <f>N49-T49</f>
        <v/>
      </c>
      <c r="X49" s="34" t="n"/>
    </row>
    <row r="50" ht="22" customHeight="1">
      <c r="B50" s="10" t="n">
        <v>46</v>
      </c>
      <c r="C50" s="6" t="inlineStr">
        <is>
          <t>Sidi Kacem</t>
        </is>
      </c>
      <c r="D50" s="10" t="inlineStr">
        <is>
          <t>SIDI AZZOUZ</t>
        </is>
      </c>
      <c r="E50" s="10" t="inlineStr">
        <is>
          <t>40-21</t>
        </is>
      </c>
      <c r="F50" s="10" t="inlineStr">
        <is>
          <t>Travaux de pistes</t>
        </is>
      </c>
      <c r="G50" s="10" t="inlineStr">
        <is>
          <t>Entretien des pistes agricoles</t>
        </is>
      </c>
      <c r="H50" s="10" t="inlineStr">
        <is>
          <t>Entretien des pistes agricoles</t>
        </is>
      </c>
      <c r="I50" s="11" t="n">
        <v>655000</v>
      </c>
      <c r="J50" s="12" t="inlineStr">
        <is>
          <t>km</t>
        </is>
      </c>
      <c r="K50" s="13" t="n">
        <v>1</v>
      </c>
      <c r="L50" s="51" t="n"/>
      <c r="M50" s="56">
        <f>'S47'!M50+L50</f>
        <v/>
      </c>
      <c r="N50" s="57">
        <f>IFERROR(M50/K50,0)</f>
        <v/>
      </c>
      <c r="O50" s="58">
        <f>'S47'!N50</f>
        <v/>
      </c>
      <c r="P50" s="57">
        <f>N50-O50</f>
        <v/>
      </c>
      <c r="Q50" s="32" t="n"/>
      <c r="R50" s="32" t="n"/>
      <c r="S50" s="32" t="n"/>
      <c r="T50" s="55" t="n"/>
      <c r="U50" s="58">
        <f>'S47'!T50</f>
        <v/>
      </c>
      <c r="V50" s="57">
        <f>T50-U50</f>
        <v/>
      </c>
      <c r="W50" s="57">
        <f>N50-T50</f>
        <v/>
      </c>
      <c r="X50" s="34" t="n"/>
    </row>
    <row r="51" ht="22" customHeight="1">
      <c r="B51" s="5" t="n">
        <v>47</v>
      </c>
      <c r="C51" s="6" t="inlineStr">
        <is>
          <t>Sidi Kacem</t>
        </is>
      </c>
      <c r="D51" s="5" t="inlineStr">
        <is>
          <t>SIDI EL KAMEL</t>
        </is>
      </c>
      <c r="E51" s="5" t="inlineStr">
        <is>
          <t>20-11</t>
        </is>
      </c>
      <c r="F51" s="5" t="inlineStr">
        <is>
          <t>Travaux de réhabilitation des équipements</t>
        </is>
      </c>
      <c r="G51" s="5" t="inlineStr">
        <is>
          <t>Travaux de réhabilitation des canaux portés d'irrigation</t>
        </is>
      </c>
      <c r="H51" s="5" t="inlineStr">
        <is>
          <t>Fourniture et de pose de canaux porté et accessoires du réseau SR4 du secteur S3R</t>
        </is>
      </c>
      <c r="I51" s="7" t="n">
        <v>5182920</v>
      </c>
      <c r="J51" s="8" t="inlineStr">
        <is>
          <t>ml</t>
        </is>
      </c>
      <c r="K51" s="9" t="n">
        <v>1728</v>
      </c>
      <c r="L51" s="51" t="n"/>
      <c r="M51" s="52">
        <f>'S47'!M51+L51</f>
        <v/>
      </c>
      <c r="N51" s="53">
        <f>IFERROR(M51/K51,0)</f>
        <v/>
      </c>
      <c r="O51" s="54">
        <f>'S47'!N51</f>
        <v/>
      </c>
      <c r="P51" s="53">
        <f>N51-O51</f>
        <v/>
      </c>
      <c r="Q51" s="32" t="n"/>
      <c r="R51" s="32" t="n"/>
      <c r="S51" s="32" t="n"/>
      <c r="T51" s="55" t="n"/>
      <c r="U51" s="54">
        <f>'S47'!T51</f>
        <v/>
      </c>
      <c r="V51" s="53">
        <f>T51-U51</f>
        <v/>
      </c>
      <c r="W51" s="53">
        <f>N51-T51</f>
        <v/>
      </c>
      <c r="X51" s="34" t="n"/>
    </row>
    <row r="52" ht="22" customHeight="1">
      <c r="B52" s="10" t="n">
        <v>48</v>
      </c>
      <c r="C52" s="6" t="inlineStr">
        <is>
          <t>Sidi Kacem</t>
        </is>
      </c>
      <c r="D52" s="10" t="inlineStr">
        <is>
          <t>SIDI EL KAMEL</t>
        </is>
      </c>
      <c r="E52" s="10" t="inlineStr">
        <is>
          <t>20-11</t>
        </is>
      </c>
      <c r="F52" s="10" t="inlineStr">
        <is>
          <t>Travaux de réhabilitation des équipements</t>
        </is>
      </c>
      <c r="G52" s="10" t="inlineStr"/>
      <c r="H52" s="10" t="inlineStr">
        <is>
          <t>Fourniture et de pose de canaux porté et accessoires du réseau SR6 du secteur S1RIZ</t>
        </is>
      </c>
      <c r="I52" s="11" t="n">
        <v>152818</v>
      </c>
      <c r="J52" s="12" t="inlineStr">
        <is>
          <t>ml</t>
        </is>
      </c>
      <c r="K52" s="13" t="n">
        <v>51</v>
      </c>
      <c r="L52" s="51" t="n"/>
      <c r="M52" s="56">
        <f>'S47'!M52+L52</f>
        <v/>
      </c>
      <c r="N52" s="57">
        <f>IFERROR(M52/K52,0)</f>
        <v/>
      </c>
      <c r="O52" s="58">
        <f>'S47'!N52</f>
        <v/>
      </c>
      <c r="P52" s="57">
        <f>N52-O52</f>
        <v/>
      </c>
      <c r="Q52" s="32" t="n"/>
      <c r="R52" s="32" t="n"/>
      <c r="S52" s="32" t="n"/>
      <c r="T52" s="55" t="n"/>
      <c r="U52" s="58">
        <f>'S47'!T52</f>
        <v/>
      </c>
      <c r="V52" s="57">
        <f>T52-U52</f>
        <v/>
      </c>
      <c r="W52" s="57">
        <f>N52-T52</f>
        <v/>
      </c>
      <c r="X52" s="34" t="n"/>
    </row>
    <row r="53" ht="22" customHeight="1">
      <c r="B53" s="5" t="n">
        <v>49</v>
      </c>
      <c r="C53" s="6" t="inlineStr">
        <is>
          <t>Sidi Kacem</t>
        </is>
      </c>
      <c r="D53" s="5" t="inlineStr">
        <is>
          <t>SIDI EL KAMEL</t>
        </is>
      </c>
      <c r="E53" s="5" t="inlineStr">
        <is>
          <t>20-11</t>
        </is>
      </c>
      <c r="F53" s="5" t="inlineStr">
        <is>
          <t>Travaux de réhabilitation des équipements</t>
        </is>
      </c>
      <c r="G53" s="5" t="inlineStr"/>
      <c r="H53" s="5" t="inlineStr">
        <is>
          <t>Recalage des canaux portés du réseau SR4 du secteur S3R</t>
        </is>
      </c>
      <c r="I53" s="7" t="n">
        <v>1418000</v>
      </c>
      <c r="J53" s="8" t="inlineStr">
        <is>
          <t>ml</t>
        </is>
      </c>
      <c r="K53" s="9" t="n">
        <v>473</v>
      </c>
      <c r="L53" s="51" t="n"/>
      <c r="M53" s="52">
        <f>'S47'!M53+L53</f>
        <v/>
      </c>
      <c r="N53" s="53">
        <f>IFERROR(M53/K53,0)</f>
        <v/>
      </c>
      <c r="O53" s="54">
        <f>'S47'!N53</f>
        <v/>
      </c>
      <c r="P53" s="53">
        <f>N53-O53</f>
        <v/>
      </c>
      <c r="Q53" s="32" t="n"/>
      <c r="R53" s="32" t="n"/>
      <c r="S53" s="32" t="n"/>
      <c r="T53" s="55" t="n"/>
      <c r="U53" s="54">
        <f>'S47'!T53</f>
        <v/>
      </c>
      <c r="V53" s="53">
        <f>T53-U53</f>
        <v/>
      </c>
      <c r="W53" s="53">
        <f>N53-T53</f>
        <v/>
      </c>
      <c r="X53" s="34" t="n"/>
    </row>
    <row r="54" ht="22" customHeight="1">
      <c r="B54" s="10" t="n">
        <v>50</v>
      </c>
      <c r="C54" s="6" t="inlineStr">
        <is>
          <t>Sidi Kacem</t>
        </is>
      </c>
      <c r="D54" s="10" t="inlineStr">
        <is>
          <t>SIDI EL KAMEL</t>
        </is>
      </c>
      <c r="E54" s="10" t="inlineStr">
        <is>
          <t>20-11</t>
        </is>
      </c>
      <c r="F54" s="10" t="inlineStr">
        <is>
          <t>Travaux de réhabilitation des équipements</t>
        </is>
      </c>
      <c r="G54" s="10" t="inlineStr">
        <is>
          <t>Travaux de réhabilitation des ouvrages de génie civil</t>
        </is>
      </c>
      <c r="H54" s="10" t="inlineStr">
        <is>
          <t>Réhabilitation des murs de soutènements des ouvrages de franchissements du canal d'assainissement CS3 secteur S3 et de l’ouvrage de franchissement du canal primaire d’irrigation du secteur S1R au niveau de la route provinciale P4234</t>
        </is>
      </c>
      <c r="I54" s="11" t="n">
        <v>800000</v>
      </c>
      <c r="J54" s="12" t="inlineStr">
        <is>
          <t>ml</t>
        </is>
      </c>
      <c r="K54" s="13" t="n">
        <v>400</v>
      </c>
      <c r="L54" s="51" t="n"/>
      <c r="M54" s="56">
        <f>'S47'!M54+L54</f>
        <v/>
      </c>
      <c r="N54" s="57">
        <f>IFERROR(M54/K54,0)</f>
        <v/>
      </c>
      <c r="O54" s="58">
        <f>'S47'!N54</f>
        <v/>
      </c>
      <c r="P54" s="57">
        <f>N54-O54</f>
        <v/>
      </c>
      <c r="Q54" s="32" t="n"/>
      <c r="R54" s="32" t="n"/>
      <c r="S54" s="32" t="n"/>
      <c r="T54" s="55" t="n"/>
      <c r="U54" s="58">
        <f>'S47'!T54</f>
        <v/>
      </c>
      <c r="V54" s="57">
        <f>T54-U54</f>
        <v/>
      </c>
      <c r="W54" s="57">
        <f>N54-T54</f>
        <v/>
      </c>
      <c r="X54" s="34" t="n"/>
    </row>
    <row r="55" ht="22" customHeight="1">
      <c r="B55" s="5" t="n">
        <v>51</v>
      </c>
      <c r="C55" s="6" t="inlineStr">
        <is>
          <t>Sidi Kacem</t>
        </is>
      </c>
      <c r="D55" s="5" t="inlineStr">
        <is>
          <t>SIDI EL KAMEL</t>
        </is>
      </c>
      <c r="E55" s="5" t="inlineStr">
        <is>
          <t>40-21</t>
        </is>
      </c>
      <c r="F55" s="5" t="inlineStr">
        <is>
          <t>Travaux de pistes</t>
        </is>
      </c>
      <c r="G55" s="5" t="inlineStr">
        <is>
          <t>Entretien des pistes agricoles</t>
        </is>
      </c>
      <c r="H55" s="5" t="inlineStr">
        <is>
          <t>Entretien des pistes agricoles</t>
        </is>
      </c>
      <c r="I55" s="7" t="n">
        <v>3700000</v>
      </c>
      <c r="J55" s="8" t="inlineStr">
        <is>
          <t>km</t>
        </is>
      </c>
      <c r="K55" s="9" t="n">
        <v>7</v>
      </c>
      <c r="L55" s="51" t="n"/>
      <c r="M55" s="52">
        <f>'S47'!M55+L55</f>
        <v/>
      </c>
      <c r="N55" s="53">
        <f>IFERROR(M55/K55,0)</f>
        <v/>
      </c>
      <c r="O55" s="54">
        <f>'S47'!N55</f>
        <v/>
      </c>
      <c r="P55" s="53">
        <f>N55-O55</f>
        <v/>
      </c>
      <c r="Q55" s="32" t="n"/>
      <c r="R55" s="32" t="n"/>
      <c r="S55" s="32" t="n"/>
      <c r="T55" s="55" t="n"/>
      <c r="U55" s="54">
        <f>'S47'!T55</f>
        <v/>
      </c>
      <c r="V55" s="53">
        <f>T55-U55</f>
        <v/>
      </c>
      <c r="W55" s="53">
        <f>N55-T55</f>
        <v/>
      </c>
      <c r="X55" s="34" t="n"/>
    </row>
    <row r="56" ht="22" customHeight="1">
      <c r="B56" s="10" t="n">
        <v>52</v>
      </c>
      <c r="C56" s="6" t="inlineStr">
        <is>
          <t>Sidi Kacem</t>
        </is>
      </c>
      <c r="D56" s="10" t="inlineStr">
        <is>
          <t>SIDI EL KAMEL</t>
        </is>
      </c>
      <c r="E56" s="10" t="inlineStr">
        <is>
          <t>50-21</t>
        </is>
      </c>
      <c r="F56" s="10" t="inlineStr">
        <is>
          <t>Entretien et réparation des stations de pompage</t>
        </is>
      </c>
      <c r="G56" s="10" t="inlineStr">
        <is>
          <t>Prestation de maintenance des débitmètres et leurs équipements annexes installés au niveau des station de pompage</t>
        </is>
      </c>
      <c r="H56" s="10" t="inlineStr">
        <is>
          <t>Changement de quatre débitmètres Ø 500mm et trois Ø 800mm inondé des stations de pompage 1R, 3R et 5R.</t>
        </is>
      </c>
      <c r="I56" s="11" t="n">
        <v>705000</v>
      </c>
      <c r="J56" s="12" t="inlineStr">
        <is>
          <t>U</t>
        </is>
      </c>
      <c r="K56" s="13" t="n">
        <v>3</v>
      </c>
      <c r="L56" s="51" t="n"/>
      <c r="M56" s="56">
        <f>'S47'!M56+L56</f>
        <v/>
      </c>
      <c r="N56" s="57">
        <f>IFERROR(M56/K56,0)</f>
        <v/>
      </c>
      <c r="O56" s="58">
        <f>'S47'!N56</f>
        <v/>
      </c>
      <c r="P56" s="57">
        <f>N56-O56</f>
        <v/>
      </c>
      <c r="Q56" s="32" t="n"/>
      <c r="R56" s="32" t="n"/>
      <c r="S56" s="32" t="n"/>
      <c r="T56" s="55" t="n"/>
      <c r="U56" s="58">
        <f>'S47'!T56</f>
        <v/>
      </c>
      <c r="V56" s="57">
        <f>T56-U56</f>
        <v/>
      </c>
      <c r="W56" s="57">
        <f>N56-T56</f>
        <v/>
      </c>
      <c r="X56" s="34" t="n"/>
    </row>
    <row r="57" ht="22" customHeight="1">
      <c r="B57" s="5" t="n">
        <v>53</v>
      </c>
      <c r="C57" s="6" t="inlineStr">
        <is>
          <t>Sidi Kacem</t>
        </is>
      </c>
      <c r="D57" s="5" t="inlineStr">
        <is>
          <t>SIDI EL KAMEL</t>
        </is>
      </c>
      <c r="E57" s="5" t="inlineStr">
        <is>
          <t>50-21</t>
        </is>
      </c>
      <c r="F57" s="5" t="inlineStr">
        <is>
          <t>Entretien et réparation des stations de pompage</t>
        </is>
      </c>
      <c r="G57" s="5" t="inlineStr">
        <is>
          <t>Mur clôture des stations de pompage.</t>
        </is>
      </c>
      <c r="H57" s="5" t="inlineStr">
        <is>
          <t>Stabilisation et reconstruction des murs clôture cote oued des stations de pompage 7A, 3R et 1R.</t>
        </is>
      </c>
      <c r="I57" s="7" t="n">
        <v>372000</v>
      </c>
      <c r="J57" s="8" t="inlineStr">
        <is>
          <t>ml</t>
        </is>
      </c>
      <c r="K57" s="9" t="n">
        <v>124</v>
      </c>
      <c r="L57" s="51" t="n"/>
      <c r="M57" s="52">
        <f>'S47'!M57+L57</f>
        <v/>
      </c>
      <c r="N57" s="53">
        <f>IFERROR(M57/K57,0)</f>
        <v/>
      </c>
      <c r="O57" s="54">
        <f>'S47'!N57</f>
        <v/>
      </c>
      <c r="P57" s="53">
        <f>N57-O57</f>
        <v/>
      </c>
      <c r="Q57" s="32" t="n"/>
      <c r="R57" s="32" t="n"/>
      <c r="S57" s="32" t="n"/>
      <c r="T57" s="55" t="n"/>
      <c r="U57" s="54">
        <f>'S47'!T57</f>
        <v/>
      </c>
      <c r="V57" s="53">
        <f>T57-U57</f>
        <v/>
      </c>
      <c r="W57" s="53">
        <f>N57-T57</f>
        <v/>
      </c>
      <c r="X57" s="34" t="n"/>
    </row>
    <row r="58" ht="22" customHeight="1">
      <c r="B58" s="10" t="n">
        <v>54</v>
      </c>
      <c r="C58" s="14" t="inlineStr">
        <is>
          <t>Kénitra</t>
        </is>
      </c>
      <c r="D58" s="10" t="inlineStr">
        <is>
          <t>Bni malek</t>
        </is>
      </c>
      <c r="E58" s="10" t="inlineStr">
        <is>
          <t>50-23</t>
        </is>
      </c>
      <c r="F58" s="10" t="inlineStr">
        <is>
          <t>Entretien et réparation du réseau d'assainissement et de drainage</t>
        </is>
      </c>
      <c r="G58" s="10" t="inlineStr">
        <is>
          <t>Travaux de curage des canaux en terre</t>
        </is>
      </c>
      <c r="H58" s="10" t="inlineStr">
        <is>
          <t>Curage des emissaires et colatures secondaire au niveau des secteurs MDA ET N9</t>
        </is>
      </c>
      <c r="I58" s="11" t="n">
        <v>10000000</v>
      </c>
      <c r="J58" s="12" t="inlineStr">
        <is>
          <t>ml</t>
        </is>
      </c>
      <c r="K58" s="13" t="n">
        <v>5000</v>
      </c>
      <c r="L58" s="51" t="n"/>
      <c r="M58" s="56">
        <f>'S47'!M58+L58</f>
        <v/>
      </c>
      <c r="N58" s="57">
        <f>IFERROR(M58/K58,0)</f>
        <v/>
      </c>
      <c r="O58" s="58">
        <f>'S47'!N58</f>
        <v/>
      </c>
      <c r="P58" s="57">
        <f>N58-O58</f>
        <v/>
      </c>
      <c r="Q58" s="32" t="n"/>
      <c r="R58" s="32" t="n"/>
      <c r="S58" s="32" t="n"/>
      <c r="T58" s="55" t="n"/>
      <c r="U58" s="58">
        <f>'S47'!T58</f>
        <v/>
      </c>
      <c r="V58" s="57">
        <f>T58-U58</f>
        <v/>
      </c>
      <c r="W58" s="57">
        <f>N58-T58</f>
        <v/>
      </c>
      <c r="X58" s="34" t="n"/>
    </row>
    <row r="59" ht="22" customHeight="1">
      <c r="B59" s="5" t="n">
        <v>55</v>
      </c>
      <c r="C59" s="14" t="inlineStr">
        <is>
          <t>Kénitra</t>
        </is>
      </c>
      <c r="D59" s="5" t="inlineStr">
        <is>
          <t>Bni malek</t>
        </is>
      </c>
      <c r="E59" s="5" t="inlineStr">
        <is>
          <t>40-21</t>
        </is>
      </c>
      <c r="F59" s="5" t="inlineStr">
        <is>
          <t>Travaux de pistes</t>
        </is>
      </c>
      <c r="G59" s="5" t="inlineStr">
        <is>
          <t>Travaux de réhabilitation des pistes agricoles</t>
        </is>
      </c>
      <c r="H59" s="5" t="inlineStr">
        <is>
          <t>Entretien des pistes agricoles des secteurs MDA et N3</t>
        </is>
      </c>
      <c r="I59" s="7" t="n">
        <v>2000000</v>
      </c>
      <c r="J59" s="8" t="inlineStr">
        <is>
          <t>km</t>
        </is>
      </c>
      <c r="K59" s="9" t="n">
        <v>4</v>
      </c>
      <c r="L59" s="51" t="n"/>
      <c r="M59" s="52">
        <f>'S47'!M59+L59</f>
        <v/>
      </c>
      <c r="N59" s="53">
        <f>IFERROR(M59/K59,0)</f>
        <v/>
      </c>
      <c r="O59" s="54">
        <f>'S47'!N59</f>
        <v/>
      </c>
      <c r="P59" s="53">
        <f>N59-O59</f>
        <v/>
      </c>
      <c r="Q59" s="32" t="n"/>
      <c r="R59" s="32" t="n"/>
      <c r="S59" s="32" t="n"/>
      <c r="T59" s="55" t="n"/>
      <c r="U59" s="54">
        <f>'S47'!T59</f>
        <v/>
      </c>
      <c r="V59" s="53">
        <f>T59-U59</f>
        <v/>
      </c>
      <c r="W59" s="53">
        <f>N59-T59</f>
        <v/>
      </c>
      <c r="X59" s="34" t="n"/>
    </row>
    <row r="60" ht="22" customHeight="1">
      <c r="B60" s="10" t="n">
        <v>56</v>
      </c>
      <c r="C60" s="14" t="inlineStr">
        <is>
          <t>Kénitra</t>
        </is>
      </c>
      <c r="D60" s="10" t="inlineStr">
        <is>
          <t>Bni malek</t>
        </is>
      </c>
      <c r="E60" s="10" t="inlineStr">
        <is>
          <t>50-21</t>
        </is>
      </c>
      <c r="F60" s="10" t="inlineStr">
        <is>
          <t>Entretien et réparation des stations de pompage</t>
        </is>
      </c>
      <c r="G60" s="10" t="inlineStr">
        <is>
          <t>Prestations de maintenance et de réparation mécanique des pompes et des groupes motopompes submersibles des stations de pompage.</t>
        </is>
      </c>
      <c r="H60" s="10" t="inlineStr">
        <is>
          <t>station de pompage MDA secteur MDA</t>
        </is>
      </c>
      <c r="I60" s="11" t="n">
        <v>300000</v>
      </c>
      <c r="J60" s="12" t="inlineStr">
        <is>
          <t>U</t>
        </is>
      </c>
      <c r="K60" s="13" t="n">
        <v>1</v>
      </c>
      <c r="L60" s="51" t="n"/>
      <c r="M60" s="56">
        <f>'S47'!M60+L60</f>
        <v/>
      </c>
      <c r="N60" s="57">
        <f>IFERROR(M60/K60,0)</f>
        <v/>
      </c>
      <c r="O60" s="58">
        <f>'S47'!N60</f>
        <v/>
      </c>
      <c r="P60" s="57">
        <f>N60-O60</f>
        <v/>
      </c>
      <c r="Q60" s="32" t="n"/>
      <c r="R60" s="32" t="n"/>
      <c r="S60" s="32" t="n"/>
      <c r="T60" s="55" t="n"/>
      <c r="U60" s="58">
        <f>'S47'!T60</f>
        <v/>
      </c>
      <c r="V60" s="57">
        <f>T60-U60</f>
        <v/>
      </c>
      <c r="W60" s="57">
        <f>N60-T60</f>
        <v/>
      </c>
      <c r="X60" s="34" t="n"/>
    </row>
    <row r="61" ht="22" customHeight="1">
      <c r="B61" s="5" t="n">
        <v>57</v>
      </c>
      <c r="C61" s="14" t="inlineStr">
        <is>
          <t>Kénitra</t>
        </is>
      </c>
      <c r="D61" s="5" t="inlineStr">
        <is>
          <t>Bni malek</t>
        </is>
      </c>
      <c r="E61" s="5" t="inlineStr">
        <is>
          <t>20-11</t>
        </is>
      </c>
      <c r="F61" s="5" t="inlineStr">
        <is>
          <t>Travaux de réhabilitation des équipements</t>
        </is>
      </c>
      <c r="G61" s="5" t="inlineStr">
        <is>
          <t>Travaux de réhabilitation des ouvrages de génie civil</t>
        </is>
      </c>
      <c r="H61" s="5" t="inlineStr">
        <is>
          <t>Rétablissement des bornes affaissées des secteurs N2 et N3</t>
        </is>
      </c>
      <c r="I61" s="7" t="n">
        <v>100000</v>
      </c>
      <c r="J61" s="8" t="inlineStr">
        <is>
          <t>U</t>
        </is>
      </c>
      <c r="K61" s="9" t="n">
        <v>200</v>
      </c>
      <c r="L61" s="51" t="n"/>
      <c r="M61" s="52">
        <f>'S47'!M61+L61</f>
        <v/>
      </c>
      <c r="N61" s="53">
        <f>IFERROR(M61/K61,0)</f>
        <v/>
      </c>
      <c r="O61" s="54">
        <f>'S47'!N61</f>
        <v/>
      </c>
      <c r="P61" s="53">
        <f>N61-O61</f>
        <v/>
      </c>
      <c r="Q61" s="32" t="n"/>
      <c r="R61" s="32" t="n"/>
      <c r="S61" s="32" t="n"/>
      <c r="T61" s="55" t="n"/>
      <c r="U61" s="54">
        <f>'S47'!T61</f>
        <v/>
      </c>
      <c r="V61" s="53">
        <f>T61-U61</f>
        <v/>
      </c>
      <c r="W61" s="53">
        <f>N61-T61</f>
        <v/>
      </c>
      <c r="X61" s="34" t="n"/>
    </row>
    <row r="62" ht="22" customHeight="1">
      <c r="B62" s="10" t="n">
        <v>58</v>
      </c>
      <c r="C62" s="14" t="inlineStr">
        <is>
          <t>Kénitra</t>
        </is>
      </c>
      <c r="D62" s="10" t="inlineStr">
        <is>
          <t>SOUK TLET</t>
        </is>
      </c>
      <c r="E62" s="10" t="inlineStr">
        <is>
          <t>50-23</t>
        </is>
      </c>
      <c r="F62" s="10" t="inlineStr">
        <is>
          <t>Entretien et réparation du réseau d'assainissement et de drainage</t>
        </is>
      </c>
      <c r="G62" s="10" t="inlineStr">
        <is>
          <t>Travaux de curage des canaux en terre</t>
        </is>
      </c>
      <c r="H62" s="10" t="inlineStr">
        <is>
          <t>curage des emissaires et colatures secondaire au niveau des secteurs N2,N3 ET N4,</t>
        </is>
      </c>
      <c r="I62" s="11" t="n">
        <v>3000000</v>
      </c>
      <c r="J62" s="12" t="inlineStr">
        <is>
          <t>ml</t>
        </is>
      </c>
      <c r="K62" s="13" t="n">
        <v>1500</v>
      </c>
      <c r="L62" s="51" t="n"/>
      <c r="M62" s="56">
        <f>'S47'!M62+L62</f>
        <v/>
      </c>
      <c r="N62" s="57">
        <f>IFERROR(M62/K62,0)</f>
        <v/>
      </c>
      <c r="O62" s="58">
        <f>'S47'!N62</f>
        <v/>
      </c>
      <c r="P62" s="57">
        <f>N62-O62</f>
        <v/>
      </c>
      <c r="Q62" s="32" t="n"/>
      <c r="R62" s="32" t="n"/>
      <c r="S62" s="32" t="n"/>
      <c r="T62" s="55" t="n"/>
      <c r="U62" s="58">
        <f>'S47'!T62</f>
        <v/>
      </c>
      <c r="V62" s="57">
        <f>T62-U62</f>
        <v/>
      </c>
      <c r="W62" s="57">
        <f>N62-T62</f>
        <v/>
      </c>
      <c r="X62" s="34" t="n"/>
    </row>
    <row r="63" ht="22" customHeight="1">
      <c r="B63" s="5" t="n">
        <v>59</v>
      </c>
      <c r="C63" s="14" t="inlineStr">
        <is>
          <t>Kénitra</t>
        </is>
      </c>
      <c r="D63" s="5" t="inlineStr">
        <is>
          <t>SOUK TLET</t>
        </is>
      </c>
      <c r="E63" s="5" t="inlineStr">
        <is>
          <t>40-21</t>
        </is>
      </c>
      <c r="F63" s="5" t="inlineStr">
        <is>
          <t>Travaux de pistes</t>
        </is>
      </c>
      <c r="G63" s="5" t="inlineStr">
        <is>
          <t>Travaux de réhabilitation des pistes agricoles</t>
        </is>
      </c>
      <c r="H63" s="5" t="inlineStr">
        <is>
          <t>Entretien des pistes des secteurs N2,N3,N4 et C4R,</t>
        </is>
      </c>
      <c r="I63" s="7" t="n">
        <v>5000000</v>
      </c>
      <c r="J63" s="8" t="inlineStr">
        <is>
          <t>U</t>
        </is>
      </c>
      <c r="K63" s="9" t="n">
        <v>1</v>
      </c>
      <c r="L63" s="51" t="n"/>
      <c r="M63" s="52">
        <f>'S47'!M63+L63</f>
        <v/>
      </c>
      <c r="N63" s="53">
        <f>IFERROR(M63/K63,0)</f>
        <v/>
      </c>
      <c r="O63" s="54">
        <f>'S47'!N63</f>
        <v/>
      </c>
      <c r="P63" s="53">
        <f>N63-O63</f>
        <v/>
      </c>
      <c r="Q63" s="32" t="n"/>
      <c r="R63" s="32" t="n"/>
      <c r="S63" s="32" t="n"/>
      <c r="T63" s="55" t="n"/>
      <c r="U63" s="54">
        <f>'S47'!T63</f>
        <v/>
      </c>
      <c r="V63" s="53">
        <f>T63-U63</f>
        <v/>
      </c>
      <c r="W63" s="53">
        <f>N63-T63</f>
        <v/>
      </c>
      <c r="X63" s="34" t="n"/>
    </row>
    <row r="64" ht="22" customHeight="1">
      <c r="B64" s="10" t="n">
        <v>60</v>
      </c>
      <c r="C64" s="14" t="inlineStr">
        <is>
          <t>Kénitra</t>
        </is>
      </c>
      <c r="D64" s="10" t="inlineStr">
        <is>
          <t>Sidi Med Lahmar</t>
        </is>
      </c>
      <c r="E64" s="10" t="inlineStr">
        <is>
          <t>50-23</t>
        </is>
      </c>
      <c r="F64" s="10" t="inlineStr">
        <is>
          <t>Entretien et réparation du réseau d'assainissement et de drainage</t>
        </is>
      </c>
      <c r="G64" s="10" t="inlineStr">
        <is>
          <t>Travaux de curage des canaux en terre</t>
        </is>
      </c>
      <c r="H64" s="10" t="inlineStr">
        <is>
          <t>Curage des emissaires et colatures secondaires secteurs N1</t>
        </is>
      </c>
      <c r="I64" s="11" t="n">
        <v>3000000</v>
      </c>
      <c r="J64" s="12" t="inlineStr">
        <is>
          <t>ml</t>
        </is>
      </c>
      <c r="K64" s="13" t="n">
        <v>1500</v>
      </c>
      <c r="L64" s="51" t="n"/>
      <c r="M64" s="56">
        <f>'S47'!M64+L64</f>
        <v/>
      </c>
      <c r="N64" s="57">
        <f>IFERROR(M64/K64,0)</f>
        <v/>
      </c>
      <c r="O64" s="58">
        <f>'S47'!N64</f>
        <v/>
      </c>
      <c r="P64" s="57">
        <f>N64-O64</f>
        <v/>
      </c>
      <c r="Q64" s="32" t="n"/>
      <c r="R64" s="32" t="n"/>
      <c r="S64" s="32" t="n"/>
      <c r="T64" s="55" t="n"/>
      <c r="U64" s="58">
        <f>'S47'!T64</f>
        <v/>
      </c>
      <c r="V64" s="57">
        <f>T64-U64</f>
        <v/>
      </c>
      <c r="W64" s="57">
        <f>N64-T64</f>
        <v/>
      </c>
      <c r="X64" s="34" t="n"/>
    </row>
    <row r="65" ht="22" customHeight="1">
      <c r="B65" s="5" t="n">
        <v>61</v>
      </c>
      <c r="C65" s="14" t="inlineStr">
        <is>
          <t>Kénitra</t>
        </is>
      </c>
      <c r="D65" s="5" t="inlineStr">
        <is>
          <t>Sidi Med Lahmar</t>
        </is>
      </c>
      <c r="E65" s="5" t="inlineStr">
        <is>
          <t>40-21</t>
        </is>
      </c>
      <c r="F65" s="5" t="inlineStr">
        <is>
          <t>Travaux de pistes</t>
        </is>
      </c>
      <c r="G65" s="5" t="inlineStr">
        <is>
          <t>Travaux de réhabilitation des pistes agricoles</t>
        </is>
      </c>
      <c r="H65" s="5" t="inlineStr">
        <is>
          <t>Entretien des pistes agricoles des secteurs N9 et N1</t>
        </is>
      </c>
      <c r="I65" s="7" t="n">
        <v>3000000</v>
      </c>
      <c r="J65" s="8" t="inlineStr">
        <is>
          <t>km</t>
        </is>
      </c>
      <c r="K65" s="9" t="n">
        <v>6</v>
      </c>
      <c r="L65" s="51" t="n"/>
      <c r="M65" s="52">
        <f>'S47'!M65+L65</f>
        <v/>
      </c>
      <c r="N65" s="53">
        <f>IFERROR(M65/K65,0)</f>
        <v/>
      </c>
      <c r="O65" s="54">
        <f>'S47'!N65</f>
        <v/>
      </c>
      <c r="P65" s="53">
        <f>N65-O65</f>
        <v/>
      </c>
      <c r="Q65" s="32" t="n"/>
      <c r="R65" s="32" t="n"/>
      <c r="S65" s="32" t="n"/>
      <c r="T65" s="55" t="n"/>
      <c r="U65" s="54">
        <f>'S47'!T65</f>
        <v/>
      </c>
      <c r="V65" s="53">
        <f>T65-U65</f>
        <v/>
      </c>
      <c r="W65" s="53">
        <f>N65-T65</f>
        <v/>
      </c>
      <c r="X65" s="34" t="n"/>
    </row>
    <row r="66" ht="22" customHeight="1">
      <c r="B66" s="10" t="n">
        <v>62</v>
      </c>
      <c r="C66" s="14" t="inlineStr">
        <is>
          <t>Kénitra</t>
        </is>
      </c>
      <c r="D66" s="10" t="inlineStr">
        <is>
          <t>Mograne</t>
        </is>
      </c>
      <c r="E66" s="10" t="inlineStr">
        <is>
          <t>50-23</t>
        </is>
      </c>
      <c r="F66" s="10" t="inlineStr">
        <is>
          <t>Entretien et réparation du réseau d'assainissement et de drainage</t>
        </is>
      </c>
      <c r="G66" s="10" t="inlineStr">
        <is>
          <t>Travaux de curage des canaux en terre</t>
        </is>
      </c>
      <c r="H66" s="10" t="inlineStr">
        <is>
          <t>Curage des canaux d'assainissement Hors secteur équipé ghoufera et laison beht sebou ,</t>
        </is>
      </c>
      <c r="I66" s="11" t="n">
        <v>6000000</v>
      </c>
      <c r="J66" s="12" t="inlineStr">
        <is>
          <t>ml</t>
        </is>
      </c>
      <c r="K66" s="13" t="n">
        <v>3000</v>
      </c>
      <c r="L66" s="51" t="n"/>
      <c r="M66" s="56">
        <f>'S47'!M66+L66</f>
        <v/>
      </c>
      <c r="N66" s="57">
        <f>IFERROR(M66/K66,0)</f>
        <v/>
      </c>
      <c r="O66" s="58">
        <f>'S47'!N66</f>
        <v/>
      </c>
      <c r="P66" s="57">
        <f>N66-O66</f>
        <v/>
      </c>
      <c r="Q66" s="32" t="n"/>
      <c r="R66" s="32" t="n"/>
      <c r="S66" s="32" t="n"/>
      <c r="T66" s="55" t="n"/>
      <c r="U66" s="58">
        <f>'S47'!T66</f>
        <v/>
      </c>
      <c r="V66" s="57">
        <f>T66-U66</f>
        <v/>
      </c>
      <c r="W66" s="57">
        <f>N66-T66</f>
        <v/>
      </c>
      <c r="X66" s="34" t="n"/>
    </row>
    <row r="67" ht="22" customHeight="1">
      <c r="B67" s="5" t="n">
        <v>63</v>
      </c>
      <c r="C67" s="14" t="inlineStr">
        <is>
          <t>Kénitra</t>
        </is>
      </c>
      <c r="D67" s="5" t="inlineStr">
        <is>
          <t>Mograne</t>
        </is>
      </c>
      <c r="E67" s="5" t="inlineStr">
        <is>
          <t>40-21</t>
        </is>
      </c>
      <c r="F67" s="5" t="inlineStr">
        <is>
          <t>Travaux de pistes</t>
        </is>
      </c>
      <c r="G67" s="5" t="inlineStr">
        <is>
          <t>Travaux de réhabilitation des pistes agricoles</t>
        </is>
      </c>
      <c r="H67" s="5" t="inlineStr">
        <is>
          <t>Entretien des pistes agricoles des secteurs SEBOU1,SEBOU2? BEHT3 et BEHT4</t>
        </is>
      </c>
      <c r="I67" s="7" t="n">
        <v>6000000</v>
      </c>
      <c r="J67" s="8" t="inlineStr">
        <is>
          <t>km</t>
        </is>
      </c>
      <c r="K67" s="9" t="n">
        <v>12</v>
      </c>
      <c r="L67" s="51" t="n"/>
      <c r="M67" s="52">
        <f>'S47'!M67+L67</f>
        <v/>
      </c>
      <c r="N67" s="53">
        <f>IFERROR(M67/K67,0)</f>
        <v/>
      </c>
      <c r="O67" s="54">
        <f>'S47'!N67</f>
        <v/>
      </c>
      <c r="P67" s="53">
        <f>N67-O67</f>
        <v/>
      </c>
      <c r="Q67" s="32" t="n"/>
      <c r="R67" s="32" t="n"/>
      <c r="S67" s="32" t="n"/>
      <c r="T67" s="55" t="n"/>
      <c r="U67" s="54">
        <f>'S47'!T67</f>
        <v/>
      </c>
      <c r="V67" s="53">
        <f>T67-U67</f>
        <v/>
      </c>
      <c r="W67" s="53">
        <f>N67-T67</f>
        <v/>
      </c>
      <c r="X67" s="34" t="n"/>
    </row>
    <row r="68" ht="22" customHeight="1">
      <c r="B68" s="10" t="n">
        <v>64</v>
      </c>
      <c r="C68" s="14" t="inlineStr">
        <is>
          <t>Kénitra</t>
        </is>
      </c>
      <c r="D68" s="10" t="inlineStr">
        <is>
          <t>Sidi allal tazi</t>
        </is>
      </c>
      <c r="E68" s="10" t="inlineStr">
        <is>
          <t>50-23</t>
        </is>
      </c>
      <c r="F68" s="10" t="inlineStr">
        <is>
          <t>Entretien et réparation du réseau d'assainissement et de drainage</t>
        </is>
      </c>
      <c r="G68" s="10" t="inlineStr">
        <is>
          <t>Travaux de curage des canaux en terre</t>
        </is>
      </c>
      <c r="H68" s="10" t="inlineStr">
        <is>
          <t>Curage du canaL d'assainissement CK,</t>
        </is>
      </c>
      <c r="I68" s="11" t="n">
        <v>3000000</v>
      </c>
      <c r="J68" s="12" t="inlineStr">
        <is>
          <t>ml</t>
        </is>
      </c>
      <c r="K68" s="13" t="n">
        <v>1500</v>
      </c>
      <c r="L68" s="51" t="n"/>
      <c r="M68" s="56">
        <f>'S47'!M68+L68</f>
        <v/>
      </c>
      <c r="N68" s="57">
        <f>IFERROR(M68/K68,0)</f>
        <v/>
      </c>
      <c r="O68" s="58">
        <f>'S47'!N68</f>
        <v/>
      </c>
      <c r="P68" s="57">
        <f>N68-O68</f>
        <v/>
      </c>
      <c r="Q68" s="32" t="n"/>
      <c r="R68" s="32" t="n"/>
      <c r="S68" s="32" t="n"/>
      <c r="T68" s="55" t="n"/>
      <c r="U68" s="58">
        <f>'S47'!T68</f>
        <v/>
      </c>
      <c r="V68" s="57">
        <f>T68-U68</f>
        <v/>
      </c>
      <c r="W68" s="57">
        <f>N68-T68</f>
        <v/>
      </c>
      <c r="X68" s="34" t="n"/>
    </row>
    <row r="69" ht="22" customHeight="1">
      <c r="B69" s="5" t="n">
        <v>65</v>
      </c>
      <c r="C69" s="14" t="inlineStr">
        <is>
          <t>Kénitra</t>
        </is>
      </c>
      <c r="D69" s="5" t="inlineStr">
        <is>
          <t>AMEUR SAFLIA</t>
        </is>
      </c>
      <c r="E69" s="5" t="inlineStr">
        <is>
          <t>50-23</t>
        </is>
      </c>
      <c r="F69" s="5" t="inlineStr">
        <is>
          <t>Entretien et réparation du réseau d'assainissement et de drainage</t>
        </is>
      </c>
      <c r="G69" s="5" t="inlineStr">
        <is>
          <t>Travaux de curage des canaux en terre</t>
        </is>
      </c>
      <c r="H69" s="5" t="inlineStr">
        <is>
          <t>Curage des canaux d'assainissement amontTtiflt Sebou,</t>
        </is>
      </c>
      <c r="I69" s="7" t="n">
        <v>1000000</v>
      </c>
      <c r="J69" s="8" t="inlineStr">
        <is>
          <t>ml</t>
        </is>
      </c>
      <c r="K69" s="9" t="n">
        <v>500</v>
      </c>
      <c r="L69" s="51" t="n"/>
      <c r="M69" s="52">
        <f>'S47'!M69+L69</f>
        <v/>
      </c>
      <c r="N69" s="53">
        <f>IFERROR(M69/K69,0)</f>
        <v/>
      </c>
      <c r="O69" s="54">
        <f>'S47'!N69</f>
        <v/>
      </c>
      <c r="P69" s="53">
        <f>N69-O69</f>
        <v/>
      </c>
      <c r="Q69" s="32" t="n"/>
      <c r="R69" s="32" t="n"/>
      <c r="S69" s="32" t="n"/>
      <c r="T69" s="55" t="n"/>
      <c r="U69" s="54">
        <f>'S47'!T69</f>
        <v/>
      </c>
      <c r="V69" s="53">
        <f>T69-U69</f>
        <v/>
      </c>
      <c r="W69" s="53">
        <f>N69-T69</f>
        <v/>
      </c>
      <c r="X69" s="34" t="n"/>
    </row>
    <row r="70" ht="22" customHeight="1">
      <c r="B70" s="10" t="n">
        <v>66</v>
      </c>
      <c r="C70" s="14" t="inlineStr">
        <is>
          <t>Kénitra</t>
        </is>
      </c>
      <c r="D70" s="10" t="inlineStr">
        <is>
          <t>Oulad SLAMA</t>
        </is>
      </c>
      <c r="E70" s="10" t="inlineStr">
        <is>
          <t>50-23</t>
        </is>
      </c>
      <c r="F70" s="10" t="inlineStr">
        <is>
          <t>Entretien et réparation du réseau d'assainissement et de drainage</t>
        </is>
      </c>
      <c r="G70" s="10" t="inlineStr">
        <is>
          <t>Travaux de curage des canaux en terre</t>
        </is>
      </c>
      <c r="H70" s="10" t="inlineStr">
        <is>
          <t>Curage des canaux d'assainissement debouche Tiflt aval,</t>
        </is>
      </c>
      <c r="I70" s="11" t="n">
        <v>1000000</v>
      </c>
      <c r="J70" s="12" t="inlineStr">
        <is>
          <t>ml</t>
        </is>
      </c>
      <c r="K70" s="13" t="n">
        <v>500</v>
      </c>
      <c r="L70" s="51" t="n"/>
      <c r="M70" s="56">
        <f>'S47'!M70+L70</f>
        <v/>
      </c>
      <c r="N70" s="57">
        <f>IFERROR(M70/K70,0)</f>
        <v/>
      </c>
      <c r="O70" s="58">
        <f>'S47'!N70</f>
        <v/>
      </c>
      <c r="P70" s="57">
        <f>N70-O70</f>
        <v/>
      </c>
      <c r="Q70" s="32" t="n"/>
      <c r="R70" s="32" t="n"/>
      <c r="S70" s="32" t="n"/>
      <c r="T70" s="55" t="n"/>
      <c r="U70" s="58">
        <f>'S47'!T70</f>
        <v/>
      </c>
      <c r="V70" s="57">
        <f>T70-U70</f>
        <v/>
      </c>
      <c r="W70" s="57">
        <f>N70-T70</f>
        <v/>
      </c>
      <c r="X70" s="34" t="n"/>
    </row>
    <row r="71" ht="22" customHeight="1">
      <c r="B71" s="5" t="n">
        <v>67</v>
      </c>
      <c r="C71" s="14" t="inlineStr">
        <is>
          <t>Kénitra</t>
        </is>
      </c>
      <c r="D71" s="5" t="inlineStr">
        <is>
          <t>BHARA Oulad AYAD</t>
        </is>
      </c>
      <c r="E71" s="5" t="inlineStr">
        <is>
          <t>50-23</t>
        </is>
      </c>
      <c r="F71" s="5" t="inlineStr">
        <is>
          <t>Entretien et réparation du réseau d'assainissement et de drainage</t>
        </is>
      </c>
      <c r="G71" s="5" t="inlineStr">
        <is>
          <t>Travaux de curage des canaux en terre</t>
        </is>
      </c>
      <c r="H71" s="5" t="inlineStr">
        <is>
          <t>Curage des canaux d'assainissement canal nador bas et haut segmet,</t>
        </is>
      </c>
      <c r="I71" s="7" t="n">
        <v>6600000</v>
      </c>
      <c r="J71" s="8" t="inlineStr">
        <is>
          <t>ml</t>
        </is>
      </c>
      <c r="K71" s="9" t="n">
        <v>3300</v>
      </c>
      <c r="L71" s="51" t="n"/>
      <c r="M71" s="52">
        <f>'S47'!M71+L71</f>
        <v/>
      </c>
      <c r="N71" s="53">
        <f>IFERROR(M71/K71,0)</f>
        <v/>
      </c>
      <c r="O71" s="54">
        <f>'S47'!N71</f>
        <v/>
      </c>
      <c r="P71" s="53">
        <f>N71-O71</f>
        <v/>
      </c>
      <c r="Q71" s="32" t="n"/>
      <c r="R71" s="32" t="n"/>
      <c r="S71" s="32" t="n"/>
      <c r="T71" s="55" t="n"/>
      <c r="U71" s="54">
        <f>'S47'!T71</f>
        <v/>
      </c>
      <c r="V71" s="53">
        <f>T71-U71</f>
        <v/>
      </c>
      <c r="W71" s="53">
        <f>N71-T71</f>
        <v/>
      </c>
      <c r="X71" s="34" t="n"/>
    </row>
    <row r="72" ht="22" customHeight="1">
      <c r="B72" s="10" t="n">
        <v>68</v>
      </c>
      <c r="C72" s="15" t="inlineStr">
        <is>
          <t>Sidi Slimane</t>
        </is>
      </c>
      <c r="D72" s="10" t="inlineStr">
        <is>
          <t>OULED HCEINE</t>
        </is>
      </c>
      <c r="E72" s="10" t="inlineStr">
        <is>
          <t>50-23</t>
        </is>
      </c>
      <c r="F72" s="10" t="inlineStr">
        <is>
          <t>Entretien et réparation du réseau d'assainissement et de drainage</t>
        </is>
      </c>
      <c r="G72" s="10" t="inlineStr">
        <is>
          <t>Travaux de curage des canaux en terre</t>
        </is>
      </c>
      <c r="H72" s="10" t="inlineStr">
        <is>
          <t>Curage des collecteurs d'assainissement du secteur EST4.</t>
        </is>
      </c>
      <c r="I72" s="11" t="n">
        <v>1805475</v>
      </c>
      <c r="J72" s="12" t="inlineStr">
        <is>
          <t>ml</t>
        </is>
      </c>
      <c r="K72" s="13" t="n">
        <v>903</v>
      </c>
      <c r="L72" s="51" t="n"/>
      <c r="M72" s="56">
        <f>'S47'!M72+L72</f>
        <v/>
      </c>
      <c r="N72" s="57">
        <f>IFERROR(M72/K72,0)</f>
        <v/>
      </c>
      <c r="O72" s="58">
        <f>'S47'!N72</f>
        <v/>
      </c>
      <c r="P72" s="57">
        <f>N72-O72</f>
        <v/>
      </c>
      <c r="Q72" s="32" t="n"/>
      <c r="R72" s="32" t="n"/>
      <c r="S72" s="32" t="n"/>
      <c r="T72" s="55" t="n"/>
      <c r="U72" s="58">
        <f>'S47'!T72</f>
        <v/>
      </c>
      <c r="V72" s="57">
        <f>T72-U72</f>
        <v/>
      </c>
      <c r="W72" s="57">
        <f>N72-T72</f>
        <v/>
      </c>
      <c r="X72" s="34" t="n"/>
    </row>
    <row r="73" ht="22" customHeight="1">
      <c r="B73" s="5" t="n">
        <v>69</v>
      </c>
      <c r="C73" s="15" t="inlineStr">
        <is>
          <t>Sidi Slimane</t>
        </is>
      </c>
      <c r="D73" s="5" t="inlineStr">
        <is>
          <t>OULED HCEINE</t>
        </is>
      </c>
      <c r="E73" s="5" t="inlineStr">
        <is>
          <t>50-23</t>
        </is>
      </c>
      <c r="F73" s="5" t="inlineStr">
        <is>
          <t>Entretien et réparation du réseau d'assainissement et de drainage</t>
        </is>
      </c>
      <c r="G73" s="5" t="inlineStr">
        <is>
          <t>Travaux de curage des canaux en terre</t>
        </is>
      </c>
      <c r="H73" s="5" t="inlineStr">
        <is>
          <t>Curage du canal d'assainissement Tihli central.</t>
        </is>
      </c>
      <c r="I73" s="7" t="n">
        <v>2587200</v>
      </c>
      <c r="J73" s="8" t="inlineStr">
        <is>
          <t>ml</t>
        </is>
      </c>
      <c r="K73" s="9" t="n">
        <v>1294</v>
      </c>
      <c r="L73" s="51" t="n"/>
      <c r="M73" s="52">
        <f>'S47'!M73+L73</f>
        <v/>
      </c>
      <c r="N73" s="53">
        <f>IFERROR(M73/K73,0)</f>
        <v/>
      </c>
      <c r="O73" s="54">
        <f>'S47'!N73</f>
        <v/>
      </c>
      <c r="P73" s="53">
        <f>N73-O73</f>
        <v/>
      </c>
      <c r="Q73" s="32" t="n"/>
      <c r="R73" s="32" t="n"/>
      <c r="S73" s="32" t="n"/>
      <c r="T73" s="55" t="n"/>
      <c r="U73" s="54">
        <f>'S47'!T73</f>
        <v/>
      </c>
      <c r="V73" s="53">
        <f>T73-U73</f>
        <v/>
      </c>
      <c r="W73" s="53">
        <f>N73-T73</f>
        <v/>
      </c>
      <c r="X73" s="34" t="n"/>
    </row>
    <row r="74" ht="22" customHeight="1">
      <c r="B74" s="10" t="n">
        <v>70</v>
      </c>
      <c r="C74" s="15" t="inlineStr">
        <is>
          <t>Sidi Slimane</t>
        </is>
      </c>
      <c r="D74" s="10" t="inlineStr">
        <is>
          <t>OULED HCEINE</t>
        </is>
      </c>
      <c r="E74" s="10" t="inlineStr">
        <is>
          <t>40-21</t>
        </is>
      </c>
      <c r="F74" s="10" t="inlineStr">
        <is>
          <t>Travaux de pistes</t>
        </is>
      </c>
      <c r="G74" s="10" t="inlineStr">
        <is>
          <t>Travaux de réhabilitation des pistes agricoles</t>
        </is>
      </c>
      <c r="H74" s="10" t="inlineStr">
        <is>
          <t>Entretien des pistes agricoles</t>
        </is>
      </c>
      <c r="I74" s="11" t="n">
        <v>3500000</v>
      </c>
      <c r="J74" s="12" t="inlineStr">
        <is>
          <t>km</t>
        </is>
      </c>
      <c r="K74" s="13" t="n">
        <v>7</v>
      </c>
      <c r="L74" s="51" t="n"/>
      <c r="M74" s="56">
        <f>'S47'!M74+L74</f>
        <v/>
      </c>
      <c r="N74" s="57">
        <f>IFERROR(M74/K74,0)</f>
        <v/>
      </c>
      <c r="O74" s="58">
        <f>'S47'!N74</f>
        <v/>
      </c>
      <c r="P74" s="57">
        <f>N74-O74</f>
        <v/>
      </c>
      <c r="Q74" s="32" t="n"/>
      <c r="R74" s="32" t="n"/>
      <c r="S74" s="32" t="n"/>
      <c r="T74" s="55" t="n"/>
      <c r="U74" s="58">
        <f>'S47'!T74</f>
        <v/>
      </c>
      <c r="V74" s="57">
        <f>T74-U74</f>
        <v/>
      </c>
      <c r="W74" s="57">
        <f>N74-T74</f>
        <v/>
      </c>
      <c r="X74" s="34" t="n"/>
    </row>
    <row r="75" ht="22" customHeight="1">
      <c r="B75" s="5" t="n">
        <v>71</v>
      </c>
      <c r="C75" s="15" t="inlineStr">
        <is>
          <t>Sidi Slimane</t>
        </is>
      </c>
      <c r="D75" s="5" t="inlineStr">
        <is>
          <t>OULED HCEINE</t>
        </is>
      </c>
      <c r="E75" s="5" t="inlineStr">
        <is>
          <t>50-21</t>
        </is>
      </c>
      <c r="F75" s="5" t="inlineStr">
        <is>
          <t>Entretien et réparation des stations de pompage</t>
        </is>
      </c>
      <c r="G75" s="5" t="inlineStr">
        <is>
          <t>Travaux de réparation des équipements hydromécaniques et éléctriques et entretien de la partie génie civil des stations de pompage.</t>
        </is>
      </c>
      <c r="H75" s="5" t="inlineStr">
        <is>
          <t>Démontage et expertise des roues des  pompes principaux et pompes a vide de la station EST4 et P11/2.
Changement des roulements, tresses et organes d’effectués de la station EST4 et P11/2
Changement deux débitmètre Ø 1200 mm de la station EST4 et un débimétre de la station P11/2.
Changement des capteurs de niveau inondés.
Révision et réparation des moteurs des vannes motorisées inondées.
changement de six contrôleurs de débits DW181 inondés.
Un capteur de débitmètre inondé nécessitent un diagnostic VEGASON  .
Entretien de l'éclairage du local de vide et bâche d’aspiration inondé de la station EST4 et la partie de l’éclairage du local des pompes inondées de la station P11/2.
Pose de gabions et recouvrement du talus par matelas Reno des stations de pompage P11/2</t>
        </is>
      </c>
      <c r="I75" s="7" t="n">
        <v>870000</v>
      </c>
      <c r="J75" s="8" t="inlineStr">
        <is>
          <t>U</t>
        </is>
      </c>
      <c r="K75" s="9" t="n">
        <v>4</v>
      </c>
      <c r="L75" s="51" t="n"/>
      <c r="M75" s="52">
        <f>'S47'!M75+L75</f>
        <v/>
      </c>
      <c r="N75" s="53">
        <f>IFERROR(M75/K75,0)</f>
        <v/>
      </c>
      <c r="O75" s="54">
        <f>'S47'!N75</f>
        <v/>
      </c>
      <c r="P75" s="53">
        <f>N75-O75</f>
        <v/>
      </c>
      <c r="Q75" s="32" t="n"/>
      <c r="R75" s="32" t="n"/>
      <c r="S75" s="32" t="n"/>
      <c r="T75" s="55" t="n"/>
      <c r="U75" s="54">
        <f>'S47'!T75</f>
        <v/>
      </c>
      <c r="V75" s="53">
        <f>T75-U75</f>
        <v/>
      </c>
      <c r="W75" s="53">
        <f>N75-T75</f>
        <v/>
      </c>
      <c r="X75" s="34" t="n"/>
    </row>
    <row r="76" ht="22" customHeight="1">
      <c r="B76" s="10" t="n">
        <v>72</v>
      </c>
      <c r="C76" s="15" t="inlineStr">
        <is>
          <t>Sidi Slimane</t>
        </is>
      </c>
      <c r="D76" s="10" t="inlineStr">
        <is>
          <t>OULED HCEINE</t>
        </is>
      </c>
      <c r="E76" s="10" t="inlineStr">
        <is>
          <t>50-23</t>
        </is>
      </c>
      <c r="F76" s="10" t="inlineStr">
        <is>
          <t>Entretien et réparation du réseau d'assainissement et de drainage</t>
        </is>
      </c>
      <c r="G76" s="10" t="inlineStr">
        <is>
          <t>Travaux de curage des prises des stations de pompage.</t>
        </is>
      </c>
      <c r="H76" s="10" t="inlineStr">
        <is>
          <t>Curage des siphones des station de pompage EST2 et P11/2.</t>
        </is>
      </c>
      <c r="I76" s="11" t="n">
        <v>500000</v>
      </c>
      <c r="J76" s="12" t="inlineStr">
        <is>
          <t>ml</t>
        </is>
      </c>
      <c r="K76" s="13" t="n">
        <v>167</v>
      </c>
      <c r="L76" s="51" t="n"/>
      <c r="M76" s="56">
        <f>'S47'!M76+L76</f>
        <v/>
      </c>
      <c r="N76" s="57">
        <f>IFERROR(M76/K76,0)</f>
        <v/>
      </c>
      <c r="O76" s="58">
        <f>'S47'!N76</f>
        <v/>
      </c>
      <c r="P76" s="57">
        <f>N76-O76</f>
        <v/>
      </c>
      <c r="Q76" s="32" t="n"/>
      <c r="R76" s="32" t="n"/>
      <c r="S76" s="32" t="n"/>
      <c r="T76" s="55" t="n"/>
      <c r="U76" s="58">
        <f>'S47'!T76</f>
        <v/>
      </c>
      <c r="V76" s="57">
        <f>T76-U76</f>
        <v/>
      </c>
      <c r="W76" s="57">
        <f>N76-T76</f>
        <v/>
      </c>
      <c r="X76" s="34" t="n"/>
    </row>
    <row r="77" ht="26" customHeight="1">
      <c r="B77" s="16" t="inlineStr">
        <is>
          <t>TOTAL</t>
        </is>
      </c>
      <c r="C77" s="16" t="n"/>
      <c r="D77" s="16" t="n"/>
      <c r="E77" s="16" t="n"/>
      <c r="F77" s="16" t="n"/>
      <c r="G77" s="16" t="n"/>
      <c r="H77" s="16" t="n"/>
      <c r="I77" s="17">
        <f>SUM(I5:I76)</f>
        <v/>
      </c>
      <c r="J77" s="16" t="n"/>
      <c r="K77" s="16" t="n"/>
      <c r="L77" s="59">
        <f>SUM(L5:L76)</f>
        <v/>
      </c>
      <c r="M77" s="59">
        <f>SUM(M5:M76)</f>
        <v/>
      </c>
      <c r="N77" s="60">
        <f>IFERROR(SUMPRODUCT(N5:N76,I5:I76)/I77,0)</f>
        <v/>
      </c>
      <c r="O77" s="60">
        <f>IFERROR(SUMPRODUCT(O5:O76,I5:I76)/I77,0)</f>
        <v/>
      </c>
      <c r="P77" s="60">
        <f>N77-O77</f>
        <v/>
      </c>
      <c r="Q77" s="17">
        <f>SUM(Q5:Q76)</f>
        <v/>
      </c>
      <c r="R77" s="17">
        <f>SUM(R5:R76)</f>
        <v/>
      </c>
      <c r="S77" s="17">
        <f>SUM(S5:S76)</f>
        <v/>
      </c>
      <c r="T77" s="60">
        <f>IFERROR(SUMPRODUCT(T5:T76,I5:I76)/I77,0)</f>
        <v/>
      </c>
      <c r="U77" s="60">
        <f>IFERROR(SUMPRODUCT(U5:U76,I5:I76)/I77,0)</f>
        <v/>
      </c>
      <c r="V77" s="60">
        <f>T77-U77</f>
        <v/>
      </c>
      <c r="W77" s="60">
        <f>N77-T77</f>
        <v/>
      </c>
      <c r="X77" s="16" t="n"/>
    </row>
  </sheetData>
  <sheetProtection selectLockedCells="0" selectUnlockedCells="0" sheet="1" objects="0" insertRows="1" insertHyperlinks="1" autoFilter="1" scenarios="0" formatColumns="1" deleteColumns="1" insertColumns="1" pivotTables="1" deleteRows="1" formatCells="1" formatRows="1" sort="1" password="CBBE"/>
  <mergeCells count="6">
    <mergeCell ref="E3:I3"/>
    <mergeCell ref="W3:X3"/>
    <mergeCell ref="J3:P3"/>
    <mergeCell ref="B2:X2"/>
    <mergeCell ref="C3:D3"/>
    <mergeCell ref="Q3:V3"/>
  </mergeCells>
  <conditionalFormatting sqref="P5:P76">
    <cfRule type="cellIs" priority="1" operator="greaterThan" dxfId="0">
      <formula>0</formula>
    </cfRule>
    <cfRule type="cellIs" priority="2" operator="lessThan" dxfId="1">
      <formula>0</formula>
    </cfRule>
  </conditionalFormatting>
  <conditionalFormatting sqref="V5:V76">
    <cfRule type="cellIs" priority="3" operator="greaterThan" dxfId="0">
      <formula>0</formula>
    </cfRule>
    <cfRule type="cellIs" priority="4" operator="lessThan" dxfId="1">
      <formula>0</formula>
    </cfRule>
  </conditionalFormatting>
  <conditionalFormatting sqref="W5:W76">
    <cfRule type="cellIs" priority="5" operator="greaterThan" dxfId="0">
      <formula>0.05</formula>
    </cfRule>
    <cfRule type="cellIs" priority="6" operator="lessThan" dxfId="1">
      <formula>-0.05</formula>
    </cfRule>
    <cfRule type="cellIs" priority="7" operator="between" dxfId="2">
      <formula>-0.05</formula>
      <formula>0.05</formula>
    </cfRule>
  </conditionalFormatting>
  <conditionalFormatting sqref="N5:N76">
    <cfRule type="dataBar" priority="8">
      <dataBar showValue="1">
        <cfvo type="num" val="0"/>
        <cfvo type="num" val="1"/>
        <color rgb="001B7D46"/>
      </dataBar>
    </cfRule>
  </conditionalFormatting>
  <conditionalFormatting sqref="T5:T76">
    <cfRule type="dataBar" priority="9">
      <dataBar showValue="1">
        <cfvo type="num" val="0"/>
        <cfvo type="num" val="1"/>
        <color rgb="00D4820A"/>
      </dataBar>
    </cfRule>
  </conditionalFormatting>
  <dataValidations count="2">
    <dataValidation sqref="T5:T76" showDropDown="0" showInputMessage="0" showErrorMessage="0" allowBlank="1" errorTitle="Invalide" error="Valeur entre 0% et 100%" promptTitle="Avancement %" prompt="Entrez 0.25 pour 25%" type="decimal" operator="between">
      <formula1>0</formula1>
      <formula2>1</formula2>
    </dataValidation>
    <dataValidation sqref="L5:L76" showDropDown="0" showInputMessage="0" showErrorMessage="0" allowBlank="1" errorTitle="Invalide" error="Quantité doit être &gt;= 0" promptTitle="Qté Réalisée" prompt="Entrez la quantité réalisée cette semaine" type="decimal" operator="greaterThanOrEqual">
      <formula1>0</formula1>
    </dataValidation>
  </dataValidations>
  <pageMargins left="0.75" right="0.75" top="1" bottom="1" header="0.5" footer="0.5"/>
</worksheet>
</file>

<file path=xl/worksheets/sheet29.xml><?xml version="1.0" encoding="utf-8"?>
<worksheet xmlns="http://schemas.openxmlformats.org/spreadsheetml/2006/main">
  <sheetPr>
    <tabColor rgb="00BF8F00"/>
    <outlinePr summaryBelow="1" summaryRight="1"/>
    <pageSetUpPr/>
  </sheetPr>
  <dimension ref="B2:X77"/>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5" customWidth="1" min="2" max="2"/>
    <col width="14" customWidth="1" min="3" max="3"/>
    <col width="18" customWidth="1" min="4" max="4"/>
    <col width="9" customWidth="1" min="5" max="5"/>
    <col width="32" customWidth="1" min="6" max="6"/>
    <col width="28" customWidth="1" min="7" max="7"/>
    <col width="34" customWidth="1" min="8" max="8"/>
    <col width="14" customWidth="1" min="9" max="9"/>
    <col width="8" customWidth="1" min="10" max="10"/>
    <col width="12" customWidth="1" min="11" max="11"/>
    <col width="14" customWidth="1" min="12" max="12"/>
    <col width="14" customWidth="1" min="13" max="13"/>
    <col width="14" customWidth="1" min="14" max="14"/>
    <col width="14" customWidth="1" min="15" max="15"/>
    <col width="14" customWidth="1" min="16" max="16"/>
    <col width="16" customWidth="1" min="17" max="17"/>
    <col width="16" customWidth="1" min="18" max="18"/>
    <col width="16" customWidth="1" min="19" max="19"/>
    <col width="14" customWidth="1" min="20" max="20"/>
    <col width="14" customWidth="1" min="21" max="21"/>
    <col width="14" customWidth="1" min="22" max="22"/>
    <col width="14" customWidth="1" min="23" max="23"/>
    <col width="24" customWidth="1" min="24" max="24"/>
  </cols>
  <sheetData>
    <row r="1" ht="15" customHeight="1"/>
    <row r="2" ht="32" customHeight="1">
      <c r="B2" s="1" t="inlineStr">
        <is>
          <t>Suivi Hebdomadaire - Semaine 49 (30/11 - 06/12) — Novembre 2026 - Exécution Physique et Financière</t>
        </is>
      </c>
    </row>
    <row r="3" ht="22" customHeight="1">
      <c r="B3" s="20" t="inlineStr">
        <is>
          <t>Date :</t>
        </is>
      </c>
      <c r="C3" s="49" t="n">
        <v>46356</v>
      </c>
      <c r="D3" s="50" t="n"/>
      <c r="E3" s="22" t="inlineStr">
        <is>
          <t>IDENTIFICATION</t>
        </is>
      </c>
      <c r="J3" s="23" t="inlineStr">
        <is>
          <t>INDICATEURS PHYSIQUES</t>
        </is>
      </c>
      <c r="Q3" s="24" t="inlineStr">
        <is>
          <t>INDICATEURS FINANCIERS</t>
        </is>
      </c>
      <c r="W3" s="25" t="inlineStr">
        <is>
          <t>SYNTHÈSE</t>
        </is>
      </c>
    </row>
    <row r="4" ht="28" customHeight="1">
      <c r="B4" s="4" t="inlineStr">
        <is>
          <t>N°</t>
        </is>
      </c>
      <c r="C4" s="4" t="inlineStr">
        <is>
          <t>Province</t>
        </is>
      </c>
      <c r="D4" s="4" t="inlineStr">
        <is>
          <t>Commune</t>
        </is>
      </c>
      <c r="E4" s="4" t="inlineStr">
        <is>
          <t>Rubrique</t>
        </is>
      </c>
      <c r="F4" s="4" t="inlineStr">
        <is>
          <t>Intitulé Rubrique</t>
        </is>
      </c>
      <c r="G4" s="4" t="inlineStr">
        <is>
          <t>Projet</t>
        </is>
      </c>
      <c r="H4" s="4" t="inlineStr">
        <is>
          <t>Consistance</t>
        </is>
      </c>
      <c r="I4" s="4" t="inlineStr">
        <is>
          <t>Coût Total (DH)</t>
        </is>
      </c>
      <c r="J4" s="26" t="inlineStr">
        <is>
          <t>Unité</t>
        </is>
      </c>
      <c r="K4" s="26" t="inlineStr">
        <is>
          <t>Qté Prévue</t>
        </is>
      </c>
      <c r="L4" s="26" t="inlineStr">
        <is>
          <t>Qté Réalisée Sem.</t>
        </is>
      </c>
      <c r="M4" s="26" t="inlineStr">
        <is>
          <t>Qté Réalisée Cumul</t>
        </is>
      </c>
      <c r="N4" s="26" t="inlineStr">
        <is>
          <t>Avancement Physique %</t>
        </is>
      </c>
      <c r="O4" s="26" t="inlineStr">
        <is>
          <t>% Phys. Sem. Préc.</t>
        </is>
      </c>
      <c r="P4" s="26" t="inlineStr">
        <is>
          <t>Accroissement Phys. %</t>
        </is>
      </c>
      <c r="Q4" s="27" t="inlineStr">
        <is>
          <t>Montant Décaissé (DH)</t>
        </is>
      </c>
      <c r="R4" s="27" t="inlineStr">
        <is>
          <t>Montant Payé (DH)</t>
        </is>
      </c>
      <c r="S4" s="27" t="inlineStr">
        <is>
          <t>Montant Ordonné (DH)</t>
        </is>
      </c>
      <c r="T4" s="27" t="inlineStr">
        <is>
          <t>Avancement Financier %</t>
        </is>
      </c>
      <c r="U4" s="27" t="inlineStr">
        <is>
          <t>% Fin. Sem. Préc.</t>
        </is>
      </c>
      <c r="V4" s="27" t="inlineStr">
        <is>
          <t>Accroissement Fin. %</t>
        </is>
      </c>
      <c r="W4" s="28" t="inlineStr">
        <is>
          <t>Écart Phys.-Fin.</t>
        </is>
      </c>
      <c r="X4" s="28" t="inlineStr">
        <is>
          <t>Observations</t>
        </is>
      </c>
    </row>
    <row r="5" ht="22" customHeight="1">
      <c r="B5" s="5" t="n">
        <v>1</v>
      </c>
      <c r="C5" s="6" t="inlineStr">
        <is>
          <t>Sidi Kacem</t>
        </is>
      </c>
      <c r="D5" s="5" t="inlineStr">
        <is>
          <t>KHENICHET</t>
        </is>
      </c>
      <c r="E5" s="5" t="inlineStr">
        <is>
          <t>50-23</t>
        </is>
      </c>
      <c r="F5" s="5" t="inlineStr">
        <is>
          <t>Entretien et réparation du réseau d'assainissement et de drainage</t>
        </is>
      </c>
      <c r="G5" s="5" t="inlineStr">
        <is>
          <t>Travaux de curage des canaux en terre</t>
        </is>
      </c>
      <c r="H5" s="5" t="inlineStr">
        <is>
          <t>Curage des collecteurs d'assainissement du secteur EST2</t>
        </is>
      </c>
      <c r="I5" s="7" t="n">
        <v>2091568</v>
      </c>
      <c r="J5" s="8" t="inlineStr">
        <is>
          <t>ml</t>
        </is>
      </c>
      <c r="K5" s="9" t="n">
        <v>1046</v>
      </c>
      <c r="L5" s="51" t="n"/>
      <c r="M5" s="52">
        <f>'S48'!M5+L5</f>
        <v/>
      </c>
      <c r="N5" s="53">
        <f>IFERROR(M5/K5,0)</f>
        <v/>
      </c>
      <c r="O5" s="54">
        <f>'S48'!N5</f>
        <v/>
      </c>
      <c r="P5" s="53">
        <f>N5-O5</f>
        <v/>
      </c>
      <c r="Q5" s="32" t="n"/>
      <c r="R5" s="32" t="n"/>
      <c r="S5" s="32" t="n"/>
      <c r="T5" s="55" t="n"/>
      <c r="U5" s="54">
        <f>'S48'!T5</f>
        <v/>
      </c>
      <c r="V5" s="53">
        <f>T5-U5</f>
        <v/>
      </c>
      <c r="W5" s="53">
        <f>N5-T5</f>
        <v/>
      </c>
      <c r="X5" s="34" t="n"/>
    </row>
    <row r="6" ht="22" customHeight="1">
      <c r="B6" s="10" t="n">
        <v>2</v>
      </c>
      <c r="C6" s="6" t="inlineStr">
        <is>
          <t>Sidi Kacem</t>
        </is>
      </c>
      <c r="D6" s="10" t="inlineStr">
        <is>
          <t>KHENICHET</t>
        </is>
      </c>
      <c r="E6" s="10" t="inlineStr">
        <is>
          <t>40-21</t>
        </is>
      </c>
      <c r="F6" s="10" t="inlineStr">
        <is>
          <t>Travaux de pistes</t>
        </is>
      </c>
      <c r="G6" s="10" t="inlineStr">
        <is>
          <t>Travaux de réhabilitation des pistes agricoles</t>
        </is>
      </c>
      <c r="H6" s="10" t="inlineStr">
        <is>
          <t>Entretien des pistes agricoles Douar Nouagra et Douar ouled Salem</t>
        </is>
      </c>
      <c r="I6" s="11" t="n">
        <v>78000</v>
      </c>
      <c r="J6" s="12" t="inlineStr">
        <is>
          <t>km</t>
        </is>
      </c>
      <c r="K6" s="13" t="n">
        <v>1</v>
      </c>
      <c r="L6" s="51" t="n"/>
      <c r="M6" s="56">
        <f>'S48'!M6+L6</f>
        <v/>
      </c>
      <c r="N6" s="57">
        <f>IFERROR(M6/K6,0)</f>
        <v/>
      </c>
      <c r="O6" s="58">
        <f>'S48'!N6</f>
        <v/>
      </c>
      <c r="P6" s="57">
        <f>N6-O6</f>
        <v/>
      </c>
      <c r="Q6" s="32" t="n"/>
      <c r="R6" s="32" t="n"/>
      <c r="S6" s="32" t="n"/>
      <c r="T6" s="55" t="n"/>
      <c r="U6" s="58">
        <f>'S48'!T6</f>
        <v/>
      </c>
      <c r="V6" s="57">
        <f>T6-U6</f>
        <v/>
      </c>
      <c r="W6" s="57">
        <f>N6-T6</f>
        <v/>
      </c>
      <c r="X6" s="34" t="n"/>
    </row>
    <row r="7" ht="22" customHeight="1">
      <c r="B7" s="5" t="n">
        <v>3</v>
      </c>
      <c r="C7" s="6" t="inlineStr">
        <is>
          <t>Sidi Kacem</t>
        </is>
      </c>
      <c r="D7" s="5" t="inlineStr">
        <is>
          <t>KHENICHET</t>
        </is>
      </c>
      <c r="E7" s="5" t="inlineStr">
        <is>
          <t>50-23</t>
        </is>
      </c>
      <c r="F7" s="5" t="inlineStr">
        <is>
          <t>Entretien et réparation du réseau d'assainissement et de drainage</t>
        </is>
      </c>
      <c r="G7" s="5" t="inlineStr">
        <is>
          <t>Curage des prises sur l’oued, bâche d’aspiration et bassin de régulation.</t>
        </is>
      </c>
      <c r="H7" s="5" t="inlineStr">
        <is>
          <t>Curage de la chambre des joints de démontage des siphonnes  de la station de pompage EST2.</t>
        </is>
      </c>
      <c r="I7" s="7" t="n">
        <v>126000</v>
      </c>
      <c r="J7" s="8" t="inlineStr">
        <is>
          <t>ml</t>
        </is>
      </c>
      <c r="K7" s="9" t="n">
        <v>42</v>
      </c>
      <c r="L7" s="51" t="n"/>
      <c r="M7" s="52">
        <f>'S48'!M7+L7</f>
        <v/>
      </c>
      <c r="N7" s="53">
        <f>IFERROR(M7/K7,0)</f>
        <v/>
      </c>
      <c r="O7" s="54">
        <f>'S48'!N7</f>
        <v/>
      </c>
      <c r="P7" s="53">
        <f>N7-O7</f>
        <v/>
      </c>
      <c r="Q7" s="32" t="n"/>
      <c r="R7" s="32" t="n"/>
      <c r="S7" s="32" t="n"/>
      <c r="T7" s="55" t="n"/>
      <c r="U7" s="54">
        <f>'S48'!T7</f>
        <v/>
      </c>
      <c r="V7" s="53">
        <f>T7-U7</f>
        <v/>
      </c>
      <c r="W7" s="53">
        <f>N7-T7</f>
        <v/>
      </c>
      <c r="X7" s="34" t="n"/>
    </row>
    <row r="8" ht="22" customHeight="1">
      <c r="B8" s="10" t="n">
        <v>4</v>
      </c>
      <c r="C8" s="6" t="inlineStr">
        <is>
          <t>Sidi Kacem</t>
        </is>
      </c>
      <c r="D8" s="10" t="inlineStr">
        <is>
          <t>KHENICHET</t>
        </is>
      </c>
      <c r="E8" s="10" t="inlineStr">
        <is>
          <t>50-21</t>
        </is>
      </c>
      <c r="F8" s="10" t="inlineStr">
        <is>
          <t>Entretien et réparation des stations de pompage</t>
        </is>
      </c>
      <c r="G8" s="10" t="inlineStr">
        <is>
          <t>Prestation de maintenance des débitmètres et leurs équipements annexes installés au niveau des station de pompage</t>
        </is>
      </c>
      <c r="H8" s="10" t="inlineStr">
        <is>
          <t>Changement trois débitmètre Ø 600mm inondés de la station de pompage EST 2 et deux capteurs VEGASON 62</t>
        </is>
      </c>
      <c r="I8" s="11" t="n">
        <v>165500</v>
      </c>
      <c r="J8" s="12" t="inlineStr">
        <is>
          <t>U</t>
        </is>
      </c>
      <c r="K8" s="13" t="n">
        <v>3</v>
      </c>
      <c r="L8" s="51" t="n"/>
      <c r="M8" s="56">
        <f>'S48'!M8+L8</f>
        <v/>
      </c>
      <c r="N8" s="57">
        <f>IFERROR(M8/K8,0)</f>
        <v/>
      </c>
      <c r="O8" s="58">
        <f>'S48'!N8</f>
        <v/>
      </c>
      <c r="P8" s="57">
        <f>N8-O8</f>
        <v/>
      </c>
      <c r="Q8" s="32" t="n"/>
      <c r="R8" s="32" t="n"/>
      <c r="S8" s="32" t="n"/>
      <c r="T8" s="55" t="n"/>
      <c r="U8" s="58">
        <f>'S48'!T8</f>
        <v/>
      </c>
      <c r="V8" s="57">
        <f>T8-U8</f>
        <v/>
      </c>
      <c r="W8" s="57">
        <f>N8-T8</f>
        <v/>
      </c>
      <c r="X8" s="34" t="n"/>
    </row>
    <row r="9" ht="22" customHeight="1">
      <c r="B9" s="5" t="n">
        <v>5</v>
      </c>
      <c r="C9" s="6" t="inlineStr">
        <is>
          <t>Sidi Kacem</t>
        </is>
      </c>
      <c r="D9" s="5" t="inlineStr">
        <is>
          <t>BIR TALEB</t>
        </is>
      </c>
      <c r="E9" s="5" t="inlineStr">
        <is>
          <t>50-23</t>
        </is>
      </c>
      <c r="F9" s="5" t="inlineStr">
        <is>
          <t>Entretien et réparation du réseau d'assainissement et de drainage</t>
        </is>
      </c>
      <c r="G9" s="5" t="inlineStr">
        <is>
          <t>Travaux de curage des canaux en terre</t>
        </is>
      </c>
      <c r="H9" s="5" t="inlineStr">
        <is>
          <t>Curage du canal d'assainisement Tihli Aval</t>
        </is>
      </c>
      <c r="I9" s="7" t="n">
        <v>1000000</v>
      </c>
      <c r="J9" s="8" t="inlineStr">
        <is>
          <t>ml</t>
        </is>
      </c>
      <c r="K9" s="9" t="n">
        <v>500</v>
      </c>
      <c r="L9" s="51" t="n"/>
      <c r="M9" s="52">
        <f>'S48'!M9+L9</f>
        <v/>
      </c>
      <c r="N9" s="53">
        <f>IFERROR(M9/K9,0)</f>
        <v/>
      </c>
      <c r="O9" s="54">
        <f>'S48'!N9</f>
        <v/>
      </c>
      <c r="P9" s="53">
        <f>N9-O9</f>
        <v/>
      </c>
      <c r="Q9" s="32" t="n"/>
      <c r="R9" s="32" t="n"/>
      <c r="S9" s="32" t="n"/>
      <c r="T9" s="55" t="n"/>
      <c r="U9" s="54">
        <f>'S48'!T9</f>
        <v/>
      </c>
      <c r="V9" s="53">
        <f>T9-U9</f>
        <v/>
      </c>
      <c r="W9" s="53">
        <f>N9-T9</f>
        <v/>
      </c>
      <c r="X9" s="34" t="n"/>
    </row>
    <row r="10" ht="22" customHeight="1">
      <c r="B10" s="10" t="n">
        <v>6</v>
      </c>
      <c r="C10" s="6" t="inlineStr">
        <is>
          <t>Sidi Kacem</t>
        </is>
      </c>
      <c r="D10" s="10" t="inlineStr">
        <is>
          <t>BIR TALEB</t>
        </is>
      </c>
      <c r="E10" s="10" t="inlineStr">
        <is>
          <t>50-23</t>
        </is>
      </c>
      <c r="F10" s="10" t="inlineStr">
        <is>
          <t>Entretien et réparation du réseau d'assainissement et de drainage</t>
        </is>
      </c>
      <c r="G10" s="10" t="inlineStr"/>
      <c r="H10" s="10" t="inlineStr">
        <is>
          <t>Curage des collecteurs d'assainissement du secteur P11/1</t>
        </is>
      </c>
      <c r="I10" s="11" t="n">
        <v>846731</v>
      </c>
      <c r="J10" s="12" t="inlineStr">
        <is>
          <t>ml</t>
        </is>
      </c>
      <c r="K10" s="13" t="n">
        <v>423</v>
      </c>
      <c r="L10" s="51" t="n"/>
      <c r="M10" s="56">
        <f>'S48'!M10+L10</f>
        <v/>
      </c>
      <c r="N10" s="57">
        <f>IFERROR(M10/K10,0)</f>
        <v/>
      </c>
      <c r="O10" s="58">
        <f>'S48'!N10</f>
        <v/>
      </c>
      <c r="P10" s="57">
        <f>N10-O10</f>
        <v/>
      </c>
      <c r="Q10" s="32" t="n"/>
      <c r="R10" s="32" t="n"/>
      <c r="S10" s="32" t="n"/>
      <c r="T10" s="55" t="n"/>
      <c r="U10" s="58">
        <f>'S48'!T10</f>
        <v/>
      </c>
      <c r="V10" s="57">
        <f>T10-U10</f>
        <v/>
      </c>
      <c r="W10" s="57">
        <f>N10-T10</f>
        <v/>
      </c>
      <c r="X10" s="34" t="n"/>
    </row>
    <row r="11" ht="22" customHeight="1">
      <c r="B11" s="5" t="n">
        <v>7</v>
      </c>
      <c r="C11" s="6" t="inlineStr">
        <is>
          <t>Sidi Kacem</t>
        </is>
      </c>
      <c r="D11" s="5" t="inlineStr">
        <is>
          <t>BIR TALEB</t>
        </is>
      </c>
      <c r="E11" s="5" t="inlineStr">
        <is>
          <t>50-23</t>
        </is>
      </c>
      <c r="F11" s="5" t="inlineStr">
        <is>
          <t>Entretien et réparation du réseau d'assainissement et de drainage</t>
        </is>
      </c>
      <c r="G11" s="5" t="inlineStr">
        <is>
          <t>Curage des prises sur l’oued, bâche d’aspiration et bassin de régulation.</t>
        </is>
      </c>
      <c r="H11" s="5" t="inlineStr">
        <is>
          <t>Curage des prises sur l’oued de la station de pompage P11/1.</t>
        </is>
      </c>
      <c r="I11" s="7" t="n">
        <v>200000</v>
      </c>
      <c r="J11" s="8" t="inlineStr">
        <is>
          <t>ml</t>
        </is>
      </c>
      <c r="K11" s="9" t="n">
        <v>67</v>
      </c>
      <c r="L11" s="51" t="n"/>
      <c r="M11" s="52">
        <f>'S48'!M11+L11</f>
        <v/>
      </c>
      <c r="N11" s="53">
        <f>IFERROR(M11/K11,0)</f>
        <v/>
      </c>
      <c r="O11" s="54">
        <f>'S48'!N11</f>
        <v/>
      </c>
      <c r="P11" s="53">
        <f>N11-O11</f>
        <v/>
      </c>
      <c r="Q11" s="32" t="n"/>
      <c r="R11" s="32" t="n"/>
      <c r="S11" s="32" t="n"/>
      <c r="T11" s="55" t="n"/>
      <c r="U11" s="54">
        <f>'S48'!T11</f>
        <v/>
      </c>
      <c r="V11" s="53">
        <f>T11-U11</f>
        <v/>
      </c>
      <c r="W11" s="53">
        <f>N11-T11</f>
        <v/>
      </c>
      <c r="X11" s="34" t="n"/>
    </row>
    <row r="12" ht="22" customHeight="1">
      <c r="B12" s="10" t="n">
        <v>8</v>
      </c>
      <c r="C12" s="6" t="inlineStr">
        <is>
          <t>Sidi Kacem</t>
        </is>
      </c>
      <c r="D12" s="10" t="inlineStr">
        <is>
          <t>BIR TALEB</t>
        </is>
      </c>
      <c r="E12" s="10" t="inlineStr">
        <is>
          <t>50-21</t>
        </is>
      </c>
      <c r="F12" s="10" t="inlineStr">
        <is>
          <t>Entretien et réparation des stations de pompage</t>
        </is>
      </c>
      <c r="G12" s="10" t="inlineStr">
        <is>
          <t>Prestation de maintenance des débitmètres et leurs équipements annexes installés au niveau des station de pompage</t>
        </is>
      </c>
      <c r="H12" s="10" t="inlineStr">
        <is>
          <t>Changement trois débitmètre Ø 400mm inondés de la station de pompage P11/1</t>
        </is>
      </c>
      <c r="I12" s="11" t="n">
        <v>141900</v>
      </c>
      <c r="J12" s="12" t="inlineStr">
        <is>
          <t>U</t>
        </is>
      </c>
      <c r="K12" s="13" t="n">
        <v>3</v>
      </c>
      <c r="L12" s="51" t="n"/>
      <c r="M12" s="56">
        <f>'S48'!M12+L12</f>
        <v/>
      </c>
      <c r="N12" s="57">
        <f>IFERROR(M12/K12,0)</f>
        <v/>
      </c>
      <c r="O12" s="58">
        <f>'S48'!N12</f>
        <v/>
      </c>
      <c r="P12" s="57">
        <f>N12-O12</f>
        <v/>
      </c>
      <c r="Q12" s="32" t="n"/>
      <c r="R12" s="32" t="n"/>
      <c r="S12" s="32" t="n"/>
      <c r="T12" s="55" t="n"/>
      <c r="U12" s="58">
        <f>'S48'!T12</f>
        <v/>
      </c>
      <c r="V12" s="57">
        <f>T12-U12</f>
        <v/>
      </c>
      <c r="W12" s="57">
        <f>N12-T12</f>
        <v/>
      </c>
      <c r="X12" s="34" t="n"/>
    </row>
    <row r="13" ht="22" customHeight="1">
      <c r="B13" s="5" t="n">
        <v>9</v>
      </c>
      <c r="C13" s="6" t="inlineStr">
        <is>
          <t>Sidi Kacem</t>
        </is>
      </c>
      <c r="D13" s="5" t="inlineStr">
        <is>
          <t>BIR TALEB</t>
        </is>
      </c>
      <c r="E13" s="5" t="inlineStr">
        <is>
          <t>50-21</t>
        </is>
      </c>
      <c r="F13" s="5" t="inlineStr">
        <is>
          <t>Entretien et réparation des stations de pompage</t>
        </is>
      </c>
      <c r="G13" s="5" t="inlineStr">
        <is>
          <t>Prestations de maintenance et de réparation mécanique des pompes et des groupes motopompes submersibles des stations de pompage.</t>
        </is>
      </c>
      <c r="H13" s="5" t="inlineStr">
        <is>
          <t>Démontage et expertise des roues des  pompes principaux et pompes a vide de la station P11/1
Changement des roulements, tresses et organes d’effectués de la station P11/1</t>
        </is>
      </c>
      <c r="I13" s="7" t="n">
        <v>26700</v>
      </c>
      <c r="J13" s="8" t="inlineStr">
        <is>
          <t>U</t>
        </is>
      </c>
      <c r="K13" s="9" t="n">
        <v>1</v>
      </c>
      <c r="L13" s="51" t="n"/>
      <c r="M13" s="52">
        <f>'S48'!M13+L13</f>
        <v/>
      </c>
      <c r="N13" s="53">
        <f>IFERROR(M13/K13,0)</f>
        <v/>
      </c>
      <c r="O13" s="54">
        <f>'S48'!N13</f>
        <v/>
      </c>
      <c r="P13" s="53">
        <f>N13-O13</f>
        <v/>
      </c>
      <c r="Q13" s="32" t="n"/>
      <c r="R13" s="32" t="n"/>
      <c r="S13" s="32" t="n"/>
      <c r="T13" s="55" t="n"/>
      <c r="U13" s="54">
        <f>'S48'!T13</f>
        <v/>
      </c>
      <c r="V13" s="53">
        <f>T13-U13</f>
        <v/>
      </c>
      <c r="W13" s="53">
        <f>N13-T13</f>
        <v/>
      </c>
      <c r="X13" s="34" t="n"/>
    </row>
    <row r="14" ht="22" customHeight="1">
      <c r="B14" s="10" t="n">
        <v>10</v>
      </c>
      <c r="C14" s="6" t="inlineStr">
        <is>
          <t>Sidi Kacem</t>
        </is>
      </c>
      <c r="D14" s="10" t="inlineStr">
        <is>
          <t>BIR TALEB</t>
        </is>
      </c>
      <c r="E14" s="10" t="inlineStr">
        <is>
          <t>50-21</t>
        </is>
      </c>
      <c r="F14" s="10" t="inlineStr">
        <is>
          <t>Entretien et réparation des stations de pompage</t>
        </is>
      </c>
      <c r="G14" s="10" t="inlineStr">
        <is>
          <t>Stabilisation Berge oued</t>
        </is>
      </c>
      <c r="H14" s="10" t="inlineStr">
        <is>
          <t>Pose de  gabions et recouvrement du talus par matelas Reno des stations de pompage P11/1.</t>
        </is>
      </c>
      <c r="I14" s="11" t="n">
        <v>480000</v>
      </c>
      <c r="J14" s="12" t="inlineStr">
        <is>
          <t>m³</t>
        </is>
      </c>
      <c r="K14" s="13" t="n">
        <v>320</v>
      </c>
      <c r="L14" s="51" t="n"/>
      <c r="M14" s="56">
        <f>'S48'!M14+L14</f>
        <v/>
      </c>
      <c r="N14" s="57">
        <f>IFERROR(M14/K14,0)</f>
        <v/>
      </c>
      <c r="O14" s="58">
        <f>'S48'!N14</f>
        <v/>
      </c>
      <c r="P14" s="57">
        <f>N14-O14</f>
        <v/>
      </c>
      <c r="Q14" s="32" t="n"/>
      <c r="R14" s="32" t="n"/>
      <c r="S14" s="32" t="n"/>
      <c r="T14" s="55" t="n"/>
      <c r="U14" s="58">
        <f>'S48'!T14</f>
        <v/>
      </c>
      <c r="V14" s="57">
        <f>T14-U14</f>
        <v/>
      </c>
      <c r="W14" s="57">
        <f>N14-T14</f>
        <v/>
      </c>
      <c r="X14" s="34" t="n"/>
    </row>
    <row r="15" ht="22" customHeight="1">
      <c r="B15" s="5" t="n">
        <v>11</v>
      </c>
      <c r="C15" s="6" t="inlineStr">
        <is>
          <t>Sidi Kacem</t>
        </is>
      </c>
      <c r="D15" s="5" t="inlineStr">
        <is>
          <t>BIR TALEB</t>
        </is>
      </c>
      <c r="E15" s="5" t="inlineStr">
        <is>
          <t>50-21</t>
        </is>
      </c>
      <c r="F15" s="5" t="inlineStr">
        <is>
          <t>Entretien et réparation des stations de pompage</t>
        </is>
      </c>
      <c r="G15" s="5" t="inlineStr">
        <is>
          <t>Génie civile des locaux des stations de pompage.</t>
        </is>
      </c>
      <c r="H15" s="5" t="inlineStr">
        <is>
          <t>Expertise d’état et d’étanchéité des locaux pompes.
Renforcement d’étanchéité des locaux pompe sous niveau des oueds des stations de pompage P11/1.
Entretien des supports en béton des conduites d’aspiration.</t>
        </is>
      </c>
      <c r="I15" s="7" t="n">
        <v>300000</v>
      </c>
      <c r="J15" s="8" t="inlineStr">
        <is>
          <t>U</t>
        </is>
      </c>
      <c r="K15" s="9" t="n">
        <v>1</v>
      </c>
      <c r="L15" s="51" t="n"/>
      <c r="M15" s="52">
        <f>'S48'!M15+L15</f>
        <v/>
      </c>
      <c r="N15" s="53">
        <f>IFERROR(M15/K15,0)</f>
        <v/>
      </c>
      <c r="O15" s="54">
        <f>'S48'!N15</f>
        <v/>
      </c>
      <c r="P15" s="53">
        <f>N15-O15</f>
        <v/>
      </c>
      <c r="Q15" s="32" t="n"/>
      <c r="R15" s="32" t="n"/>
      <c r="S15" s="32" t="n"/>
      <c r="T15" s="55" t="n"/>
      <c r="U15" s="54">
        <f>'S48'!T15</f>
        <v/>
      </c>
      <c r="V15" s="53">
        <f>T15-U15</f>
        <v/>
      </c>
      <c r="W15" s="53">
        <f>N15-T15</f>
        <v/>
      </c>
      <c r="X15" s="34" t="n"/>
    </row>
    <row r="16" ht="22" customHeight="1">
      <c r="B16" s="10" t="n">
        <v>12</v>
      </c>
      <c r="C16" s="6" t="inlineStr">
        <is>
          <t>Sidi Kacem</t>
        </is>
      </c>
      <c r="D16" s="10" t="inlineStr">
        <is>
          <t>CHEBANAT</t>
        </is>
      </c>
      <c r="E16" s="10" t="inlineStr">
        <is>
          <t>50-23</t>
        </is>
      </c>
      <c r="F16" s="10" t="inlineStr">
        <is>
          <t>Entretien et réparation du réseau d'assainissement et de drainage</t>
        </is>
      </c>
      <c r="G16" s="10" t="inlineStr">
        <is>
          <t>Travaux de curage des canaux en terre</t>
        </is>
      </c>
      <c r="H16" s="10" t="inlineStr">
        <is>
          <t>Curage des collecteurs d'assainissement des secteur SH5 et SH6.</t>
        </is>
      </c>
      <c r="I16" s="11" t="n">
        <v>1000000</v>
      </c>
      <c r="J16" s="12" t="inlineStr">
        <is>
          <t>ml</t>
        </is>
      </c>
      <c r="K16" s="13" t="n">
        <v>500</v>
      </c>
      <c r="L16" s="51" t="n"/>
      <c r="M16" s="56">
        <f>'S48'!M16+L16</f>
        <v/>
      </c>
      <c r="N16" s="57">
        <f>IFERROR(M16/K16,0)</f>
        <v/>
      </c>
      <c r="O16" s="58">
        <f>'S48'!N16</f>
        <v/>
      </c>
      <c r="P16" s="57">
        <f>N16-O16</f>
        <v/>
      </c>
      <c r="Q16" s="32" t="n"/>
      <c r="R16" s="32" t="n"/>
      <c r="S16" s="32" t="n"/>
      <c r="T16" s="55" t="n"/>
      <c r="U16" s="58">
        <f>'S48'!T16</f>
        <v/>
      </c>
      <c r="V16" s="57">
        <f>T16-U16</f>
        <v/>
      </c>
      <c r="W16" s="57">
        <f>N16-T16</f>
        <v/>
      </c>
      <c r="X16" s="34" t="n"/>
    </row>
    <row r="17" ht="22" customHeight="1">
      <c r="B17" s="5" t="n">
        <v>13</v>
      </c>
      <c r="C17" s="6" t="inlineStr">
        <is>
          <t>Sidi Kacem</t>
        </is>
      </c>
      <c r="D17" s="5" t="inlineStr">
        <is>
          <t>CHEBANAT</t>
        </is>
      </c>
      <c r="E17" s="5" t="inlineStr">
        <is>
          <t>50-23</t>
        </is>
      </c>
      <c r="F17" s="5" t="inlineStr">
        <is>
          <t>Entretien et réparation du réseau d'assainissement et de drainage</t>
        </is>
      </c>
      <c r="G17" s="5" t="inlineStr">
        <is>
          <t>Travaux de curage des canaux révetus</t>
        </is>
      </c>
      <c r="H17" s="5" t="inlineStr">
        <is>
          <t>Curage du canal principal d'irrigation beht partie aval 1.</t>
        </is>
      </c>
      <c r="I17" s="7" t="n">
        <v>739200</v>
      </c>
      <c r="J17" s="8" t="inlineStr">
        <is>
          <t>ml</t>
        </is>
      </c>
      <c r="K17" s="9" t="n">
        <v>370</v>
      </c>
      <c r="L17" s="51" t="n"/>
      <c r="M17" s="52">
        <f>'S48'!M17+L17</f>
        <v/>
      </c>
      <c r="N17" s="53">
        <f>IFERROR(M17/K17,0)</f>
        <v/>
      </c>
      <c r="O17" s="54">
        <f>'S48'!N17</f>
        <v/>
      </c>
      <c r="P17" s="53">
        <f>N17-O17</f>
        <v/>
      </c>
      <c r="Q17" s="32" t="n"/>
      <c r="R17" s="32" t="n"/>
      <c r="S17" s="32" t="n"/>
      <c r="T17" s="55" t="n"/>
      <c r="U17" s="54">
        <f>'S48'!T17</f>
        <v/>
      </c>
      <c r="V17" s="53">
        <f>T17-U17</f>
        <v/>
      </c>
      <c r="W17" s="53">
        <f>N17-T17</f>
        <v/>
      </c>
      <c r="X17" s="34" t="n"/>
    </row>
    <row r="18" ht="22" customHeight="1">
      <c r="B18" s="10" t="n">
        <v>14</v>
      </c>
      <c r="C18" s="6" t="inlineStr">
        <is>
          <t>Sidi Kacem</t>
        </is>
      </c>
      <c r="D18" s="10" t="inlineStr">
        <is>
          <t>ZIRARA</t>
        </is>
      </c>
      <c r="E18" s="10" t="inlineStr">
        <is>
          <t>50-23</t>
        </is>
      </c>
      <c r="F18" s="10" t="inlineStr">
        <is>
          <t>Entretien et réparation du réseau d'assainissement et de drainage</t>
        </is>
      </c>
      <c r="G18" s="10" t="inlineStr">
        <is>
          <t>Travaux de curage des canaux révetus</t>
        </is>
      </c>
      <c r="H18" s="10" t="inlineStr">
        <is>
          <t>Curage du canal principal d'irrigation beht partie aval 2.</t>
        </is>
      </c>
      <c r="I18" s="11" t="n">
        <v>1276800</v>
      </c>
      <c r="J18" s="12" t="inlineStr">
        <is>
          <t>ml</t>
        </is>
      </c>
      <c r="K18" s="13" t="n">
        <v>638</v>
      </c>
      <c r="L18" s="51" t="n"/>
      <c r="M18" s="56">
        <f>'S48'!M18+L18</f>
        <v/>
      </c>
      <c r="N18" s="57">
        <f>IFERROR(M18/K18,0)</f>
        <v/>
      </c>
      <c r="O18" s="58">
        <f>'S48'!N18</f>
        <v/>
      </c>
      <c r="P18" s="57">
        <f>N18-O18</f>
        <v/>
      </c>
      <c r="Q18" s="32" t="n"/>
      <c r="R18" s="32" t="n"/>
      <c r="S18" s="32" t="n"/>
      <c r="T18" s="55" t="n"/>
      <c r="U18" s="58">
        <f>'S48'!T18</f>
        <v/>
      </c>
      <c r="V18" s="57">
        <f>T18-U18</f>
        <v/>
      </c>
      <c r="W18" s="57">
        <f>N18-T18</f>
        <v/>
      </c>
      <c r="X18" s="34" t="n"/>
    </row>
    <row r="19" ht="22" customHeight="1">
      <c r="B19" s="5" t="n">
        <v>15</v>
      </c>
      <c r="C19" s="6" t="inlineStr">
        <is>
          <t>Sidi Kacem</t>
        </is>
      </c>
      <c r="D19" s="5" t="inlineStr">
        <is>
          <t>DAR LAASLOUJI</t>
        </is>
      </c>
      <c r="E19" s="5" t="inlineStr">
        <is>
          <t>50-23</t>
        </is>
      </c>
      <c r="F19" s="5" t="inlineStr">
        <is>
          <t>Entretien et réparation du réseau d'assainissement et de drainage</t>
        </is>
      </c>
      <c r="G19" s="5" t="inlineStr">
        <is>
          <t>Travaux de curage des canaux en terre</t>
        </is>
      </c>
      <c r="H19" s="5" t="inlineStr">
        <is>
          <t>Curage des collecteurs d'assainissement des secteurs P8-1 et P8-2</t>
        </is>
      </c>
      <c r="I19" s="7" t="n">
        <v>5796360</v>
      </c>
      <c r="J19" s="8" t="inlineStr">
        <is>
          <t>ml</t>
        </is>
      </c>
      <c r="K19" s="9" t="n">
        <v>2898</v>
      </c>
      <c r="L19" s="51" t="n"/>
      <c r="M19" s="52">
        <f>'S48'!M19+L19</f>
        <v/>
      </c>
      <c r="N19" s="53">
        <f>IFERROR(M19/K19,0)</f>
        <v/>
      </c>
      <c r="O19" s="54">
        <f>'S48'!N19</f>
        <v/>
      </c>
      <c r="P19" s="53">
        <f>N19-O19</f>
        <v/>
      </c>
      <c r="Q19" s="32" t="n"/>
      <c r="R19" s="32" t="n"/>
      <c r="S19" s="32" t="n"/>
      <c r="T19" s="55" t="n"/>
      <c r="U19" s="54">
        <f>'S48'!T19</f>
        <v/>
      </c>
      <c r="V19" s="53">
        <f>T19-U19</f>
        <v/>
      </c>
      <c r="W19" s="53">
        <f>N19-T19</f>
        <v/>
      </c>
      <c r="X19" s="34" t="n"/>
    </row>
    <row r="20" ht="22" customHeight="1">
      <c r="B20" s="10" t="n">
        <v>16</v>
      </c>
      <c r="C20" s="6" t="inlineStr">
        <is>
          <t>Sidi Kacem</t>
        </is>
      </c>
      <c r="D20" s="10" t="inlineStr">
        <is>
          <t>DAR LAASLOUJI</t>
        </is>
      </c>
      <c r="E20" s="10" t="inlineStr">
        <is>
          <t>40-21</t>
        </is>
      </c>
      <c r="F20" s="10" t="inlineStr">
        <is>
          <t>Travaux de pistes</t>
        </is>
      </c>
      <c r="G20" s="10" t="inlineStr">
        <is>
          <t>Entretien des pistes agricoles</t>
        </is>
      </c>
      <c r="H20" s="10" t="inlineStr">
        <is>
          <t>Entretien des pistes agricoles</t>
        </is>
      </c>
      <c r="I20" s="11" t="n">
        <v>340000</v>
      </c>
      <c r="J20" s="12" t="inlineStr">
        <is>
          <t>km</t>
        </is>
      </c>
      <c r="K20" s="13" t="n">
        <v>1</v>
      </c>
      <c r="L20" s="51" t="n"/>
      <c r="M20" s="56">
        <f>'S48'!M20+L20</f>
        <v/>
      </c>
      <c r="N20" s="57">
        <f>IFERROR(M20/K20,0)</f>
        <v/>
      </c>
      <c r="O20" s="58">
        <f>'S48'!N20</f>
        <v/>
      </c>
      <c r="P20" s="57">
        <f>N20-O20</f>
        <v/>
      </c>
      <c r="Q20" s="32" t="n"/>
      <c r="R20" s="32" t="n"/>
      <c r="S20" s="32" t="n"/>
      <c r="T20" s="55" t="n"/>
      <c r="U20" s="58">
        <f>'S48'!T20</f>
        <v/>
      </c>
      <c r="V20" s="57">
        <f>T20-U20</f>
        <v/>
      </c>
      <c r="W20" s="57">
        <f>N20-T20</f>
        <v/>
      </c>
      <c r="X20" s="34" t="n"/>
    </row>
    <row r="21" ht="22" customHeight="1">
      <c r="B21" s="5" t="n">
        <v>17</v>
      </c>
      <c r="C21" s="6" t="inlineStr">
        <is>
          <t>Sidi Kacem</t>
        </is>
      </c>
      <c r="D21" s="5" t="inlineStr">
        <is>
          <t>HOUAFATE</t>
        </is>
      </c>
      <c r="E21" s="5" t="inlineStr">
        <is>
          <t>20-11</t>
        </is>
      </c>
      <c r="F21" s="5" t="inlineStr">
        <is>
          <t>Travaux de réhabilitation des équipements</t>
        </is>
      </c>
      <c r="G21" s="5" t="inlineStr">
        <is>
          <t>Travaux de réhabilitation des canaux portés d'irrigation</t>
        </is>
      </c>
      <c r="H21" s="5" t="inlineStr">
        <is>
          <t>Fourniture et de pose de canaux porté et accessoires du réseau S3 du secteur S13</t>
        </is>
      </c>
      <c r="I21" s="7" t="n">
        <v>397934</v>
      </c>
      <c r="J21" s="8" t="inlineStr">
        <is>
          <t>ml</t>
        </is>
      </c>
      <c r="K21" s="9" t="n">
        <v>133</v>
      </c>
      <c r="L21" s="51" t="n"/>
      <c r="M21" s="52">
        <f>'S48'!M21+L21</f>
        <v/>
      </c>
      <c r="N21" s="53">
        <f>IFERROR(M21/K21,0)</f>
        <v/>
      </c>
      <c r="O21" s="54">
        <f>'S48'!N21</f>
        <v/>
      </c>
      <c r="P21" s="53">
        <f>N21-O21</f>
        <v/>
      </c>
      <c r="Q21" s="32" t="n"/>
      <c r="R21" s="32" t="n"/>
      <c r="S21" s="32" t="n"/>
      <c r="T21" s="55" t="n"/>
      <c r="U21" s="54">
        <f>'S48'!T21</f>
        <v/>
      </c>
      <c r="V21" s="53">
        <f>T21-U21</f>
        <v/>
      </c>
      <c r="W21" s="53">
        <f>N21-T21</f>
        <v/>
      </c>
      <c r="X21" s="34" t="n"/>
    </row>
    <row r="22" ht="22" customHeight="1">
      <c r="B22" s="10" t="n">
        <v>18</v>
      </c>
      <c r="C22" s="6" t="inlineStr">
        <is>
          <t>Sidi Kacem</t>
        </is>
      </c>
      <c r="D22" s="10" t="inlineStr">
        <is>
          <t>HOUAFATE</t>
        </is>
      </c>
      <c r="E22" s="10" t="inlineStr">
        <is>
          <t>20-11</t>
        </is>
      </c>
      <c r="F22" s="10" t="inlineStr">
        <is>
          <t>Travaux de réhabilitation des équipements</t>
        </is>
      </c>
      <c r="G22" s="10" t="inlineStr"/>
      <c r="H22" s="10" t="inlineStr">
        <is>
          <t>Fourniture et de pose de canaux porté et accessoires du réseau T2S1 du secteur S13</t>
        </is>
      </c>
      <c r="I22" s="11" t="n">
        <v>207575</v>
      </c>
      <c r="J22" s="12" t="inlineStr">
        <is>
          <t>ml</t>
        </is>
      </c>
      <c r="K22" s="13" t="n">
        <v>69</v>
      </c>
      <c r="L22" s="51" t="n"/>
      <c r="M22" s="56">
        <f>'S48'!M22+L22</f>
        <v/>
      </c>
      <c r="N22" s="57">
        <f>IFERROR(M22/K22,0)</f>
        <v/>
      </c>
      <c r="O22" s="58">
        <f>'S48'!N22</f>
        <v/>
      </c>
      <c r="P22" s="57">
        <f>N22-O22</f>
        <v/>
      </c>
      <c r="Q22" s="32" t="n"/>
      <c r="R22" s="32" t="n"/>
      <c r="S22" s="32" t="n"/>
      <c r="T22" s="55" t="n"/>
      <c r="U22" s="58">
        <f>'S48'!T22</f>
        <v/>
      </c>
      <c r="V22" s="57">
        <f>T22-U22</f>
        <v/>
      </c>
      <c r="W22" s="57">
        <f>N22-T22</f>
        <v/>
      </c>
      <c r="X22" s="34" t="n"/>
    </row>
    <row r="23" ht="22" customHeight="1">
      <c r="B23" s="5" t="n">
        <v>19</v>
      </c>
      <c r="C23" s="6" t="inlineStr">
        <is>
          <t>Sidi Kacem</t>
        </is>
      </c>
      <c r="D23" s="5" t="inlineStr">
        <is>
          <t>HOUAFATE</t>
        </is>
      </c>
      <c r="E23" s="5" t="inlineStr">
        <is>
          <t>40-21</t>
        </is>
      </c>
      <c r="F23" s="5" t="inlineStr">
        <is>
          <t>Travaux de pistes</t>
        </is>
      </c>
      <c r="G23" s="5" t="inlineStr">
        <is>
          <t>Entretien des pistes agricoles</t>
        </is>
      </c>
      <c r="H23" s="5" t="inlineStr">
        <is>
          <t>Entretien des pistes agricoles</t>
        </is>
      </c>
      <c r="I23" s="7" t="n">
        <v>2200000</v>
      </c>
      <c r="J23" s="8" t="inlineStr">
        <is>
          <t>km</t>
        </is>
      </c>
      <c r="K23" s="9" t="n">
        <v>4</v>
      </c>
      <c r="L23" s="51" t="n"/>
      <c r="M23" s="52">
        <f>'S48'!M23+L23</f>
        <v/>
      </c>
      <c r="N23" s="53">
        <f>IFERROR(M23/K23,0)</f>
        <v/>
      </c>
      <c r="O23" s="54">
        <f>'S48'!N23</f>
        <v/>
      </c>
      <c r="P23" s="53">
        <f>N23-O23</f>
        <v/>
      </c>
      <c r="Q23" s="32" t="n"/>
      <c r="R23" s="32" t="n"/>
      <c r="S23" s="32" t="n"/>
      <c r="T23" s="55" t="n"/>
      <c r="U23" s="54">
        <f>'S48'!T23</f>
        <v/>
      </c>
      <c r="V23" s="53">
        <f>T23-U23</f>
        <v/>
      </c>
      <c r="W23" s="53">
        <f>N23-T23</f>
        <v/>
      </c>
      <c r="X23" s="34" t="n"/>
    </row>
    <row r="24" ht="22" customHeight="1">
      <c r="B24" s="10" t="n">
        <v>20</v>
      </c>
      <c r="C24" s="6" t="inlineStr">
        <is>
          <t>Sidi Kacem</t>
        </is>
      </c>
      <c r="D24" s="10" t="inlineStr">
        <is>
          <t>HOUAFATE</t>
        </is>
      </c>
      <c r="E24" s="10" t="inlineStr">
        <is>
          <t>50-23</t>
        </is>
      </c>
      <c r="F24" s="10" t="inlineStr">
        <is>
          <t>Entretien et réparation du réseau d'assainissement et de drainage</t>
        </is>
      </c>
      <c r="G24" s="10" t="inlineStr">
        <is>
          <t>Curage des prises sur l’oued, bâche d’aspiration et bassin de régulation.</t>
        </is>
      </c>
      <c r="H24" s="10" t="inlineStr">
        <is>
          <t>Curage des prises sur l’oued de la station de pompage S17 et S13.
Nettoyage des grilles de préfiltration des boues colmaté de la station de pompage S17 et S13.
Curage de la bâche d’aspiration de la station S17 et S13.</t>
        </is>
      </c>
      <c r="I24" s="11" t="n">
        <v>300000</v>
      </c>
      <c r="J24" s="12" t="inlineStr">
        <is>
          <t>ml</t>
        </is>
      </c>
      <c r="K24" s="13" t="n">
        <v>100</v>
      </c>
      <c r="L24" s="51" t="n"/>
      <c r="M24" s="56">
        <f>'S48'!M24+L24</f>
        <v/>
      </c>
      <c r="N24" s="57">
        <f>IFERROR(M24/K24,0)</f>
        <v/>
      </c>
      <c r="O24" s="58">
        <f>'S48'!N24</f>
        <v/>
      </c>
      <c r="P24" s="57">
        <f>N24-O24</f>
        <v/>
      </c>
      <c r="Q24" s="32" t="n"/>
      <c r="R24" s="32" t="n"/>
      <c r="S24" s="32" t="n"/>
      <c r="T24" s="55" t="n"/>
      <c r="U24" s="58">
        <f>'S48'!T24</f>
        <v/>
      </c>
      <c r="V24" s="57">
        <f>T24-U24</f>
        <v/>
      </c>
      <c r="W24" s="57">
        <f>N24-T24</f>
        <v/>
      </c>
      <c r="X24" s="34" t="n"/>
    </row>
    <row r="25" ht="22" customHeight="1">
      <c r="B25" s="5" t="n">
        <v>21</v>
      </c>
      <c r="C25" s="6" t="inlineStr">
        <is>
          <t>Sidi Kacem</t>
        </is>
      </c>
      <c r="D25" s="5" t="inlineStr">
        <is>
          <t>HOUAFATE</t>
        </is>
      </c>
      <c r="E25" s="5" t="inlineStr">
        <is>
          <t>50-21</t>
        </is>
      </c>
      <c r="F25" s="5" t="inlineStr">
        <is>
          <t>Entretien et réparation des stations de pompage</t>
        </is>
      </c>
      <c r="G25" s="5" t="inlineStr">
        <is>
          <t>Prestation de maintenance des débitmètres et leurs équipements annexes installés au niveau des station de pompage</t>
        </is>
      </c>
      <c r="H25" s="5" t="inlineStr">
        <is>
          <t>Changement trois débitmètre Ø 600mm inondés de la station de pompage S13.</t>
        </is>
      </c>
      <c r="I25" s="7" t="n">
        <v>250000</v>
      </c>
      <c r="J25" s="8" t="inlineStr">
        <is>
          <t>U</t>
        </is>
      </c>
      <c r="K25" s="9" t="n">
        <v>3</v>
      </c>
      <c r="L25" s="51" t="n"/>
      <c r="M25" s="52">
        <f>'S48'!M25+L25</f>
        <v/>
      </c>
      <c r="N25" s="53">
        <f>IFERROR(M25/K25,0)</f>
        <v/>
      </c>
      <c r="O25" s="54">
        <f>'S48'!N25</f>
        <v/>
      </c>
      <c r="P25" s="53">
        <f>N25-O25</f>
        <v/>
      </c>
      <c r="Q25" s="32" t="n"/>
      <c r="R25" s="32" t="n"/>
      <c r="S25" s="32" t="n"/>
      <c r="T25" s="55" t="n"/>
      <c r="U25" s="54">
        <f>'S48'!T25</f>
        <v/>
      </c>
      <c r="V25" s="53">
        <f>T25-U25</f>
        <v/>
      </c>
      <c r="W25" s="53">
        <f>N25-T25</f>
        <v/>
      </c>
      <c r="X25" s="34" t="n"/>
    </row>
    <row r="26" ht="22" customHeight="1">
      <c r="B26" s="10" t="n">
        <v>22</v>
      </c>
      <c r="C26" s="6" t="inlineStr">
        <is>
          <t>Sidi Kacem</t>
        </is>
      </c>
      <c r="D26" s="10" t="inlineStr">
        <is>
          <t>HOUAFATE</t>
        </is>
      </c>
      <c r="E26" s="10" t="inlineStr">
        <is>
          <t>50-21</t>
        </is>
      </c>
      <c r="F26" s="10" t="inlineStr">
        <is>
          <t>Entretien et réparation des stations de pompage</t>
        </is>
      </c>
      <c r="G26" s="10" t="inlineStr">
        <is>
          <t>Prestations de maintenance des moteurs électriques des stations de pompage.</t>
        </is>
      </c>
      <c r="H26" s="10" t="inlineStr">
        <is>
          <t>Révision des trois moteurs électriques 200 KW principaux de la station S13. 
Révision des deux moteurs électriques 5,5 KW groupes vide de la station S13.</t>
        </is>
      </c>
      <c r="I26" s="11" t="n">
        <v>25000</v>
      </c>
      <c r="J26" s="12" t="inlineStr">
        <is>
          <t>U</t>
        </is>
      </c>
      <c r="K26" s="13" t="n">
        <v>3</v>
      </c>
      <c r="L26" s="51" t="n"/>
      <c r="M26" s="56">
        <f>'S48'!M26+L26</f>
        <v/>
      </c>
      <c r="N26" s="57">
        <f>IFERROR(M26/K26,0)</f>
        <v/>
      </c>
      <c r="O26" s="58">
        <f>'S48'!N26</f>
        <v/>
      </c>
      <c r="P26" s="57">
        <f>N26-O26</f>
        <v/>
      </c>
      <c r="Q26" s="32" t="n"/>
      <c r="R26" s="32" t="n"/>
      <c r="S26" s="32" t="n"/>
      <c r="T26" s="55" t="n"/>
      <c r="U26" s="58">
        <f>'S48'!T26</f>
        <v/>
      </c>
      <c r="V26" s="57">
        <f>T26-U26</f>
        <v/>
      </c>
      <c r="W26" s="57">
        <f>N26-T26</f>
        <v/>
      </c>
      <c r="X26" s="34" t="n"/>
    </row>
    <row r="27" ht="22" customHeight="1">
      <c r="B27" s="5" t="n">
        <v>23</v>
      </c>
      <c r="C27" s="6" t="inlineStr">
        <is>
          <t>Sidi Kacem</t>
        </is>
      </c>
      <c r="D27" s="5" t="inlineStr">
        <is>
          <t>HOUAFATE</t>
        </is>
      </c>
      <c r="E27" s="5" t="inlineStr">
        <is>
          <t>50-21</t>
        </is>
      </c>
      <c r="F27" s="5" t="inlineStr">
        <is>
          <t>Entretien et réparation des stations de pompage</t>
        </is>
      </c>
      <c r="G27" s="5" t="inlineStr">
        <is>
          <t>Prestations de maintenance et de réparation mécanique des pompes et des groupes motopompes submersibles des stations de pompage.</t>
        </is>
      </c>
      <c r="H27" s="5" t="inlineStr">
        <is>
          <t>Démontage et expertise des roues des  pompes principaux et pompes a vide de la station S13.
Changement des roulements, tresses et organes d’effectués de la station S13.</t>
        </is>
      </c>
      <c r="I27" s="7" t="n">
        <v>38000</v>
      </c>
      <c r="J27" s="8" t="inlineStr">
        <is>
          <t>U</t>
        </is>
      </c>
      <c r="K27" s="9" t="n">
        <v>1</v>
      </c>
      <c r="L27" s="51" t="n"/>
      <c r="M27" s="52">
        <f>'S48'!M27+L27</f>
        <v/>
      </c>
      <c r="N27" s="53">
        <f>IFERROR(M27/K27,0)</f>
        <v/>
      </c>
      <c r="O27" s="54">
        <f>'S48'!N27</f>
        <v/>
      </c>
      <c r="P27" s="53">
        <f>N27-O27</f>
        <v/>
      </c>
      <c r="Q27" s="32" t="n"/>
      <c r="R27" s="32" t="n"/>
      <c r="S27" s="32" t="n"/>
      <c r="T27" s="55" t="n"/>
      <c r="U27" s="54">
        <f>'S48'!T27</f>
        <v/>
      </c>
      <c r="V27" s="53">
        <f>T27-U27</f>
        <v/>
      </c>
      <c r="W27" s="53">
        <f>N27-T27</f>
        <v/>
      </c>
      <c r="X27" s="34" t="n"/>
    </row>
    <row r="28" ht="22" customHeight="1">
      <c r="B28" s="10" t="n">
        <v>24</v>
      </c>
      <c r="C28" s="6" t="inlineStr">
        <is>
          <t>Sidi Kacem</t>
        </is>
      </c>
      <c r="D28" s="10" t="inlineStr">
        <is>
          <t>HOUAFATE</t>
        </is>
      </c>
      <c r="E28" s="10" t="inlineStr">
        <is>
          <t>50-21</t>
        </is>
      </c>
      <c r="F28" s="10" t="inlineStr">
        <is>
          <t>Entretien et réparation des stations de pompage</t>
        </is>
      </c>
      <c r="G28" s="10" t="inlineStr">
        <is>
          <t>Stabilisation Berge oued</t>
        </is>
      </c>
      <c r="H28" s="10" t="inlineStr">
        <is>
          <t>Pose de  gabions et recouvrement du talus par matelas Reno des stations de pompage S13.</t>
        </is>
      </c>
      <c r="I28" s="11" t="n">
        <v>10560000</v>
      </c>
      <c r="J28" s="12" t="inlineStr">
        <is>
          <t>m³</t>
        </is>
      </c>
      <c r="K28" s="13" t="n">
        <v>7040</v>
      </c>
      <c r="L28" s="51" t="n"/>
      <c r="M28" s="56">
        <f>'S48'!M28+L28</f>
        <v/>
      </c>
      <c r="N28" s="57">
        <f>IFERROR(M28/K28,0)</f>
        <v/>
      </c>
      <c r="O28" s="58">
        <f>'S48'!N28</f>
        <v/>
      </c>
      <c r="P28" s="57">
        <f>N28-O28</f>
        <v/>
      </c>
      <c r="Q28" s="32" t="n"/>
      <c r="R28" s="32" t="n"/>
      <c r="S28" s="32" t="n"/>
      <c r="T28" s="55" t="n"/>
      <c r="U28" s="58">
        <f>'S48'!T28</f>
        <v/>
      </c>
      <c r="V28" s="57">
        <f>T28-U28</f>
        <v/>
      </c>
      <c r="W28" s="57">
        <f>N28-T28</f>
        <v/>
      </c>
      <c r="X28" s="34" t="n"/>
    </row>
    <row r="29" ht="22" customHeight="1">
      <c r="B29" s="5" t="n">
        <v>25</v>
      </c>
      <c r="C29" s="6" t="inlineStr">
        <is>
          <t>Sidi Kacem</t>
        </is>
      </c>
      <c r="D29" s="5" t="inlineStr">
        <is>
          <t>HOUAFATE</t>
        </is>
      </c>
      <c r="E29" s="5" t="inlineStr">
        <is>
          <t>50-21</t>
        </is>
      </c>
      <c r="F29" s="5" t="inlineStr">
        <is>
          <t>Entretien et réparation des stations de pompage</t>
        </is>
      </c>
      <c r="G29" s="5" t="inlineStr">
        <is>
          <t>Mur clôture des stations de pompage.</t>
        </is>
      </c>
      <c r="H29" s="5" t="inlineStr">
        <is>
          <t>Stabilisation du sol et reconstruction des murs clôture (270m) cote oued de la station S17.</t>
        </is>
      </c>
      <c r="I29" s="7" t="n">
        <v>144000</v>
      </c>
      <c r="J29" s="8" t="inlineStr">
        <is>
          <t>ml</t>
        </is>
      </c>
      <c r="K29" s="9" t="n">
        <v>270</v>
      </c>
      <c r="L29" s="51" t="n"/>
      <c r="M29" s="52">
        <f>'S48'!M29+L29</f>
        <v/>
      </c>
      <c r="N29" s="53">
        <f>IFERROR(M29/K29,0)</f>
        <v/>
      </c>
      <c r="O29" s="54">
        <f>'S48'!N29</f>
        <v/>
      </c>
      <c r="P29" s="53">
        <f>N29-O29</f>
        <v/>
      </c>
      <c r="Q29" s="32" t="n"/>
      <c r="R29" s="32" t="n"/>
      <c r="S29" s="32" t="n"/>
      <c r="T29" s="55" t="n"/>
      <c r="U29" s="54">
        <f>'S48'!T29</f>
        <v/>
      </c>
      <c r="V29" s="53">
        <f>T29-U29</f>
        <v/>
      </c>
      <c r="W29" s="53">
        <f>N29-T29</f>
        <v/>
      </c>
      <c r="X29" s="34" t="n"/>
    </row>
    <row r="30" ht="22" customHeight="1">
      <c r="B30" s="10" t="n">
        <v>26</v>
      </c>
      <c r="C30" s="6" t="inlineStr">
        <is>
          <t>Sidi Kacem</t>
        </is>
      </c>
      <c r="D30" s="10" t="inlineStr">
        <is>
          <t>HOUAFATE</t>
        </is>
      </c>
      <c r="E30" s="10" t="inlineStr">
        <is>
          <t>50-21</t>
        </is>
      </c>
      <c r="F30" s="10" t="inlineStr">
        <is>
          <t>Entretien et réparation des stations de pompage</t>
        </is>
      </c>
      <c r="G30" s="10" t="inlineStr">
        <is>
          <t>Génie civile des locaux des stations de pompage.</t>
        </is>
      </c>
      <c r="H30" s="10" t="inlineStr">
        <is>
          <t>Expertise d’état et d’étanchéité des locaux pompes, commande, puissance des stations de pompage S17 et S13.
Renforcement d’étanchéité des locaux pompe sous niveau des oueds des stations de pompage S17 et S13.</t>
        </is>
      </c>
      <c r="I30" s="11" t="n">
        <v>800000</v>
      </c>
      <c r="J30" s="12" t="inlineStr">
        <is>
          <t>U</t>
        </is>
      </c>
      <c r="K30" s="13" t="n">
        <v>1</v>
      </c>
      <c r="L30" s="51" t="n"/>
      <c r="M30" s="56">
        <f>'S48'!M30+L30</f>
        <v/>
      </c>
      <c r="N30" s="57">
        <f>IFERROR(M30/K30,0)</f>
        <v/>
      </c>
      <c r="O30" s="58">
        <f>'S48'!N30</f>
        <v/>
      </c>
      <c r="P30" s="57">
        <f>N30-O30</f>
        <v/>
      </c>
      <c r="Q30" s="32" t="n"/>
      <c r="R30" s="32" t="n"/>
      <c r="S30" s="32" t="n"/>
      <c r="T30" s="55" t="n"/>
      <c r="U30" s="58">
        <f>'S48'!T30</f>
        <v/>
      </c>
      <c r="V30" s="57">
        <f>T30-U30</f>
        <v/>
      </c>
      <c r="W30" s="57">
        <f>N30-T30</f>
        <v/>
      </c>
      <c r="X30" s="34" t="n"/>
    </row>
    <row r="31" ht="22" customHeight="1">
      <c r="B31" s="5" t="n">
        <v>27</v>
      </c>
      <c r="C31" s="6" t="inlineStr">
        <is>
          <t>Sidi Kacem</t>
        </is>
      </c>
      <c r="D31" s="5" t="inlineStr">
        <is>
          <t>NOUIRAT</t>
        </is>
      </c>
      <c r="E31" s="5" t="inlineStr">
        <is>
          <t>50-23</t>
        </is>
      </c>
      <c r="F31" s="5" t="inlineStr">
        <is>
          <t>Entretien et réparation du réseau d'assainissement et de drainage</t>
        </is>
      </c>
      <c r="G31" s="5" t="inlineStr">
        <is>
          <t>Travaux de curage des canaux en terre</t>
        </is>
      </c>
      <c r="H31" s="5" t="inlineStr">
        <is>
          <t>Curage des collecteurs d'assainissement des secteurs EST1 et N5</t>
        </is>
      </c>
      <c r="I31" s="7" t="n">
        <v>1733306</v>
      </c>
      <c r="J31" s="8" t="inlineStr">
        <is>
          <t>ml</t>
        </is>
      </c>
      <c r="K31" s="9" t="n">
        <v>867</v>
      </c>
      <c r="L31" s="51" t="n"/>
      <c r="M31" s="52">
        <f>'S48'!M31+L31</f>
        <v/>
      </c>
      <c r="N31" s="53">
        <f>IFERROR(M31/K31,0)</f>
        <v/>
      </c>
      <c r="O31" s="54">
        <f>'S48'!N31</f>
        <v/>
      </c>
      <c r="P31" s="53">
        <f>N31-O31</f>
        <v/>
      </c>
      <c r="Q31" s="32" t="n"/>
      <c r="R31" s="32" t="n"/>
      <c r="S31" s="32" t="n"/>
      <c r="T31" s="55" t="n"/>
      <c r="U31" s="54">
        <f>'S48'!T31</f>
        <v/>
      </c>
      <c r="V31" s="53">
        <f>T31-U31</f>
        <v/>
      </c>
      <c r="W31" s="53">
        <f>N31-T31</f>
        <v/>
      </c>
      <c r="X31" s="34" t="n"/>
    </row>
    <row r="32" ht="22" customHeight="1">
      <c r="B32" s="10" t="n">
        <v>28</v>
      </c>
      <c r="C32" s="6" t="inlineStr">
        <is>
          <t>Sidi Kacem</t>
        </is>
      </c>
      <c r="D32" s="10" t="inlineStr">
        <is>
          <t>NOUIRAT</t>
        </is>
      </c>
      <c r="E32" s="10" t="inlineStr">
        <is>
          <t>40-21</t>
        </is>
      </c>
      <c r="F32" s="10" t="inlineStr">
        <is>
          <t>Travaux de pistes</t>
        </is>
      </c>
      <c r="G32" s="10" t="inlineStr">
        <is>
          <t>Entretien des pistes agricoles</t>
        </is>
      </c>
      <c r="H32" s="10" t="inlineStr">
        <is>
          <t>Entretien des pistes agricoles</t>
        </is>
      </c>
      <c r="I32" s="11" t="n">
        <v>670000</v>
      </c>
      <c r="J32" s="12" t="inlineStr">
        <is>
          <t>km</t>
        </is>
      </c>
      <c r="K32" s="13" t="n">
        <v>1</v>
      </c>
      <c r="L32" s="51" t="n"/>
      <c r="M32" s="56">
        <f>'S48'!M32+L32</f>
        <v/>
      </c>
      <c r="N32" s="57">
        <f>IFERROR(M32/K32,0)</f>
        <v/>
      </c>
      <c r="O32" s="58">
        <f>'S48'!N32</f>
        <v/>
      </c>
      <c r="P32" s="57">
        <f>N32-O32</f>
        <v/>
      </c>
      <c r="Q32" s="32" t="n"/>
      <c r="R32" s="32" t="n"/>
      <c r="S32" s="32" t="n"/>
      <c r="T32" s="55" t="n"/>
      <c r="U32" s="58">
        <f>'S48'!T32</f>
        <v/>
      </c>
      <c r="V32" s="57">
        <f>T32-U32</f>
        <v/>
      </c>
      <c r="W32" s="57">
        <f>N32-T32</f>
        <v/>
      </c>
      <c r="X32" s="34" t="n"/>
    </row>
    <row r="33" ht="22" customHeight="1">
      <c r="B33" s="5" t="n">
        <v>29</v>
      </c>
      <c r="C33" s="6" t="inlineStr">
        <is>
          <t>Sidi Kacem</t>
        </is>
      </c>
      <c r="D33" s="5" t="inlineStr">
        <is>
          <t>NOUIRAT</t>
        </is>
      </c>
      <c r="E33" s="5" t="inlineStr">
        <is>
          <t>20-11</t>
        </is>
      </c>
      <c r="F33" s="5" t="inlineStr">
        <is>
          <t>Travaux de réhabilitation des équipements</t>
        </is>
      </c>
      <c r="G33" s="5" t="inlineStr">
        <is>
          <t>Travaux de réhabilitation des ouvrages de génie civil</t>
        </is>
      </c>
      <c r="H33" s="5" t="inlineStr">
        <is>
          <t>Réhabilitation de l'ouvrage( genie civil ,gabiollannage,clapet anti retour et buse) de l'ouvrage de débouche SE1</t>
        </is>
      </c>
      <c r="I33" s="7" t="n">
        <v>2500000</v>
      </c>
      <c r="J33" s="8" t="inlineStr">
        <is>
          <t>U</t>
        </is>
      </c>
      <c r="K33" s="9" t="n">
        <v>5</v>
      </c>
      <c r="L33" s="51" t="n"/>
      <c r="M33" s="52">
        <f>'S48'!M33+L33</f>
        <v/>
      </c>
      <c r="N33" s="53">
        <f>IFERROR(M33/K33,0)</f>
        <v/>
      </c>
      <c r="O33" s="54">
        <f>'S48'!N33</f>
        <v/>
      </c>
      <c r="P33" s="53">
        <f>N33-O33</f>
        <v/>
      </c>
      <c r="Q33" s="32" t="n"/>
      <c r="R33" s="32" t="n"/>
      <c r="S33" s="32" t="n"/>
      <c r="T33" s="55" t="n"/>
      <c r="U33" s="54">
        <f>'S48'!T33</f>
        <v/>
      </c>
      <c r="V33" s="53">
        <f>T33-U33</f>
        <v/>
      </c>
      <c r="W33" s="53">
        <f>N33-T33</f>
        <v/>
      </c>
      <c r="X33" s="34" t="n"/>
    </row>
    <row r="34" ht="22" customHeight="1">
      <c r="B34" s="10" t="n">
        <v>30</v>
      </c>
      <c r="C34" s="6" t="inlineStr">
        <is>
          <t>Sidi Kacem</t>
        </is>
      </c>
      <c r="D34" s="10" t="inlineStr">
        <is>
          <t>NOUIRAT</t>
        </is>
      </c>
      <c r="E34" s="10" t="inlineStr">
        <is>
          <t>50-23</t>
        </is>
      </c>
      <c r="F34" s="10" t="inlineStr">
        <is>
          <t>Entretien et réparation du réseau d'assainissement et de drainage</t>
        </is>
      </c>
      <c r="G34" s="10" t="inlineStr">
        <is>
          <t>Curage des prises sur l’oued, bâche d’aspiration et bassin de régulation.</t>
        </is>
      </c>
      <c r="H34" s="10" t="inlineStr">
        <is>
          <t>Curage des prises sur l’oued de la station de pompage E1.
Nettoyage des grilles de préfiltration des boues colmaté de la station de pompage E1.
Curage de la bâche d’aspiration de la station E1.</t>
        </is>
      </c>
      <c r="I34" s="11" t="n">
        <v>800000</v>
      </c>
      <c r="J34" s="12" t="inlineStr">
        <is>
          <t>ml</t>
        </is>
      </c>
      <c r="K34" s="13" t="n">
        <v>267</v>
      </c>
      <c r="L34" s="51" t="n"/>
      <c r="M34" s="56">
        <f>'S48'!M34+L34</f>
        <v/>
      </c>
      <c r="N34" s="57">
        <f>IFERROR(M34/K34,0)</f>
        <v/>
      </c>
      <c r="O34" s="58">
        <f>'S48'!N34</f>
        <v/>
      </c>
      <c r="P34" s="57">
        <f>N34-O34</f>
        <v/>
      </c>
      <c r="Q34" s="32" t="n"/>
      <c r="R34" s="32" t="n"/>
      <c r="S34" s="32" t="n"/>
      <c r="T34" s="55" t="n"/>
      <c r="U34" s="58">
        <f>'S48'!T34</f>
        <v/>
      </c>
      <c r="V34" s="57">
        <f>T34-U34</f>
        <v/>
      </c>
      <c r="W34" s="57">
        <f>N34-T34</f>
        <v/>
      </c>
      <c r="X34" s="34" t="n"/>
    </row>
    <row r="35" ht="22" customHeight="1">
      <c r="B35" s="5" t="n">
        <v>31</v>
      </c>
      <c r="C35" s="6" t="inlineStr">
        <is>
          <t>Sidi Kacem</t>
        </is>
      </c>
      <c r="D35" s="5" t="inlineStr">
        <is>
          <t>NOUIRAT</t>
        </is>
      </c>
      <c r="E35" s="5" t="inlineStr">
        <is>
          <t>50-21</t>
        </is>
      </c>
      <c r="F35" s="5" t="inlineStr">
        <is>
          <t>Entretien et réparation des stations de pompage</t>
        </is>
      </c>
      <c r="G35" s="5" t="inlineStr">
        <is>
          <t>Prestation de maintenance des débitmètres et leurs équipements annexes installés au niveau des station de pompage</t>
        </is>
      </c>
      <c r="H35" s="5" t="inlineStr">
        <is>
          <t>Changement du débitmètre Ø 1200mm inondé de la station de pompage E1.</t>
        </is>
      </c>
      <c r="I35" s="7" t="n">
        <v>195000</v>
      </c>
      <c r="J35" s="8" t="inlineStr">
        <is>
          <t>U</t>
        </is>
      </c>
      <c r="K35" s="9" t="n">
        <v>2</v>
      </c>
      <c r="L35" s="51" t="n"/>
      <c r="M35" s="52">
        <f>'S48'!M35+L35</f>
        <v/>
      </c>
      <c r="N35" s="53">
        <f>IFERROR(M35/K35,0)</f>
        <v/>
      </c>
      <c r="O35" s="54">
        <f>'S48'!N35</f>
        <v/>
      </c>
      <c r="P35" s="53">
        <f>N35-O35</f>
        <v/>
      </c>
      <c r="Q35" s="32" t="n"/>
      <c r="R35" s="32" t="n"/>
      <c r="S35" s="32" t="n"/>
      <c r="T35" s="55" t="n"/>
      <c r="U35" s="54">
        <f>'S48'!T35</f>
        <v/>
      </c>
      <c r="V35" s="53">
        <f>T35-U35</f>
        <v/>
      </c>
      <c r="W35" s="53">
        <f>N35-T35</f>
        <v/>
      </c>
      <c r="X35" s="34" t="n"/>
    </row>
    <row r="36" ht="22" customHeight="1">
      <c r="B36" s="10" t="n">
        <v>32</v>
      </c>
      <c r="C36" s="6" t="inlineStr">
        <is>
          <t>Sidi Kacem</t>
        </is>
      </c>
      <c r="D36" s="10" t="inlineStr">
        <is>
          <t>NOUIRAT</t>
        </is>
      </c>
      <c r="E36" s="10" t="inlineStr">
        <is>
          <t>50-21</t>
        </is>
      </c>
      <c r="F36" s="10" t="inlineStr">
        <is>
          <t>Entretien et réparation des stations de pompage</t>
        </is>
      </c>
      <c r="G36" s="10" t="inlineStr">
        <is>
          <t>Prestations de maintenance des moteurs électriques des stations de pompage.</t>
        </is>
      </c>
      <c r="H36" s="10" t="inlineStr">
        <is>
          <t>Révision des deux moteurs électriques principaux de la station E1.</t>
        </is>
      </c>
      <c r="I36" s="11" t="n">
        <v>50000</v>
      </c>
      <c r="J36" s="12" t="inlineStr">
        <is>
          <t>U</t>
        </is>
      </c>
      <c r="K36" s="13" t="n">
        <v>2</v>
      </c>
      <c r="L36" s="51" t="n"/>
      <c r="M36" s="56">
        <f>'S48'!M36+L36</f>
        <v/>
      </c>
      <c r="N36" s="57">
        <f>IFERROR(M36/K36,0)</f>
        <v/>
      </c>
      <c r="O36" s="58">
        <f>'S48'!N36</f>
        <v/>
      </c>
      <c r="P36" s="57">
        <f>N36-O36</f>
        <v/>
      </c>
      <c r="Q36" s="32" t="n"/>
      <c r="R36" s="32" t="n"/>
      <c r="S36" s="32" t="n"/>
      <c r="T36" s="55" t="n"/>
      <c r="U36" s="58">
        <f>'S48'!T36</f>
        <v/>
      </c>
      <c r="V36" s="57">
        <f>T36-U36</f>
        <v/>
      </c>
      <c r="W36" s="57">
        <f>N36-T36</f>
        <v/>
      </c>
      <c r="X36" s="34" t="n"/>
    </row>
    <row r="37" ht="22" customHeight="1">
      <c r="B37" s="5" t="n">
        <v>33</v>
      </c>
      <c r="C37" s="6" t="inlineStr">
        <is>
          <t>Sidi Kacem</t>
        </is>
      </c>
      <c r="D37" s="5" t="inlineStr">
        <is>
          <t>NOUIRAT</t>
        </is>
      </c>
      <c r="E37" s="5" t="inlineStr">
        <is>
          <t>50-21</t>
        </is>
      </c>
      <c r="F37" s="5" t="inlineStr">
        <is>
          <t>Entretien et réparation des stations de pompage</t>
        </is>
      </c>
      <c r="G37" s="5" t="inlineStr">
        <is>
          <t>Prestations de maintenance et de réparation mécanique des pompes et des groupes motopompes submersibles des stations de pompage.</t>
        </is>
      </c>
      <c r="H37" s="5" t="inlineStr">
        <is>
          <t>Démontage et expertise des cinq pompes principaux et pompes a vide de la station E1.
Changement des roulements, tresses et organes d’effectués de la station E1.</t>
        </is>
      </c>
      <c r="I37" s="7" t="n">
        <v>245000</v>
      </c>
      <c r="J37" s="8" t="inlineStr">
        <is>
          <t>U</t>
        </is>
      </c>
      <c r="K37" s="9" t="n">
        <v>5</v>
      </c>
      <c r="L37" s="51" t="n"/>
      <c r="M37" s="52">
        <f>'S48'!M37+L37</f>
        <v/>
      </c>
      <c r="N37" s="53">
        <f>IFERROR(M37/K37,0)</f>
        <v/>
      </c>
      <c r="O37" s="54">
        <f>'S48'!N37</f>
        <v/>
      </c>
      <c r="P37" s="53">
        <f>N37-O37</f>
        <v/>
      </c>
      <c r="Q37" s="32" t="n"/>
      <c r="R37" s="32" t="n"/>
      <c r="S37" s="32" t="n"/>
      <c r="T37" s="55" t="n"/>
      <c r="U37" s="54">
        <f>'S48'!T37</f>
        <v/>
      </c>
      <c r="V37" s="53">
        <f>T37-U37</f>
        <v/>
      </c>
      <c r="W37" s="53">
        <f>N37-T37</f>
        <v/>
      </c>
      <c r="X37" s="34" t="n"/>
    </row>
    <row r="38" ht="22" customHeight="1">
      <c r="B38" s="10" t="n">
        <v>34</v>
      </c>
      <c r="C38" s="6" t="inlineStr">
        <is>
          <t>Sidi Kacem</t>
        </is>
      </c>
      <c r="D38" s="10" t="inlineStr">
        <is>
          <t>NOUIRAT</t>
        </is>
      </c>
      <c r="E38" s="10" t="inlineStr">
        <is>
          <t>50-21</t>
        </is>
      </c>
      <c r="F38" s="10" t="inlineStr">
        <is>
          <t>Entretien et réparation des stations de pompage</t>
        </is>
      </c>
      <c r="G38" s="10" t="inlineStr">
        <is>
          <t>Génie civile des locaux des stations de pompage.</t>
        </is>
      </c>
      <c r="H38" s="10" t="inlineStr">
        <is>
          <t>Expertise d’état et d’étanchéité des locaux pompes, commande, puissance de la station de pompage E1.
Renforcement d’étanchéité des locaux pompe sous niveau des oueds de la station de pompage E1.</t>
        </is>
      </c>
      <c r="I38" s="11" t="n">
        <v>1000000</v>
      </c>
      <c r="J38" s="12" t="inlineStr">
        <is>
          <t>U</t>
        </is>
      </c>
      <c r="K38" s="13" t="n">
        <v>1</v>
      </c>
      <c r="L38" s="51" t="n"/>
      <c r="M38" s="56">
        <f>'S48'!M38+L38</f>
        <v/>
      </c>
      <c r="N38" s="57">
        <f>IFERROR(M38/K38,0)</f>
        <v/>
      </c>
      <c r="O38" s="58">
        <f>'S48'!N38</f>
        <v/>
      </c>
      <c r="P38" s="57">
        <f>N38-O38</f>
        <v/>
      </c>
      <c r="Q38" s="32" t="n"/>
      <c r="R38" s="32" t="n"/>
      <c r="S38" s="32" t="n"/>
      <c r="T38" s="55" t="n"/>
      <c r="U38" s="58">
        <f>'S48'!T38</f>
        <v/>
      </c>
      <c r="V38" s="57">
        <f>T38-U38</f>
        <v/>
      </c>
      <c r="W38" s="57">
        <f>N38-T38</f>
        <v/>
      </c>
      <c r="X38" s="34" t="n"/>
    </row>
    <row r="39" ht="22" customHeight="1">
      <c r="B39" s="5" t="n">
        <v>35</v>
      </c>
      <c r="C39" s="6" t="inlineStr">
        <is>
          <t>Sidi Kacem</t>
        </is>
      </c>
      <c r="D39" s="5" t="inlineStr">
        <is>
          <t>RMILAT</t>
        </is>
      </c>
      <c r="E39" s="5" t="inlineStr">
        <is>
          <t>50-23</t>
        </is>
      </c>
      <c r="F39" s="5" t="inlineStr">
        <is>
          <t>Entretien et réparation du réseau d'assainissement et de drainage</t>
        </is>
      </c>
      <c r="G39" s="5" t="inlineStr">
        <is>
          <t>Travaux de curage des canaux en terre</t>
        </is>
      </c>
      <c r="H39" s="5" t="inlineStr">
        <is>
          <t>Curage des collecteurs d'assainissement des secteurs P7</t>
        </is>
      </c>
      <c r="I39" s="7" t="n">
        <v>5024032</v>
      </c>
      <c r="J39" s="8" t="inlineStr">
        <is>
          <t>ml</t>
        </is>
      </c>
      <c r="K39" s="9" t="n">
        <v>2512</v>
      </c>
      <c r="L39" s="51" t="n"/>
      <c r="M39" s="52">
        <f>'S48'!M39+L39</f>
        <v/>
      </c>
      <c r="N39" s="53">
        <f>IFERROR(M39/K39,0)</f>
        <v/>
      </c>
      <c r="O39" s="54">
        <f>'S48'!N39</f>
        <v/>
      </c>
      <c r="P39" s="53">
        <f>N39-O39</f>
        <v/>
      </c>
      <c r="Q39" s="32" t="n"/>
      <c r="R39" s="32" t="n"/>
      <c r="S39" s="32" t="n"/>
      <c r="T39" s="55" t="n"/>
      <c r="U39" s="54">
        <f>'S48'!T39</f>
        <v/>
      </c>
      <c r="V39" s="53">
        <f>T39-U39</f>
        <v/>
      </c>
      <c r="W39" s="53">
        <f>N39-T39</f>
        <v/>
      </c>
      <c r="X39" s="34" t="n"/>
    </row>
    <row r="40" ht="22" customHeight="1">
      <c r="B40" s="10" t="n">
        <v>36</v>
      </c>
      <c r="C40" s="6" t="inlineStr">
        <is>
          <t>Sidi Kacem</t>
        </is>
      </c>
      <c r="D40" s="10" t="inlineStr">
        <is>
          <t>RMILAT</t>
        </is>
      </c>
      <c r="E40" s="10" t="inlineStr">
        <is>
          <t>40-21</t>
        </is>
      </c>
      <c r="F40" s="10" t="inlineStr">
        <is>
          <t>Travaux de pistes</t>
        </is>
      </c>
      <c r="G40" s="10" t="inlineStr">
        <is>
          <t>Entretien des pistes agricoles</t>
        </is>
      </c>
      <c r="H40" s="10" t="inlineStr">
        <is>
          <t>Entretien des pistes agricoles</t>
        </is>
      </c>
      <c r="I40" s="11" t="n">
        <v>400000</v>
      </c>
      <c r="J40" s="12" t="inlineStr">
        <is>
          <t>km</t>
        </is>
      </c>
      <c r="K40" s="13" t="n">
        <v>1</v>
      </c>
      <c r="L40" s="51" t="n"/>
      <c r="M40" s="56">
        <f>'S48'!M40+L40</f>
        <v/>
      </c>
      <c r="N40" s="57">
        <f>IFERROR(M40/K40,0)</f>
        <v/>
      </c>
      <c r="O40" s="58">
        <f>'S48'!N40</f>
        <v/>
      </c>
      <c r="P40" s="57">
        <f>N40-O40</f>
        <v/>
      </c>
      <c r="Q40" s="32" t="n"/>
      <c r="R40" s="32" t="n"/>
      <c r="S40" s="32" t="n"/>
      <c r="T40" s="55" t="n"/>
      <c r="U40" s="58">
        <f>'S48'!T40</f>
        <v/>
      </c>
      <c r="V40" s="57">
        <f>T40-U40</f>
        <v/>
      </c>
      <c r="W40" s="57">
        <f>N40-T40</f>
        <v/>
      </c>
      <c r="X40" s="34" t="n"/>
    </row>
    <row r="41" ht="22" customHeight="1">
      <c r="B41" s="5" t="n">
        <v>37</v>
      </c>
      <c r="C41" s="6" t="inlineStr">
        <is>
          <t>Sidi Kacem</t>
        </is>
      </c>
      <c r="D41" s="5" t="inlineStr">
        <is>
          <t>SAFSAF</t>
        </is>
      </c>
      <c r="E41" s="5" t="inlineStr">
        <is>
          <t>50-23</t>
        </is>
      </c>
      <c r="F41" s="5" t="inlineStr">
        <is>
          <t>Entretien et réparation du réseau d'assainissement et de drainage</t>
        </is>
      </c>
      <c r="G41" s="5" t="inlineStr">
        <is>
          <t>Travaux de curage des canaux en terre</t>
        </is>
      </c>
      <c r="H41" s="5" t="inlineStr">
        <is>
          <t>Curage des collecteurs d'assainissement des secteurs S7, S9 et S11</t>
        </is>
      </c>
      <c r="I41" s="7" t="n">
        <v>6000000</v>
      </c>
      <c r="J41" s="8" t="inlineStr">
        <is>
          <t>ml</t>
        </is>
      </c>
      <c r="K41" s="9" t="n">
        <v>3000</v>
      </c>
      <c r="L41" s="51" t="n"/>
      <c r="M41" s="52">
        <f>'S48'!M41+L41</f>
        <v/>
      </c>
      <c r="N41" s="53">
        <f>IFERROR(M41/K41,0)</f>
        <v/>
      </c>
      <c r="O41" s="54">
        <f>'S48'!N41</f>
        <v/>
      </c>
      <c r="P41" s="53">
        <f>N41-O41</f>
        <v/>
      </c>
      <c r="Q41" s="32" t="n"/>
      <c r="R41" s="32" t="n"/>
      <c r="S41" s="32" t="n"/>
      <c r="T41" s="55" t="n"/>
      <c r="U41" s="54">
        <f>'S48'!T41</f>
        <v/>
      </c>
      <c r="V41" s="53">
        <f>T41-U41</f>
        <v/>
      </c>
      <c r="W41" s="53">
        <f>N41-T41</f>
        <v/>
      </c>
      <c r="X41" s="34" t="n"/>
    </row>
    <row r="42" ht="22" customHeight="1">
      <c r="B42" s="10" t="n">
        <v>38</v>
      </c>
      <c r="C42" s="6" t="inlineStr">
        <is>
          <t>Sidi Kacem</t>
        </is>
      </c>
      <c r="D42" s="10" t="inlineStr">
        <is>
          <t>SAFSAF</t>
        </is>
      </c>
      <c r="E42" s="10" t="inlineStr">
        <is>
          <t>20-11</t>
        </is>
      </c>
      <c r="F42" s="10" t="inlineStr">
        <is>
          <t>Travaux de réhabilitation des équipements</t>
        </is>
      </c>
      <c r="G42" s="10" t="inlineStr">
        <is>
          <t>Travaux de réhabilitation des canaux portés d'irrigation</t>
        </is>
      </c>
      <c r="H42" s="10" t="inlineStr">
        <is>
          <t>Fourniture et  pose de canaux porté et accessoires du réseau S4 du secteur S11</t>
        </is>
      </c>
      <c r="I42" s="11" t="n">
        <v>232266</v>
      </c>
      <c r="J42" s="12" t="inlineStr">
        <is>
          <t>ml</t>
        </is>
      </c>
      <c r="K42" s="13" t="n">
        <v>77</v>
      </c>
      <c r="L42" s="51" t="n"/>
      <c r="M42" s="56">
        <f>'S48'!M42+L42</f>
        <v/>
      </c>
      <c r="N42" s="57">
        <f>IFERROR(M42/K42,0)</f>
        <v/>
      </c>
      <c r="O42" s="58">
        <f>'S48'!N42</f>
        <v/>
      </c>
      <c r="P42" s="57">
        <f>N42-O42</f>
        <v/>
      </c>
      <c r="Q42" s="32" t="n"/>
      <c r="R42" s="32" t="n"/>
      <c r="S42" s="32" t="n"/>
      <c r="T42" s="55" t="n"/>
      <c r="U42" s="58">
        <f>'S48'!T42</f>
        <v/>
      </c>
      <c r="V42" s="57">
        <f>T42-U42</f>
        <v/>
      </c>
      <c r="W42" s="57">
        <f>N42-T42</f>
        <v/>
      </c>
      <c r="X42" s="34" t="n"/>
    </row>
    <row r="43" ht="22" customHeight="1">
      <c r="B43" s="5" t="n">
        <v>39</v>
      </c>
      <c r="C43" s="6" t="inlineStr">
        <is>
          <t>Sidi Kacem</t>
        </is>
      </c>
      <c r="D43" s="5" t="inlineStr">
        <is>
          <t>SAFSAF</t>
        </is>
      </c>
      <c r="E43" s="5" t="inlineStr">
        <is>
          <t>20-11</t>
        </is>
      </c>
      <c r="F43" s="5" t="inlineStr">
        <is>
          <t>Travaux de réhabilitation des équipements</t>
        </is>
      </c>
      <c r="G43" s="5" t="inlineStr"/>
      <c r="H43" s="5" t="inlineStr">
        <is>
          <t>Recalage des canaux portés du réseau T5S5 du secteur S9</t>
        </is>
      </c>
      <c r="I43" s="7" t="n">
        <v>1055025</v>
      </c>
      <c r="J43" s="8" t="inlineStr">
        <is>
          <t>ml</t>
        </is>
      </c>
      <c r="K43" s="9" t="n">
        <v>352</v>
      </c>
      <c r="L43" s="51" t="n"/>
      <c r="M43" s="52">
        <f>'S48'!M43+L43</f>
        <v/>
      </c>
      <c r="N43" s="53">
        <f>IFERROR(M43/K43,0)</f>
        <v/>
      </c>
      <c r="O43" s="54">
        <f>'S48'!N43</f>
        <v/>
      </c>
      <c r="P43" s="53">
        <f>N43-O43</f>
        <v/>
      </c>
      <c r="Q43" s="32" t="n"/>
      <c r="R43" s="32" t="n"/>
      <c r="S43" s="32" t="n"/>
      <c r="T43" s="55" t="n"/>
      <c r="U43" s="54">
        <f>'S48'!T43</f>
        <v/>
      </c>
      <c r="V43" s="53">
        <f>T43-U43</f>
        <v/>
      </c>
      <c r="W43" s="53">
        <f>N43-T43</f>
        <v/>
      </c>
      <c r="X43" s="34" t="n"/>
    </row>
    <row r="44" ht="22" customHeight="1">
      <c r="B44" s="10" t="n">
        <v>40</v>
      </c>
      <c r="C44" s="6" t="inlineStr">
        <is>
          <t>Sidi Kacem</t>
        </is>
      </c>
      <c r="D44" s="10" t="inlineStr">
        <is>
          <t>SAFSAF</t>
        </is>
      </c>
      <c r="E44" s="10" t="inlineStr">
        <is>
          <t>20-11</t>
        </is>
      </c>
      <c r="F44" s="10" t="inlineStr">
        <is>
          <t>Travaux de réhabilitation des équipements</t>
        </is>
      </c>
      <c r="G44" s="10" t="inlineStr"/>
      <c r="H44" s="10" t="inlineStr">
        <is>
          <t>Recalage des canaux portés du réseau T7S5 du secteur S9</t>
        </is>
      </c>
      <c r="I44" s="11" t="n">
        <v>1004535</v>
      </c>
      <c r="J44" s="12" t="inlineStr">
        <is>
          <t>ml</t>
        </is>
      </c>
      <c r="K44" s="13" t="n">
        <v>335</v>
      </c>
      <c r="L44" s="51" t="n"/>
      <c r="M44" s="56">
        <f>'S48'!M44+L44</f>
        <v/>
      </c>
      <c r="N44" s="57">
        <f>IFERROR(M44/K44,0)</f>
        <v/>
      </c>
      <c r="O44" s="58">
        <f>'S48'!N44</f>
        <v/>
      </c>
      <c r="P44" s="57">
        <f>N44-O44</f>
        <v/>
      </c>
      <c r="Q44" s="32" t="n"/>
      <c r="R44" s="32" t="n"/>
      <c r="S44" s="32" t="n"/>
      <c r="T44" s="55" t="n"/>
      <c r="U44" s="58">
        <f>'S48'!T44</f>
        <v/>
      </c>
      <c r="V44" s="57">
        <f>T44-U44</f>
        <v/>
      </c>
      <c r="W44" s="57">
        <f>N44-T44</f>
        <v/>
      </c>
      <c r="X44" s="34" t="n"/>
    </row>
    <row r="45" ht="22" customHeight="1">
      <c r="B45" s="5" t="n">
        <v>41</v>
      </c>
      <c r="C45" s="6" t="inlineStr">
        <is>
          <t>Sidi Kacem</t>
        </is>
      </c>
      <c r="D45" s="5" t="inlineStr">
        <is>
          <t>SAFSAF</t>
        </is>
      </c>
      <c r="E45" s="5" t="inlineStr">
        <is>
          <t>20-11</t>
        </is>
      </c>
      <c r="F45" s="5" t="inlineStr">
        <is>
          <t>Travaux de réhabilitation des équipements</t>
        </is>
      </c>
      <c r="G45" s="5" t="inlineStr"/>
      <c r="H45" s="5" t="inlineStr">
        <is>
          <t>Recalage des canaux portés du réseau T2S5 du secteur S9</t>
        </is>
      </c>
      <c r="I45" s="7" t="n">
        <v>793830</v>
      </c>
      <c r="J45" s="8" t="inlineStr">
        <is>
          <t>ml</t>
        </is>
      </c>
      <c r="K45" s="9" t="n">
        <v>265</v>
      </c>
      <c r="L45" s="51" t="n"/>
      <c r="M45" s="52">
        <f>'S48'!M45+L45</f>
        <v/>
      </c>
      <c r="N45" s="53">
        <f>IFERROR(M45/K45,0)</f>
        <v/>
      </c>
      <c r="O45" s="54">
        <f>'S48'!N45</f>
        <v/>
      </c>
      <c r="P45" s="53">
        <f>N45-O45</f>
        <v/>
      </c>
      <c r="Q45" s="32" t="n"/>
      <c r="R45" s="32" t="n"/>
      <c r="S45" s="32" t="n"/>
      <c r="T45" s="55" t="n"/>
      <c r="U45" s="54">
        <f>'S48'!T45</f>
        <v/>
      </c>
      <c r="V45" s="53">
        <f>T45-U45</f>
        <v/>
      </c>
      <c r="W45" s="53">
        <f>N45-T45</f>
        <v/>
      </c>
      <c r="X45" s="34" t="n"/>
    </row>
    <row r="46" ht="22" customHeight="1">
      <c r="B46" s="10" t="n">
        <v>42</v>
      </c>
      <c r="C46" s="6" t="inlineStr">
        <is>
          <t>Sidi Kacem</t>
        </is>
      </c>
      <c r="D46" s="10" t="inlineStr">
        <is>
          <t>SAFSAF</t>
        </is>
      </c>
      <c r="E46" s="10" t="inlineStr">
        <is>
          <t>40-21</t>
        </is>
      </c>
      <c r="F46" s="10" t="inlineStr">
        <is>
          <t>Travaux de pistes</t>
        </is>
      </c>
      <c r="G46" s="10" t="inlineStr">
        <is>
          <t>Entretien des pistes agricoles</t>
        </is>
      </c>
      <c r="H46" s="10" t="inlineStr">
        <is>
          <t>Entretien des pistes agricoles</t>
        </is>
      </c>
      <c r="I46" s="11" t="n">
        <v>2000000</v>
      </c>
      <c r="J46" s="12" t="inlineStr">
        <is>
          <t>km</t>
        </is>
      </c>
      <c r="K46" s="13" t="n">
        <v>4</v>
      </c>
      <c r="L46" s="51" t="n"/>
      <c r="M46" s="56">
        <f>'S48'!M46+L46</f>
        <v/>
      </c>
      <c r="N46" s="57">
        <f>IFERROR(M46/K46,0)</f>
        <v/>
      </c>
      <c r="O46" s="58">
        <f>'S48'!N46</f>
        <v/>
      </c>
      <c r="P46" s="57">
        <f>N46-O46</f>
        <v/>
      </c>
      <c r="Q46" s="32" t="n"/>
      <c r="R46" s="32" t="n"/>
      <c r="S46" s="32" t="n"/>
      <c r="T46" s="55" t="n"/>
      <c r="U46" s="58">
        <f>'S48'!T46</f>
        <v/>
      </c>
      <c r="V46" s="57">
        <f>T46-U46</f>
        <v/>
      </c>
      <c r="W46" s="57">
        <f>N46-T46</f>
        <v/>
      </c>
      <c r="X46" s="34" t="n"/>
    </row>
    <row r="47" ht="22" customHeight="1">
      <c r="B47" s="5" t="n">
        <v>43</v>
      </c>
      <c r="C47" s="6" t="inlineStr">
        <is>
          <t>Sidi Kacem</t>
        </is>
      </c>
      <c r="D47" s="5" t="inlineStr">
        <is>
          <t>SAFSAF</t>
        </is>
      </c>
      <c r="E47" s="5" t="inlineStr">
        <is>
          <t>50-23</t>
        </is>
      </c>
      <c r="F47" s="5" t="inlineStr">
        <is>
          <t>Entretien et réparation du réseau d'assainissement et de drainage</t>
        </is>
      </c>
      <c r="G47" s="5" t="inlineStr">
        <is>
          <t>Curage des prises sur l’oued, bâche d’aspiration et bassin de régulation.</t>
        </is>
      </c>
      <c r="H47" s="5" t="inlineStr">
        <is>
          <t>Curage des prises sur l’oued des stations de pompage S11, S9, 7D et 7B.
Nettoyage des grilles de préfiltration des boues colmaté des stations de pompage S11, S9, 7D et 7B.
Nettoyage des crépines des boues colmaté de station pompage 7D.
Curage des dalots et bâche d’aspiration des stations de pompage S11, S9, 7B.</t>
        </is>
      </c>
      <c r="I47" s="7" t="n">
        <v>200000</v>
      </c>
      <c r="J47" s="8" t="inlineStr">
        <is>
          <t>ml</t>
        </is>
      </c>
      <c r="K47" s="9" t="n">
        <v>67</v>
      </c>
      <c r="L47" s="51" t="n"/>
      <c r="M47" s="52">
        <f>'S48'!M47+L47</f>
        <v/>
      </c>
      <c r="N47" s="53">
        <f>IFERROR(M47/K47,0)</f>
        <v/>
      </c>
      <c r="O47" s="54">
        <f>'S48'!N47</f>
        <v/>
      </c>
      <c r="P47" s="53">
        <f>N47-O47</f>
        <v/>
      </c>
      <c r="Q47" s="32" t="n"/>
      <c r="R47" s="32" t="n"/>
      <c r="S47" s="32" t="n"/>
      <c r="T47" s="55" t="n"/>
      <c r="U47" s="54">
        <f>'S48'!T47</f>
        <v/>
      </c>
      <c r="V47" s="53">
        <f>T47-U47</f>
        <v/>
      </c>
      <c r="W47" s="53">
        <f>N47-T47</f>
        <v/>
      </c>
      <c r="X47" s="34" t="n"/>
    </row>
    <row r="48" ht="22" customHeight="1">
      <c r="B48" s="10" t="n">
        <v>44</v>
      </c>
      <c r="C48" s="6" t="inlineStr">
        <is>
          <t>Sidi Kacem</t>
        </is>
      </c>
      <c r="D48" s="10" t="inlineStr">
        <is>
          <t>SAFSAF</t>
        </is>
      </c>
      <c r="E48" s="10" t="inlineStr">
        <is>
          <t>50-21</t>
        </is>
      </c>
      <c r="F48" s="10" t="inlineStr">
        <is>
          <t>Entretien et réparation des stations de pompage</t>
        </is>
      </c>
      <c r="G48" s="10" t="inlineStr">
        <is>
          <t>Prestation de maintenance des débitmètres et leurs équipements annexes installés au niveau des station de pompage</t>
        </is>
      </c>
      <c r="H48" s="10" t="inlineStr">
        <is>
          <t>Changements Sept des débitmètres Ø 600mm inondé des deux stations de pompage S11 et S9.</t>
        </is>
      </c>
      <c r="I48" s="11" t="n">
        <v>580000</v>
      </c>
      <c r="J48" s="12" t="inlineStr">
        <is>
          <t>U</t>
        </is>
      </c>
      <c r="K48" s="13" t="n">
        <v>7</v>
      </c>
      <c r="L48" s="51" t="n"/>
      <c r="M48" s="56">
        <f>'S48'!M48+L48</f>
        <v/>
      </c>
      <c r="N48" s="57">
        <f>IFERROR(M48/K48,0)</f>
        <v/>
      </c>
      <c r="O48" s="58">
        <f>'S48'!N48</f>
        <v/>
      </c>
      <c r="P48" s="57">
        <f>N48-O48</f>
        <v/>
      </c>
      <c r="Q48" s="32" t="n"/>
      <c r="R48" s="32" t="n"/>
      <c r="S48" s="32" t="n"/>
      <c r="T48" s="55" t="n"/>
      <c r="U48" s="58">
        <f>'S48'!T48</f>
        <v/>
      </c>
      <c r="V48" s="57">
        <f>T48-U48</f>
        <v/>
      </c>
      <c r="W48" s="57">
        <f>N48-T48</f>
        <v/>
      </c>
      <c r="X48" s="34" t="n"/>
    </row>
    <row r="49" ht="22" customHeight="1">
      <c r="B49" s="5" t="n">
        <v>45</v>
      </c>
      <c r="C49" s="6" t="inlineStr">
        <is>
          <t>Sidi Kacem</t>
        </is>
      </c>
      <c r="D49" s="5" t="inlineStr">
        <is>
          <t>SAFSAF</t>
        </is>
      </c>
      <c r="E49" s="5" t="inlineStr">
        <is>
          <t>50-21</t>
        </is>
      </c>
      <c r="F49" s="5" t="inlineStr">
        <is>
          <t>Entretien et réparation des stations de pompage</t>
        </is>
      </c>
      <c r="G49" s="5" t="inlineStr">
        <is>
          <t>Stabilisation Berge oued</t>
        </is>
      </c>
      <c r="H49" s="5" t="inlineStr">
        <is>
          <t>Pose de murs en gabions et recouvrement du talus par matelas Reno des stations de pompage S11, S9, 7D et 7B .</t>
        </is>
      </c>
      <c r="I49" s="7" t="n">
        <v>4000000</v>
      </c>
      <c r="J49" s="8" t="inlineStr">
        <is>
          <t>m³</t>
        </is>
      </c>
      <c r="K49" s="9" t="n">
        <v>2667</v>
      </c>
      <c r="L49" s="51" t="n"/>
      <c r="M49" s="52">
        <f>'S48'!M49+L49</f>
        <v/>
      </c>
      <c r="N49" s="53">
        <f>IFERROR(M49/K49,0)</f>
        <v/>
      </c>
      <c r="O49" s="54">
        <f>'S48'!N49</f>
        <v/>
      </c>
      <c r="P49" s="53">
        <f>N49-O49</f>
        <v/>
      </c>
      <c r="Q49" s="32" t="n"/>
      <c r="R49" s="32" t="n"/>
      <c r="S49" s="32" t="n"/>
      <c r="T49" s="55" t="n"/>
      <c r="U49" s="54">
        <f>'S48'!T49</f>
        <v/>
      </c>
      <c r="V49" s="53">
        <f>T49-U49</f>
        <v/>
      </c>
      <c r="W49" s="53">
        <f>N49-T49</f>
        <v/>
      </c>
      <c r="X49" s="34" t="n"/>
    </row>
    <row r="50" ht="22" customHeight="1">
      <c r="B50" s="10" t="n">
        <v>46</v>
      </c>
      <c r="C50" s="6" t="inlineStr">
        <is>
          <t>Sidi Kacem</t>
        </is>
      </c>
      <c r="D50" s="10" t="inlineStr">
        <is>
          <t>SIDI AZZOUZ</t>
        </is>
      </c>
      <c r="E50" s="10" t="inlineStr">
        <is>
          <t>40-21</t>
        </is>
      </c>
      <c r="F50" s="10" t="inlineStr">
        <is>
          <t>Travaux de pistes</t>
        </is>
      </c>
      <c r="G50" s="10" t="inlineStr">
        <is>
          <t>Entretien des pistes agricoles</t>
        </is>
      </c>
      <c r="H50" s="10" t="inlineStr">
        <is>
          <t>Entretien des pistes agricoles</t>
        </is>
      </c>
      <c r="I50" s="11" t="n">
        <v>655000</v>
      </c>
      <c r="J50" s="12" t="inlineStr">
        <is>
          <t>km</t>
        </is>
      </c>
      <c r="K50" s="13" t="n">
        <v>1</v>
      </c>
      <c r="L50" s="51" t="n"/>
      <c r="M50" s="56">
        <f>'S48'!M50+L50</f>
        <v/>
      </c>
      <c r="N50" s="57">
        <f>IFERROR(M50/K50,0)</f>
        <v/>
      </c>
      <c r="O50" s="58">
        <f>'S48'!N50</f>
        <v/>
      </c>
      <c r="P50" s="57">
        <f>N50-O50</f>
        <v/>
      </c>
      <c r="Q50" s="32" t="n"/>
      <c r="R50" s="32" t="n"/>
      <c r="S50" s="32" t="n"/>
      <c r="T50" s="55" t="n"/>
      <c r="U50" s="58">
        <f>'S48'!T50</f>
        <v/>
      </c>
      <c r="V50" s="57">
        <f>T50-U50</f>
        <v/>
      </c>
      <c r="W50" s="57">
        <f>N50-T50</f>
        <v/>
      </c>
      <c r="X50" s="34" t="n"/>
    </row>
    <row r="51" ht="22" customHeight="1">
      <c r="B51" s="5" t="n">
        <v>47</v>
      </c>
      <c r="C51" s="6" t="inlineStr">
        <is>
          <t>Sidi Kacem</t>
        </is>
      </c>
      <c r="D51" s="5" t="inlineStr">
        <is>
          <t>SIDI EL KAMEL</t>
        </is>
      </c>
      <c r="E51" s="5" t="inlineStr">
        <is>
          <t>20-11</t>
        </is>
      </c>
      <c r="F51" s="5" t="inlineStr">
        <is>
          <t>Travaux de réhabilitation des équipements</t>
        </is>
      </c>
      <c r="G51" s="5" t="inlineStr">
        <is>
          <t>Travaux de réhabilitation des canaux portés d'irrigation</t>
        </is>
      </c>
      <c r="H51" s="5" t="inlineStr">
        <is>
          <t>Fourniture et de pose de canaux porté et accessoires du réseau SR4 du secteur S3R</t>
        </is>
      </c>
      <c r="I51" s="7" t="n">
        <v>5182920</v>
      </c>
      <c r="J51" s="8" t="inlineStr">
        <is>
          <t>ml</t>
        </is>
      </c>
      <c r="K51" s="9" t="n">
        <v>1728</v>
      </c>
      <c r="L51" s="51" t="n"/>
      <c r="M51" s="52">
        <f>'S48'!M51+L51</f>
        <v/>
      </c>
      <c r="N51" s="53">
        <f>IFERROR(M51/K51,0)</f>
        <v/>
      </c>
      <c r="O51" s="54">
        <f>'S48'!N51</f>
        <v/>
      </c>
      <c r="P51" s="53">
        <f>N51-O51</f>
        <v/>
      </c>
      <c r="Q51" s="32" t="n"/>
      <c r="R51" s="32" t="n"/>
      <c r="S51" s="32" t="n"/>
      <c r="T51" s="55" t="n"/>
      <c r="U51" s="54">
        <f>'S48'!T51</f>
        <v/>
      </c>
      <c r="V51" s="53">
        <f>T51-U51</f>
        <v/>
      </c>
      <c r="W51" s="53">
        <f>N51-T51</f>
        <v/>
      </c>
      <c r="X51" s="34" t="n"/>
    </row>
    <row r="52" ht="22" customHeight="1">
      <c r="B52" s="10" t="n">
        <v>48</v>
      </c>
      <c r="C52" s="6" t="inlineStr">
        <is>
          <t>Sidi Kacem</t>
        </is>
      </c>
      <c r="D52" s="10" t="inlineStr">
        <is>
          <t>SIDI EL KAMEL</t>
        </is>
      </c>
      <c r="E52" s="10" t="inlineStr">
        <is>
          <t>20-11</t>
        </is>
      </c>
      <c r="F52" s="10" t="inlineStr">
        <is>
          <t>Travaux de réhabilitation des équipements</t>
        </is>
      </c>
      <c r="G52" s="10" t="inlineStr"/>
      <c r="H52" s="10" t="inlineStr">
        <is>
          <t>Fourniture et de pose de canaux porté et accessoires du réseau SR6 du secteur S1RIZ</t>
        </is>
      </c>
      <c r="I52" s="11" t="n">
        <v>152818</v>
      </c>
      <c r="J52" s="12" t="inlineStr">
        <is>
          <t>ml</t>
        </is>
      </c>
      <c r="K52" s="13" t="n">
        <v>51</v>
      </c>
      <c r="L52" s="51" t="n"/>
      <c r="M52" s="56">
        <f>'S48'!M52+L52</f>
        <v/>
      </c>
      <c r="N52" s="57">
        <f>IFERROR(M52/K52,0)</f>
        <v/>
      </c>
      <c r="O52" s="58">
        <f>'S48'!N52</f>
        <v/>
      </c>
      <c r="P52" s="57">
        <f>N52-O52</f>
        <v/>
      </c>
      <c r="Q52" s="32" t="n"/>
      <c r="R52" s="32" t="n"/>
      <c r="S52" s="32" t="n"/>
      <c r="T52" s="55" t="n"/>
      <c r="U52" s="58">
        <f>'S48'!T52</f>
        <v/>
      </c>
      <c r="V52" s="57">
        <f>T52-U52</f>
        <v/>
      </c>
      <c r="W52" s="57">
        <f>N52-T52</f>
        <v/>
      </c>
      <c r="X52" s="34" t="n"/>
    </row>
    <row r="53" ht="22" customHeight="1">
      <c r="B53" s="5" t="n">
        <v>49</v>
      </c>
      <c r="C53" s="6" t="inlineStr">
        <is>
          <t>Sidi Kacem</t>
        </is>
      </c>
      <c r="D53" s="5" t="inlineStr">
        <is>
          <t>SIDI EL KAMEL</t>
        </is>
      </c>
      <c r="E53" s="5" t="inlineStr">
        <is>
          <t>20-11</t>
        </is>
      </c>
      <c r="F53" s="5" t="inlineStr">
        <is>
          <t>Travaux de réhabilitation des équipements</t>
        </is>
      </c>
      <c r="G53" s="5" t="inlineStr"/>
      <c r="H53" s="5" t="inlineStr">
        <is>
          <t>Recalage des canaux portés du réseau SR4 du secteur S3R</t>
        </is>
      </c>
      <c r="I53" s="7" t="n">
        <v>1418000</v>
      </c>
      <c r="J53" s="8" t="inlineStr">
        <is>
          <t>ml</t>
        </is>
      </c>
      <c r="K53" s="9" t="n">
        <v>473</v>
      </c>
      <c r="L53" s="51" t="n"/>
      <c r="M53" s="52">
        <f>'S48'!M53+L53</f>
        <v/>
      </c>
      <c r="N53" s="53">
        <f>IFERROR(M53/K53,0)</f>
        <v/>
      </c>
      <c r="O53" s="54">
        <f>'S48'!N53</f>
        <v/>
      </c>
      <c r="P53" s="53">
        <f>N53-O53</f>
        <v/>
      </c>
      <c r="Q53" s="32" t="n"/>
      <c r="R53" s="32" t="n"/>
      <c r="S53" s="32" t="n"/>
      <c r="T53" s="55" t="n"/>
      <c r="U53" s="54">
        <f>'S48'!T53</f>
        <v/>
      </c>
      <c r="V53" s="53">
        <f>T53-U53</f>
        <v/>
      </c>
      <c r="W53" s="53">
        <f>N53-T53</f>
        <v/>
      </c>
      <c r="X53" s="34" t="n"/>
    </row>
    <row r="54" ht="22" customHeight="1">
      <c r="B54" s="10" t="n">
        <v>50</v>
      </c>
      <c r="C54" s="6" t="inlineStr">
        <is>
          <t>Sidi Kacem</t>
        </is>
      </c>
      <c r="D54" s="10" t="inlineStr">
        <is>
          <t>SIDI EL KAMEL</t>
        </is>
      </c>
      <c r="E54" s="10" t="inlineStr">
        <is>
          <t>20-11</t>
        </is>
      </c>
      <c r="F54" s="10" t="inlineStr">
        <is>
          <t>Travaux de réhabilitation des équipements</t>
        </is>
      </c>
      <c r="G54" s="10" t="inlineStr">
        <is>
          <t>Travaux de réhabilitation des ouvrages de génie civil</t>
        </is>
      </c>
      <c r="H54" s="10" t="inlineStr">
        <is>
          <t>Réhabilitation des murs de soutènements des ouvrages de franchissements du canal d'assainissement CS3 secteur S3 et de l’ouvrage de franchissement du canal primaire d’irrigation du secteur S1R au niveau de la route provinciale P4234</t>
        </is>
      </c>
      <c r="I54" s="11" t="n">
        <v>800000</v>
      </c>
      <c r="J54" s="12" t="inlineStr">
        <is>
          <t>ml</t>
        </is>
      </c>
      <c r="K54" s="13" t="n">
        <v>400</v>
      </c>
      <c r="L54" s="51" t="n"/>
      <c r="M54" s="56">
        <f>'S48'!M54+L54</f>
        <v/>
      </c>
      <c r="N54" s="57">
        <f>IFERROR(M54/K54,0)</f>
        <v/>
      </c>
      <c r="O54" s="58">
        <f>'S48'!N54</f>
        <v/>
      </c>
      <c r="P54" s="57">
        <f>N54-O54</f>
        <v/>
      </c>
      <c r="Q54" s="32" t="n"/>
      <c r="R54" s="32" t="n"/>
      <c r="S54" s="32" t="n"/>
      <c r="T54" s="55" t="n"/>
      <c r="U54" s="58">
        <f>'S48'!T54</f>
        <v/>
      </c>
      <c r="V54" s="57">
        <f>T54-U54</f>
        <v/>
      </c>
      <c r="W54" s="57">
        <f>N54-T54</f>
        <v/>
      </c>
      <c r="X54" s="34" t="n"/>
    </row>
    <row r="55" ht="22" customHeight="1">
      <c r="B55" s="5" t="n">
        <v>51</v>
      </c>
      <c r="C55" s="6" t="inlineStr">
        <is>
          <t>Sidi Kacem</t>
        </is>
      </c>
      <c r="D55" s="5" t="inlineStr">
        <is>
          <t>SIDI EL KAMEL</t>
        </is>
      </c>
      <c r="E55" s="5" t="inlineStr">
        <is>
          <t>40-21</t>
        </is>
      </c>
      <c r="F55" s="5" t="inlineStr">
        <is>
          <t>Travaux de pistes</t>
        </is>
      </c>
      <c r="G55" s="5" t="inlineStr">
        <is>
          <t>Entretien des pistes agricoles</t>
        </is>
      </c>
      <c r="H55" s="5" t="inlineStr">
        <is>
          <t>Entretien des pistes agricoles</t>
        </is>
      </c>
      <c r="I55" s="7" t="n">
        <v>3700000</v>
      </c>
      <c r="J55" s="8" t="inlineStr">
        <is>
          <t>km</t>
        </is>
      </c>
      <c r="K55" s="9" t="n">
        <v>7</v>
      </c>
      <c r="L55" s="51" t="n"/>
      <c r="M55" s="52">
        <f>'S48'!M55+L55</f>
        <v/>
      </c>
      <c r="N55" s="53">
        <f>IFERROR(M55/K55,0)</f>
        <v/>
      </c>
      <c r="O55" s="54">
        <f>'S48'!N55</f>
        <v/>
      </c>
      <c r="P55" s="53">
        <f>N55-O55</f>
        <v/>
      </c>
      <c r="Q55" s="32" t="n"/>
      <c r="R55" s="32" t="n"/>
      <c r="S55" s="32" t="n"/>
      <c r="T55" s="55" t="n"/>
      <c r="U55" s="54">
        <f>'S48'!T55</f>
        <v/>
      </c>
      <c r="V55" s="53">
        <f>T55-U55</f>
        <v/>
      </c>
      <c r="W55" s="53">
        <f>N55-T55</f>
        <v/>
      </c>
      <c r="X55" s="34" t="n"/>
    </row>
    <row r="56" ht="22" customHeight="1">
      <c r="B56" s="10" t="n">
        <v>52</v>
      </c>
      <c r="C56" s="6" t="inlineStr">
        <is>
          <t>Sidi Kacem</t>
        </is>
      </c>
      <c r="D56" s="10" t="inlineStr">
        <is>
          <t>SIDI EL KAMEL</t>
        </is>
      </c>
      <c r="E56" s="10" t="inlineStr">
        <is>
          <t>50-21</t>
        </is>
      </c>
      <c r="F56" s="10" t="inlineStr">
        <is>
          <t>Entretien et réparation des stations de pompage</t>
        </is>
      </c>
      <c r="G56" s="10" t="inlineStr">
        <is>
          <t>Prestation de maintenance des débitmètres et leurs équipements annexes installés au niveau des station de pompage</t>
        </is>
      </c>
      <c r="H56" s="10" t="inlineStr">
        <is>
          <t>Changement de quatre débitmètres Ø 500mm et trois Ø 800mm inondé des stations de pompage 1R, 3R et 5R.</t>
        </is>
      </c>
      <c r="I56" s="11" t="n">
        <v>705000</v>
      </c>
      <c r="J56" s="12" t="inlineStr">
        <is>
          <t>U</t>
        </is>
      </c>
      <c r="K56" s="13" t="n">
        <v>3</v>
      </c>
      <c r="L56" s="51" t="n"/>
      <c r="M56" s="56">
        <f>'S48'!M56+L56</f>
        <v/>
      </c>
      <c r="N56" s="57">
        <f>IFERROR(M56/K56,0)</f>
        <v/>
      </c>
      <c r="O56" s="58">
        <f>'S48'!N56</f>
        <v/>
      </c>
      <c r="P56" s="57">
        <f>N56-O56</f>
        <v/>
      </c>
      <c r="Q56" s="32" t="n"/>
      <c r="R56" s="32" t="n"/>
      <c r="S56" s="32" t="n"/>
      <c r="T56" s="55" t="n"/>
      <c r="U56" s="58">
        <f>'S48'!T56</f>
        <v/>
      </c>
      <c r="V56" s="57">
        <f>T56-U56</f>
        <v/>
      </c>
      <c r="W56" s="57">
        <f>N56-T56</f>
        <v/>
      </c>
      <c r="X56" s="34" t="n"/>
    </row>
    <row r="57" ht="22" customHeight="1">
      <c r="B57" s="5" t="n">
        <v>53</v>
      </c>
      <c r="C57" s="6" t="inlineStr">
        <is>
          <t>Sidi Kacem</t>
        </is>
      </c>
      <c r="D57" s="5" t="inlineStr">
        <is>
          <t>SIDI EL KAMEL</t>
        </is>
      </c>
      <c r="E57" s="5" t="inlineStr">
        <is>
          <t>50-21</t>
        </is>
      </c>
      <c r="F57" s="5" t="inlineStr">
        <is>
          <t>Entretien et réparation des stations de pompage</t>
        </is>
      </c>
      <c r="G57" s="5" t="inlineStr">
        <is>
          <t>Mur clôture des stations de pompage.</t>
        </is>
      </c>
      <c r="H57" s="5" t="inlineStr">
        <is>
          <t>Stabilisation et reconstruction des murs clôture cote oued des stations de pompage 7A, 3R et 1R.</t>
        </is>
      </c>
      <c r="I57" s="7" t="n">
        <v>372000</v>
      </c>
      <c r="J57" s="8" t="inlineStr">
        <is>
          <t>ml</t>
        </is>
      </c>
      <c r="K57" s="9" t="n">
        <v>124</v>
      </c>
      <c r="L57" s="51" t="n"/>
      <c r="M57" s="52">
        <f>'S48'!M57+L57</f>
        <v/>
      </c>
      <c r="N57" s="53">
        <f>IFERROR(M57/K57,0)</f>
        <v/>
      </c>
      <c r="O57" s="54">
        <f>'S48'!N57</f>
        <v/>
      </c>
      <c r="P57" s="53">
        <f>N57-O57</f>
        <v/>
      </c>
      <c r="Q57" s="32" t="n"/>
      <c r="R57" s="32" t="n"/>
      <c r="S57" s="32" t="n"/>
      <c r="T57" s="55" t="n"/>
      <c r="U57" s="54">
        <f>'S48'!T57</f>
        <v/>
      </c>
      <c r="V57" s="53">
        <f>T57-U57</f>
        <v/>
      </c>
      <c r="W57" s="53">
        <f>N57-T57</f>
        <v/>
      </c>
      <c r="X57" s="34" t="n"/>
    </row>
    <row r="58" ht="22" customHeight="1">
      <c r="B58" s="10" t="n">
        <v>54</v>
      </c>
      <c r="C58" s="14" t="inlineStr">
        <is>
          <t>Kénitra</t>
        </is>
      </c>
      <c r="D58" s="10" t="inlineStr">
        <is>
          <t>Bni malek</t>
        </is>
      </c>
      <c r="E58" s="10" t="inlineStr">
        <is>
          <t>50-23</t>
        </is>
      </c>
      <c r="F58" s="10" t="inlineStr">
        <is>
          <t>Entretien et réparation du réseau d'assainissement et de drainage</t>
        </is>
      </c>
      <c r="G58" s="10" t="inlineStr">
        <is>
          <t>Travaux de curage des canaux en terre</t>
        </is>
      </c>
      <c r="H58" s="10" t="inlineStr">
        <is>
          <t>Curage des emissaires et colatures secondaire au niveau des secteurs MDA ET N9</t>
        </is>
      </c>
      <c r="I58" s="11" t="n">
        <v>10000000</v>
      </c>
      <c r="J58" s="12" t="inlineStr">
        <is>
          <t>ml</t>
        </is>
      </c>
      <c r="K58" s="13" t="n">
        <v>5000</v>
      </c>
      <c r="L58" s="51" t="n"/>
      <c r="M58" s="56">
        <f>'S48'!M58+L58</f>
        <v/>
      </c>
      <c r="N58" s="57">
        <f>IFERROR(M58/K58,0)</f>
        <v/>
      </c>
      <c r="O58" s="58">
        <f>'S48'!N58</f>
        <v/>
      </c>
      <c r="P58" s="57">
        <f>N58-O58</f>
        <v/>
      </c>
      <c r="Q58" s="32" t="n"/>
      <c r="R58" s="32" t="n"/>
      <c r="S58" s="32" t="n"/>
      <c r="T58" s="55" t="n"/>
      <c r="U58" s="58">
        <f>'S48'!T58</f>
        <v/>
      </c>
      <c r="V58" s="57">
        <f>T58-U58</f>
        <v/>
      </c>
      <c r="W58" s="57">
        <f>N58-T58</f>
        <v/>
      </c>
      <c r="X58" s="34" t="n"/>
    </row>
    <row r="59" ht="22" customHeight="1">
      <c r="B59" s="5" t="n">
        <v>55</v>
      </c>
      <c r="C59" s="14" t="inlineStr">
        <is>
          <t>Kénitra</t>
        </is>
      </c>
      <c r="D59" s="5" t="inlineStr">
        <is>
          <t>Bni malek</t>
        </is>
      </c>
      <c r="E59" s="5" t="inlineStr">
        <is>
          <t>40-21</t>
        </is>
      </c>
      <c r="F59" s="5" t="inlineStr">
        <is>
          <t>Travaux de pistes</t>
        </is>
      </c>
      <c r="G59" s="5" t="inlineStr">
        <is>
          <t>Travaux de réhabilitation des pistes agricoles</t>
        </is>
      </c>
      <c r="H59" s="5" t="inlineStr">
        <is>
          <t>Entretien des pistes agricoles des secteurs MDA et N3</t>
        </is>
      </c>
      <c r="I59" s="7" t="n">
        <v>2000000</v>
      </c>
      <c r="J59" s="8" t="inlineStr">
        <is>
          <t>km</t>
        </is>
      </c>
      <c r="K59" s="9" t="n">
        <v>4</v>
      </c>
      <c r="L59" s="51" t="n"/>
      <c r="M59" s="52">
        <f>'S48'!M59+L59</f>
        <v/>
      </c>
      <c r="N59" s="53">
        <f>IFERROR(M59/K59,0)</f>
        <v/>
      </c>
      <c r="O59" s="54">
        <f>'S48'!N59</f>
        <v/>
      </c>
      <c r="P59" s="53">
        <f>N59-O59</f>
        <v/>
      </c>
      <c r="Q59" s="32" t="n"/>
      <c r="R59" s="32" t="n"/>
      <c r="S59" s="32" t="n"/>
      <c r="T59" s="55" t="n"/>
      <c r="U59" s="54">
        <f>'S48'!T59</f>
        <v/>
      </c>
      <c r="V59" s="53">
        <f>T59-U59</f>
        <v/>
      </c>
      <c r="W59" s="53">
        <f>N59-T59</f>
        <v/>
      </c>
      <c r="X59" s="34" t="n"/>
    </row>
    <row r="60" ht="22" customHeight="1">
      <c r="B60" s="10" t="n">
        <v>56</v>
      </c>
      <c r="C60" s="14" t="inlineStr">
        <is>
          <t>Kénitra</t>
        </is>
      </c>
      <c r="D60" s="10" t="inlineStr">
        <is>
          <t>Bni malek</t>
        </is>
      </c>
      <c r="E60" s="10" t="inlineStr">
        <is>
          <t>50-21</t>
        </is>
      </c>
      <c r="F60" s="10" t="inlineStr">
        <is>
          <t>Entretien et réparation des stations de pompage</t>
        </is>
      </c>
      <c r="G60" s="10" t="inlineStr">
        <is>
          <t>Prestations de maintenance et de réparation mécanique des pompes et des groupes motopompes submersibles des stations de pompage.</t>
        </is>
      </c>
      <c r="H60" s="10" t="inlineStr">
        <is>
          <t>station de pompage MDA secteur MDA</t>
        </is>
      </c>
      <c r="I60" s="11" t="n">
        <v>300000</v>
      </c>
      <c r="J60" s="12" t="inlineStr">
        <is>
          <t>U</t>
        </is>
      </c>
      <c r="K60" s="13" t="n">
        <v>1</v>
      </c>
      <c r="L60" s="51" t="n"/>
      <c r="M60" s="56">
        <f>'S48'!M60+L60</f>
        <v/>
      </c>
      <c r="N60" s="57">
        <f>IFERROR(M60/K60,0)</f>
        <v/>
      </c>
      <c r="O60" s="58">
        <f>'S48'!N60</f>
        <v/>
      </c>
      <c r="P60" s="57">
        <f>N60-O60</f>
        <v/>
      </c>
      <c r="Q60" s="32" t="n"/>
      <c r="R60" s="32" t="n"/>
      <c r="S60" s="32" t="n"/>
      <c r="T60" s="55" t="n"/>
      <c r="U60" s="58">
        <f>'S48'!T60</f>
        <v/>
      </c>
      <c r="V60" s="57">
        <f>T60-U60</f>
        <v/>
      </c>
      <c r="W60" s="57">
        <f>N60-T60</f>
        <v/>
      </c>
      <c r="X60" s="34" t="n"/>
    </row>
    <row r="61" ht="22" customHeight="1">
      <c r="B61" s="5" t="n">
        <v>57</v>
      </c>
      <c r="C61" s="14" t="inlineStr">
        <is>
          <t>Kénitra</t>
        </is>
      </c>
      <c r="D61" s="5" t="inlineStr">
        <is>
          <t>Bni malek</t>
        </is>
      </c>
      <c r="E61" s="5" t="inlineStr">
        <is>
          <t>20-11</t>
        </is>
      </c>
      <c r="F61" s="5" t="inlineStr">
        <is>
          <t>Travaux de réhabilitation des équipements</t>
        </is>
      </c>
      <c r="G61" s="5" t="inlineStr">
        <is>
          <t>Travaux de réhabilitation des ouvrages de génie civil</t>
        </is>
      </c>
      <c r="H61" s="5" t="inlineStr">
        <is>
          <t>Rétablissement des bornes affaissées des secteurs N2 et N3</t>
        </is>
      </c>
      <c r="I61" s="7" t="n">
        <v>100000</v>
      </c>
      <c r="J61" s="8" t="inlineStr">
        <is>
          <t>U</t>
        </is>
      </c>
      <c r="K61" s="9" t="n">
        <v>200</v>
      </c>
      <c r="L61" s="51" t="n"/>
      <c r="M61" s="52">
        <f>'S48'!M61+L61</f>
        <v/>
      </c>
      <c r="N61" s="53">
        <f>IFERROR(M61/K61,0)</f>
        <v/>
      </c>
      <c r="O61" s="54">
        <f>'S48'!N61</f>
        <v/>
      </c>
      <c r="P61" s="53">
        <f>N61-O61</f>
        <v/>
      </c>
      <c r="Q61" s="32" t="n"/>
      <c r="R61" s="32" t="n"/>
      <c r="S61" s="32" t="n"/>
      <c r="T61" s="55" t="n"/>
      <c r="U61" s="54">
        <f>'S48'!T61</f>
        <v/>
      </c>
      <c r="V61" s="53">
        <f>T61-U61</f>
        <v/>
      </c>
      <c r="W61" s="53">
        <f>N61-T61</f>
        <v/>
      </c>
      <c r="X61" s="34" t="n"/>
    </row>
    <row r="62" ht="22" customHeight="1">
      <c r="B62" s="10" t="n">
        <v>58</v>
      </c>
      <c r="C62" s="14" t="inlineStr">
        <is>
          <t>Kénitra</t>
        </is>
      </c>
      <c r="D62" s="10" t="inlineStr">
        <is>
          <t>SOUK TLET</t>
        </is>
      </c>
      <c r="E62" s="10" t="inlineStr">
        <is>
          <t>50-23</t>
        </is>
      </c>
      <c r="F62" s="10" t="inlineStr">
        <is>
          <t>Entretien et réparation du réseau d'assainissement et de drainage</t>
        </is>
      </c>
      <c r="G62" s="10" t="inlineStr">
        <is>
          <t>Travaux de curage des canaux en terre</t>
        </is>
      </c>
      <c r="H62" s="10" t="inlineStr">
        <is>
          <t>curage des emissaires et colatures secondaire au niveau des secteurs N2,N3 ET N4,</t>
        </is>
      </c>
      <c r="I62" s="11" t="n">
        <v>3000000</v>
      </c>
      <c r="J62" s="12" t="inlineStr">
        <is>
          <t>ml</t>
        </is>
      </c>
      <c r="K62" s="13" t="n">
        <v>1500</v>
      </c>
      <c r="L62" s="51" t="n"/>
      <c r="M62" s="56">
        <f>'S48'!M62+L62</f>
        <v/>
      </c>
      <c r="N62" s="57">
        <f>IFERROR(M62/K62,0)</f>
        <v/>
      </c>
      <c r="O62" s="58">
        <f>'S48'!N62</f>
        <v/>
      </c>
      <c r="P62" s="57">
        <f>N62-O62</f>
        <v/>
      </c>
      <c r="Q62" s="32" t="n"/>
      <c r="R62" s="32" t="n"/>
      <c r="S62" s="32" t="n"/>
      <c r="T62" s="55" t="n"/>
      <c r="U62" s="58">
        <f>'S48'!T62</f>
        <v/>
      </c>
      <c r="V62" s="57">
        <f>T62-U62</f>
        <v/>
      </c>
      <c r="W62" s="57">
        <f>N62-T62</f>
        <v/>
      </c>
      <c r="X62" s="34" t="n"/>
    </row>
    <row r="63" ht="22" customHeight="1">
      <c r="B63" s="5" t="n">
        <v>59</v>
      </c>
      <c r="C63" s="14" t="inlineStr">
        <is>
          <t>Kénitra</t>
        </is>
      </c>
      <c r="D63" s="5" t="inlineStr">
        <is>
          <t>SOUK TLET</t>
        </is>
      </c>
      <c r="E63" s="5" t="inlineStr">
        <is>
          <t>40-21</t>
        </is>
      </c>
      <c r="F63" s="5" t="inlineStr">
        <is>
          <t>Travaux de pistes</t>
        </is>
      </c>
      <c r="G63" s="5" t="inlineStr">
        <is>
          <t>Travaux de réhabilitation des pistes agricoles</t>
        </is>
      </c>
      <c r="H63" s="5" t="inlineStr">
        <is>
          <t>Entretien des pistes des secteurs N2,N3,N4 et C4R,</t>
        </is>
      </c>
      <c r="I63" s="7" t="n">
        <v>5000000</v>
      </c>
      <c r="J63" s="8" t="inlineStr">
        <is>
          <t>U</t>
        </is>
      </c>
      <c r="K63" s="9" t="n">
        <v>1</v>
      </c>
      <c r="L63" s="51" t="n"/>
      <c r="M63" s="52">
        <f>'S48'!M63+L63</f>
        <v/>
      </c>
      <c r="N63" s="53">
        <f>IFERROR(M63/K63,0)</f>
        <v/>
      </c>
      <c r="O63" s="54">
        <f>'S48'!N63</f>
        <v/>
      </c>
      <c r="P63" s="53">
        <f>N63-O63</f>
        <v/>
      </c>
      <c r="Q63" s="32" t="n"/>
      <c r="R63" s="32" t="n"/>
      <c r="S63" s="32" t="n"/>
      <c r="T63" s="55" t="n"/>
      <c r="U63" s="54">
        <f>'S48'!T63</f>
        <v/>
      </c>
      <c r="V63" s="53">
        <f>T63-U63</f>
        <v/>
      </c>
      <c r="W63" s="53">
        <f>N63-T63</f>
        <v/>
      </c>
      <c r="X63" s="34" t="n"/>
    </row>
    <row r="64" ht="22" customHeight="1">
      <c r="B64" s="10" t="n">
        <v>60</v>
      </c>
      <c r="C64" s="14" t="inlineStr">
        <is>
          <t>Kénitra</t>
        </is>
      </c>
      <c r="D64" s="10" t="inlineStr">
        <is>
          <t>Sidi Med Lahmar</t>
        </is>
      </c>
      <c r="E64" s="10" t="inlineStr">
        <is>
          <t>50-23</t>
        </is>
      </c>
      <c r="F64" s="10" t="inlineStr">
        <is>
          <t>Entretien et réparation du réseau d'assainissement et de drainage</t>
        </is>
      </c>
      <c r="G64" s="10" t="inlineStr">
        <is>
          <t>Travaux de curage des canaux en terre</t>
        </is>
      </c>
      <c r="H64" s="10" t="inlineStr">
        <is>
          <t>Curage des emissaires et colatures secondaires secteurs N1</t>
        </is>
      </c>
      <c r="I64" s="11" t="n">
        <v>3000000</v>
      </c>
      <c r="J64" s="12" t="inlineStr">
        <is>
          <t>ml</t>
        </is>
      </c>
      <c r="K64" s="13" t="n">
        <v>1500</v>
      </c>
      <c r="L64" s="51" t="n"/>
      <c r="M64" s="56">
        <f>'S48'!M64+L64</f>
        <v/>
      </c>
      <c r="N64" s="57">
        <f>IFERROR(M64/K64,0)</f>
        <v/>
      </c>
      <c r="O64" s="58">
        <f>'S48'!N64</f>
        <v/>
      </c>
      <c r="P64" s="57">
        <f>N64-O64</f>
        <v/>
      </c>
      <c r="Q64" s="32" t="n"/>
      <c r="R64" s="32" t="n"/>
      <c r="S64" s="32" t="n"/>
      <c r="T64" s="55" t="n"/>
      <c r="U64" s="58">
        <f>'S48'!T64</f>
        <v/>
      </c>
      <c r="V64" s="57">
        <f>T64-U64</f>
        <v/>
      </c>
      <c r="W64" s="57">
        <f>N64-T64</f>
        <v/>
      </c>
      <c r="X64" s="34" t="n"/>
    </row>
    <row r="65" ht="22" customHeight="1">
      <c r="B65" s="5" t="n">
        <v>61</v>
      </c>
      <c r="C65" s="14" t="inlineStr">
        <is>
          <t>Kénitra</t>
        </is>
      </c>
      <c r="D65" s="5" t="inlineStr">
        <is>
          <t>Sidi Med Lahmar</t>
        </is>
      </c>
      <c r="E65" s="5" t="inlineStr">
        <is>
          <t>40-21</t>
        </is>
      </c>
      <c r="F65" s="5" t="inlineStr">
        <is>
          <t>Travaux de pistes</t>
        </is>
      </c>
      <c r="G65" s="5" t="inlineStr">
        <is>
          <t>Travaux de réhabilitation des pistes agricoles</t>
        </is>
      </c>
      <c r="H65" s="5" t="inlineStr">
        <is>
          <t>Entretien des pistes agricoles des secteurs N9 et N1</t>
        </is>
      </c>
      <c r="I65" s="7" t="n">
        <v>3000000</v>
      </c>
      <c r="J65" s="8" t="inlineStr">
        <is>
          <t>km</t>
        </is>
      </c>
      <c r="K65" s="9" t="n">
        <v>6</v>
      </c>
      <c r="L65" s="51" t="n"/>
      <c r="M65" s="52">
        <f>'S48'!M65+L65</f>
        <v/>
      </c>
      <c r="N65" s="53">
        <f>IFERROR(M65/K65,0)</f>
        <v/>
      </c>
      <c r="O65" s="54">
        <f>'S48'!N65</f>
        <v/>
      </c>
      <c r="P65" s="53">
        <f>N65-O65</f>
        <v/>
      </c>
      <c r="Q65" s="32" t="n"/>
      <c r="R65" s="32" t="n"/>
      <c r="S65" s="32" t="n"/>
      <c r="T65" s="55" t="n"/>
      <c r="U65" s="54">
        <f>'S48'!T65</f>
        <v/>
      </c>
      <c r="V65" s="53">
        <f>T65-U65</f>
        <v/>
      </c>
      <c r="W65" s="53">
        <f>N65-T65</f>
        <v/>
      </c>
      <c r="X65" s="34" t="n"/>
    </row>
    <row r="66" ht="22" customHeight="1">
      <c r="B66" s="10" t="n">
        <v>62</v>
      </c>
      <c r="C66" s="14" t="inlineStr">
        <is>
          <t>Kénitra</t>
        </is>
      </c>
      <c r="D66" s="10" t="inlineStr">
        <is>
          <t>Mograne</t>
        </is>
      </c>
      <c r="E66" s="10" t="inlineStr">
        <is>
          <t>50-23</t>
        </is>
      </c>
      <c r="F66" s="10" t="inlineStr">
        <is>
          <t>Entretien et réparation du réseau d'assainissement et de drainage</t>
        </is>
      </c>
      <c r="G66" s="10" t="inlineStr">
        <is>
          <t>Travaux de curage des canaux en terre</t>
        </is>
      </c>
      <c r="H66" s="10" t="inlineStr">
        <is>
          <t>Curage des canaux d'assainissement Hors secteur équipé ghoufera et laison beht sebou ,</t>
        </is>
      </c>
      <c r="I66" s="11" t="n">
        <v>6000000</v>
      </c>
      <c r="J66" s="12" t="inlineStr">
        <is>
          <t>ml</t>
        </is>
      </c>
      <c r="K66" s="13" t="n">
        <v>3000</v>
      </c>
      <c r="L66" s="51" t="n"/>
      <c r="M66" s="56">
        <f>'S48'!M66+L66</f>
        <v/>
      </c>
      <c r="N66" s="57">
        <f>IFERROR(M66/K66,0)</f>
        <v/>
      </c>
      <c r="O66" s="58">
        <f>'S48'!N66</f>
        <v/>
      </c>
      <c r="P66" s="57">
        <f>N66-O66</f>
        <v/>
      </c>
      <c r="Q66" s="32" t="n"/>
      <c r="R66" s="32" t="n"/>
      <c r="S66" s="32" t="n"/>
      <c r="T66" s="55" t="n"/>
      <c r="U66" s="58">
        <f>'S48'!T66</f>
        <v/>
      </c>
      <c r="V66" s="57">
        <f>T66-U66</f>
        <v/>
      </c>
      <c r="W66" s="57">
        <f>N66-T66</f>
        <v/>
      </c>
      <c r="X66" s="34" t="n"/>
    </row>
    <row r="67" ht="22" customHeight="1">
      <c r="B67" s="5" t="n">
        <v>63</v>
      </c>
      <c r="C67" s="14" t="inlineStr">
        <is>
          <t>Kénitra</t>
        </is>
      </c>
      <c r="D67" s="5" t="inlineStr">
        <is>
          <t>Mograne</t>
        </is>
      </c>
      <c r="E67" s="5" t="inlineStr">
        <is>
          <t>40-21</t>
        </is>
      </c>
      <c r="F67" s="5" t="inlineStr">
        <is>
          <t>Travaux de pistes</t>
        </is>
      </c>
      <c r="G67" s="5" t="inlineStr">
        <is>
          <t>Travaux de réhabilitation des pistes agricoles</t>
        </is>
      </c>
      <c r="H67" s="5" t="inlineStr">
        <is>
          <t>Entretien des pistes agricoles des secteurs SEBOU1,SEBOU2? BEHT3 et BEHT4</t>
        </is>
      </c>
      <c r="I67" s="7" t="n">
        <v>6000000</v>
      </c>
      <c r="J67" s="8" t="inlineStr">
        <is>
          <t>km</t>
        </is>
      </c>
      <c r="K67" s="9" t="n">
        <v>12</v>
      </c>
      <c r="L67" s="51" t="n"/>
      <c r="M67" s="52">
        <f>'S48'!M67+L67</f>
        <v/>
      </c>
      <c r="N67" s="53">
        <f>IFERROR(M67/K67,0)</f>
        <v/>
      </c>
      <c r="O67" s="54">
        <f>'S48'!N67</f>
        <v/>
      </c>
      <c r="P67" s="53">
        <f>N67-O67</f>
        <v/>
      </c>
      <c r="Q67" s="32" t="n"/>
      <c r="R67" s="32" t="n"/>
      <c r="S67" s="32" t="n"/>
      <c r="T67" s="55" t="n"/>
      <c r="U67" s="54">
        <f>'S48'!T67</f>
        <v/>
      </c>
      <c r="V67" s="53">
        <f>T67-U67</f>
        <v/>
      </c>
      <c r="W67" s="53">
        <f>N67-T67</f>
        <v/>
      </c>
      <c r="X67" s="34" t="n"/>
    </row>
    <row r="68" ht="22" customHeight="1">
      <c r="B68" s="10" t="n">
        <v>64</v>
      </c>
      <c r="C68" s="14" t="inlineStr">
        <is>
          <t>Kénitra</t>
        </is>
      </c>
      <c r="D68" s="10" t="inlineStr">
        <is>
          <t>Sidi allal tazi</t>
        </is>
      </c>
      <c r="E68" s="10" t="inlineStr">
        <is>
          <t>50-23</t>
        </is>
      </c>
      <c r="F68" s="10" t="inlineStr">
        <is>
          <t>Entretien et réparation du réseau d'assainissement et de drainage</t>
        </is>
      </c>
      <c r="G68" s="10" t="inlineStr">
        <is>
          <t>Travaux de curage des canaux en terre</t>
        </is>
      </c>
      <c r="H68" s="10" t="inlineStr">
        <is>
          <t>Curage du canaL d'assainissement CK,</t>
        </is>
      </c>
      <c r="I68" s="11" t="n">
        <v>3000000</v>
      </c>
      <c r="J68" s="12" t="inlineStr">
        <is>
          <t>ml</t>
        </is>
      </c>
      <c r="K68" s="13" t="n">
        <v>1500</v>
      </c>
      <c r="L68" s="51" t="n"/>
      <c r="M68" s="56">
        <f>'S48'!M68+L68</f>
        <v/>
      </c>
      <c r="N68" s="57">
        <f>IFERROR(M68/K68,0)</f>
        <v/>
      </c>
      <c r="O68" s="58">
        <f>'S48'!N68</f>
        <v/>
      </c>
      <c r="P68" s="57">
        <f>N68-O68</f>
        <v/>
      </c>
      <c r="Q68" s="32" t="n"/>
      <c r="R68" s="32" t="n"/>
      <c r="S68" s="32" t="n"/>
      <c r="T68" s="55" t="n"/>
      <c r="U68" s="58">
        <f>'S48'!T68</f>
        <v/>
      </c>
      <c r="V68" s="57">
        <f>T68-U68</f>
        <v/>
      </c>
      <c r="W68" s="57">
        <f>N68-T68</f>
        <v/>
      </c>
      <c r="X68" s="34" t="n"/>
    </row>
    <row r="69" ht="22" customHeight="1">
      <c r="B69" s="5" t="n">
        <v>65</v>
      </c>
      <c r="C69" s="14" t="inlineStr">
        <is>
          <t>Kénitra</t>
        </is>
      </c>
      <c r="D69" s="5" t="inlineStr">
        <is>
          <t>AMEUR SAFLIA</t>
        </is>
      </c>
      <c r="E69" s="5" t="inlineStr">
        <is>
          <t>50-23</t>
        </is>
      </c>
      <c r="F69" s="5" t="inlineStr">
        <is>
          <t>Entretien et réparation du réseau d'assainissement et de drainage</t>
        </is>
      </c>
      <c r="G69" s="5" t="inlineStr">
        <is>
          <t>Travaux de curage des canaux en terre</t>
        </is>
      </c>
      <c r="H69" s="5" t="inlineStr">
        <is>
          <t>Curage des canaux d'assainissement amontTtiflt Sebou,</t>
        </is>
      </c>
      <c r="I69" s="7" t="n">
        <v>1000000</v>
      </c>
      <c r="J69" s="8" t="inlineStr">
        <is>
          <t>ml</t>
        </is>
      </c>
      <c r="K69" s="9" t="n">
        <v>500</v>
      </c>
      <c r="L69" s="51" t="n"/>
      <c r="M69" s="52">
        <f>'S48'!M69+L69</f>
        <v/>
      </c>
      <c r="N69" s="53">
        <f>IFERROR(M69/K69,0)</f>
        <v/>
      </c>
      <c r="O69" s="54">
        <f>'S48'!N69</f>
        <v/>
      </c>
      <c r="P69" s="53">
        <f>N69-O69</f>
        <v/>
      </c>
      <c r="Q69" s="32" t="n"/>
      <c r="R69" s="32" t="n"/>
      <c r="S69" s="32" t="n"/>
      <c r="T69" s="55" t="n"/>
      <c r="U69" s="54">
        <f>'S48'!T69</f>
        <v/>
      </c>
      <c r="V69" s="53">
        <f>T69-U69</f>
        <v/>
      </c>
      <c r="W69" s="53">
        <f>N69-T69</f>
        <v/>
      </c>
      <c r="X69" s="34" t="n"/>
    </row>
    <row r="70" ht="22" customHeight="1">
      <c r="B70" s="10" t="n">
        <v>66</v>
      </c>
      <c r="C70" s="14" t="inlineStr">
        <is>
          <t>Kénitra</t>
        </is>
      </c>
      <c r="D70" s="10" t="inlineStr">
        <is>
          <t>Oulad SLAMA</t>
        </is>
      </c>
      <c r="E70" s="10" t="inlineStr">
        <is>
          <t>50-23</t>
        </is>
      </c>
      <c r="F70" s="10" t="inlineStr">
        <is>
          <t>Entretien et réparation du réseau d'assainissement et de drainage</t>
        </is>
      </c>
      <c r="G70" s="10" t="inlineStr">
        <is>
          <t>Travaux de curage des canaux en terre</t>
        </is>
      </c>
      <c r="H70" s="10" t="inlineStr">
        <is>
          <t>Curage des canaux d'assainissement debouche Tiflt aval,</t>
        </is>
      </c>
      <c r="I70" s="11" t="n">
        <v>1000000</v>
      </c>
      <c r="J70" s="12" t="inlineStr">
        <is>
          <t>ml</t>
        </is>
      </c>
      <c r="K70" s="13" t="n">
        <v>500</v>
      </c>
      <c r="L70" s="51" t="n"/>
      <c r="M70" s="56">
        <f>'S48'!M70+L70</f>
        <v/>
      </c>
      <c r="N70" s="57">
        <f>IFERROR(M70/K70,0)</f>
        <v/>
      </c>
      <c r="O70" s="58">
        <f>'S48'!N70</f>
        <v/>
      </c>
      <c r="P70" s="57">
        <f>N70-O70</f>
        <v/>
      </c>
      <c r="Q70" s="32" t="n"/>
      <c r="R70" s="32" t="n"/>
      <c r="S70" s="32" t="n"/>
      <c r="T70" s="55" t="n"/>
      <c r="U70" s="58">
        <f>'S48'!T70</f>
        <v/>
      </c>
      <c r="V70" s="57">
        <f>T70-U70</f>
        <v/>
      </c>
      <c r="W70" s="57">
        <f>N70-T70</f>
        <v/>
      </c>
      <c r="X70" s="34" t="n"/>
    </row>
    <row r="71" ht="22" customHeight="1">
      <c r="B71" s="5" t="n">
        <v>67</v>
      </c>
      <c r="C71" s="14" t="inlineStr">
        <is>
          <t>Kénitra</t>
        </is>
      </c>
      <c r="D71" s="5" t="inlineStr">
        <is>
          <t>BHARA Oulad AYAD</t>
        </is>
      </c>
      <c r="E71" s="5" t="inlineStr">
        <is>
          <t>50-23</t>
        </is>
      </c>
      <c r="F71" s="5" t="inlineStr">
        <is>
          <t>Entretien et réparation du réseau d'assainissement et de drainage</t>
        </is>
      </c>
      <c r="G71" s="5" t="inlineStr">
        <is>
          <t>Travaux de curage des canaux en terre</t>
        </is>
      </c>
      <c r="H71" s="5" t="inlineStr">
        <is>
          <t>Curage des canaux d'assainissement canal nador bas et haut segmet,</t>
        </is>
      </c>
      <c r="I71" s="7" t="n">
        <v>6600000</v>
      </c>
      <c r="J71" s="8" t="inlineStr">
        <is>
          <t>ml</t>
        </is>
      </c>
      <c r="K71" s="9" t="n">
        <v>3300</v>
      </c>
      <c r="L71" s="51" t="n"/>
      <c r="M71" s="52">
        <f>'S48'!M71+L71</f>
        <v/>
      </c>
      <c r="N71" s="53">
        <f>IFERROR(M71/K71,0)</f>
        <v/>
      </c>
      <c r="O71" s="54">
        <f>'S48'!N71</f>
        <v/>
      </c>
      <c r="P71" s="53">
        <f>N71-O71</f>
        <v/>
      </c>
      <c r="Q71" s="32" t="n"/>
      <c r="R71" s="32" t="n"/>
      <c r="S71" s="32" t="n"/>
      <c r="T71" s="55" t="n"/>
      <c r="U71" s="54">
        <f>'S48'!T71</f>
        <v/>
      </c>
      <c r="V71" s="53">
        <f>T71-U71</f>
        <v/>
      </c>
      <c r="W71" s="53">
        <f>N71-T71</f>
        <v/>
      </c>
      <c r="X71" s="34" t="n"/>
    </row>
    <row r="72" ht="22" customHeight="1">
      <c r="B72" s="10" t="n">
        <v>68</v>
      </c>
      <c r="C72" s="15" t="inlineStr">
        <is>
          <t>Sidi Slimane</t>
        </is>
      </c>
      <c r="D72" s="10" t="inlineStr">
        <is>
          <t>OULED HCEINE</t>
        </is>
      </c>
      <c r="E72" s="10" t="inlineStr">
        <is>
          <t>50-23</t>
        </is>
      </c>
      <c r="F72" s="10" t="inlineStr">
        <is>
          <t>Entretien et réparation du réseau d'assainissement et de drainage</t>
        </is>
      </c>
      <c r="G72" s="10" t="inlineStr">
        <is>
          <t>Travaux de curage des canaux en terre</t>
        </is>
      </c>
      <c r="H72" s="10" t="inlineStr">
        <is>
          <t>Curage des collecteurs d'assainissement du secteur EST4.</t>
        </is>
      </c>
      <c r="I72" s="11" t="n">
        <v>1805475</v>
      </c>
      <c r="J72" s="12" t="inlineStr">
        <is>
          <t>ml</t>
        </is>
      </c>
      <c r="K72" s="13" t="n">
        <v>903</v>
      </c>
      <c r="L72" s="51" t="n"/>
      <c r="M72" s="56">
        <f>'S48'!M72+L72</f>
        <v/>
      </c>
      <c r="N72" s="57">
        <f>IFERROR(M72/K72,0)</f>
        <v/>
      </c>
      <c r="O72" s="58">
        <f>'S48'!N72</f>
        <v/>
      </c>
      <c r="P72" s="57">
        <f>N72-O72</f>
        <v/>
      </c>
      <c r="Q72" s="32" t="n"/>
      <c r="R72" s="32" t="n"/>
      <c r="S72" s="32" t="n"/>
      <c r="T72" s="55" t="n"/>
      <c r="U72" s="58">
        <f>'S48'!T72</f>
        <v/>
      </c>
      <c r="V72" s="57">
        <f>T72-U72</f>
        <v/>
      </c>
      <c r="W72" s="57">
        <f>N72-T72</f>
        <v/>
      </c>
      <c r="X72" s="34" t="n"/>
    </row>
    <row r="73" ht="22" customHeight="1">
      <c r="B73" s="5" t="n">
        <v>69</v>
      </c>
      <c r="C73" s="15" t="inlineStr">
        <is>
          <t>Sidi Slimane</t>
        </is>
      </c>
      <c r="D73" s="5" t="inlineStr">
        <is>
          <t>OULED HCEINE</t>
        </is>
      </c>
      <c r="E73" s="5" t="inlineStr">
        <is>
          <t>50-23</t>
        </is>
      </c>
      <c r="F73" s="5" t="inlineStr">
        <is>
          <t>Entretien et réparation du réseau d'assainissement et de drainage</t>
        </is>
      </c>
      <c r="G73" s="5" t="inlineStr">
        <is>
          <t>Travaux de curage des canaux en terre</t>
        </is>
      </c>
      <c r="H73" s="5" t="inlineStr">
        <is>
          <t>Curage du canal d'assainissement Tihli central.</t>
        </is>
      </c>
      <c r="I73" s="7" t="n">
        <v>2587200</v>
      </c>
      <c r="J73" s="8" t="inlineStr">
        <is>
          <t>ml</t>
        </is>
      </c>
      <c r="K73" s="9" t="n">
        <v>1294</v>
      </c>
      <c r="L73" s="51" t="n"/>
      <c r="M73" s="52">
        <f>'S48'!M73+L73</f>
        <v/>
      </c>
      <c r="N73" s="53">
        <f>IFERROR(M73/K73,0)</f>
        <v/>
      </c>
      <c r="O73" s="54">
        <f>'S48'!N73</f>
        <v/>
      </c>
      <c r="P73" s="53">
        <f>N73-O73</f>
        <v/>
      </c>
      <c r="Q73" s="32" t="n"/>
      <c r="R73" s="32" t="n"/>
      <c r="S73" s="32" t="n"/>
      <c r="T73" s="55" t="n"/>
      <c r="U73" s="54">
        <f>'S48'!T73</f>
        <v/>
      </c>
      <c r="V73" s="53">
        <f>T73-U73</f>
        <v/>
      </c>
      <c r="W73" s="53">
        <f>N73-T73</f>
        <v/>
      </c>
      <c r="X73" s="34" t="n"/>
    </row>
    <row r="74" ht="22" customHeight="1">
      <c r="B74" s="10" t="n">
        <v>70</v>
      </c>
      <c r="C74" s="15" t="inlineStr">
        <is>
          <t>Sidi Slimane</t>
        </is>
      </c>
      <c r="D74" s="10" t="inlineStr">
        <is>
          <t>OULED HCEINE</t>
        </is>
      </c>
      <c r="E74" s="10" t="inlineStr">
        <is>
          <t>40-21</t>
        </is>
      </c>
      <c r="F74" s="10" t="inlineStr">
        <is>
          <t>Travaux de pistes</t>
        </is>
      </c>
      <c r="G74" s="10" t="inlineStr">
        <is>
          <t>Travaux de réhabilitation des pistes agricoles</t>
        </is>
      </c>
      <c r="H74" s="10" t="inlineStr">
        <is>
          <t>Entretien des pistes agricoles</t>
        </is>
      </c>
      <c r="I74" s="11" t="n">
        <v>3500000</v>
      </c>
      <c r="J74" s="12" t="inlineStr">
        <is>
          <t>km</t>
        </is>
      </c>
      <c r="K74" s="13" t="n">
        <v>7</v>
      </c>
      <c r="L74" s="51" t="n"/>
      <c r="M74" s="56">
        <f>'S48'!M74+L74</f>
        <v/>
      </c>
      <c r="N74" s="57">
        <f>IFERROR(M74/K74,0)</f>
        <v/>
      </c>
      <c r="O74" s="58">
        <f>'S48'!N74</f>
        <v/>
      </c>
      <c r="P74" s="57">
        <f>N74-O74</f>
        <v/>
      </c>
      <c r="Q74" s="32" t="n"/>
      <c r="R74" s="32" t="n"/>
      <c r="S74" s="32" t="n"/>
      <c r="T74" s="55" t="n"/>
      <c r="U74" s="58">
        <f>'S48'!T74</f>
        <v/>
      </c>
      <c r="V74" s="57">
        <f>T74-U74</f>
        <v/>
      </c>
      <c r="W74" s="57">
        <f>N74-T74</f>
        <v/>
      </c>
      <c r="X74" s="34" t="n"/>
    </row>
    <row r="75" ht="22" customHeight="1">
      <c r="B75" s="5" t="n">
        <v>71</v>
      </c>
      <c r="C75" s="15" t="inlineStr">
        <is>
          <t>Sidi Slimane</t>
        </is>
      </c>
      <c r="D75" s="5" t="inlineStr">
        <is>
          <t>OULED HCEINE</t>
        </is>
      </c>
      <c r="E75" s="5" t="inlineStr">
        <is>
          <t>50-21</t>
        </is>
      </c>
      <c r="F75" s="5" t="inlineStr">
        <is>
          <t>Entretien et réparation des stations de pompage</t>
        </is>
      </c>
      <c r="G75" s="5" t="inlineStr">
        <is>
          <t>Travaux de réparation des équipements hydromécaniques et éléctriques et entretien de la partie génie civil des stations de pompage.</t>
        </is>
      </c>
      <c r="H75" s="5" t="inlineStr">
        <is>
          <t>Démontage et expertise des roues des  pompes principaux et pompes a vide de la station EST4 et P11/2.
Changement des roulements, tresses et organes d’effectués de la station EST4 et P11/2
Changement deux débitmètre Ø 1200 mm de la station EST4 et un débimétre de la station P11/2.
Changement des capteurs de niveau inondés.
Révision et réparation des moteurs des vannes motorisées inondées.
changement de six contrôleurs de débits DW181 inondés.
Un capteur de débitmètre inondé nécessitent un diagnostic VEGASON  .
Entretien de l'éclairage du local de vide et bâche d’aspiration inondé de la station EST4 et la partie de l’éclairage du local des pompes inondées de la station P11/2.
Pose de gabions et recouvrement du talus par matelas Reno des stations de pompage P11/2</t>
        </is>
      </c>
      <c r="I75" s="7" t="n">
        <v>870000</v>
      </c>
      <c r="J75" s="8" t="inlineStr">
        <is>
          <t>U</t>
        </is>
      </c>
      <c r="K75" s="9" t="n">
        <v>4</v>
      </c>
      <c r="L75" s="51" t="n"/>
      <c r="M75" s="52">
        <f>'S48'!M75+L75</f>
        <v/>
      </c>
      <c r="N75" s="53">
        <f>IFERROR(M75/K75,0)</f>
        <v/>
      </c>
      <c r="O75" s="54">
        <f>'S48'!N75</f>
        <v/>
      </c>
      <c r="P75" s="53">
        <f>N75-O75</f>
        <v/>
      </c>
      <c r="Q75" s="32" t="n"/>
      <c r="R75" s="32" t="n"/>
      <c r="S75" s="32" t="n"/>
      <c r="T75" s="55" t="n"/>
      <c r="U75" s="54">
        <f>'S48'!T75</f>
        <v/>
      </c>
      <c r="V75" s="53">
        <f>T75-U75</f>
        <v/>
      </c>
      <c r="W75" s="53">
        <f>N75-T75</f>
        <v/>
      </c>
      <c r="X75" s="34" t="n"/>
    </row>
    <row r="76" ht="22" customHeight="1">
      <c r="B76" s="10" t="n">
        <v>72</v>
      </c>
      <c r="C76" s="15" t="inlineStr">
        <is>
          <t>Sidi Slimane</t>
        </is>
      </c>
      <c r="D76" s="10" t="inlineStr">
        <is>
          <t>OULED HCEINE</t>
        </is>
      </c>
      <c r="E76" s="10" t="inlineStr">
        <is>
          <t>50-23</t>
        </is>
      </c>
      <c r="F76" s="10" t="inlineStr">
        <is>
          <t>Entretien et réparation du réseau d'assainissement et de drainage</t>
        </is>
      </c>
      <c r="G76" s="10" t="inlineStr">
        <is>
          <t>Travaux de curage des prises des stations de pompage.</t>
        </is>
      </c>
      <c r="H76" s="10" t="inlineStr">
        <is>
          <t>Curage des siphones des station de pompage EST2 et P11/2.</t>
        </is>
      </c>
      <c r="I76" s="11" t="n">
        <v>500000</v>
      </c>
      <c r="J76" s="12" t="inlineStr">
        <is>
          <t>ml</t>
        </is>
      </c>
      <c r="K76" s="13" t="n">
        <v>167</v>
      </c>
      <c r="L76" s="51" t="n"/>
      <c r="M76" s="56">
        <f>'S48'!M76+L76</f>
        <v/>
      </c>
      <c r="N76" s="57">
        <f>IFERROR(M76/K76,0)</f>
        <v/>
      </c>
      <c r="O76" s="58">
        <f>'S48'!N76</f>
        <v/>
      </c>
      <c r="P76" s="57">
        <f>N76-O76</f>
        <v/>
      </c>
      <c r="Q76" s="32" t="n"/>
      <c r="R76" s="32" t="n"/>
      <c r="S76" s="32" t="n"/>
      <c r="T76" s="55" t="n"/>
      <c r="U76" s="58">
        <f>'S48'!T76</f>
        <v/>
      </c>
      <c r="V76" s="57">
        <f>T76-U76</f>
        <v/>
      </c>
      <c r="W76" s="57">
        <f>N76-T76</f>
        <v/>
      </c>
      <c r="X76" s="34" t="n"/>
    </row>
    <row r="77" ht="26" customHeight="1">
      <c r="B77" s="16" t="inlineStr">
        <is>
          <t>TOTAL</t>
        </is>
      </c>
      <c r="C77" s="16" t="n"/>
      <c r="D77" s="16" t="n"/>
      <c r="E77" s="16" t="n"/>
      <c r="F77" s="16" t="n"/>
      <c r="G77" s="16" t="n"/>
      <c r="H77" s="16" t="n"/>
      <c r="I77" s="17">
        <f>SUM(I5:I76)</f>
        <v/>
      </c>
      <c r="J77" s="16" t="n"/>
      <c r="K77" s="16" t="n"/>
      <c r="L77" s="59">
        <f>SUM(L5:L76)</f>
        <v/>
      </c>
      <c r="M77" s="59">
        <f>SUM(M5:M76)</f>
        <v/>
      </c>
      <c r="N77" s="60">
        <f>IFERROR(SUMPRODUCT(N5:N76,I5:I76)/I77,0)</f>
        <v/>
      </c>
      <c r="O77" s="60">
        <f>IFERROR(SUMPRODUCT(O5:O76,I5:I76)/I77,0)</f>
        <v/>
      </c>
      <c r="P77" s="60">
        <f>N77-O77</f>
        <v/>
      </c>
      <c r="Q77" s="17">
        <f>SUM(Q5:Q76)</f>
        <v/>
      </c>
      <c r="R77" s="17">
        <f>SUM(R5:R76)</f>
        <v/>
      </c>
      <c r="S77" s="17">
        <f>SUM(S5:S76)</f>
        <v/>
      </c>
      <c r="T77" s="60">
        <f>IFERROR(SUMPRODUCT(T5:T76,I5:I76)/I77,0)</f>
        <v/>
      </c>
      <c r="U77" s="60">
        <f>IFERROR(SUMPRODUCT(U5:U76,I5:I76)/I77,0)</f>
        <v/>
      </c>
      <c r="V77" s="60">
        <f>T77-U77</f>
        <v/>
      </c>
      <c r="W77" s="60">
        <f>N77-T77</f>
        <v/>
      </c>
      <c r="X77" s="16" t="n"/>
    </row>
  </sheetData>
  <sheetProtection selectLockedCells="0" selectUnlockedCells="0" sheet="1" objects="0" insertRows="1" insertHyperlinks="1" autoFilter="1" scenarios="0" formatColumns="1" deleteColumns="1" insertColumns="1" pivotTables="1" deleteRows="1" formatCells="1" formatRows="1" sort="1" password="CBBE"/>
  <mergeCells count="6">
    <mergeCell ref="E3:I3"/>
    <mergeCell ref="W3:X3"/>
    <mergeCell ref="J3:P3"/>
    <mergeCell ref="B2:X2"/>
    <mergeCell ref="C3:D3"/>
    <mergeCell ref="Q3:V3"/>
  </mergeCells>
  <conditionalFormatting sqref="P5:P76">
    <cfRule type="cellIs" priority="1" operator="greaterThan" dxfId="0">
      <formula>0</formula>
    </cfRule>
    <cfRule type="cellIs" priority="2" operator="lessThan" dxfId="1">
      <formula>0</formula>
    </cfRule>
  </conditionalFormatting>
  <conditionalFormatting sqref="V5:V76">
    <cfRule type="cellIs" priority="3" operator="greaterThan" dxfId="0">
      <formula>0</formula>
    </cfRule>
    <cfRule type="cellIs" priority="4" operator="lessThan" dxfId="1">
      <formula>0</formula>
    </cfRule>
  </conditionalFormatting>
  <conditionalFormatting sqref="W5:W76">
    <cfRule type="cellIs" priority="5" operator="greaterThan" dxfId="0">
      <formula>0.05</formula>
    </cfRule>
    <cfRule type="cellIs" priority="6" operator="lessThan" dxfId="1">
      <formula>-0.05</formula>
    </cfRule>
    <cfRule type="cellIs" priority="7" operator="between" dxfId="2">
      <formula>-0.05</formula>
      <formula>0.05</formula>
    </cfRule>
  </conditionalFormatting>
  <conditionalFormatting sqref="N5:N76">
    <cfRule type="dataBar" priority="8">
      <dataBar showValue="1">
        <cfvo type="num" val="0"/>
        <cfvo type="num" val="1"/>
        <color rgb="001B7D46"/>
      </dataBar>
    </cfRule>
  </conditionalFormatting>
  <conditionalFormatting sqref="T5:T76">
    <cfRule type="dataBar" priority="9">
      <dataBar showValue="1">
        <cfvo type="num" val="0"/>
        <cfvo type="num" val="1"/>
        <color rgb="00D4820A"/>
      </dataBar>
    </cfRule>
  </conditionalFormatting>
  <dataValidations count="2">
    <dataValidation sqref="T5:T76" showDropDown="0" showInputMessage="0" showErrorMessage="0" allowBlank="1" errorTitle="Invalide" error="Valeur entre 0% et 100%" promptTitle="Avancement %" prompt="Entrez 0.25 pour 25%" type="decimal" operator="between">
      <formula1>0</formula1>
      <formula2>1</formula2>
    </dataValidation>
    <dataValidation sqref="L5:L76" showDropDown="0" showInputMessage="0" showErrorMessage="0" allowBlank="1" errorTitle="Invalide" error="Quantité doit être &gt;= 0" promptTitle="Qté Réalisée" prompt="Entrez la quantité réalisée cette semaine" type="decimal" operator="greaterThanOrEqual">
      <formula1>0</formula1>
    </dataValidation>
  </dataValidations>
  <pageMargins left="0.75" right="0.75" top="1" bottom="1" header="0.5" footer="0.5"/>
</worksheet>
</file>

<file path=xl/worksheets/sheet30.xml><?xml version="1.0" encoding="utf-8"?>
<worksheet xmlns="http://schemas.openxmlformats.org/spreadsheetml/2006/main">
  <sheetPr>
    <tabColor rgb="00375623"/>
    <outlinePr summaryBelow="1" summaryRight="1"/>
    <pageSetUpPr/>
  </sheetPr>
  <dimension ref="B2:X77"/>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5" customWidth="1" min="2" max="2"/>
    <col width="14" customWidth="1" min="3" max="3"/>
    <col width="18" customWidth="1" min="4" max="4"/>
    <col width="9" customWidth="1" min="5" max="5"/>
    <col width="32" customWidth="1" min="6" max="6"/>
    <col width="28" customWidth="1" min="7" max="7"/>
    <col width="34" customWidth="1" min="8" max="8"/>
    <col width="14" customWidth="1" min="9" max="9"/>
    <col width="8" customWidth="1" min="10" max="10"/>
    <col width="12" customWidth="1" min="11" max="11"/>
    <col width="14" customWidth="1" min="12" max="12"/>
    <col width="14" customWidth="1" min="13" max="13"/>
    <col width="14" customWidth="1" min="14" max="14"/>
    <col width="14" customWidth="1" min="15" max="15"/>
    <col width="14" customWidth="1" min="16" max="16"/>
    <col width="16" customWidth="1" min="17" max="17"/>
    <col width="16" customWidth="1" min="18" max="18"/>
    <col width="16" customWidth="1" min="19" max="19"/>
    <col width="14" customWidth="1" min="20" max="20"/>
    <col width="14" customWidth="1" min="21" max="21"/>
    <col width="14" customWidth="1" min="22" max="22"/>
    <col width="14" customWidth="1" min="23" max="23"/>
    <col width="24" customWidth="1" min="24" max="24"/>
  </cols>
  <sheetData>
    <row r="1" ht="15" customHeight="1"/>
    <row r="2" ht="32" customHeight="1">
      <c r="B2" s="1" t="inlineStr">
        <is>
          <t>Suivi Hebdomadaire - Semaine 50 (07/12 - 13/12) — Décembre 2026 - Exécution Physique et Financière</t>
        </is>
      </c>
    </row>
    <row r="3" ht="22" customHeight="1">
      <c r="B3" s="20" t="inlineStr">
        <is>
          <t>Date :</t>
        </is>
      </c>
      <c r="C3" s="49" t="n">
        <v>46363</v>
      </c>
      <c r="D3" s="50" t="n"/>
      <c r="E3" s="22" t="inlineStr">
        <is>
          <t>IDENTIFICATION</t>
        </is>
      </c>
      <c r="J3" s="23" t="inlineStr">
        <is>
          <t>INDICATEURS PHYSIQUES</t>
        </is>
      </c>
      <c r="Q3" s="24" t="inlineStr">
        <is>
          <t>INDICATEURS FINANCIERS</t>
        </is>
      </c>
      <c r="W3" s="25" t="inlineStr">
        <is>
          <t>SYNTHÈSE</t>
        </is>
      </c>
    </row>
    <row r="4" ht="28" customHeight="1">
      <c r="B4" s="4" t="inlineStr">
        <is>
          <t>N°</t>
        </is>
      </c>
      <c r="C4" s="4" t="inlineStr">
        <is>
          <t>Province</t>
        </is>
      </c>
      <c r="D4" s="4" t="inlineStr">
        <is>
          <t>Commune</t>
        </is>
      </c>
      <c r="E4" s="4" t="inlineStr">
        <is>
          <t>Rubrique</t>
        </is>
      </c>
      <c r="F4" s="4" t="inlineStr">
        <is>
          <t>Intitulé Rubrique</t>
        </is>
      </c>
      <c r="G4" s="4" t="inlineStr">
        <is>
          <t>Projet</t>
        </is>
      </c>
      <c r="H4" s="4" t="inlineStr">
        <is>
          <t>Consistance</t>
        </is>
      </c>
      <c r="I4" s="4" t="inlineStr">
        <is>
          <t>Coût Total (DH)</t>
        </is>
      </c>
      <c r="J4" s="26" t="inlineStr">
        <is>
          <t>Unité</t>
        </is>
      </c>
      <c r="K4" s="26" t="inlineStr">
        <is>
          <t>Qté Prévue</t>
        </is>
      </c>
      <c r="L4" s="26" t="inlineStr">
        <is>
          <t>Qté Réalisée Sem.</t>
        </is>
      </c>
      <c r="M4" s="26" t="inlineStr">
        <is>
          <t>Qté Réalisée Cumul</t>
        </is>
      </c>
      <c r="N4" s="26" t="inlineStr">
        <is>
          <t>Avancement Physique %</t>
        </is>
      </c>
      <c r="O4" s="26" t="inlineStr">
        <is>
          <t>% Phys. Sem. Préc.</t>
        </is>
      </c>
      <c r="P4" s="26" t="inlineStr">
        <is>
          <t>Accroissement Phys. %</t>
        </is>
      </c>
      <c r="Q4" s="27" t="inlineStr">
        <is>
          <t>Montant Décaissé (DH)</t>
        </is>
      </c>
      <c r="R4" s="27" t="inlineStr">
        <is>
          <t>Montant Payé (DH)</t>
        </is>
      </c>
      <c r="S4" s="27" t="inlineStr">
        <is>
          <t>Montant Ordonné (DH)</t>
        </is>
      </c>
      <c r="T4" s="27" t="inlineStr">
        <is>
          <t>Avancement Financier %</t>
        </is>
      </c>
      <c r="U4" s="27" t="inlineStr">
        <is>
          <t>% Fin. Sem. Préc.</t>
        </is>
      </c>
      <c r="V4" s="27" t="inlineStr">
        <is>
          <t>Accroissement Fin. %</t>
        </is>
      </c>
      <c r="W4" s="28" t="inlineStr">
        <is>
          <t>Écart Phys.-Fin.</t>
        </is>
      </c>
      <c r="X4" s="28" t="inlineStr">
        <is>
          <t>Observations</t>
        </is>
      </c>
    </row>
    <row r="5" ht="22" customHeight="1">
      <c r="B5" s="5" t="n">
        <v>1</v>
      </c>
      <c r="C5" s="6" t="inlineStr">
        <is>
          <t>Sidi Kacem</t>
        </is>
      </c>
      <c r="D5" s="5" t="inlineStr">
        <is>
          <t>KHENICHET</t>
        </is>
      </c>
      <c r="E5" s="5" t="inlineStr">
        <is>
          <t>50-23</t>
        </is>
      </c>
      <c r="F5" s="5" t="inlineStr">
        <is>
          <t>Entretien et réparation du réseau d'assainissement et de drainage</t>
        </is>
      </c>
      <c r="G5" s="5" t="inlineStr">
        <is>
          <t>Travaux de curage des canaux en terre</t>
        </is>
      </c>
      <c r="H5" s="5" t="inlineStr">
        <is>
          <t>Curage des collecteurs d'assainissement du secteur EST2</t>
        </is>
      </c>
      <c r="I5" s="7" t="n">
        <v>2091568</v>
      </c>
      <c r="J5" s="8" t="inlineStr">
        <is>
          <t>ml</t>
        </is>
      </c>
      <c r="K5" s="9" t="n">
        <v>1046</v>
      </c>
      <c r="L5" s="51" t="n"/>
      <c r="M5" s="52">
        <f>'S49'!M5+L5</f>
        <v/>
      </c>
      <c r="N5" s="53">
        <f>IFERROR(M5/K5,0)</f>
        <v/>
      </c>
      <c r="O5" s="54">
        <f>'S49'!N5</f>
        <v/>
      </c>
      <c r="P5" s="53">
        <f>N5-O5</f>
        <v/>
      </c>
      <c r="Q5" s="32" t="n"/>
      <c r="R5" s="32" t="n"/>
      <c r="S5" s="32" t="n"/>
      <c r="T5" s="55" t="n"/>
      <c r="U5" s="54">
        <f>'S49'!T5</f>
        <v/>
      </c>
      <c r="V5" s="53">
        <f>T5-U5</f>
        <v/>
      </c>
      <c r="W5" s="53">
        <f>N5-T5</f>
        <v/>
      </c>
      <c r="X5" s="34" t="n"/>
    </row>
    <row r="6" ht="22" customHeight="1">
      <c r="B6" s="10" t="n">
        <v>2</v>
      </c>
      <c r="C6" s="6" t="inlineStr">
        <is>
          <t>Sidi Kacem</t>
        </is>
      </c>
      <c r="D6" s="10" t="inlineStr">
        <is>
          <t>KHENICHET</t>
        </is>
      </c>
      <c r="E6" s="10" t="inlineStr">
        <is>
          <t>40-21</t>
        </is>
      </c>
      <c r="F6" s="10" t="inlineStr">
        <is>
          <t>Travaux de pistes</t>
        </is>
      </c>
      <c r="G6" s="10" t="inlineStr">
        <is>
          <t>Travaux de réhabilitation des pistes agricoles</t>
        </is>
      </c>
      <c r="H6" s="10" t="inlineStr">
        <is>
          <t>Entretien des pistes agricoles Douar Nouagra et Douar ouled Salem</t>
        </is>
      </c>
      <c r="I6" s="11" t="n">
        <v>78000</v>
      </c>
      <c r="J6" s="12" t="inlineStr">
        <is>
          <t>km</t>
        </is>
      </c>
      <c r="K6" s="13" t="n">
        <v>1</v>
      </c>
      <c r="L6" s="51" t="n"/>
      <c r="M6" s="56">
        <f>'S49'!M6+L6</f>
        <v/>
      </c>
      <c r="N6" s="57">
        <f>IFERROR(M6/K6,0)</f>
        <v/>
      </c>
      <c r="O6" s="58">
        <f>'S49'!N6</f>
        <v/>
      </c>
      <c r="P6" s="57">
        <f>N6-O6</f>
        <v/>
      </c>
      <c r="Q6" s="32" t="n"/>
      <c r="R6" s="32" t="n"/>
      <c r="S6" s="32" t="n"/>
      <c r="T6" s="55" t="n"/>
      <c r="U6" s="58">
        <f>'S49'!T6</f>
        <v/>
      </c>
      <c r="V6" s="57">
        <f>T6-U6</f>
        <v/>
      </c>
      <c r="W6" s="57">
        <f>N6-T6</f>
        <v/>
      </c>
      <c r="X6" s="34" t="n"/>
    </row>
    <row r="7" ht="22" customHeight="1">
      <c r="B7" s="5" t="n">
        <v>3</v>
      </c>
      <c r="C7" s="6" t="inlineStr">
        <is>
          <t>Sidi Kacem</t>
        </is>
      </c>
      <c r="D7" s="5" t="inlineStr">
        <is>
          <t>KHENICHET</t>
        </is>
      </c>
      <c r="E7" s="5" t="inlineStr">
        <is>
          <t>50-23</t>
        </is>
      </c>
      <c r="F7" s="5" t="inlineStr">
        <is>
          <t>Entretien et réparation du réseau d'assainissement et de drainage</t>
        </is>
      </c>
      <c r="G7" s="5" t="inlineStr">
        <is>
          <t>Curage des prises sur l’oued, bâche d’aspiration et bassin de régulation.</t>
        </is>
      </c>
      <c r="H7" s="5" t="inlineStr">
        <is>
          <t>Curage de la chambre des joints de démontage des siphonnes  de la station de pompage EST2.</t>
        </is>
      </c>
      <c r="I7" s="7" t="n">
        <v>126000</v>
      </c>
      <c r="J7" s="8" t="inlineStr">
        <is>
          <t>ml</t>
        </is>
      </c>
      <c r="K7" s="9" t="n">
        <v>42</v>
      </c>
      <c r="L7" s="51" t="n"/>
      <c r="M7" s="52">
        <f>'S49'!M7+L7</f>
        <v/>
      </c>
      <c r="N7" s="53">
        <f>IFERROR(M7/K7,0)</f>
        <v/>
      </c>
      <c r="O7" s="54">
        <f>'S49'!N7</f>
        <v/>
      </c>
      <c r="P7" s="53">
        <f>N7-O7</f>
        <v/>
      </c>
      <c r="Q7" s="32" t="n"/>
      <c r="R7" s="32" t="n"/>
      <c r="S7" s="32" t="n"/>
      <c r="T7" s="55" t="n"/>
      <c r="U7" s="54">
        <f>'S49'!T7</f>
        <v/>
      </c>
      <c r="V7" s="53">
        <f>T7-U7</f>
        <v/>
      </c>
      <c r="W7" s="53">
        <f>N7-T7</f>
        <v/>
      </c>
      <c r="X7" s="34" t="n"/>
    </row>
    <row r="8" ht="22" customHeight="1">
      <c r="B8" s="10" t="n">
        <v>4</v>
      </c>
      <c r="C8" s="6" t="inlineStr">
        <is>
          <t>Sidi Kacem</t>
        </is>
      </c>
      <c r="D8" s="10" t="inlineStr">
        <is>
          <t>KHENICHET</t>
        </is>
      </c>
      <c r="E8" s="10" t="inlineStr">
        <is>
          <t>50-21</t>
        </is>
      </c>
      <c r="F8" s="10" t="inlineStr">
        <is>
          <t>Entretien et réparation des stations de pompage</t>
        </is>
      </c>
      <c r="G8" s="10" t="inlineStr">
        <is>
          <t>Prestation de maintenance des débitmètres et leurs équipements annexes installés au niveau des station de pompage</t>
        </is>
      </c>
      <c r="H8" s="10" t="inlineStr">
        <is>
          <t>Changement trois débitmètre Ø 600mm inondés de la station de pompage EST 2 et deux capteurs VEGASON 62</t>
        </is>
      </c>
      <c r="I8" s="11" t="n">
        <v>165500</v>
      </c>
      <c r="J8" s="12" t="inlineStr">
        <is>
          <t>U</t>
        </is>
      </c>
      <c r="K8" s="13" t="n">
        <v>3</v>
      </c>
      <c r="L8" s="51" t="n"/>
      <c r="M8" s="56">
        <f>'S49'!M8+L8</f>
        <v/>
      </c>
      <c r="N8" s="57">
        <f>IFERROR(M8/K8,0)</f>
        <v/>
      </c>
      <c r="O8" s="58">
        <f>'S49'!N8</f>
        <v/>
      </c>
      <c r="P8" s="57">
        <f>N8-O8</f>
        <v/>
      </c>
      <c r="Q8" s="32" t="n"/>
      <c r="R8" s="32" t="n"/>
      <c r="S8" s="32" t="n"/>
      <c r="T8" s="55" t="n"/>
      <c r="U8" s="58">
        <f>'S49'!T8</f>
        <v/>
      </c>
      <c r="V8" s="57">
        <f>T8-U8</f>
        <v/>
      </c>
      <c r="W8" s="57">
        <f>N8-T8</f>
        <v/>
      </c>
      <c r="X8" s="34" t="n"/>
    </row>
    <row r="9" ht="22" customHeight="1">
      <c r="B9" s="5" t="n">
        <v>5</v>
      </c>
      <c r="C9" s="6" t="inlineStr">
        <is>
          <t>Sidi Kacem</t>
        </is>
      </c>
      <c r="D9" s="5" t="inlineStr">
        <is>
          <t>BIR TALEB</t>
        </is>
      </c>
      <c r="E9" s="5" t="inlineStr">
        <is>
          <t>50-23</t>
        </is>
      </c>
      <c r="F9" s="5" t="inlineStr">
        <is>
          <t>Entretien et réparation du réseau d'assainissement et de drainage</t>
        </is>
      </c>
      <c r="G9" s="5" t="inlineStr">
        <is>
          <t>Travaux de curage des canaux en terre</t>
        </is>
      </c>
      <c r="H9" s="5" t="inlineStr">
        <is>
          <t>Curage du canal d'assainisement Tihli Aval</t>
        </is>
      </c>
      <c r="I9" s="7" t="n">
        <v>1000000</v>
      </c>
      <c r="J9" s="8" t="inlineStr">
        <is>
          <t>ml</t>
        </is>
      </c>
      <c r="K9" s="9" t="n">
        <v>500</v>
      </c>
      <c r="L9" s="51" t="n"/>
      <c r="M9" s="52">
        <f>'S49'!M9+L9</f>
        <v/>
      </c>
      <c r="N9" s="53">
        <f>IFERROR(M9/K9,0)</f>
        <v/>
      </c>
      <c r="O9" s="54">
        <f>'S49'!N9</f>
        <v/>
      </c>
      <c r="P9" s="53">
        <f>N9-O9</f>
        <v/>
      </c>
      <c r="Q9" s="32" t="n"/>
      <c r="R9" s="32" t="n"/>
      <c r="S9" s="32" t="n"/>
      <c r="T9" s="55" t="n"/>
      <c r="U9" s="54">
        <f>'S49'!T9</f>
        <v/>
      </c>
      <c r="V9" s="53">
        <f>T9-U9</f>
        <v/>
      </c>
      <c r="W9" s="53">
        <f>N9-T9</f>
        <v/>
      </c>
      <c r="X9" s="34" t="n"/>
    </row>
    <row r="10" ht="22" customHeight="1">
      <c r="B10" s="10" t="n">
        <v>6</v>
      </c>
      <c r="C10" s="6" t="inlineStr">
        <is>
          <t>Sidi Kacem</t>
        </is>
      </c>
      <c r="D10" s="10" t="inlineStr">
        <is>
          <t>BIR TALEB</t>
        </is>
      </c>
      <c r="E10" s="10" t="inlineStr">
        <is>
          <t>50-23</t>
        </is>
      </c>
      <c r="F10" s="10" t="inlineStr">
        <is>
          <t>Entretien et réparation du réseau d'assainissement et de drainage</t>
        </is>
      </c>
      <c r="G10" s="10" t="inlineStr"/>
      <c r="H10" s="10" t="inlineStr">
        <is>
          <t>Curage des collecteurs d'assainissement du secteur P11/1</t>
        </is>
      </c>
      <c r="I10" s="11" t="n">
        <v>846731</v>
      </c>
      <c r="J10" s="12" t="inlineStr">
        <is>
          <t>ml</t>
        </is>
      </c>
      <c r="K10" s="13" t="n">
        <v>423</v>
      </c>
      <c r="L10" s="51" t="n"/>
      <c r="M10" s="56">
        <f>'S49'!M10+L10</f>
        <v/>
      </c>
      <c r="N10" s="57">
        <f>IFERROR(M10/K10,0)</f>
        <v/>
      </c>
      <c r="O10" s="58">
        <f>'S49'!N10</f>
        <v/>
      </c>
      <c r="P10" s="57">
        <f>N10-O10</f>
        <v/>
      </c>
      <c r="Q10" s="32" t="n"/>
      <c r="R10" s="32" t="n"/>
      <c r="S10" s="32" t="n"/>
      <c r="T10" s="55" t="n"/>
      <c r="U10" s="58">
        <f>'S49'!T10</f>
        <v/>
      </c>
      <c r="V10" s="57">
        <f>T10-U10</f>
        <v/>
      </c>
      <c r="W10" s="57">
        <f>N10-T10</f>
        <v/>
      </c>
      <c r="X10" s="34" t="n"/>
    </row>
    <row r="11" ht="22" customHeight="1">
      <c r="B11" s="5" t="n">
        <v>7</v>
      </c>
      <c r="C11" s="6" t="inlineStr">
        <is>
          <t>Sidi Kacem</t>
        </is>
      </c>
      <c r="D11" s="5" t="inlineStr">
        <is>
          <t>BIR TALEB</t>
        </is>
      </c>
      <c r="E11" s="5" t="inlineStr">
        <is>
          <t>50-23</t>
        </is>
      </c>
      <c r="F11" s="5" t="inlineStr">
        <is>
          <t>Entretien et réparation du réseau d'assainissement et de drainage</t>
        </is>
      </c>
      <c r="G11" s="5" t="inlineStr">
        <is>
          <t>Curage des prises sur l’oued, bâche d’aspiration et bassin de régulation.</t>
        </is>
      </c>
      <c r="H11" s="5" t="inlineStr">
        <is>
          <t>Curage des prises sur l’oued de la station de pompage P11/1.</t>
        </is>
      </c>
      <c r="I11" s="7" t="n">
        <v>200000</v>
      </c>
      <c r="J11" s="8" t="inlineStr">
        <is>
          <t>ml</t>
        </is>
      </c>
      <c r="K11" s="9" t="n">
        <v>67</v>
      </c>
      <c r="L11" s="51" t="n"/>
      <c r="M11" s="52">
        <f>'S49'!M11+L11</f>
        <v/>
      </c>
      <c r="N11" s="53">
        <f>IFERROR(M11/K11,0)</f>
        <v/>
      </c>
      <c r="O11" s="54">
        <f>'S49'!N11</f>
        <v/>
      </c>
      <c r="P11" s="53">
        <f>N11-O11</f>
        <v/>
      </c>
      <c r="Q11" s="32" t="n"/>
      <c r="R11" s="32" t="n"/>
      <c r="S11" s="32" t="n"/>
      <c r="T11" s="55" t="n"/>
      <c r="U11" s="54">
        <f>'S49'!T11</f>
        <v/>
      </c>
      <c r="V11" s="53">
        <f>T11-U11</f>
        <v/>
      </c>
      <c r="W11" s="53">
        <f>N11-T11</f>
        <v/>
      </c>
      <c r="X11" s="34" t="n"/>
    </row>
    <row r="12" ht="22" customHeight="1">
      <c r="B12" s="10" t="n">
        <v>8</v>
      </c>
      <c r="C12" s="6" t="inlineStr">
        <is>
          <t>Sidi Kacem</t>
        </is>
      </c>
      <c r="D12" s="10" t="inlineStr">
        <is>
          <t>BIR TALEB</t>
        </is>
      </c>
      <c r="E12" s="10" t="inlineStr">
        <is>
          <t>50-21</t>
        </is>
      </c>
      <c r="F12" s="10" t="inlineStr">
        <is>
          <t>Entretien et réparation des stations de pompage</t>
        </is>
      </c>
      <c r="G12" s="10" t="inlineStr">
        <is>
          <t>Prestation de maintenance des débitmètres et leurs équipements annexes installés au niveau des station de pompage</t>
        </is>
      </c>
      <c r="H12" s="10" t="inlineStr">
        <is>
          <t>Changement trois débitmètre Ø 400mm inondés de la station de pompage P11/1</t>
        </is>
      </c>
      <c r="I12" s="11" t="n">
        <v>141900</v>
      </c>
      <c r="J12" s="12" t="inlineStr">
        <is>
          <t>U</t>
        </is>
      </c>
      <c r="K12" s="13" t="n">
        <v>3</v>
      </c>
      <c r="L12" s="51" t="n"/>
      <c r="M12" s="56">
        <f>'S49'!M12+L12</f>
        <v/>
      </c>
      <c r="N12" s="57">
        <f>IFERROR(M12/K12,0)</f>
        <v/>
      </c>
      <c r="O12" s="58">
        <f>'S49'!N12</f>
        <v/>
      </c>
      <c r="P12" s="57">
        <f>N12-O12</f>
        <v/>
      </c>
      <c r="Q12" s="32" t="n"/>
      <c r="R12" s="32" t="n"/>
      <c r="S12" s="32" t="n"/>
      <c r="T12" s="55" t="n"/>
      <c r="U12" s="58">
        <f>'S49'!T12</f>
        <v/>
      </c>
      <c r="V12" s="57">
        <f>T12-U12</f>
        <v/>
      </c>
      <c r="W12" s="57">
        <f>N12-T12</f>
        <v/>
      </c>
      <c r="X12" s="34" t="n"/>
    </row>
    <row r="13" ht="22" customHeight="1">
      <c r="B13" s="5" t="n">
        <v>9</v>
      </c>
      <c r="C13" s="6" t="inlineStr">
        <is>
          <t>Sidi Kacem</t>
        </is>
      </c>
      <c r="D13" s="5" t="inlineStr">
        <is>
          <t>BIR TALEB</t>
        </is>
      </c>
      <c r="E13" s="5" t="inlineStr">
        <is>
          <t>50-21</t>
        </is>
      </c>
      <c r="F13" s="5" t="inlineStr">
        <is>
          <t>Entretien et réparation des stations de pompage</t>
        </is>
      </c>
      <c r="G13" s="5" t="inlineStr">
        <is>
          <t>Prestations de maintenance et de réparation mécanique des pompes et des groupes motopompes submersibles des stations de pompage.</t>
        </is>
      </c>
      <c r="H13" s="5" t="inlineStr">
        <is>
          <t>Démontage et expertise des roues des  pompes principaux et pompes a vide de la station P11/1
Changement des roulements, tresses et organes d’effectués de la station P11/1</t>
        </is>
      </c>
      <c r="I13" s="7" t="n">
        <v>26700</v>
      </c>
      <c r="J13" s="8" t="inlineStr">
        <is>
          <t>U</t>
        </is>
      </c>
      <c r="K13" s="9" t="n">
        <v>1</v>
      </c>
      <c r="L13" s="51" t="n"/>
      <c r="M13" s="52">
        <f>'S49'!M13+L13</f>
        <v/>
      </c>
      <c r="N13" s="53">
        <f>IFERROR(M13/K13,0)</f>
        <v/>
      </c>
      <c r="O13" s="54">
        <f>'S49'!N13</f>
        <v/>
      </c>
      <c r="P13" s="53">
        <f>N13-O13</f>
        <v/>
      </c>
      <c r="Q13" s="32" t="n"/>
      <c r="R13" s="32" t="n"/>
      <c r="S13" s="32" t="n"/>
      <c r="T13" s="55" t="n"/>
      <c r="U13" s="54">
        <f>'S49'!T13</f>
        <v/>
      </c>
      <c r="V13" s="53">
        <f>T13-U13</f>
        <v/>
      </c>
      <c r="W13" s="53">
        <f>N13-T13</f>
        <v/>
      </c>
      <c r="X13" s="34" t="n"/>
    </row>
    <row r="14" ht="22" customHeight="1">
      <c r="B14" s="10" t="n">
        <v>10</v>
      </c>
      <c r="C14" s="6" t="inlineStr">
        <is>
          <t>Sidi Kacem</t>
        </is>
      </c>
      <c r="D14" s="10" t="inlineStr">
        <is>
          <t>BIR TALEB</t>
        </is>
      </c>
      <c r="E14" s="10" t="inlineStr">
        <is>
          <t>50-21</t>
        </is>
      </c>
      <c r="F14" s="10" t="inlineStr">
        <is>
          <t>Entretien et réparation des stations de pompage</t>
        </is>
      </c>
      <c r="G14" s="10" t="inlineStr">
        <is>
          <t>Stabilisation Berge oued</t>
        </is>
      </c>
      <c r="H14" s="10" t="inlineStr">
        <is>
          <t>Pose de  gabions et recouvrement du talus par matelas Reno des stations de pompage P11/1.</t>
        </is>
      </c>
      <c r="I14" s="11" t="n">
        <v>480000</v>
      </c>
      <c r="J14" s="12" t="inlineStr">
        <is>
          <t>m³</t>
        </is>
      </c>
      <c r="K14" s="13" t="n">
        <v>320</v>
      </c>
      <c r="L14" s="51" t="n"/>
      <c r="M14" s="56">
        <f>'S49'!M14+L14</f>
        <v/>
      </c>
      <c r="N14" s="57">
        <f>IFERROR(M14/K14,0)</f>
        <v/>
      </c>
      <c r="O14" s="58">
        <f>'S49'!N14</f>
        <v/>
      </c>
      <c r="P14" s="57">
        <f>N14-O14</f>
        <v/>
      </c>
      <c r="Q14" s="32" t="n"/>
      <c r="R14" s="32" t="n"/>
      <c r="S14" s="32" t="n"/>
      <c r="T14" s="55" t="n"/>
      <c r="U14" s="58">
        <f>'S49'!T14</f>
        <v/>
      </c>
      <c r="V14" s="57">
        <f>T14-U14</f>
        <v/>
      </c>
      <c r="W14" s="57">
        <f>N14-T14</f>
        <v/>
      </c>
      <c r="X14" s="34" t="n"/>
    </row>
    <row r="15" ht="22" customHeight="1">
      <c r="B15" s="5" t="n">
        <v>11</v>
      </c>
      <c r="C15" s="6" t="inlineStr">
        <is>
          <t>Sidi Kacem</t>
        </is>
      </c>
      <c r="D15" s="5" t="inlineStr">
        <is>
          <t>BIR TALEB</t>
        </is>
      </c>
      <c r="E15" s="5" t="inlineStr">
        <is>
          <t>50-21</t>
        </is>
      </c>
      <c r="F15" s="5" t="inlineStr">
        <is>
          <t>Entretien et réparation des stations de pompage</t>
        </is>
      </c>
      <c r="G15" s="5" t="inlineStr">
        <is>
          <t>Génie civile des locaux des stations de pompage.</t>
        </is>
      </c>
      <c r="H15" s="5" t="inlineStr">
        <is>
          <t>Expertise d’état et d’étanchéité des locaux pompes.
Renforcement d’étanchéité des locaux pompe sous niveau des oueds des stations de pompage P11/1.
Entretien des supports en béton des conduites d’aspiration.</t>
        </is>
      </c>
      <c r="I15" s="7" t="n">
        <v>300000</v>
      </c>
      <c r="J15" s="8" t="inlineStr">
        <is>
          <t>U</t>
        </is>
      </c>
      <c r="K15" s="9" t="n">
        <v>1</v>
      </c>
      <c r="L15" s="51" t="n"/>
      <c r="M15" s="52">
        <f>'S49'!M15+L15</f>
        <v/>
      </c>
      <c r="N15" s="53">
        <f>IFERROR(M15/K15,0)</f>
        <v/>
      </c>
      <c r="O15" s="54">
        <f>'S49'!N15</f>
        <v/>
      </c>
      <c r="P15" s="53">
        <f>N15-O15</f>
        <v/>
      </c>
      <c r="Q15" s="32" t="n"/>
      <c r="R15" s="32" t="n"/>
      <c r="S15" s="32" t="n"/>
      <c r="T15" s="55" t="n"/>
      <c r="U15" s="54">
        <f>'S49'!T15</f>
        <v/>
      </c>
      <c r="V15" s="53">
        <f>T15-U15</f>
        <v/>
      </c>
      <c r="W15" s="53">
        <f>N15-T15</f>
        <v/>
      </c>
      <c r="X15" s="34" t="n"/>
    </row>
    <row r="16" ht="22" customHeight="1">
      <c r="B16" s="10" t="n">
        <v>12</v>
      </c>
      <c r="C16" s="6" t="inlineStr">
        <is>
          <t>Sidi Kacem</t>
        </is>
      </c>
      <c r="D16" s="10" t="inlineStr">
        <is>
          <t>CHEBANAT</t>
        </is>
      </c>
      <c r="E16" s="10" t="inlineStr">
        <is>
          <t>50-23</t>
        </is>
      </c>
      <c r="F16" s="10" t="inlineStr">
        <is>
          <t>Entretien et réparation du réseau d'assainissement et de drainage</t>
        </is>
      </c>
      <c r="G16" s="10" t="inlineStr">
        <is>
          <t>Travaux de curage des canaux en terre</t>
        </is>
      </c>
      <c r="H16" s="10" t="inlineStr">
        <is>
          <t>Curage des collecteurs d'assainissement des secteur SH5 et SH6.</t>
        </is>
      </c>
      <c r="I16" s="11" t="n">
        <v>1000000</v>
      </c>
      <c r="J16" s="12" t="inlineStr">
        <is>
          <t>ml</t>
        </is>
      </c>
      <c r="K16" s="13" t="n">
        <v>500</v>
      </c>
      <c r="L16" s="51" t="n"/>
      <c r="M16" s="56">
        <f>'S49'!M16+L16</f>
        <v/>
      </c>
      <c r="N16" s="57">
        <f>IFERROR(M16/K16,0)</f>
        <v/>
      </c>
      <c r="O16" s="58">
        <f>'S49'!N16</f>
        <v/>
      </c>
      <c r="P16" s="57">
        <f>N16-O16</f>
        <v/>
      </c>
      <c r="Q16" s="32" t="n"/>
      <c r="R16" s="32" t="n"/>
      <c r="S16" s="32" t="n"/>
      <c r="T16" s="55" t="n"/>
      <c r="U16" s="58">
        <f>'S49'!T16</f>
        <v/>
      </c>
      <c r="V16" s="57">
        <f>T16-U16</f>
        <v/>
      </c>
      <c r="W16" s="57">
        <f>N16-T16</f>
        <v/>
      </c>
      <c r="X16" s="34" t="n"/>
    </row>
    <row r="17" ht="22" customHeight="1">
      <c r="B17" s="5" t="n">
        <v>13</v>
      </c>
      <c r="C17" s="6" t="inlineStr">
        <is>
          <t>Sidi Kacem</t>
        </is>
      </c>
      <c r="D17" s="5" t="inlineStr">
        <is>
          <t>CHEBANAT</t>
        </is>
      </c>
      <c r="E17" s="5" t="inlineStr">
        <is>
          <t>50-23</t>
        </is>
      </c>
      <c r="F17" s="5" t="inlineStr">
        <is>
          <t>Entretien et réparation du réseau d'assainissement et de drainage</t>
        </is>
      </c>
      <c r="G17" s="5" t="inlineStr">
        <is>
          <t>Travaux de curage des canaux révetus</t>
        </is>
      </c>
      <c r="H17" s="5" t="inlineStr">
        <is>
          <t>Curage du canal principal d'irrigation beht partie aval 1.</t>
        </is>
      </c>
      <c r="I17" s="7" t="n">
        <v>739200</v>
      </c>
      <c r="J17" s="8" t="inlineStr">
        <is>
          <t>ml</t>
        </is>
      </c>
      <c r="K17" s="9" t="n">
        <v>370</v>
      </c>
      <c r="L17" s="51" t="n"/>
      <c r="M17" s="52">
        <f>'S49'!M17+L17</f>
        <v/>
      </c>
      <c r="N17" s="53">
        <f>IFERROR(M17/K17,0)</f>
        <v/>
      </c>
      <c r="O17" s="54">
        <f>'S49'!N17</f>
        <v/>
      </c>
      <c r="P17" s="53">
        <f>N17-O17</f>
        <v/>
      </c>
      <c r="Q17" s="32" t="n"/>
      <c r="R17" s="32" t="n"/>
      <c r="S17" s="32" t="n"/>
      <c r="T17" s="55" t="n"/>
      <c r="U17" s="54">
        <f>'S49'!T17</f>
        <v/>
      </c>
      <c r="V17" s="53">
        <f>T17-U17</f>
        <v/>
      </c>
      <c r="W17" s="53">
        <f>N17-T17</f>
        <v/>
      </c>
      <c r="X17" s="34" t="n"/>
    </row>
    <row r="18" ht="22" customHeight="1">
      <c r="B18" s="10" t="n">
        <v>14</v>
      </c>
      <c r="C18" s="6" t="inlineStr">
        <is>
          <t>Sidi Kacem</t>
        </is>
      </c>
      <c r="D18" s="10" t="inlineStr">
        <is>
          <t>ZIRARA</t>
        </is>
      </c>
      <c r="E18" s="10" t="inlineStr">
        <is>
          <t>50-23</t>
        </is>
      </c>
      <c r="F18" s="10" t="inlineStr">
        <is>
          <t>Entretien et réparation du réseau d'assainissement et de drainage</t>
        </is>
      </c>
      <c r="G18" s="10" t="inlineStr">
        <is>
          <t>Travaux de curage des canaux révetus</t>
        </is>
      </c>
      <c r="H18" s="10" t="inlineStr">
        <is>
          <t>Curage du canal principal d'irrigation beht partie aval 2.</t>
        </is>
      </c>
      <c r="I18" s="11" t="n">
        <v>1276800</v>
      </c>
      <c r="J18" s="12" t="inlineStr">
        <is>
          <t>ml</t>
        </is>
      </c>
      <c r="K18" s="13" t="n">
        <v>638</v>
      </c>
      <c r="L18" s="51" t="n"/>
      <c r="M18" s="56">
        <f>'S49'!M18+L18</f>
        <v/>
      </c>
      <c r="N18" s="57">
        <f>IFERROR(M18/K18,0)</f>
        <v/>
      </c>
      <c r="O18" s="58">
        <f>'S49'!N18</f>
        <v/>
      </c>
      <c r="P18" s="57">
        <f>N18-O18</f>
        <v/>
      </c>
      <c r="Q18" s="32" t="n"/>
      <c r="R18" s="32" t="n"/>
      <c r="S18" s="32" t="n"/>
      <c r="T18" s="55" t="n"/>
      <c r="U18" s="58">
        <f>'S49'!T18</f>
        <v/>
      </c>
      <c r="V18" s="57">
        <f>T18-U18</f>
        <v/>
      </c>
      <c r="W18" s="57">
        <f>N18-T18</f>
        <v/>
      </c>
      <c r="X18" s="34" t="n"/>
    </row>
    <row r="19" ht="22" customHeight="1">
      <c r="B19" s="5" t="n">
        <v>15</v>
      </c>
      <c r="C19" s="6" t="inlineStr">
        <is>
          <t>Sidi Kacem</t>
        </is>
      </c>
      <c r="D19" s="5" t="inlineStr">
        <is>
          <t>DAR LAASLOUJI</t>
        </is>
      </c>
      <c r="E19" s="5" t="inlineStr">
        <is>
          <t>50-23</t>
        </is>
      </c>
      <c r="F19" s="5" t="inlineStr">
        <is>
          <t>Entretien et réparation du réseau d'assainissement et de drainage</t>
        </is>
      </c>
      <c r="G19" s="5" t="inlineStr">
        <is>
          <t>Travaux de curage des canaux en terre</t>
        </is>
      </c>
      <c r="H19" s="5" t="inlineStr">
        <is>
          <t>Curage des collecteurs d'assainissement des secteurs P8-1 et P8-2</t>
        </is>
      </c>
      <c r="I19" s="7" t="n">
        <v>5796360</v>
      </c>
      <c r="J19" s="8" t="inlineStr">
        <is>
          <t>ml</t>
        </is>
      </c>
      <c r="K19" s="9" t="n">
        <v>2898</v>
      </c>
      <c r="L19" s="51" t="n"/>
      <c r="M19" s="52">
        <f>'S49'!M19+L19</f>
        <v/>
      </c>
      <c r="N19" s="53">
        <f>IFERROR(M19/K19,0)</f>
        <v/>
      </c>
      <c r="O19" s="54">
        <f>'S49'!N19</f>
        <v/>
      </c>
      <c r="P19" s="53">
        <f>N19-O19</f>
        <v/>
      </c>
      <c r="Q19" s="32" t="n"/>
      <c r="R19" s="32" t="n"/>
      <c r="S19" s="32" t="n"/>
      <c r="T19" s="55" t="n"/>
      <c r="U19" s="54">
        <f>'S49'!T19</f>
        <v/>
      </c>
      <c r="V19" s="53">
        <f>T19-U19</f>
        <v/>
      </c>
      <c r="W19" s="53">
        <f>N19-T19</f>
        <v/>
      </c>
      <c r="X19" s="34" t="n"/>
    </row>
    <row r="20" ht="22" customHeight="1">
      <c r="B20" s="10" t="n">
        <v>16</v>
      </c>
      <c r="C20" s="6" t="inlineStr">
        <is>
          <t>Sidi Kacem</t>
        </is>
      </c>
      <c r="D20" s="10" t="inlineStr">
        <is>
          <t>DAR LAASLOUJI</t>
        </is>
      </c>
      <c r="E20" s="10" t="inlineStr">
        <is>
          <t>40-21</t>
        </is>
      </c>
      <c r="F20" s="10" t="inlineStr">
        <is>
          <t>Travaux de pistes</t>
        </is>
      </c>
      <c r="G20" s="10" t="inlineStr">
        <is>
          <t>Entretien des pistes agricoles</t>
        </is>
      </c>
      <c r="H20" s="10" t="inlineStr">
        <is>
          <t>Entretien des pistes agricoles</t>
        </is>
      </c>
      <c r="I20" s="11" t="n">
        <v>340000</v>
      </c>
      <c r="J20" s="12" t="inlineStr">
        <is>
          <t>km</t>
        </is>
      </c>
      <c r="K20" s="13" t="n">
        <v>1</v>
      </c>
      <c r="L20" s="51" t="n"/>
      <c r="M20" s="56">
        <f>'S49'!M20+L20</f>
        <v/>
      </c>
      <c r="N20" s="57">
        <f>IFERROR(M20/K20,0)</f>
        <v/>
      </c>
      <c r="O20" s="58">
        <f>'S49'!N20</f>
        <v/>
      </c>
      <c r="P20" s="57">
        <f>N20-O20</f>
        <v/>
      </c>
      <c r="Q20" s="32" t="n"/>
      <c r="R20" s="32" t="n"/>
      <c r="S20" s="32" t="n"/>
      <c r="T20" s="55" t="n"/>
      <c r="U20" s="58">
        <f>'S49'!T20</f>
        <v/>
      </c>
      <c r="V20" s="57">
        <f>T20-U20</f>
        <v/>
      </c>
      <c r="W20" s="57">
        <f>N20-T20</f>
        <v/>
      </c>
      <c r="X20" s="34" t="n"/>
    </row>
    <row r="21" ht="22" customHeight="1">
      <c r="B21" s="5" t="n">
        <v>17</v>
      </c>
      <c r="C21" s="6" t="inlineStr">
        <is>
          <t>Sidi Kacem</t>
        </is>
      </c>
      <c r="D21" s="5" t="inlineStr">
        <is>
          <t>HOUAFATE</t>
        </is>
      </c>
      <c r="E21" s="5" t="inlineStr">
        <is>
          <t>20-11</t>
        </is>
      </c>
      <c r="F21" s="5" t="inlineStr">
        <is>
          <t>Travaux de réhabilitation des équipements</t>
        </is>
      </c>
      <c r="G21" s="5" t="inlineStr">
        <is>
          <t>Travaux de réhabilitation des canaux portés d'irrigation</t>
        </is>
      </c>
      <c r="H21" s="5" t="inlineStr">
        <is>
          <t>Fourniture et de pose de canaux porté et accessoires du réseau S3 du secteur S13</t>
        </is>
      </c>
      <c r="I21" s="7" t="n">
        <v>397934</v>
      </c>
      <c r="J21" s="8" t="inlineStr">
        <is>
          <t>ml</t>
        </is>
      </c>
      <c r="K21" s="9" t="n">
        <v>133</v>
      </c>
      <c r="L21" s="51" t="n"/>
      <c r="M21" s="52">
        <f>'S49'!M21+L21</f>
        <v/>
      </c>
      <c r="N21" s="53">
        <f>IFERROR(M21/K21,0)</f>
        <v/>
      </c>
      <c r="O21" s="54">
        <f>'S49'!N21</f>
        <v/>
      </c>
      <c r="P21" s="53">
        <f>N21-O21</f>
        <v/>
      </c>
      <c r="Q21" s="32" t="n"/>
      <c r="R21" s="32" t="n"/>
      <c r="S21" s="32" t="n"/>
      <c r="T21" s="55" t="n"/>
      <c r="U21" s="54">
        <f>'S49'!T21</f>
        <v/>
      </c>
      <c r="V21" s="53">
        <f>T21-U21</f>
        <v/>
      </c>
      <c r="W21" s="53">
        <f>N21-T21</f>
        <v/>
      </c>
      <c r="X21" s="34" t="n"/>
    </row>
    <row r="22" ht="22" customHeight="1">
      <c r="B22" s="10" t="n">
        <v>18</v>
      </c>
      <c r="C22" s="6" t="inlineStr">
        <is>
          <t>Sidi Kacem</t>
        </is>
      </c>
      <c r="D22" s="10" t="inlineStr">
        <is>
          <t>HOUAFATE</t>
        </is>
      </c>
      <c r="E22" s="10" t="inlineStr">
        <is>
          <t>20-11</t>
        </is>
      </c>
      <c r="F22" s="10" t="inlineStr">
        <is>
          <t>Travaux de réhabilitation des équipements</t>
        </is>
      </c>
      <c r="G22" s="10" t="inlineStr"/>
      <c r="H22" s="10" t="inlineStr">
        <is>
          <t>Fourniture et de pose de canaux porté et accessoires du réseau T2S1 du secteur S13</t>
        </is>
      </c>
      <c r="I22" s="11" t="n">
        <v>207575</v>
      </c>
      <c r="J22" s="12" t="inlineStr">
        <is>
          <t>ml</t>
        </is>
      </c>
      <c r="K22" s="13" t="n">
        <v>69</v>
      </c>
      <c r="L22" s="51" t="n"/>
      <c r="M22" s="56">
        <f>'S49'!M22+L22</f>
        <v/>
      </c>
      <c r="N22" s="57">
        <f>IFERROR(M22/K22,0)</f>
        <v/>
      </c>
      <c r="O22" s="58">
        <f>'S49'!N22</f>
        <v/>
      </c>
      <c r="P22" s="57">
        <f>N22-O22</f>
        <v/>
      </c>
      <c r="Q22" s="32" t="n"/>
      <c r="R22" s="32" t="n"/>
      <c r="S22" s="32" t="n"/>
      <c r="T22" s="55" t="n"/>
      <c r="U22" s="58">
        <f>'S49'!T22</f>
        <v/>
      </c>
      <c r="V22" s="57">
        <f>T22-U22</f>
        <v/>
      </c>
      <c r="W22" s="57">
        <f>N22-T22</f>
        <v/>
      </c>
      <c r="X22" s="34" t="n"/>
    </row>
    <row r="23" ht="22" customHeight="1">
      <c r="B23" s="5" t="n">
        <v>19</v>
      </c>
      <c r="C23" s="6" t="inlineStr">
        <is>
          <t>Sidi Kacem</t>
        </is>
      </c>
      <c r="D23" s="5" t="inlineStr">
        <is>
          <t>HOUAFATE</t>
        </is>
      </c>
      <c r="E23" s="5" t="inlineStr">
        <is>
          <t>40-21</t>
        </is>
      </c>
      <c r="F23" s="5" t="inlineStr">
        <is>
          <t>Travaux de pistes</t>
        </is>
      </c>
      <c r="G23" s="5" t="inlineStr">
        <is>
          <t>Entretien des pistes agricoles</t>
        </is>
      </c>
      <c r="H23" s="5" t="inlineStr">
        <is>
          <t>Entretien des pistes agricoles</t>
        </is>
      </c>
      <c r="I23" s="7" t="n">
        <v>2200000</v>
      </c>
      <c r="J23" s="8" t="inlineStr">
        <is>
          <t>km</t>
        </is>
      </c>
      <c r="K23" s="9" t="n">
        <v>4</v>
      </c>
      <c r="L23" s="51" t="n"/>
      <c r="M23" s="52">
        <f>'S49'!M23+L23</f>
        <v/>
      </c>
      <c r="N23" s="53">
        <f>IFERROR(M23/K23,0)</f>
        <v/>
      </c>
      <c r="O23" s="54">
        <f>'S49'!N23</f>
        <v/>
      </c>
      <c r="P23" s="53">
        <f>N23-O23</f>
        <v/>
      </c>
      <c r="Q23" s="32" t="n"/>
      <c r="R23" s="32" t="n"/>
      <c r="S23" s="32" t="n"/>
      <c r="T23" s="55" t="n"/>
      <c r="U23" s="54">
        <f>'S49'!T23</f>
        <v/>
      </c>
      <c r="V23" s="53">
        <f>T23-U23</f>
        <v/>
      </c>
      <c r="W23" s="53">
        <f>N23-T23</f>
        <v/>
      </c>
      <c r="X23" s="34" t="n"/>
    </row>
    <row r="24" ht="22" customHeight="1">
      <c r="B24" s="10" t="n">
        <v>20</v>
      </c>
      <c r="C24" s="6" t="inlineStr">
        <is>
          <t>Sidi Kacem</t>
        </is>
      </c>
      <c r="D24" s="10" t="inlineStr">
        <is>
          <t>HOUAFATE</t>
        </is>
      </c>
      <c r="E24" s="10" t="inlineStr">
        <is>
          <t>50-23</t>
        </is>
      </c>
      <c r="F24" s="10" t="inlineStr">
        <is>
          <t>Entretien et réparation du réseau d'assainissement et de drainage</t>
        </is>
      </c>
      <c r="G24" s="10" t="inlineStr">
        <is>
          <t>Curage des prises sur l’oued, bâche d’aspiration et bassin de régulation.</t>
        </is>
      </c>
      <c r="H24" s="10" t="inlineStr">
        <is>
          <t>Curage des prises sur l’oued de la station de pompage S17 et S13.
Nettoyage des grilles de préfiltration des boues colmaté de la station de pompage S17 et S13.
Curage de la bâche d’aspiration de la station S17 et S13.</t>
        </is>
      </c>
      <c r="I24" s="11" t="n">
        <v>300000</v>
      </c>
      <c r="J24" s="12" t="inlineStr">
        <is>
          <t>ml</t>
        </is>
      </c>
      <c r="K24" s="13" t="n">
        <v>100</v>
      </c>
      <c r="L24" s="51" t="n"/>
      <c r="M24" s="56">
        <f>'S49'!M24+L24</f>
        <v/>
      </c>
      <c r="N24" s="57">
        <f>IFERROR(M24/K24,0)</f>
        <v/>
      </c>
      <c r="O24" s="58">
        <f>'S49'!N24</f>
        <v/>
      </c>
      <c r="P24" s="57">
        <f>N24-O24</f>
        <v/>
      </c>
      <c r="Q24" s="32" t="n"/>
      <c r="R24" s="32" t="n"/>
      <c r="S24" s="32" t="n"/>
      <c r="T24" s="55" t="n"/>
      <c r="U24" s="58">
        <f>'S49'!T24</f>
        <v/>
      </c>
      <c r="V24" s="57">
        <f>T24-U24</f>
        <v/>
      </c>
      <c r="W24" s="57">
        <f>N24-T24</f>
        <v/>
      </c>
      <c r="X24" s="34" t="n"/>
    </row>
    <row r="25" ht="22" customHeight="1">
      <c r="B25" s="5" t="n">
        <v>21</v>
      </c>
      <c r="C25" s="6" t="inlineStr">
        <is>
          <t>Sidi Kacem</t>
        </is>
      </c>
      <c r="D25" s="5" t="inlineStr">
        <is>
          <t>HOUAFATE</t>
        </is>
      </c>
      <c r="E25" s="5" t="inlineStr">
        <is>
          <t>50-21</t>
        </is>
      </c>
      <c r="F25" s="5" t="inlineStr">
        <is>
          <t>Entretien et réparation des stations de pompage</t>
        </is>
      </c>
      <c r="G25" s="5" t="inlineStr">
        <is>
          <t>Prestation de maintenance des débitmètres et leurs équipements annexes installés au niveau des station de pompage</t>
        </is>
      </c>
      <c r="H25" s="5" t="inlineStr">
        <is>
          <t>Changement trois débitmètre Ø 600mm inondés de la station de pompage S13.</t>
        </is>
      </c>
      <c r="I25" s="7" t="n">
        <v>250000</v>
      </c>
      <c r="J25" s="8" t="inlineStr">
        <is>
          <t>U</t>
        </is>
      </c>
      <c r="K25" s="9" t="n">
        <v>3</v>
      </c>
      <c r="L25" s="51" t="n"/>
      <c r="M25" s="52">
        <f>'S49'!M25+L25</f>
        <v/>
      </c>
      <c r="N25" s="53">
        <f>IFERROR(M25/K25,0)</f>
        <v/>
      </c>
      <c r="O25" s="54">
        <f>'S49'!N25</f>
        <v/>
      </c>
      <c r="P25" s="53">
        <f>N25-O25</f>
        <v/>
      </c>
      <c r="Q25" s="32" t="n"/>
      <c r="R25" s="32" t="n"/>
      <c r="S25" s="32" t="n"/>
      <c r="T25" s="55" t="n"/>
      <c r="U25" s="54">
        <f>'S49'!T25</f>
        <v/>
      </c>
      <c r="V25" s="53">
        <f>T25-U25</f>
        <v/>
      </c>
      <c r="W25" s="53">
        <f>N25-T25</f>
        <v/>
      </c>
      <c r="X25" s="34" t="n"/>
    </row>
    <row r="26" ht="22" customHeight="1">
      <c r="B26" s="10" t="n">
        <v>22</v>
      </c>
      <c r="C26" s="6" t="inlineStr">
        <is>
          <t>Sidi Kacem</t>
        </is>
      </c>
      <c r="D26" s="10" t="inlineStr">
        <is>
          <t>HOUAFATE</t>
        </is>
      </c>
      <c r="E26" s="10" t="inlineStr">
        <is>
          <t>50-21</t>
        </is>
      </c>
      <c r="F26" s="10" t="inlineStr">
        <is>
          <t>Entretien et réparation des stations de pompage</t>
        </is>
      </c>
      <c r="G26" s="10" t="inlineStr">
        <is>
          <t>Prestations de maintenance des moteurs électriques des stations de pompage.</t>
        </is>
      </c>
      <c r="H26" s="10" t="inlineStr">
        <is>
          <t>Révision des trois moteurs électriques 200 KW principaux de la station S13. 
Révision des deux moteurs électriques 5,5 KW groupes vide de la station S13.</t>
        </is>
      </c>
      <c r="I26" s="11" t="n">
        <v>25000</v>
      </c>
      <c r="J26" s="12" t="inlineStr">
        <is>
          <t>U</t>
        </is>
      </c>
      <c r="K26" s="13" t="n">
        <v>3</v>
      </c>
      <c r="L26" s="51" t="n"/>
      <c r="M26" s="56">
        <f>'S49'!M26+L26</f>
        <v/>
      </c>
      <c r="N26" s="57">
        <f>IFERROR(M26/K26,0)</f>
        <v/>
      </c>
      <c r="O26" s="58">
        <f>'S49'!N26</f>
        <v/>
      </c>
      <c r="P26" s="57">
        <f>N26-O26</f>
        <v/>
      </c>
      <c r="Q26" s="32" t="n"/>
      <c r="R26" s="32" t="n"/>
      <c r="S26" s="32" t="n"/>
      <c r="T26" s="55" t="n"/>
      <c r="U26" s="58">
        <f>'S49'!T26</f>
        <v/>
      </c>
      <c r="V26" s="57">
        <f>T26-U26</f>
        <v/>
      </c>
      <c r="W26" s="57">
        <f>N26-T26</f>
        <v/>
      </c>
      <c r="X26" s="34" t="n"/>
    </row>
    <row r="27" ht="22" customHeight="1">
      <c r="B27" s="5" t="n">
        <v>23</v>
      </c>
      <c r="C27" s="6" t="inlineStr">
        <is>
          <t>Sidi Kacem</t>
        </is>
      </c>
      <c r="D27" s="5" t="inlineStr">
        <is>
          <t>HOUAFATE</t>
        </is>
      </c>
      <c r="E27" s="5" t="inlineStr">
        <is>
          <t>50-21</t>
        </is>
      </c>
      <c r="F27" s="5" t="inlineStr">
        <is>
          <t>Entretien et réparation des stations de pompage</t>
        </is>
      </c>
      <c r="G27" s="5" t="inlineStr">
        <is>
          <t>Prestations de maintenance et de réparation mécanique des pompes et des groupes motopompes submersibles des stations de pompage.</t>
        </is>
      </c>
      <c r="H27" s="5" t="inlineStr">
        <is>
          <t>Démontage et expertise des roues des  pompes principaux et pompes a vide de la station S13.
Changement des roulements, tresses et organes d’effectués de la station S13.</t>
        </is>
      </c>
      <c r="I27" s="7" t="n">
        <v>38000</v>
      </c>
      <c r="J27" s="8" t="inlineStr">
        <is>
          <t>U</t>
        </is>
      </c>
      <c r="K27" s="9" t="n">
        <v>1</v>
      </c>
      <c r="L27" s="51" t="n"/>
      <c r="M27" s="52">
        <f>'S49'!M27+L27</f>
        <v/>
      </c>
      <c r="N27" s="53">
        <f>IFERROR(M27/K27,0)</f>
        <v/>
      </c>
      <c r="O27" s="54">
        <f>'S49'!N27</f>
        <v/>
      </c>
      <c r="P27" s="53">
        <f>N27-O27</f>
        <v/>
      </c>
      <c r="Q27" s="32" t="n"/>
      <c r="R27" s="32" t="n"/>
      <c r="S27" s="32" t="n"/>
      <c r="T27" s="55" t="n"/>
      <c r="U27" s="54">
        <f>'S49'!T27</f>
        <v/>
      </c>
      <c r="V27" s="53">
        <f>T27-U27</f>
        <v/>
      </c>
      <c r="W27" s="53">
        <f>N27-T27</f>
        <v/>
      </c>
      <c r="X27" s="34" t="n"/>
    </row>
    <row r="28" ht="22" customHeight="1">
      <c r="B28" s="10" t="n">
        <v>24</v>
      </c>
      <c r="C28" s="6" t="inlineStr">
        <is>
          <t>Sidi Kacem</t>
        </is>
      </c>
      <c r="D28" s="10" t="inlineStr">
        <is>
          <t>HOUAFATE</t>
        </is>
      </c>
      <c r="E28" s="10" t="inlineStr">
        <is>
          <t>50-21</t>
        </is>
      </c>
      <c r="F28" s="10" t="inlineStr">
        <is>
          <t>Entretien et réparation des stations de pompage</t>
        </is>
      </c>
      <c r="G28" s="10" t="inlineStr">
        <is>
          <t>Stabilisation Berge oued</t>
        </is>
      </c>
      <c r="H28" s="10" t="inlineStr">
        <is>
          <t>Pose de  gabions et recouvrement du talus par matelas Reno des stations de pompage S13.</t>
        </is>
      </c>
      <c r="I28" s="11" t="n">
        <v>10560000</v>
      </c>
      <c r="J28" s="12" t="inlineStr">
        <is>
          <t>m³</t>
        </is>
      </c>
      <c r="K28" s="13" t="n">
        <v>7040</v>
      </c>
      <c r="L28" s="51" t="n"/>
      <c r="M28" s="56">
        <f>'S49'!M28+L28</f>
        <v/>
      </c>
      <c r="N28" s="57">
        <f>IFERROR(M28/K28,0)</f>
        <v/>
      </c>
      <c r="O28" s="58">
        <f>'S49'!N28</f>
        <v/>
      </c>
      <c r="P28" s="57">
        <f>N28-O28</f>
        <v/>
      </c>
      <c r="Q28" s="32" t="n"/>
      <c r="R28" s="32" t="n"/>
      <c r="S28" s="32" t="n"/>
      <c r="T28" s="55" t="n"/>
      <c r="U28" s="58">
        <f>'S49'!T28</f>
        <v/>
      </c>
      <c r="V28" s="57">
        <f>T28-U28</f>
        <v/>
      </c>
      <c r="W28" s="57">
        <f>N28-T28</f>
        <v/>
      </c>
      <c r="X28" s="34" t="n"/>
    </row>
    <row r="29" ht="22" customHeight="1">
      <c r="B29" s="5" t="n">
        <v>25</v>
      </c>
      <c r="C29" s="6" t="inlineStr">
        <is>
          <t>Sidi Kacem</t>
        </is>
      </c>
      <c r="D29" s="5" t="inlineStr">
        <is>
          <t>HOUAFATE</t>
        </is>
      </c>
      <c r="E29" s="5" t="inlineStr">
        <is>
          <t>50-21</t>
        </is>
      </c>
      <c r="F29" s="5" t="inlineStr">
        <is>
          <t>Entretien et réparation des stations de pompage</t>
        </is>
      </c>
      <c r="G29" s="5" t="inlineStr">
        <is>
          <t>Mur clôture des stations de pompage.</t>
        </is>
      </c>
      <c r="H29" s="5" t="inlineStr">
        <is>
          <t>Stabilisation du sol et reconstruction des murs clôture (270m) cote oued de la station S17.</t>
        </is>
      </c>
      <c r="I29" s="7" t="n">
        <v>144000</v>
      </c>
      <c r="J29" s="8" t="inlineStr">
        <is>
          <t>ml</t>
        </is>
      </c>
      <c r="K29" s="9" t="n">
        <v>270</v>
      </c>
      <c r="L29" s="51" t="n"/>
      <c r="M29" s="52">
        <f>'S49'!M29+L29</f>
        <v/>
      </c>
      <c r="N29" s="53">
        <f>IFERROR(M29/K29,0)</f>
        <v/>
      </c>
      <c r="O29" s="54">
        <f>'S49'!N29</f>
        <v/>
      </c>
      <c r="P29" s="53">
        <f>N29-O29</f>
        <v/>
      </c>
      <c r="Q29" s="32" t="n"/>
      <c r="R29" s="32" t="n"/>
      <c r="S29" s="32" t="n"/>
      <c r="T29" s="55" t="n"/>
      <c r="U29" s="54">
        <f>'S49'!T29</f>
        <v/>
      </c>
      <c r="V29" s="53">
        <f>T29-U29</f>
        <v/>
      </c>
      <c r="W29" s="53">
        <f>N29-T29</f>
        <v/>
      </c>
      <c r="X29" s="34" t="n"/>
    </row>
    <row r="30" ht="22" customHeight="1">
      <c r="B30" s="10" t="n">
        <v>26</v>
      </c>
      <c r="C30" s="6" t="inlineStr">
        <is>
          <t>Sidi Kacem</t>
        </is>
      </c>
      <c r="D30" s="10" t="inlineStr">
        <is>
          <t>HOUAFATE</t>
        </is>
      </c>
      <c r="E30" s="10" t="inlineStr">
        <is>
          <t>50-21</t>
        </is>
      </c>
      <c r="F30" s="10" t="inlineStr">
        <is>
          <t>Entretien et réparation des stations de pompage</t>
        </is>
      </c>
      <c r="G30" s="10" t="inlineStr">
        <is>
          <t>Génie civile des locaux des stations de pompage.</t>
        </is>
      </c>
      <c r="H30" s="10" t="inlineStr">
        <is>
          <t>Expertise d’état et d’étanchéité des locaux pompes, commande, puissance des stations de pompage S17 et S13.
Renforcement d’étanchéité des locaux pompe sous niveau des oueds des stations de pompage S17 et S13.</t>
        </is>
      </c>
      <c r="I30" s="11" t="n">
        <v>800000</v>
      </c>
      <c r="J30" s="12" t="inlineStr">
        <is>
          <t>U</t>
        </is>
      </c>
      <c r="K30" s="13" t="n">
        <v>1</v>
      </c>
      <c r="L30" s="51" t="n"/>
      <c r="M30" s="56">
        <f>'S49'!M30+L30</f>
        <v/>
      </c>
      <c r="N30" s="57">
        <f>IFERROR(M30/K30,0)</f>
        <v/>
      </c>
      <c r="O30" s="58">
        <f>'S49'!N30</f>
        <v/>
      </c>
      <c r="P30" s="57">
        <f>N30-O30</f>
        <v/>
      </c>
      <c r="Q30" s="32" t="n"/>
      <c r="R30" s="32" t="n"/>
      <c r="S30" s="32" t="n"/>
      <c r="T30" s="55" t="n"/>
      <c r="U30" s="58">
        <f>'S49'!T30</f>
        <v/>
      </c>
      <c r="V30" s="57">
        <f>T30-U30</f>
        <v/>
      </c>
      <c r="W30" s="57">
        <f>N30-T30</f>
        <v/>
      </c>
      <c r="X30" s="34" t="n"/>
    </row>
    <row r="31" ht="22" customHeight="1">
      <c r="B31" s="5" t="n">
        <v>27</v>
      </c>
      <c r="C31" s="6" t="inlineStr">
        <is>
          <t>Sidi Kacem</t>
        </is>
      </c>
      <c r="D31" s="5" t="inlineStr">
        <is>
          <t>NOUIRAT</t>
        </is>
      </c>
      <c r="E31" s="5" t="inlineStr">
        <is>
          <t>50-23</t>
        </is>
      </c>
      <c r="F31" s="5" t="inlineStr">
        <is>
          <t>Entretien et réparation du réseau d'assainissement et de drainage</t>
        </is>
      </c>
      <c r="G31" s="5" t="inlineStr">
        <is>
          <t>Travaux de curage des canaux en terre</t>
        </is>
      </c>
      <c r="H31" s="5" t="inlineStr">
        <is>
          <t>Curage des collecteurs d'assainissement des secteurs EST1 et N5</t>
        </is>
      </c>
      <c r="I31" s="7" t="n">
        <v>1733306</v>
      </c>
      <c r="J31" s="8" t="inlineStr">
        <is>
          <t>ml</t>
        </is>
      </c>
      <c r="K31" s="9" t="n">
        <v>867</v>
      </c>
      <c r="L31" s="51" t="n"/>
      <c r="M31" s="52">
        <f>'S49'!M31+L31</f>
        <v/>
      </c>
      <c r="N31" s="53">
        <f>IFERROR(M31/K31,0)</f>
        <v/>
      </c>
      <c r="O31" s="54">
        <f>'S49'!N31</f>
        <v/>
      </c>
      <c r="P31" s="53">
        <f>N31-O31</f>
        <v/>
      </c>
      <c r="Q31" s="32" t="n"/>
      <c r="R31" s="32" t="n"/>
      <c r="S31" s="32" t="n"/>
      <c r="T31" s="55" t="n"/>
      <c r="U31" s="54">
        <f>'S49'!T31</f>
        <v/>
      </c>
      <c r="V31" s="53">
        <f>T31-U31</f>
        <v/>
      </c>
      <c r="W31" s="53">
        <f>N31-T31</f>
        <v/>
      </c>
      <c r="X31" s="34" t="n"/>
    </row>
    <row r="32" ht="22" customHeight="1">
      <c r="B32" s="10" t="n">
        <v>28</v>
      </c>
      <c r="C32" s="6" t="inlineStr">
        <is>
          <t>Sidi Kacem</t>
        </is>
      </c>
      <c r="D32" s="10" t="inlineStr">
        <is>
          <t>NOUIRAT</t>
        </is>
      </c>
      <c r="E32" s="10" t="inlineStr">
        <is>
          <t>40-21</t>
        </is>
      </c>
      <c r="F32" s="10" t="inlineStr">
        <is>
          <t>Travaux de pistes</t>
        </is>
      </c>
      <c r="G32" s="10" t="inlineStr">
        <is>
          <t>Entretien des pistes agricoles</t>
        </is>
      </c>
      <c r="H32" s="10" t="inlineStr">
        <is>
          <t>Entretien des pistes agricoles</t>
        </is>
      </c>
      <c r="I32" s="11" t="n">
        <v>670000</v>
      </c>
      <c r="J32" s="12" t="inlineStr">
        <is>
          <t>km</t>
        </is>
      </c>
      <c r="K32" s="13" t="n">
        <v>1</v>
      </c>
      <c r="L32" s="51" t="n"/>
      <c r="M32" s="56">
        <f>'S49'!M32+L32</f>
        <v/>
      </c>
      <c r="N32" s="57">
        <f>IFERROR(M32/K32,0)</f>
        <v/>
      </c>
      <c r="O32" s="58">
        <f>'S49'!N32</f>
        <v/>
      </c>
      <c r="P32" s="57">
        <f>N32-O32</f>
        <v/>
      </c>
      <c r="Q32" s="32" t="n"/>
      <c r="R32" s="32" t="n"/>
      <c r="S32" s="32" t="n"/>
      <c r="T32" s="55" t="n"/>
      <c r="U32" s="58">
        <f>'S49'!T32</f>
        <v/>
      </c>
      <c r="V32" s="57">
        <f>T32-U32</f>
        <v/>
      </c>
      <c r="W32" s="57">
        <f>N32-T32</f>
        <v/>
      </c>
      <c r="X32" s="34" t="n"/>
    </row>
    <row r="33" ht="22" customHeight="1">
      <c r="B33" s="5" t="n">
        <v>29</v>
      </c>
      <c r="C33" s="6" t="inlineStr">
        <is>
          <t>Sidi Kacem</t>
        </is>
      </c>
      <c r="D33" s="5" t="inlineStr">
        <is>
          <t>NOUIRAT</t>
        </is>
      </c>
      <c r="E33" s="5" t="inlineStr">
        <is>
          <t>20-11</t>
        </is>
      </c>
      <c r="F33" s="5" t="inlineStr">
        <is>
          <t>Travaux de réhabilitation des équipements</t>
        </is>
      </c>
      <c r="G33" s="5" t="inlineStr">
        <is>
          <t>Travaux de réhabilitation des ouvrages de génie civil</t>
        </is>
      </c>
      <c r="H33" s="5" t="inlineStr">
        <is>
          <t>Réhabilitation de l'ouvrage( genie civil ,gabiollannage,clapet anti retour et buse) de l'ouvrage de débouche SE1</t>
        </is>
      </c>
      <c r="I33" s="7" t="n">
        <v>2500000</v>
      </c>
      <c r="J33" s="8" t="inlineStr">
        <is>
          <t>U</t>
        </is>
      </c>
      <c r="K33" s="9" t="n">
        <v>5</v>
      </c>
      <c r="L33" s="51" t="n"/>
      <c r="M33" s="52">
        <f>'S49'!M33+L33</f>
        <v/>
      </c>
      <c r="N33" s="53">
        <f>IFERROR(M33/K33,0)</f>
        <v/>
      </c>
      <c r="O33" s="54">
        <f>'S49'!N33</f>
        <v/>
      </c>
      <c r="P33" s="53">
        <f>N33-O33</f>
        <v/>
      </c>
      <c r="Q33" s="32" t="n"/>
      <c r="R33" s="32" t="n"/>
      <c r="S33" s="32" t="n"/>
      <c r="T33" s="55" t="n"/>
      <c r="U33" s="54">
        <f>'S49'!T33</f>
        <v/>
      </c>
      <c r="V33" s="53">
        <f>T33-U33</f>
        <v/>
      </c>
      <c r="W33" s="53">
        <f>N33-T33</f>
        <v/>
      </c>
      <c r="X33" s="34" t="n"/>
    </row>
    <row r="34" ht="22" customHeight="1">
      <c r="B34" s="10" t="n">
        <v>30</v>
      </c>
      <c r="C34" s="6" t="inlineStr">
        <is>
          <t>Sidi Kacem</t>
        </is>
      </c>
      <c r="D34" s="10" t="inlineStr">
        <is>
          <t>NOUIRAT</t>
        </is>
      </c>
      <c r="E34" s="10" t="inlineStr">
        <is>
          <t>50-23</t>
        </is>
      </c>
      <c r="F34" s="10" t="inlineStr">
        <is>
          <t>Entretien et réparation du réseau d'assainissement et de drainage</t>
        </is>
      </c>
      <c r="G34" s="10" t="inlineStr">
        <is>
          <t>Curage des prises sur l’oued, bâche d’aspiration et bassin de régulation.</t>
        </is>
      </c>
      <c r="H34" s="10" t="inlineStr">
        <is>
          <t>Curage des prises sur l’oued de la station de pompage E1.
Nettoyage des grilles de préfiltration des boues colmaté de la station de pompage E1.
Curage de la bâche d’aspiration de la station E1.</t>
        </is>
      </c>
      <c r="I34" s="11" t="n">
        <v>800000</v>
      </c>
      <c r="J34" s="12" t="inlineStr">
        <is>
          <t>ml</t>
        </is>
      </c>
      <c r="K34" s="13" t="n">
        <v>267</v>
      </c>
      <c r="L34" s="51" t="n"/>
      <c r="M34" s="56">
        <f>'S49'!M34+L34</f>
        <v/>
      </c>
      <c r="N34" s="57">
        <f>IFERROR(M34/K34,0)</f>
        <v/>
      </c>
      <c r="O34" s="58">
        <f>'S49'!N34</f>
        <v/>
      </c>
      <c r="P34" s="57">
        <f>N34-O34</f>
        <v/>
      </c>
      <c r="Q34" s="32" t="n"/>
      <c r="R34" s="32" t="n"/>
      <c r="S34" s="32" t="n"/>
      <c r="T34" s="55" t="n"/>
      <c r="U34" s="58">
        <f>'S49'!T34</f>
        <v/>
      </c>
      <c r="V34" s="57">
        <f>T34-U34</f>
        <v/>
      </c>
      <c r="W34" s="57">
        <f>N34-T34</f>
        <v/>
      </c>
      <c r="X34" s="34" t="n"/>
    </row>
    <row r="35" ht="22" customHeight="1">
      <c r="B35" s="5" t="n">
        <v>31</v>
      </c>
      <c r="C35" s="6" t="inlineStr">
        <is>
          <t>Sidi Kacem</t>
        </is>
      </c>
      <c r="D35" s="5" t="inlineStr">
        <is>
          <t>NOUIRAT</t>
        </is>
      </c>
      <c r="E35" s="5" t="inlineStr">
        <is>
          <t>50-21</t>
        </is>
      </c>
      <c r="F35" s="5" t="inlineStr">
        <is>
          <t>Entretien et réparation des stations de pompage</t>
        </is>
      </c>
      <c r="G35" s="5" t="inlineStr">
        <is>
          <t>Prestation de maintenance des débitmètres et leurs équipements annexes installés au niveau des station de pompage</t>
        </is>
      </c>
      <c r="H35" s="5" t="inlineStr">
        <is>
          <t>Changement du débitmètre Ø 1200mm inondé de la station de pompage E1.</t>
        </is>
      </c>
      <c r="I35" s="7" t="n">
        <v>195000</v>
      </c>
      <c r="J35" s="8" t="inlineStr">
        <is>
          <t>U</t>
        </is>
      </c>
      <c r="K35" s="9" t="n">
        <v>2</v>
      </c>
      <c r="L35" s="51" t="n"/>
      <c r="M35" s="52">
        <f>'S49'!M35+L35</f>
        <v/>
      </c>
      <c r="N35" s="53">
        <f>IFERROR(M35/K35,0)</f>
        <v/>
      </c>
      <c r="O35" s="54">
        <f>'S49'!N35</f>
        <v/>
      </c>
      <c r="P35" s="53">
        <f>N35-O35</f>
        <v/>
      </c>
      <c r="Q35" s="32" t="n"/>
      <c r="R35" s="32" t="n"/>
      <c r="S35" s="32" t="n"/>
      <c r="T35" s="55" t="n"/>
      <c r="U35" s="54">
        <f>'S49'!T35</f>
        <v/>
      </c>
      <c r="V35" s="53">
        <f>T35-U35</f>
        <v/>
      </c>
      <c r="W35" s="53">
        <f>N35-T35</f>
        <v/>
      </c>
      <c r="X35" s="34" t="n"/>
    </row>
    <row r="36" ht="22" customHeight="1">
      <c r="B36" s="10" t="n">
        <v>32</v>
      </c>
      <c r="C36" s="6" t="inlineStr">
        <is>
          <t>Sidi Kacem</t>
        </is>
      </c>
      <c r="D36" s="10" t="inlineStr">
        <is>
          <t>NOUIRAT</t>
        </is>
      </c>
      <c r="E36" s="10" t="inlineStr">
        <is>
          <t>50-21</t>
        </is>
      </c>
      <c r="F36" s="10" t="inlineStr">
        <is>
          <t>Entretien et réparation des stations de pompage</t>
        </is>
      </c>
      <c r="G36" s="10" t="inlineStr">
        <is>
          <t>Prestations de maintenance des moteurs électriques des stations de pompage.</t>
        </is>
      </c>
      <c r="H36" s="10" t="inlineStr">
        <is>
          <t>Révision des deux moteurs électriques principaux de la station E1.</t>
        </is>
      </c>
      <c r="I36" s="11" t="n">
        <v>50000</v>
      </c>
      <c r="J36" s="12" t="inlineStr">
        <is>
          <t>U</t>
        </is>
      </c>
      <c r="K36" s="13" t="n">
        <v>2</v>
      </c>
      <c r="L36" s="51" t="n"/>
      <c r="M36" s="56">
        <f>'S49'!M36+L36</f>
        <v/>
      </c>
      <c r="N36" s="57">
        <f>IFERROR(M36/K36,0)</f>
        <v/>
      </c>
      <c r="O36" s="58">
        <f>'S49'!N36</f>
        <v/>
      </c>
      <c r="P36" s="57">
        <f>N36-O36</f>
        <v/>
      </c>
      <c r="Q36" s="32" t="n"/>
      <c r="R36" s="32" t="n"/>
      <c r="S36" s="32" t="n"/>
      <c r="T36" s="55" t="n"/>
      <c r="U36" s="58">
        <f>'S49'!T36</f>
        <v/>
      </c>
      <c r="V36" s="57">
        <f>T36-U36</f>
        <v/>
      </c>
      <c r="W36" s="57">
        <f>N36-T36</f>
        <v/>
      </c>
      <c r="X36" s="34" t="n"/>
    </row>
    <row r="37" ht="22" customHeight="1">
      <c r="B37" s="5" t="n">
        <v>33</v>
      </c>
      <c r="C37" s="6" t="inlineStr">
        <is>
          <t>Sidi Kacem</t>
        </is>
      </c>
      <c r="D37" s="5" t="inlineStr">
        <is>
          <t>NOUIRAT</t>
        </is>
      </c>
      <c r="E37" s="5" t="inlineStr">
        <is>
          <t>50-21</t>
        </is>
      </c>
      <c r="F37" s="5" t="inlineStr">
        <is>
          <t>Entretien et réparation des stations de pompage</t>
        </is>
      </c>
      <c r="G37" s="5" t="inlineStr">
        <is>
          <t>Prestations de maintenance et de réparation mécanique des pompes et des groupes motopompes submersibles des stations de pompage.</t>
        </is>
      </c>
      <c r="H37" s="5" t="inlineStr">
        <is>
          <t>Démontage et expertise des cinq pompes principaux et pompes a vide de la station E1.
Changement des roulements, tresses et organes d’effectués de la station E1.</t>
        </is>
      </c>
      <c r="I37" s="7" t="n">
        <v>245000</v>
      </c>
      <c r="J37" s="8" t="inlineStr">
        <is>
          <t>U</t>
        </is>
      </c>
      <c r="K37" s="9" t="n">
        <v>5</v>
      </c>
      <c r="L37" s="51" t="n"/>
      <c r="M37" s="52">
        <f>'S49'!M37+L37</f>
        <v/>
      </c>
      <c r="N37" s="53">
        <f>IFERROR(M37/K37,0)</f>
        <v/>
      </c>
      <c r="O37" s="54">
        <f>'S49'!N37</f>
        <v/>
      </c>
      <c r="P37" s="53">
        <f>N37-O37</f>
        <v/>
      </c>
      <c r="Q37" s="32" t="n"/>
      <c r="R37" s="32" t="n"/>
      <c r="S37" s="32" t="n"/>
      <c r="T37" s="55" t="n"/>
      <c r="U37" s="54">
        <f>'S49'!T37</f>
        <v/>
      </c>
      <c r="V37" s="53">
        <f>T37-U37</f>
        <v/>
      </c>
      <c r="W37" s="53">
        <f>N37-T37</f>
        <v/>
      </c>
      <c r="X37" s="34" t="n"/>
    </row>
    <row r="38" ht="22" customHeight="1">
      <c r="B38" s="10" t="n">
        <v>34</v>
      </c>
      <c r="C38" s="6" t="inlineStr">
        <is>
          <t>Sidi Kacem</t>
        </is>
      </c>
      <c r="D38" s="10" t="inlineStr">
        <is>
          <t>NOUIRAT</t>
        </is>
      </c>
      <c r="E38" s="10" t="inlineStr">
        <is>
          <t>50-21</t>
        </is>
      </c>
      <c r="F38" s="10" t="inlineStr">
        <is>
          <t>Entretien et réparation des stations de pompage</t>
        </is>
      </c>
      <c r="G38" s="10" t="inlineStr">
        <is>
          <t>Génie civile des locaux des stations de pompage.</t>
        </is>
      </c>
      <c r="H38" s="10" t="inlineStr">
        <is>
          <t>Expertise d’état et d’étanchéité des locaux pompes, commande, puissance de la station de pompage E1.
Renforcement d’étanchéité des locaux pompe sous niveau des oueds de la station de pompage E1.</t>
        </is>
      </c>
      <c r="I38" s="11" t="n">
        <v>1000000</v>
      </c>
      <c r="J38" s="12" t="inlineStr">
        <is>
          <t>U</t>
        </is>
      </c>
      <c r="K38" s="13" t="n">
        <v>1</v>
      </c>
      <c r="L38" s="51" t="n"/>
      <c r="M38" s="56">
        <f>'S49'!M38+L38</f>
        <v/>
      </c>
      <c r="N38" s="57">
        <f>IFERROR(M38/K38,0)</f>
        <v/>
      </c>
      <c r="O38" s="58">
        <f>'S49'!N38</f>
        <v/>
      </c>
      <c r="P38" s="57">
        <f>N38-O38</f>
        <v/>
      </c>
      <c r="Q38" s="32" t="n"/>
      <c r="R38" s="32" t="n"/>
      <c r="S38" s="32" t="n"/>
      <c r="T38" s="55" t="n"/>
      <c r="U38" s="58">
        <f>'S49'!T38</f>
        <v/>
      </c>
      <c r="V38" s="57">
        <f>T38-U38</f>
        <v/>
      </c>
      <c r="W38" s="57">
        <f>N38-T38</f>
        <v/>
      </c>
      <c r="X38" s="34" t="n"/>
    </row>
    <row r="39" ht="22" customHeight="1">
      <c r="B39" s="5" t="n">
        <v>35</v>
      </c>
      <c r="C39" s="6" t="inlineStr">
        <is>
          <t>Sidi Kacem</t>
        </is>
      </c>
      <c r="D39" s="5" t="inlineStr">
        <is>
          <t>RMILAT</t>
        </is>
      </c>
      <c r="E39" s="5" t="inlineStr">
        <is>
          <t>50-23</t>
        </is>
      </c>
      <c r="F39" s="5" t="inlineStr">
        <is>
          <t>Entretien et réparation du réseau d'assainissement et de drainage</t>
        </is>
      </c>
      <c r="G39" s="5" t="inlineStr">
        <is>
          <t>Travaux de curage des canaux en terre</t>
        </is>
      </c>
      <c r="H39" s="5" t="inlineStr">
        <is>
          <t>Curage des collecteurs d'assainissement des secteurs P7</t>
        </is>
      </c>
      <c r="I39" s="7" t="n">
        <v>5024032</v>
      </c>
      <c r="J39" s="8" t="inlineStr">
        <is>
          <t>ml</t>
        </is>
      </c>
      <c r="K39" s="9" t="n">
        <v>2512</v>
      </c>
      <c r="L39" s="51" t="n"/>
      <c r="M39" s="52">
        <f>'S49'!M39+L39</f>
        <v/>
      </c>
      <c r="N39" s="53">
        <f>IFERROR(M39/K39,0)</f>
        <v/>
      </c>
      <c r="O39" s="54">
        <f>'S49'!N39</f>
        <v/>
      </c>
      <c r="P39" s="53">
        <f>N39-O39</f>
        <v/>
      </c>
      <c r="Q39" s="32" t="n"/>
      <c r="R39" s="32" t="n"/>
      <c r="S39" s="32" t="n"/>
      <c r="T39" s="55" t="n"/>
      <c r="U39" s="54">
        <f>'S49'!T39</f>
        <v/>
      </c>
      <c r="V39" s="53">
        <f>T39-U39</f>
        <v/>
      </c>
      <c r="W39" s="53">
        <f>N39-T39</f>
        <v/>
      </c>
      <c r="X39" s="34" t="n"/>
    </row>
    <row r="40" ht="22" customHeight="1">
      <c r="B40" s="10" t="n">
        <v>36</v>
      </c>
      <c r="C40" s="6" t="inlineStr">
        <is>
          <t>Sidi Kacem</t>
        </is>
      </c>
      <c r="D40" s="10" t="inlineStr">
        <is>
          <t>RMILAT</t>
        </is>
      </c>
      <c r="E40" s="10" t="inlineStr">
        <is>
          <t>40-21</t>
        </is>
      </c>
      <c r="F40" s="10" t="inlineStr">
        <is>
          <t>Travaux de pistes</t>
        </is>
      </c>
      <c r="G40" s="10" t="inlineStr">
        <is>
          <t>Entretien des pistes agricoles</t>
        </is>
      </c>
      <c r="H40" s="10" t="inlineStr">
        <is>
          <t>Entretien des pistes agricoles</t>
        </is>
      </c>
      <c r="I40" s="11" t="n">
        <v>400000</v>
      </c>
      <c r="J40" s="12" t="inlineStr">
        <is>
          <t>km</t>
        </is>
      </c>
      <c r="K40" s="13" t="n">
        <v>1</v>
      </c>
      <c r="L40" s="51" t="n"/>
      <c r="M40" s="56">
        <f>'S49'!M40+L40</f>
        <v/>
      </c>
      <c r="N40" s="57">
        <f>IFERROR(M40/K40,0)</f>
        <v/>
      </c>
      <c r="O40" s="58">
        <f>'S49'!N40</f>
        <v/>
      </c>
      <c r="P40" s="57">
        <f>N40-O40</f>
        <v/>
      </c>
      <c r="Q40" s="32" t="n"/>
      <c r="R40" s="32" t="n"/>
      <c r="S40" s="32" t="n"/>
      <c r="T40" s="55" t="n"/>
      <c r="U40" s="58">
        <f>'S49'!T40</f>
        <v/>
      </c>
      <c r="V40" s="57">
        <f>T40-U40</f>
        <v/>
      </c>
      <c r="W40" s="57">
        <f>N40-T40</f>
        <v/>
      </c>
      <c r="X40" s="34" t="n"/>
    </row>
    <row r="41" ht="22" customHeight="1">
      <c r="B41" s="5" t="n">
        <v>37</v>
      </c>
      <c r="C41" s="6" t="inlineStr">
        <is>
          <t>Sidi Kacem</t>
        </is>
      </c>
      <c r="D41" s="5" t="inlineStr">
        <is>
          <t>SAFSAF</t>
        </is>
      </c>
      <c r="E41" s="5" t="inlineStr">
        <is>
          <t>50-23</t>
        </is>
      </c>
      <c r="F41" s="5" t="inlineStr">
        <is>
          <t>Entretien et réparation du réseau d'assainissement et de drainage</t>
        </is>
      </c>
      <c r="G41" s="5" t="inlineStr">
        <is>
          <t>Travaux de curage des canaux en terre</t>
        </is>
      </c>
      <c r="H41" s="5" t="inlineStr">
        <is>
          <t>Curage des collecteurs d'assainissement des secteurs S7, S9 et S11</t>
        </is>
      </c>
      <c r="I41" s="7" t="n">
        <v>6000000</v>
      </c>
      <c r="J41" s="8" t="inlineStr">
        <is>
          <t>ml</t>
        </is>
      </c>
      <c r="K41" s="9" t="n">
        <v>3000</v>
      </c>
      <c r="L41" s="51" t="n"/>
      <c r="M41" s="52">
        <f>'S49'!M41+L41</f>
        <v/>
      </c>
      <c r="N41" s="53">
        <f>IFERROR(M41/K41,0)</f>
        <v/>
      </c>
      <c r="O41" s="54">
        <f>'S49'!N41</f>
        <v/>
      </c>
      <c r="P41" s="53">
        <f>N41-O41</f>
        <v/>
      </c>
      <c r="Q41" s="32" t="n"/>
      <c r="R41" s="32" t="n"/>
      <c r="S41" s="32" t="n"/>
      <c r="T41" s="55" t="n"/>
      <c r="U41" s="54">
        <f>'S49'!T41</f>
        <v/>
      </c>
      <c r="V41" s="53">
        <f>T41-U41</f>
        <v/>
      </c>
      <c r="W41" s="53">
        <f>N41-T41</f>
        <v/>
      </c>
      <c r="X41" s="34" t="n"/>
    </row>
    <row r="42" ht="22" customHeight="1">
      <c r="B42" s="10" t="n">
        <v>38</v>
      </c>
      <c r="C42" s="6" t="inlineStr">
        <is>
          <t>Sidi Kacem</t>
        </is>
      </c>
      <c r="D42" s="10" t="inlineStr">
        <is>
          <t>SAFSAF</t>
        </is>
      </c>
      <c r="E42" s="10" t="inlineStr">
        <is>
          <t>20-11</t>
        </is>
      </c>
      <c r="F42" s="10" t="inlineStr">
        <is>
          <t>Travaux de réhabilitation des équipements</t>
        </is>
      </c>
      <c r="G42" s="10" t="inlineStr">
        <is>
          <t>Travaux de réhabilitation des canaux portés d'irrigation</t>
        </is>
      </c>
      <c r="H42" s="10" t="inlineStr">
        <is>
          <t>Fourniture et  pose de canaux porté et accessoires du réseau S4 du secteur S11</t>
        </is>
      </c>
      <c r="I42" s="11" t="n">
        <v>232266</v>
      </c>
      <c r="J42" s="12" t="inlineStr">
        <is>
          <t>ml</t>
        </is>
      </c>
      <c r="K42" s="13" t="n">
        <v>77</v>
      </c>
      <c r="L42" s="51" t="n"/>
      <c r="M42" s="56">
        <f>'S49'!M42+L42</f>
        <v/>
      </c>
      <c r="N42" s="57">
        <f>IFERROR(M42/K42,0)</f>
        <v/>
      </c>
      <c r="O42" s="58">
        <f>'S49'!N42</f>
        <v/>
      </c>
      <c r="P42" s="57">
        <f>N42-O42</f>
        <v/>
      </c>
      <c r="Q42" s="32" t="n"/>
      <c r="R42" s="32" t="n"/>
      <c r="S42" s="32" t="n"/>
      <c r="T42" s="55" t="n"/>
      <c r="U42" s="58">
        <f>'S49'!T42</f>
        <v/>
      </c>
      <c r="V42" s="57">
        <f>T42-U42</f>
        <v/>
      </c>
      <c r="W42" s="57">
        <f>N42-T42</f>
        <v/>
      </c>
      <c r="X42" s="34" t="n"/>
    </row>
    <row r="43" ht="22" customHeight="1">
      <c r="B43" s="5" t="n">
        <v>39</v>
      </c>
      <c r="C43" s="6" t="inlineStr">
        <is>
          <t>Sidi Kacem</t>
        </is>
      </c>
      <c r="D43" s="5" t="inlineStr">
        <is>
          <t>SAFSAF</t>
        </is>
      </c>
      <c r="E43" s="5" t="inlineStr">
        <is>
          <t>20-11</t>
        </is>
      </c>
      <c r="F43" s="5" t="inlineStr">
        <is>
          <t>Travaux de réhabilitation des équipements</t>
        </is>
      </c>
      <c r="G43" s="5" t="inlineStr"/>
      <c r="H43" s="5" t="inlineStr">
        <is>
          <t>Recalage des canaux portés du réseau T5S5 du secteur S9</t>
        </is>
      </c>
      <c r="I43" s="7" t="n">
        <v>1055025</v>
      </c>
      <c r="J43" s="8" t="inlineStr">
        <is>
          <t>ml</t>
        </is>
      </c>
      <c r="K43" s="9" t="n">
        <v>352</v>
      </c>
      <c r="L43" s="51" t="n"/>
      <c r="M43" s="52">
        <f>'S49'!M43+L43</f>
        <v/>
      </c>
      <c r="N43" s="53">
        <f>IFERROR(M43/K43,0)</f>
        <v/>
      </c>
      <c r="O43" s="54">
        <f>'S49'!N43</f>
        <v/>
      </c>
      <c r="P43" s="53">
        <f>N43-O43</f>
        <v/>
      </c>
      <c r="Q43" s="32" t="n"/>
      <c r="R43" s="32" t="n"/>
      <c r="S43" s="32" t="n"/>
      <c r="T43" s="55" t="n"/>
      <c r="U43" s="54">
        <f>'S49'!T43</f>
        <v/>
      </c>
      <c r="V43" s="53">
        <f>T43-U43</f>
        <v/>
      </c>
      <c r="W43" s="53">
        <f>N43-T43</f>
        <v/>
      </c>
      <c r="X43" s="34" t="n"/>
    </row>
    <row r="44" ht="22" customHeight="1">
      <c r="B44" s="10" t="n">
        <v>40</v>
      </c>
      <c r="C44" s="6" t="inlineStr">
        <is>
          <t>Sidi Kacem</t>
        </is>
      </c>
      <c r="D44" s="10" t="inlineStr">
        <is>
          <t>SAFSAF</t>
        </is>
      </c>
      <c r="E44" s="10" t="inlineStr">
        <is>
          <t>20-11</t>
        </is>
      </c>
      <c r="F44" s="10" t="inlineStr">
        <is>
          <t>Travaux de réhabilitation des équipements</t>
        </is>
      </c>
      <c r="G44" s="10" t="inlineStr"/>
      <c r="H44" s="10" t="inlineStr">
        <is>
          <t>Recalage des canaux portés du réseau T7S5 du secteur S9</t>
        </is>
      </c>
      <c r="I44" s="11" t="n">
        <v>1004535</v>
      </c>
      <c r="J44" s="12" t="inlineStr">
        <is>
          <t>ml</t>
        </is>
      </c>
      <c r="K44" s="13" t="n">
        <v>335</v>
      </c>
      <c r="L44" s="51" t="n"/>
      <c r="M44" s="56">
        <f>'S49'!M44+L44</f>
        <v/>
      </c>
      <c r="N44" s="57">
        <f>IFERROR(M44/K44,0)</f>
        <v/>
      </c>
      <c r="O44" s="58">
        <f>'S49'!N44</f>
        <v/>
      </c>
      <c r="P44" s="57">
        <f>N44-O44</f>
        <v/>
      </c>
      <c r="Q44" s="32" t="n"/>
      <c r="R44" s="32" t="n"/>
      <c r="S44" s="32" t="n"/>
      <c r="T44" s="55" t="n"/>
      <c r="U44" s="58">
        <f>'S49'!T44</f>
        <v/>
      </c>
      <c r="V44" s="57">
        <f>T44-U44</f>
        <v/>
      </c>
      <c r="W44" s="57">
        <f>N44-T44</f>
        <v/>
      </c>
      <c r="X44" s="34" t="n"/>
    </row>
    <row r="45" ht="22" customHeight="1">
      <c r="B45" s="5" t="n">
        <v>41</v>
      </c>
      <c r="C45" s="6" t="inlineStr">
        <is>
          <t>Sidi Kacem</t>
        </is>
      </c>
      <c r="D45" s="5" t="inlineStr">
        <is>
          <t>SAFSAF</t>
        </is>
      </c>
      <c r="E45" s="5" t="inlineStr">
        <is>
          <t>20-11</t>
        </is>
      </c>
      <c r="F45" s="5" t="inlineStr">
        <is>
          <t>Travaux de réhabilitation des équipements</t>
        </is>
      </c>
      <c r="G45" s="5" t="inlineStr"/>
      <c r="H45" s="5" t="inlineStr">
        <is>
          <t>Recalage des canaux portés du réseau T2S5 du secteur S9</t>
        </is>
      </c>
      <c r="I45" s="7" t="n">
        <v>793830</v>
      </c>
      <c r="J45" s="8" t="inlineStr">
        <is>
          <t>ml</t>
        </is>
      </c>
      <c r="K45" s="9" t="n">
        <v>265</v>
      </c>
      <c r="L45" s="51" t="n"/>
      <c r="M45" s="52">
        <f>'S49'!M45+L45</f>
        <v/>
      </c>
      <c r="N45" s="53">
        <f>IFERROR(M45/K45,0)</f>
        <v/>
      </c>
      <c r="O45" s="54">
        <f>'S49'!N45</f>
        <v/>
      </c>
      <c r="P45" s="53">
        <f>N45-O45</f>
        <v/>
      </c>
      <c r="Q45" s="32" t="n"/>
      <c r="R45" s="32" t="n"/>
      <c r="S45" s="32" t="n"/>
      <c r="T45" s="55" t="n"/>
      <c r="U45" s="54">
        <f>'S49'!T45</f>
        <v/>
      </c>
      <c r="V45" s="53">
        <f>T45-U45</f>
        <v/>
      </c>
      <c r="W45" s="53">
        <f>N45-T45</f>
        <v/>
      </c>
      <c r="X45" s="34" t="n"/>
    </row>
    <row r="46" ht="22" customHeight="1">
      <c r="B46" s="10" t="n">
        <v>42</v>
      </c>
      <c r="C46" s="6" t="inlineStr">
        <is>
          <t>Sidi Kacem</t>
        </is>
      </c>
      <c r="D46" s="10" t="inlineStr">
        <is>
          <t>SAFSAF</t>
        </is>
      </c>
      <c r="E46" s="10" t="inlineStr">
        <is>
          <t>40-21</t>
        </is>
      </c>
      <c r="F46" s="10" t="inlineStr">
        <is>
          <t>Travaux de pistes</t>
        </is>
      </c>
      <c r="G46" s="10" t="inlineStr">
        <is>
          <t>Entretien des pistes agricoles</t>
        </is>
      </c>
      <c r="H46" s="10" t="inlineStr">
        <is>
          <t>Entretien des pistes agricoles</t>
        </is>
      </c>
      <c r="I46" s="11" t="n">
        <v>2000000</v>
      </c>
      <c r="J46" s="12" t="inlineStr">
        <is>
          <t>km</t>
        </is>
      </c>
      <c r="K46" s="13" t="n">
        <v>4</v>
      </c>
      <c r="L46" s="51" t="n"/>
      <c r="M46" s="56">
        <f>'S49'!M46+L46</f>
        <v/>
      </c>
      <c r="N46" s="57">
        <f>IFERROR(M46/K46,0)</f>
        <v/>
      </c>
      <c r="O46" s="58">
        <f>'S49'!N46</f>
        <v/>
      </c>
      <c r="P46" s="57">
        <f>N46-O46</f>
        <v/>
      </c>
      <c r="Q46" s="32" t="n"/>
      <c r="R46" s="32" t="n"/>
      <c r="S46" s="32" t="n"/>
      <c r="T46" s="55" t="n"/>
      <c r="U46" s="58">
        <f>'S49'!T46</f>
        <v/>
      </c>
      <c r="V46" s="57">
        <f>T46-U46</f>
        <v/>
      </c>
      <c r="W46" s="57">
        <f>N46-T46</f>
        <v/>
      </c>
      <c r="X46" s="34" t="n"/>
    </row>
    <row r="47" ht="22" customHeight="1">
      <c r="B47" s="5" t="n">
        <v>43</v>
      </c>
      <c r="C47" s="6" t="inlineStr">
        <is>
          <t>Sidi Kacem</t>
        </is>
      </c>
      <c r="D47" s="5" t="inlineStr">
        <is>
          <t>SAFSAF</t>
        </is>
      </c>
      <c r="E47" s="5" t="inlineStr">
        <is>
          <t>50-23</t>
        </is>
      </c>
      <c r="F47" s="5" t="inlineStr">
        <is>
          <t>Entretien et réparation du réseau d'assainissement et de drainage</t>
        </is>
      </c>
      <c r="G47" s="5" t="inlineStr">
        <is>
          <t>Curage des prises sur l’oued, bâche d’aspiration et bassin de régulation.</t>
        </is>
      </c>
      <c r="H47" s="5" t="inlineStr">
        <is>
          <t>Curage des prises sur l’oued des stations de pompage S11, S9, 7D et 7B.
Nettoyage des grilles de préfiltration des boues colmaté des stations de pompage S11, S9, 7D et 7B.
Nettoyage des crépines des boues colmaté de station pompage 7D.
Curage des dalots et bâche d’aspiration des stations de pompage S11, S9, 7B.</t>
        </is>
      </c>
      <c r="I47" s="7" t="n">
        <v>200000</v>
      </c>
      <c r="J47" s="8" t="inlineStr">
        <is>
          <t>ml</t>
        </is>
      </c>
      <c r="K47" s="9" t="n">
        <v>67</v>
      </c>
      <c r="L47" s="51" t="n"/>
      <c r="M47" s="52">
        <f>'S49'!M47+L47</f>
        <v/>
      </c>
      <c r="N47" s="53">
        <f>IFERROR(M47/K47,0)</f>
        <v/>
      </c>
      <c r="O47" s="54">
        <f>'S49'!N47</f>
        <v/>
      </c>
      <c r="P47" s="53">
        <f>N47-O47</f>
        <v/>
      </c>
      <c r="Q47" s="32" t="n"/>
      <c r="R47" s="32" t="n"/>
      <c r="S47" s="32" t="n"/>
      <c r="T47" s="55" t="n"/>
      <c r="U47" s="54">
        <f>'S49'!T47</f>
        <v/>
      </c>
      <c r="V47" s="53">
        <f>T47-U47</f>
        <v/>
      </c>
      <c r="W47" s="53">
        <f>N47-T47</f>
        <v/>
      </c>
      <c r="X47" s="34" t="n"/>
    </row>
    <row r="48" ht="22" customHeight="1">
      <c r="B48" s="10" t="n">
        <v>44</v>
      </c>
      <c r="C48" s="6" t="inlineStr">
        <is>
          <t>Sidi Kacem</t>
        </is>
      </c>
      <c r="D48" s="10" t="inlineStr">
        <is>
          <t>SAFSAF</t>
        </is>
      </c>
      <c r="E48" s="10" t="inlineStr">
        <is>
          <t>50-21</t>
        </is>
      </c>
      <c r="F48" s="10" t="inlineStr">
        <is>
          <t>Entretien et réparation des stations de pompage</t>
        </is>
      </c>
      <c r="G48" s="10" t="inlineStr">
        <is>
          <t>Prestation de maintenance des débitmètres et leurs équipements annexes installés au niveau des station de pompage</t>
        </is>
      </c>
      <c r="H48" s="10" t="inlineStr">
        <is>
          <t>Changements Sept des débitmètres Ø 600mm inondé des deux stations de pompage S11 et S9.</t>
        </is>
      </c>
      <c r="I48" s="11" t="n">
        <v>580000</v>
      </c>
      <c r="J48" s="12" t="inlineStr">
        <is>
          <t>U</t>
        </is>
      </c>
      <c r="K48" s="13" t="n">
        <v>7</v>
      </c>
      <c r="L48" s="51" t="n"/>
      <c r="M48" s="56">
        <f>'S49'!M48+L48</f>
        <v/>
      </c>
      <c r="N48" s="57">
        <f>IFERROR(M48/K48,0)</f>
        <v/>
      </c>
      <c r="O48" s="58">
        <f>'S49'!N48</f>
        <v/>
      </c>
      <c r="P48" s="57">
        <f>N48-O48</f>
        <v/>
      </c>
      <c r="Q48" s="32" t="n"/>
      <c r="R48" s="32" t="n"/>
      <c r="S48" s="32" t="n"/>
      <c r="T48" s="55" t="n"/>
      <c r="U48" s="58">
        <f>'S49'!T48</f>
        <v/>
      </c>
      <c r="V48" s="57">
        <f>T48-U48</f>
        <v/>
      </c>
      <c r="W48" s="57">
        <f>N48-T48</f>
        <v/>
      </c>
      <c r="X48" s="34" t="n"/>
    </row>
    <row r="49" ht="22" customHeight="1">
      <c r="B49" s="5" t="n">
        <v>45</v>
      </c>
      <c r="C49" s="6" t="inlineStr">
        <is>
          <t>Sidi Kacem</t>
        </is>
      </c>
      <c r="D49" s="5" t="inlineStr">
        <is>
          <t>SAFSAF</t>
        </is>
      </c>
      <c r="E49" s="5" t="inlineStr">
        <is>
          <t>50-21</t>
        </is>
      </c>
      <c r="F49" s="5" t="inlineStr">
        <is>
          <t>Entretien et réparation des stations de pompage</t>
        </is>
      </c>
      <c r="G49" s="5" t="inlineStr">
        <is>
          <t>Stabilisation Berge oued</t>
        </is>
      </c>
      <c r="H49" s="5" t="inlineStr">
        <is>
          <t>Pose de murs en gabions et recouvrement du talus par matelas Reno des stations de pompage S11, S9, 7D et 7B .</t>
        </is>
      </c>
      <c r="I49" s="7" t="n">
        <v>4000000</v>
      </c>
      <c r="J49" s="8" t="inlineStr">
        <is>
          <t>m³</t>
        </is>
      </c>
      <c r="K49" s="9" t="n">
        <v>2667</v>
      </c>
      <c r="L49" s="51" t="n"/>
      <c r="M49" s="52">
        <f>'S49'!M49+L49</f>
        <v/>
      </c>
      <c r="N49" s="53">
        <f>IFERROR(M49/K49,0)</f>
        <v/>
      </c>
      <c r="O49" s="54">
        <f>'S49'!N49</f>
        <v/>
      </c>
      <c r="P49" s="53">
        <f>N49-O49</f>
        <v/>
      </c>
      <c r="Q49" s="32" t="n"/>
      <c r="R49" s="32" t="n"/>
      <c r="S49" s="32" t="n"/>
      <c r="T49" s="55" t="n"/>
      <c r="U49" s="54">
        <f>'S49'!T49</f>
        <v/>
      </c>
      <c r="V49" s="53">
        <f>T49-U49</f>
        <v/>
      </c>
      <c r="W49" s="53">
        <f>N49-T49</f>
        <v/>
      </c>
      <c r="X49" s="34" t="n"/>
    </row>
    <row r="50" ht="22" customHeight="1">
      <c r="B50" s="10" t="n">
        <v>46</v>
      </c>
      <c r="C50" s="6" t="inlineStr">
        <is>
          <t>Sidi Kacem</t>
        </is>
      </c>
      <c r="D50" s="10" t="inlineStr">
        <is>
          <t>SIDI AZZOUZ</t>
        </is>
      </c>
      <c r="E50" s="10" t="inlineStr">
        <is>
          <t>40-21</t>
        </is>
      </c>
      <c r="F50" s="10" t="inlineStr">
        <is>
          <t>Travaux de pistes</t>
        </is>
      </c>
      <c r="G50" s="10" t="inlineStr">
        <is>
          <t>Entretien des pistes agricoles</t>
        </is>
      </c>
      <c r="H50" s="10" t="inlineStr">
        <is>
          <t>Entretien des pistes agricoles</t>
        </is>
      </c>
      <c r="I50" s="11" t="n">
        <v>655000</v>
      </c>
      <c r="J50" s="12" t="inlineStr">
        <is>
          <t>km</t>
        </is>
      </c>
      <c r="K50" s="13" t="n">
        <v>1</v>
      </c>
      <c r="L50" s="51" t="n"/>
      <c r="M50" s="56">
        <f>'S49'!M50+L50</f>
        <v/>
      </c>
      <c r="N50" s="57">
        <f>IFERROR(M50/K50,0)</f>
        <v/>
      </c>
      <c r="O50" s="58">
        <f>'S49'!N50</f>
        <v/>
      </c>
      <c r="P50" s="57">
        <f>N50-O50</f>
        <v/>
      </c>
      <c r="Q50" s="32" t="n"/>
      <c r="R50" s="32" t="n"/>
      <c r="S50" s="32" t="n"/>
      <c r="T50" s="55" t="n"/>
      <c r="U50" s="58">
        <f>'S49'!T50</f>
        <v/>
      </c>
      <c r="V50" s="57">
        <f>T50-U50</f>
        <v/>
      </c>
      <c r="W50" s="57">
        <f>N50-T50</f>
        <v/>
      </c>
      <c r="X50" s="34" t="n"/>
    </row>
    <row r="51" ht="22" customHeight="1">
      <c r="B51" s="5" t="n">
        <v>47</v>
      </c>
      <c r="C51" s="6" t="inlineStr">
        <is>
          <t>Sidi Kacem</t>
        </is>
      </c>
      <c r="D51" s="5" t="inlineStr">
        <is>
          <t>SIDI EL KAMEL</t>
        </is>
      </c>
      <c r="E51" s="5" t="inlineStr">
        <is>
          <t>20-11</t>
        </is>
      </c>
      <c r="F51" s="5" t="inlineStr">
        <is>
          <t>Travaux de réhabilitation des équipements</t>
        </is>
      </c>
      <c r="G51" s="5" t="inlineStr">
        <is>
          <t>Travaux de réhabilitation des canaux portés d'irrigation</t>
        </is>
      </c>
      <c r="H51" s="5" t="inlineStr">
        <is>
          <t>Fourniture et de pose de canaux porté et accessoires du réseau SR4 du secteur S3R</t>
        </is>
      </c>
      <c r="I51" s="7" t="n">
        <v>5182920</v>
      </c>
      <c r="J51" s="8" t="inlineStr">
        <is>
          <t>ml</t>
        </is>
      </c>
      <c r="K51" s="9" t="n">
        <v>1728</v>
      </c>
      <c r="L51" s="51" t="n"/>
      <c r="M51" s="52">
        <f>'S49'!M51+L51</f>
        <v/>
      </c>
      <c r="N51" s="53">
        <f>IFERROR(M51/K51,0)</f>
        <v/>
      </c>
      <c r="O51" s="54">
        <f>'S49'!N51</f>
        <v/>
      </c>
      <c r="P51" s="53">
        <f>N51-O51</f>
        <v/>
      </c>
      <c r="Q51" s="32" t="n"/>
      <c r="R51" s="32" t="n"/>
      <c r="S51" s="32" t="n"/>
      <c r="T51" s="55" t="n"/>
      <c r="U51" s="54">
        <f>'S49'!T51</f>
        <v/>
      </c>
      <c r="V51" s="53">
        <f>T51-U51</f>
        <v/>
      </c>
      <c r="W51" s="53">
        <f>N51-T51</f>
        <v/>
      </c>
      <c r="X51" s="34" t="n"/>
    </row>
    <row r="52" ht="22" customHeight="1">
      <c r="B52" s="10" t="n">
        <v>48</v>
      </c>
      <c r="C52" s="6" t="inlineStr">
        <is>
          <t>Sidi Kacem</t>
        </is>
      </c>
      <c r="D52" s="10" t="inlineStr">
        <is>
          <t>SIDI EL KAMEL</t>
        </is>
      </c>
      <c r="E52" s="10" t="inlineStr">
        <is>
          <t>20-11</t>
        </is>
      </c>
      <c r="F52" s="10" t="inlineStr">
        <is>
          <t>Travaux de réhabilitation des équipements</t>
        </is>
      </c>
      <c r="G52" s="10" t="inlineStr"/>
      <c r="H52" s="10" t="inlineStr">
        <is>
          <t>Fourniture et de pose de canaux porté et accessoires du réseau SR6 du secteur S1RIZ</t>
        </is>
      </c>
      <c r="I52" s="11" t="n">
        <v>152818</v>
      </c>
      <c r="J52" s="12" t="inlineStr">
        <is>
          <t>ml</t>
        </is>
      </c>
      <c r="K52" s="13" t="n">
        <v>51</v>
      </c>
      <c r="L52" s="51" t="n"/>
      <c r="M52" s="56">
        <f>'S49'!M52+L52</f>
        <v/>
      </c>
      <c r="N52" s="57">
        <f>IFERROR(M52/K52,0)</f>
        <v/>
      </c>
      <c r="O52" s="58">
        <f>'S49'!N52</f>
        <v/>
      </c>
      <c r="P52" s="57">
        <f>N52-O52</f>
        <v/>
      </c>
      <c r="Q52" s="32" t="n"/>
      <c r="R52" s="32" t="n"/>
      <c r="S52" s="32" t="n"/>
      <c r="T52" s="55" t="n"/>
      <c r="U52" s="58">
        <f>'S49'!T52</f>
        <v/>
      </c>
      <c r="V52" s="57">
        <f>T52-U52</f>
        <v/>
      </c>
      <c r="W52" s="57">
        <f>N52-T52</f>
        <v/>
      </c>
      <c r="X52" s="34" t="n"/>
    </row>
    <row r="53" ht="22" customHeight="1">
      <c r="B53" s="5" t="n">
        <v>49</v>
      </c>
      <c r="C53" s="6" t="inlineStr">
        <is>
          <t>Sidi Kacem</t>
        </is>
      </c>
      <c r="D53" s="5" t="inlineStr">
        <is>
          <t>SIDI EL KAMEL</t>
        </is>
      </c>
      <c r="E53" s="5" t="inlineStr">
        <is>
          <t>20-11</t>
        </is>
      </c>
      <c r="F53" s="5" t="inlineStr">
        <is>
          <t>Travaux de réhabilitation des équipements</t>
        </is>
      </c>
      <c r="G53" s="5" t="inlineStr"/>
      <c r="H53" s="5" t="inlineStr">
        <is>
          <t>Recalage des canaux portés du réseau SR4 du secteur S3R</t>
        </is>
      </c>
      <c r="I53" s="7" t="n">
        <v>1418000</v>
      </c>
      <c r="J53" s="8" t="inlineStr">
        <is>
          <t>ml</t>
        </is>
      </c>
      <c r="K53" s="9" t="n">
        <v>473</v>
      </c>
      <c r="L53" s="51" t="n"/>
      <c r="M53" s="52">
        <f>'S49'!M53+L53</f>
        <v/>
      </c>
      <c r="N53" s="53">
        <f>IFERROR(M53/K53,0)</f>
        <v/>
      </c>
      <c r="O53" s="54">
        <f>'S49'!N53</f>
        <v/>
      </c>
      <c r="P53" s="53">
        <f>N53-O53</f>
        <v/>
      </c>
      <c r="Q53" s="32" t="n"/>
      <c r="R53" s="32" t="n"/>
      <c r="S53" s="32" t="n"/>
      <c r="T53" s="55" t="n"/>
      <c r="U53" s="54">
        <f>'S49'!T53</f>
        <v/>
      </c>
      <c r="V53" s="53">
        <f>T53-U53</f>
        <v/>
      </c>
      <c r="W53" s="53">
        <f>N53-T53</f>
        <v/>
      </c>
      <c r="X53" s="34" t="n"/>
    </row>
    <row r="54" ht="22" customHeight="1">
      <c r="B54" s="10" t="n">
        <v>50</v>
      </c>
      <c r="C54" s="6" t="inlineStr">
        <is>
          <t>Sidi Kacem</t>
        </is>
      </c>
      <c r="D54" s="10" t="inlineStr">
        <is>
          <t>SIDI EL KAMEL</t>
        </is>
      </c>
      <c r="E54" s="10" t="inlineStr">
        <is>
          <t>20-11</t>
        </is>
      </c>
      <c r="F54" s="10" t="inlineStr">
        <is>
          <t>Travaux de réhabilitation des équipements</t>
        </is>
      </c>
      <c r="G54" s="10" t="inlineStr">
        <is>
          <t>Travaux de réhabilitation des ouvrages de génie civil</t>
        </is>
      </c>
      <c r="H54" s="10" t="inlineStr">
        <is>
          <t>Réhabilitation des murs de soutènements des ouvrages de franchissements du canal d'assainissement CS3 secteur S3 et de l’ouvrage de franchissement du canal primaire d’irrigation du secteur S1R au niveau de la route provinciale P4234</t>
        </is>
      </c>
      <c r="I54" s="11" t="n">
        <v>800000</v>
      </c>
      <c r="J54" s="12" t="inlineStr">
        <is>
          <t>ml</t>
        </is>
      </c>
      <c r="K54" s="13" t="n">
        <v>400</v>
      </c>
      <c r="L54" s="51" t="n"/>
      <c r="M54" s="56">
        <f>'S49'!M54+L54</f>
        <v/>
      </c>
      <c r="N54" s="57">
        <f>IFERROR(M54/K54,0)</f>
        <v/>
      </c>
      <c r="O54" s="58">
        <f>'S49'!N54</f>
        <v/>
      </c>
      <c r="P54" s="57">
        <f>N54-O54</f>
        <v/>
      </c>
      <c r="Q54" s="32" t="n"/>
      <c r="R54" s="32" t="n"/>
      <c r="S54" s="32" t="n"/>
      <c r="T54" s="55" t="n"/>
      <c r="U54" s="58">
        <f>'S49'!T54</f>
        <v/>
      </c>
      <c r="V54" s="57">
        <f>T54-U54</f>
        <v/>
      </c>
      <c r="W54" s="57">
        <f>N54-T54</f>
        <v/>
      </c>
      <c r="X54" s="34" t="n"/>
    </row>
    <row r="55" ht="22" customHeight="1">
      <c r="B55" s="5" t="n">
        <v>51</v>
      </c>
      <c r="C55" s="6" t="inlineStr">
        <is>
          <t>Sidi Kacem</t>
        </is>
      </c>
      <c r="D55" s="5" t="inlineStr">
        <is>
          <t>SIDI EL KAMEL</t>
        </is>
      </c>
      <c r="E55" s="5" t="inlineStr">
        <is>
          <t>40-21</t>
        </is>
      </c>
      <c r="F55" s="5" t="inlineStr">
        <is>
          <t>Travaux de pistes</t>
        </is>
      </c>
      <c r="G55" s="5" t="inlineStr">
        <is>
          <t>Entretien des pistes agricoles</t>
        </is>
      </c>
      <c r="H55" s="5" t="inlineStr">
        <is>
          <t>Entretien des pistes agricoles</t>
        </is>
      </c>
      <c r="I55" s="7" t="n">
        <v>3700000</v>
      </c>
      <c r="J55" s="8" t="inlineStr">
        <is>
          <t>km</t>
        </is>
      </c>
      <c r="K55" s="9" t="n">
        <v>7</v>
      </c>
      <c r="L55" s="51" t="n"/>
      <c r="M55" s="52">
        <f>'S49'!M55+L55</f>
        <v/>
      </c>
      <c r="N55" s="53">
        <f>IFERROR(M55/K55,0)</f>
        <v/>
      </c>
      <c r="O55" s="54">
        <f>'S49'!N55</f>
        <v/>
      </c>
      <c r="P55" s="53">
        <f>N55-O55</f>
        <v/>
      </c>
      <c r="Q55" s="32" t="n"/>
      <c r="R55" s="32" t="n"/>
      <c r="S55" s="32" t="n"/>
      <c r="T55" s="55" t="n"/>
      <c r="U55" s="54">
        <f>'S49'!T55</f>
        <v/>
      </c>
      <c r="V55" s="53">
        <f>T55-U55</f>
        <v/>
      </c>
      <c r="W55" s="53">
        <f>N55-T55</f>
        <v/>
      </c>
      <c r="X55" s="34" t="n"/>
    </row>
    <row r="56" ht="22" customHeight="1">
      <c r="B56" s="10" t="n">
        <v>52</v>
      </c>
      <c r="C56" s="6" t="inlineStr">
        <is>
          <t>Sidi Kacem</t>
        </is>
      </c>
      <c r="D56" s="10" t="inlineStr">
        <is>
          <t>SIDI EL KAMEL</t>
        </is>
      </c>
      <c r="E56" s="10" t="inlineStr">
        <is>
          <t>50-21</t>
        </is>
      </c>
      <c r="F56" s="10" t="inlineStr">
        <is>
          <t>Entretien et réparation des stations de pompage</t>
        </is>
      </c>
      <c r="G56" s="10" t="inlineStr">
        <is>
          <t>Prestation de maintenance des débitmètres et leurs équipements annexes installés au niveau des station de pompage</t>
        </is>
      </c>
      <c r="H56" s="10" t="inlineStr">
        <is>
          <t>Changement de quatre débitmètres Ø 500mm et trois Ø 800mm inondé des stations de pompage 1R, 3R et 5R.</t>
        </is>
      </c>
      <c r="I56" s="11" t="n">
        <v>705000</v>
      </c>
      <c r="J56" s="12" t="inlineStr">
        <is>
          <t>U</t>
        </is>
      </c>
      <c r="K56" s="13" t="n">
        <v>3</v>
      </c>
      <c r="L56" s="51" t="n"/>
      <c r="M56" s="56">
        <f>'S49'!M56+L56</f>
        <v/>
      </c>
      <c r="N56" s="57">
        <f>IFERROR(M56/K56,0)</f>
        <v/>
      </c>
      <c r="O56" s="58">
        <f>'S49'!N56</f>
        <v/>
      </c>
      <c r="P56" s="57">
        <f>N56-O56</f>
        <v/>
      </c>
      <c r="Q56" s="32" t="n"/>
      <c r="R56" s="32" t="n"/>
      <c r="S56" s="32" t="n"/>
      <c r="T56" s="55" t="n"/>
      <c r="U56" s="58">
        <f>'S49'!T56</f>
        <v/>
      </c>
      <c r="V56" s="57">
        <f>T56-U56</f>
        <v/>
      </c>
      <c r="W56" s="57">
        <f>N56-T56</f>
        <v/>
      </c>
      <c r="X56" s="34" t="n"/>
    </row>
    <row r="57" ht="22" customHeight="1">
      <c r="B57" s="5" t="n">
        <v>53</v>
      </c>
      <c r="C57" s="6" t="inlineStr">
        <is>
          <t>Sidi Kacem</t>
        </is>
      </c>
      <c r="D57" s="5" t="inlineStr">
        <is>
          <t>SIDI EL KAMEL</t>
        </is>
      </c>
      <c r="E57" s="5" t="inlineStr">
        <is>
          <t>50-21</t>
        </is>
      </c>
      <c r="F57" s="5" t="inlineStr">
        <is>
          <t>Entretien et réparation des stations de pompage</t>
        </is>
      </c>
      <c r="G57" s="5" t="inlineStr">
        <is>
          <t>Mur clôture des stations de pompage.</t>
        </is>
      </c>
      <c r="H57" s="5" t="inlineStr">
        <is>
          <t>Stabilisation et reconstruction des murs clôture cote oued des stations de pompage 7A, 3R et 1R.</t>
        </is>
      </c>
      <c r="I57" s="7" t="n">
        <v>372000</v>
      </c>
      <c r="J57" s="8" t="inlineStr">
        <is>
          <t>ml</t>
        </is>
      </c>
      <c r="K57" s="9" t="n">
        <v>124</v>
      </c>
      <c r="L57" s="51" t="n"/>
      <c r="M57" s="52">
        <f>'S49'!M57+L57</f>
        <v/>
      </c>
      <c r="N57" s="53">
        <f>IFERROR(M57/K57,0)</f>
        <v/>
      </c>
      <c r="O57" s="54">
        <f>'S49'!N57</f>
        <v/>
      </c>
      <c r="P57" s="53">
        <f>N57-O57</f>
        <v/>
      </c>
      <c r="Q57" s="32" t="n"/>
      <c r="R57" s="32" t="n"/>
      <c r="S57" s="32" t="n"/>
      <c r="T57" s="55" t="n"/>
      <c r="U57" s="54">
        <f>'S49'!T57</f>
        <v/>
      </c>
      <c r="V57" s="53">
        <f>T57-U57</f>
        <v/>
      </c>
      <c r="W57" s="53">
        <f>N57-T57</f>
        <v/>
      </c>
      <c r="X57" s="34" t="n"/>
    </row>
    <row r="58" ht="22" customHeight="1">
      <c r="B58" s="10" t="n">
        <v>54</v>
      </c>
      <c r="C58" s="14" t="inlineStr">
        <is>
          <t>Kénitra</t>
        </is>
      </c>
      <c r="D58" s="10" t="inlineStr">
        <is>
          <t>Bni malek</t>
        </is>
      </c>
      <c r="E58" s="10" t="inlineStr">
        <is>
          <t>50-23</t>
        </is>
      </c>
      <c r="F58" s="10" t="inlineStr">
        <is>
          <t>Entretien et réparation du réseau d'assainissement et de drainage</t>
        </is>
      </c>
      <c r="G58" s="10" t="inlineStr">
        <is>
          <t>Travaux de curage des canaux en terre</t>
        </is>
      </c>
      <c r="H58" s="10" t="inlineStr">
        <is>
          <t>Curage des emissaires et colatures secondaire au niveau des secteurs MDA ET N9</t>
        </is>
      </c>
      <c r="I58" s="11" t="n">
        <v>10000000</v>
      </c>
      <c r="J58" s="12" t="inlineStr">
        <is>
          <t>ml</t>
        </is>
      </c>
      <c r="K58" s="13" t="n">
        <v>5000</v>
      </c>
      <c r="L58" s="51" t="n"/>
      <c r="M58" s="56">
        <f>'S49'!M58+L58</f>
        <v/>
      </c>
      <c r="N58" s="57">
        <f>IFERROR(M58/K58,0)</f>
        <v/>
      </c>
      <c r="O58" s="58">
        <f>'S49'!N58</f>
        <v/>
      </c>
      <c r="P58" s="57">
        <f>N58-O58</f>
        <v/>
      </c>
      <c r="Q58" s="32" t="n"/>
      <c r="R58" s="32" t="n"/>
      <c r="S58" s="32" t="n"/>
      <c r="T58" s="55" t="n"/>
      <c r="U58" s="58">
        <f>'S49'!T58</f>
        <v/>
      </c>
      <c r="V58" s="57">
        <f>T58-U58</f>
        <v/>
      </c>
      <c r="W58" s="57">
        <f>N58-T58</f>
        <v/>
      </c>
      <c r="X58" s="34" t="n"/>
    </row>
    <row r="59" ht="22" customHeight="1">
      <c r="B59" s="5" t="n">
        <v>55</v>
      </c>
      <c r="C59" s="14" t="inlineStr">
        <is>
          <t>Kénitra</t>
        </is>
      </c>
      <c r="D59" s="5" t="inlineStr">
        <is>
          <t>Bni malek</t>
        </is>
      </c>
      <c r="E59" s="5" t="inlineStr">
        <is>
          <t>40-21</t>
        </is>
      </c>
      <c r="F59" s="5" t="inlineStr">
        <is>
          <t>Travaux de pistes</t>
        </is>
      </c>
      <c r="G59" s="5" t="inlineStr">
        <is>
          <t>Travaux de réhabilitation des pistes agricoles</t>
        </is>
      </c>
      <c r="H59" s="5" t="inlineStr">
        <is>
          <t>Entretien des pistes agricoles des secteurs MDA et N3</t>
        </is>
      </c>
      <c r="I59" s="7" t="n">
        <v>2000000</v>
      </c>
      <c r="J59" s="8" t="inlineStr">
        <is>
          <t>km</t>
        </is>
      </c>
      <c r="K59" s="9" t="n">
        <v>4</v>
      </c>
      <c r="L59" s="51" t="n"/>
      <c r="M59" s="52">
        <f>'S49'!M59+L59</f>
        <v/>
      </c>
      <c r="N59" s="53">
        <f>IFERROR(M59/K59,0)</f>
        <v/>
      </c>
      <c r="O59" s="54">
        <f>'S49'!N59</f>
        <v/>
      </c>
      <c r="P59" s="53">
        <f>N59-O59</f>
        <v/>
      </c>
      <c r="Q59" s="32" t="n"/>
      <c r="R59" s="32" t="n"/>
      <c r="S59" s="32" t="n"/>
      <c r="T59" s="55" t="n"/>
      <c r="U59" s="54">
        <f>'S49'!T59</f>
        <v/>
      </c>
      <c r="V59" s="53">
        <f>T59-U59</f>
        <v/>
      </c>
      <c r="W59" s="53">
        <f>N59-T59</f>
        <v/>
      </c>
      <c r="X59" s="34" t="n"/>
    </row>
    <row r="60" ht="22" customHeight="1">
      <c r="B60" s="10" t="n">
        <v>56</v>
      </c>
      <c r="C60" s="14" t="inlineStr">
        <is>
          <t>Kénitra</t>
        </is>
      </c>
      <c r="D60" s="10" t="inlineStr">
        <is>
          <t>Bni malek</t>
        </is>
      </c>
      <c r="E60" s="10" t="inlineStr">
        <is>
          <t>50-21</t>
        </is>
      </c>
      <c r="F60" s="10" t="inlineStr">
        <is>
          <t>Entretien et réparation des stations de pompage</t>
        </is>
      </c>
      <c r="G60" s="10" t="inlineStr">
        <is>
          <t>Prestations de maintenance et de réparation mécanique des pompes et des groupes motopompes submersibles des stations de pompage.</t>
        </is>
      </c>
      <c r="H60" s="10" t="inlineStr">
        <is>
          <t>station de pompage MDA secteur MDA</t>
        </is>
      </c>
      <c r="I60" s="11" t="n">
        <v>300000</v>
      </c>
      <c r="J60" s="12" t="inlineStr">
        <is>
          <t>U</t>
        </is>
      </c>
      <c r="K60" s="13" t="n">
        <v>1</v>
      </c>
      <c r="L60" s="51" t="n"/>
      <c r="M60" s="56">
        <f>'S49'!M60+L60</f>
        <v/>
      </c>
      <c r="N60" s="57">
        <f>IFERROR(M60/K60,0)</f>
        <v/>
      </c>
      <c r="O60" s="58">
        <f>'S49'!N60</f>
        <v/>
      </c>
      <c r="P60" s="57">
        <f>N60-O60</f>
        <v/>
      </c>
      <c r="Q60" s="32" t="n"/>
      <c r="R60" s="32" t="n"/>
      <c r="S60" s="32" t="n"/>
      <c r="T60" s="55" t="n"/>
      <c r="U60" s="58">
        <f>'S49'!T60</f>
        <v/>
      </c>
      <c r="V60" s="57">
        <f>T60-U60</f>
        <v/>
      </c>
      <c r="W60" s="57">
        <f>N60-T60</f>
        <v/>
      </c>
      <c r="X60" s="34" t="n"/>
    </row>
    <row r="61" ht="22" customHeight="1">
      <c r="B61" s="5" t="n">
        <v>57</v>
      </c>
      <c r="C61" s="14" t="inlineStr">
        <is>
          <t>Kénitra</t>
        </is>
      </c>
      <c r="D61" s="5" t="inlineStr">
        <is>
          <t>Bni malek</t>
        </is>
      </c>
      <c r="E61" s="5" t="inlineStr">
        <is>
          <t>20-11</t>
        </is>
      </c>
      <c r="F61" s="5" t="inlineStr">
        <is>
          <t>Travaux de réhabilitation des équipements</t>
        </is>
      </c>
      <c r="G61" s="5" t="inlineStr">
        <is>
          <t>Travaux de réhabilitation des ouvrages de génie civil</t>
        </is>
      </c>
      <c r="H61" s="5" t="inlineStr">
        <is>
          <t>Rétablissement des bornes affaissées des secteurs N2 et N3</t>
        </is>
      </c>
      <c r="I61" s="7" t="n">
        <v>100000</v>
      </c>
      <c r="J61" s="8" t="inlineStr">
        <is>
          <t>U</t>
        </is>
      </c>
      <c r="K61" s="9" t="n">
        <v>200</v>
      </c>
      <c r="L61" s="51" t="n"/>
      <c r="M61" s="52">
        <f>'S49'!M61+L61</f>
        <v/>
      </c>
      <c r="N61" s="53">
        <f>IFERROR(M61/K61,0)</f>
        <v/>
      </c>
      <c r="O61" s="54">
        <f>'S49'!N61</f>
        <v/>
      </c>
      <c r="P61" s="53">
        <f>N61-O61</f>
        <v/>
      </c>
      <c r="Q61" s="32" t="n"/>
      <c r="R61" s="32" t="n"/>
      <c r="S61" s="32" t="n"/>
      <c r="T61" s="55" t="n"/>
      <c r="U61" s="54">
        <f>'S49'!T61</f>
        <v/>
      </c>
      <c r="V61" s="53">
        <f>T61-U61</f>
        <v/>
      </c>
      <c r="W61" s="53">
        <f>N61-T61</f>
        <v/>
      </c>
      <c r="X61" s="34" t="n"/>
    </row>
    <row r="62" ht="22" customHeight="1">
      <c r="B62" s="10" t="n">
        <v>58</v>
      </c>
      <c r="C62" s="14" t="inlineStr">
        <is>
          <t>Kénitra</t>
        </is>
      </c>
      <c r="D62" s="10" t="inlineStr">
        <is>
          <t>SOUK TLET</t>
        </is>
      </c>
      <c r="E62" s="10" t="inlineStr">
        <is>
          <t>50-23</t>
        </is>
      </c>
      <c r="F62" s="10" t="inlineStr">
        <is>
          <t>Entretien et réparation du réseau d'assainissement et de drainage</t>
        </is>
      </c>
      <c r="G62" s="10" t="inlineStr">
        <is>
          <t>Travaux de curage des canaux en terre</t>
        </is>
      </c>
      <c r="H62" s="10" t="inlineStr">
        <is>
          <t>curage des emissaires et colatures secondaire au niveau des secteurs N2,N3 ET N4,</t>
        </is>
      </c>
      <c r="I62" s="11" t="n">
        <v>3000000</v>
      </c>
      <c r="J62" s="12" t="inlineStr">
        <is>
          <t>ml</t>
        </is>
      </c>
      <c r="K62" s="13" t="n">
        <v>1500</v>
      </c>
      <c r="L62" s="51" t="n"/>
      <c r="M62" s="56">
        <f>'S49'!M62+L62</f>
        <v/>
      </c>
      <c r="N62" s="57">
        <f>IFERROR(M62/K62,0)</f>
        <v/>
      </c>
      <c r="O62" s="58">
        <f>'S49'!N62</f>
        <v/>
      </c>
      <c r="P62" s="57">
        <f>N62-O62</f>
        <v/>
      </c>
      <c r="Q62" s="32" t="n"/>
      <c r="R62" s="32" t="n"/>
      <c r="S62" s="32" t="n"/>
      <c r="T62" s="55" t="n"/>
      <c r="U62" s="58">
        <f>'S49'!T62</f>
        <v/>
      </c>
      <c r="V62" s="57">
        <f>T62-U62</f>
        <v/>
      </c>
      <c r="W62" s="57">
        <f>N62-T62</f>
        <v/>
      </c>
      <c r="X62" s="34" t="n"/>
    </row>
    <row r="63" ht="22" customHeight="1">
      <c r="B63" s="5" t="n">
        <v>59</v>
      </c>
      <c r="C63" s="14" t="inlineStr">
        <is>
          <t>Kénitra</t>
        </is>
      </c>
      <c r="D63" s="5" t="inlineStr">
        <is>
          <t>SOUK TLET</t>
        </is>
      </c>
      <c r="E63" s="5" t="inlineStr">
        <is>
          <t>40-21</t>
        </is>
      </c>
      <c r="F63" s="5" t="inlineStr">
        <is>
          <t>Travaux de pistes</t>
        </is>
      </c>
      <c r="G63" s="5" t="inlineStr">
        <is>
          <t>Travaux de réhabilitation des pistes agricoles</t>
        </is>
      </c>
      <c r="H63" s="5" t="inlineStr">
        <is>
          <t>Entretien des pistes des secteurs N2,N3,N4 et C4R,</t>
        </is>
      </c>
      <c r="I63" s="7" t="n">
        <v>5000000</v>
      </c>
      <c r="J63" s="8" t="inlineStr">
        <is>
          <t>U</t>
        </is>
      </c>
      <c r="K63" s="9" t="n">
        <v>1</v>
      </c>
      <c r="L63" s="51" t="n"/>
      <c r="M63" s="52">
        <f>'S49'!M63+L63</f>
        <v/>
      </c>
      <c r="N63" s="53">
        <f>IFERROR(M63/K63,0)</f>
        <v/>
      </c>
      <c r="O63" s="54">
        <f>'S49'!N63</f>
        <v/>
      </c>
      <c r="P63" s="53">
        <f>N63-O63</f>
        <v/>
      </c>
      <c r="Q63" s="32" t="n"/>
      <c r="R63" s="32" t="n"/>
      <c r="S63" s="32" t="n"/>
      <c r="T63" s="55" t="n"/>
      <c r="U63" s="54">
        <f>'S49'!T63</f>
        <v/>
      </c>
      <c r="V63" s="53">
        <f>T63-U63</f>
        <v/>
      </c>
      <c r="W63" s="53">
        <f>N63-T63</f>
        <v/>
      </c>
      <c r="X63" s="34" t="n"/>
    </row>
    <row r="64" ht="22" customHeight="1">
      <c r="B64" s="10" t="n">
        <v>60</v>
      </c>
      <c r="C64" s="14" t="inlineStr">
        <is>
          <t>Kénitra</t>
        </is>
      </c>
      <c r="D64" s="10" t="inlineStr">
        <is>
          <t>Sidi Med Lahmar</t>
        </is>
      </c>
      <c r="E64" s="10" t="inlineStr">
        <is>
          <t>50-23</t>
        </is>
      </c>
      <c r="F64" s="10" t="inlineStr">
        <is>
          <t>Entretien et réparation du réseau d'assainissement et de drainage</t>
        </is>
      </c>
      <c r="G64" s="10" t="inlineStr">
        <is>
          <t>Travaux de curage des canaux en terre</t>
        </is>
      </c>
      <c r="H64" s="10" t="inlineStr">
        <is>
          <t>Curage des emissaires et colatures secondaires secteurs N1</t>
        </is>
      </c>
      <c r="I64" s="11" t="n">
        <v>3000000</v>
      </c>
      <c r="J64" s="12" t="inlineStr">
        <is>
          <t>ml</t>
        </is>
      </c>
      <c r="K64" s="13" t="n">
        <v>1500</v>
      </c>
      <c r="L64" s="51" t="n"/>
      <c r="M64" s="56">
        <f>'S49'!M64+L64</f>
        <v/>
      </c>
      <c r="N64" s="57">
        <f>IFERROR(M64/K64,0)</f>
        <v/>
      </c>
      <c r="O64" s="58">
        <f>'S49'!N64</f>
        <v/>
      </c>
      <c r="P64" s="57">
        <f>N64-O64</f>
        <v/>
      </c>
      <c r="Q64" s="32" t="n"/>
      <c r="R64" s="32" t="n"/>
      <c r="S64" s="32" t="n"/>
      <c r="T64" s="55" t="n"/>
      <c r="U64" s="58">
        <f>'S49'!T64</f>
        <v/>
      </c>
      <c r="V64" s="57">
        <f>T64-U64</f>
        <v/>
      </c>
      <c r="W64" s="57">
        <f>N64-T64</f>
        <v/>
      </c>
      <c r="X64" s="34" t="n"/>
    </row>
    <row r="65" ht="22" customHeight="1">
      <c r="B65" s="5" t="n">
        <v>61</v>
      </c>
      <c r="C65" s="14" t="inlineStr">
        <is>
          <t>Kénitra</t>
        </is>
      </c>
      <c r="D65" s="5" t="inlineStr">
        <is>
          <t>Sidi Med Lahmar</t>
        </is>
      </c>
      <c r="E65" s="5" t="inlineStr">
        <is>
          <t>40-21</t>
        </is>
      </c>
      <c r="F65" s="5" t="inlineStr">
        <is>
          <t>Travaux de pistes</t>
        </is>
      </c>
      <c r="G65" s="5" t="inlineStr">
        <is>
          <t>Travaux de réhabilitation des pistes agricoles</t>
        </is>
      </c>
      <c r="H65" s="5" t="inlineStr">
        <is>
          <t>Entretien des pistes agricoles des secteurs N9 et N1</t>
        </is>
      </c>
      <c r="I65" s="7" t="n">
        <v>3000000</v>
      </c>
      <c r="J65" s="8" t="inlineStr">
        <is>
          <t>km</t>
        </is>
      </c>
      <c r="K65" s="9" t="n">
        <v>6</v>
      </c>
      <c r="L65" s="51" t="n"/>
      <c r="M65" s="52">
        <f>'S49'!M65+L65</f>
        <v/>
      </c>
      <c r="N65" s="53">
        <f>IFERROR(M65/K65,0)</f>
        <v/>
      </c>
      <c r="O65" s="54">
        <f>'S49'!N65</f>
        <v/>
      </c>
      <c r="P65" s="53">
        <f>N65-O65</f>
        <v/>
      </c>
      <c r="Q65" s="32" t="n"/>
      <c r="R65" s="32" t="n"/>
      <c r="S65" s="32" t="n"/>
      <c r="T65" s="55" t="n"/>
      <c r="U65" s="54">
        <f>'S49'!T65</f>
        <v/>
      </c>
      <c r="V65" s="53">
        <f>T65-U65</f>
        <v/>
      </c>
      <c r="W65" s="53">
        <f>N65-T65</f>
        <v/>
      </c>
      <c r="X65" s="34" t="n"/>
    </row>
    <row r="66" ht="22" customHeight="1">
      <c r="B66" s="10" t="n">
        <v>62</v>
      </c>
      <c r="C66" s="14" t="inlineStr">
        <is>
          <t>Kénitra</t>
        </is>
      </c>
      <c r="D66" s="10" t="inlineStr">
        <is>
          <t>Mograne</t>
        </is>
      </c>
      <c r="E66" s="10" t="inlineStr">
        <is>
          <t>50-23</t>
        </is>
      </c>
      <c r="F66" s="10" t="inlineStr">
        <is>
          <t>Entretien et réparation du réseau d'assainissement et de drainage</t>
        </is>
      </c>
      <c r="G66" s="10" t="inlineStr">
        <is>
          <t>Travaux de curage des canaux en terre</t>
        </is>
      </c>
      <c r="H66" s="10" t="inlineStr">
        <is>
          <t>Curage des canaux d'assainissement Hors secteur équipé ghoufera et laison beht sebou ,</t>
        </is>
      </c>
      <c r="I66" s="11" t="n">
        <v>6000000</v>
      </c>
      <c r="J66" s="12" t="inlineStr">
        <is>
          <t>ml</t>
        </is>
      </c>
      <c r="K66" s="13" t="n">
        <v>3000</v>
      </c>
      <c r="L66" s="51" t="n"/>
      <c r="M66" s="56">
        <f>'S49'!M66+L66</f>
        <v/>
      </c>
      <c r="N66" s="57">
        <f>IFERROR(M66/K66,0)</f>
        <v/>
      </c>
      <c r="O66" s="58">
        <f>'S49'!N66</f>
        <v/>
      </c>
      <c r="P66" s="57">
        <f>N66-O66</f>
        <v/>
      </c>
      <c r="Q66" s="32" t="n"/>
      <c r="R66" s="32" t="n"/>
      <c r="S66" s="32" t="n"/>
      <c r="T66" s="55" t="n"/>
      <c r="U66" s="58">
        <f>'S49'!T66</f>
        <v/>
      </c>
      <c r="V66" s="57">
        <f>T66-U66</f>
        <v/>
      </c>
      <c r="W66" s="57">
        <f>N66-T66</f>
        <v/>
      </c>
      <c r="X66" s="34" t="n"/>
    </row>
    <row r="67" ht="22" customHeight="1">
      <c r="B67" s="5" t="n">
        <v>63</v>
      </c>
      <c r="C67" s="14" t="inlineStr">
        <is>
          <t>Kénitra</t>
        </is>
      </c>
      <c r="D67" s="5" t="inlineStr">
        <is>
          <t>Mograne</t>
        </is>
      </c>
      <c r="E67" s="5" t="inlineStr">
        <is>
          <t>40-21</t>
        </is>
      </c>
      <c r="F67" s="5" t="inlineStr">
        <is>
          <t>Travaux de pistes</t>
        </is>
      </c>
      <c r="G67" s="5" t="inlineStr">
        <is>
          <t>Travaux de réhabilitation des pistes agricoles</t>
        </is>
      </c>
      <c r="H67" s="5" t="inlineStr">
        <is>
          <t>Entretien des pistes agricoles des secteurs SEBOU1,SEBOU2? BEHT3 et BEHT4</t>
        </is>
      </c>
      <c r="I67" s="7" t="n">
        <v>6000000</v>
      </c>
      <c r="J67" s="8" t="inlineStr">
        <is>
          <t>km</t>
        </is>
      </c>
      <c r="K67" s="9" t="n">
        <v>12</v>
      </c>
      <c r="L67" s="51" t="n"/>
      <c r="M67" s="52">
        <f>'S49'!M67+L67</f>
        <v/>
      </c>
      <c r="N67" s="53">
        <f>IFERROR(M67/K67,0)</f>
        <v/>
      </c>
      <c r="O67" s="54">
        <f>'S49'!N67</f>
        <v/>
      </c>
      <c r="P67" s="53">
        <f>N67-O67</f>
        <v/>
      </c>
      <c r="Q67" s="32" t="n"/>
      <c r="R67" s="32" t="n"/>
      <c r="S67" s="32" t="n"/>
      <c r="T67" s="55" t="n"/>
      <c r="U67" s="54">
        <f>'S49'!T67</f>
        <v/>
      </c>
      <c r="V67" s="53">
        <f>T67-U67</f>
        <v/>
      </c>
      <c r="W67" s="53">
        <f>N67-T67</f>
        <v/>
      </c>
      <c r="X67" s="34" t="n"/>
    </row>
    <row r="68" ht="22" customHeight="1">
      <c r="B68" s="10" t="n">
        <v>64</v>
      </c>
      <c r="C68" s="14" t="inlineStr">
        <is>
          <t>Kénitra</t>
        </is>
      </c>
      <c r="D68" s="10" t="inlineStr">
        <is>
          <t>Sidi allal tazi</t>
        </is>
      </c>
      <c r="E68" s="10" t="inlineStr">
        <is>
          <t>50-23</t>
        </is>
      </c>
      <c r="F68" s="10" t="inlineStr">
        <is>
          <t>Entretien et réparation du réseau d'assainissement et de drainage</t>
        </is>
      </c>
      <c r="G68" s="10" t="inlineStr">
        <is>
          <t>Travaux de curage des canaux en terre</t>
        </is>
      </c>
      <c r="H68" s="10" t="inlineStr">
        <is>
          <t>Curage du canaL d'assainissement CK,</t>
        </is>
      </c>
      <c r="I68" s="11" t="n">
        <v>3000000</v>
      </c>
      <c r="J68" s="12" t="inlineStr">
        <is>
          <t>ml</t>
        </is>
      </c>
      <c r="K68" s="13" t="n">
        <v>1500</v>
      </c>
      <c r="L68" s="51" t="n"/>
      <c r="M68" s="56">
        <f>'S49'!M68+L68</f>
        <v/>
      </c>
      <c r="N68" s="57">
        <f>IFERROR(M68/K68,0)</f>
        <v/>
      </c>
      <c r="O68" s="58">
        <f>'S49'!N68</f>
        <v/>
      </c>
      <c r="P68" s="57">
        <f>N68-O68</f>
        <v/>
      </c>
      <c r="Q68" s="32" t="n"/>
      <c r="R68" s="32" t="n"/>
      <c r="S68" s="32" t="n"/>
      <c r="T68" s="55" t="n"/>
      <c r="U68" s="58">
        <f>'S49'!T68</f>
        <v/>
      </c>
      <c r="V68" s="57">
        <f>T68-U68</f>
        <v/>
      </c>
      <c r="W68" s="57">
        <f>N68-T68</f>
        <v/>
      </c>
      <c r="X68" s="34" t="n"/>
    </row>
    <row r="69" ht="22" customHeight="1">
      <c r="B69" s="5" t="n">
        <v>65</v>
      </c>
      <c r="C69" s="14" t="inlineStr">
        <is>
          <t>Kénitra</t>
        </is>
      </c>
      <c r="D69" s="5" t="inlineStr">
        <is>
          <t>AMEUR SAFLIA</t>
        </is>
      </c>
      <c r="E69" s="5" t="inlineStr">
        <is>
          <t>50-23</t>
        </is>
      </c>
      <c r="F69" s="5" t="inlineStr">
        <is>
          <t>Entretien et réparation du réseau d'assainissement et de drainage</t>
        </is>
      </c>
      <c r="G69" s="5" t="inlineStr">
        <is>
          <t>Travaux de curage des canaux en terre</t>
        </is>
      </c>
      <c r="H69" s="5" t="inlineStr">
        <is>
          <t>Curage des canaux d'assainissement amontTtiflt Sebou,</t>
        </is>
      </c>
      <c r="I69" s="7" t="n">
        <v>1000000</v>
      </c>
      <c r="J69" s="8" t="inlineStr">
        <is>
          <t>ml</t>
        </is>
      </c>
      <c r="K69" s="9" t="n">
        <v>500</v>
      </c>
      <c r="L69" s="51" t="n"/>
      <c r="M69" s="52">
        <f>'S49'!M69+L69</f>
        <v/>
      </c>
      <c r="N69" s="53">
        <f>IFERROR(M69/K69,0)</f>
        <v/>
      </c>
      <c r="O69" s="54">
        <f>'S49'!N69</f>
        <v/>
      </c>
      <c r="P69" s="53">
        <f>N69-O69</f>
        <v/>
      </c>
      <c r="Q69" s="32" t="n"/>
      <c r="R69" s="32" t="n"/>
      <c r="S69" s="32" t="n"/>
      <c r="T69" s="55" t="n"/>
      <c r="U69" s="54">
        <f>'S49'!T69</f>
        <v/>
      </c>
      <c r="V69" s="53">
        <f>T69-U69</f>
        <v/>
      </c>
      <c r="W69" s="53">
        <f>N69-T69</f>
        <v/>
      </c>
      <c r="X69" s="34" t="n"/>
    </row>
    <row r="70" ht="22" customHeight="1">
      <c r="B70" s="10" t="n">
        <v>66</v>
      </c>
      <c r="C70" s="14" t="inlineStr">
        <is>
          <t>Kénitra</t>
        </is>
      </c>
      <c r="D70" s="10" t="inlineStr">
        <is>
          <t>Oulad SLAMA</t>
        </is>
      </c>
      <c r="E70" s="10" t="inlineStr">
        <is>
          <t>50-23</t>
        </is>
      </c>
      <c r="F70" s="10" t="inlineStr">
        <is>
          <t>Entretien et réparation du réseau d'assainissement et de drainage</t>
        </is>
      </c>
      <c r="G70" s="10" t="inlineStr">
        <is>
          <t>Travaux de curage des canaux en terre</t>
        </is>
      </c>
      <c r="H70" s="10" t="inlineStr">
        <is>
          <t>Curage des canaux d'assainissement debouche Tiflt aval,</t>
        </is>
      </c>
      <c r="I70" s="11" t="n">
        <v>1000000</v>
      </c>
      <c r="J70" s="12" t="inlineStr">
        <is>
          <t>ml</t>
        </is>
      </c>
      <c r="K70" s="13" t="n">
        <v>500</v>
      </c>
      <c r="L70" s="51" t="n"/>
      <c r="M70" s="56">
        <f>'S49'!M70+L70</f>
        <v/>
      </c>
      <c r="N70" s="57">
        <f>IFERROR(M70/K70,0)</f>
        <v/>
      </c>
      <c r="O70" s="58">
        <f>'S49'!N70</f>
        <v/>
      </c>
      <c r="P70" s="57">
        <f>N70-O70</f>
        <v/>
      </c>
      <c r="Q70" s="32" t="n"/>
      <c r="R70" s="32" t="n"/>
      <c r="S70" s="32" t="n"/>
      <c r="T70" s="55" t="n"/>
      <c r="U70" s="58">
        <f>'S49'!T70</f>
        <v/>
      </c>
      <c r="V70" s="57">
        <f>T70-U70</f>
        <v/>
      </c>
      <c r="W70" s="57">
        <f>N70-T70</f>
        <v/>
      </c>
      <c r="X70" s="34" t="n"/>
    </row>
    <row r="71" ht="22" customHeight="1">
      <c r="B71" s="5" t="n">
        <v>67</v>
      </c>
      <c r="C71" s="14" t="inlineStr">
        <is>
          <t>Kénitra</t>
        </is>
      </c>
      <c r="D71" s="5" t="inlineStr">
        <is>
          <t>BHARA Oulad AYAD</t>
        </is>
      </c>
      <c r="E71" s="5" t="inlineStr">
        <is>
          <t>50-23</t>
        </is>
      </c>
      <c r="F71" s="5" t="inlineStr">
        <is>
          <t>Entretien et réparation du réseau d'assainissement et de drainage</t>
        </is>
      </c>
      <c r="G71" s="5" t="inlineStr">
        <is>
          <t>Travaux de curage des canaux en terre</t>
        </is>
      </c>
      <c r="H71" s="5" t="inlineStr">
        <is>
          <t>Curage des canaux d'assainissement canal nador bas et haut segmet,</t>
        </is>
      </c>
      <c r="I71" s="7" t="n">
        <v>6600000</v>
      </c>
      <c r="J71" s="8" t="inlineStr">
        <is>
          <t>ml</t>
        </is>
      </c>
      <c r="K71" s="9" t="n">
        <v>3300</v>
      </c>
      <c r="L71" s="51" t="n"/>
      <c r="M71" s="52">
        <f>'S49'!M71+L71</f>
        <v/>
      </c>
      <c r="N71" s="53">
        <f>IFERROR(M71/K71,0)</f>
        <v/>
      </c>
      <c r="O71" s="54">
        <f>'S49'!N71</f>
        <v/>
      </c>
      <c r="P71" s="53">
        <f>N71-O71</f>
        <v/>
      </c>
      <c r="Q71" s="32" t="n"/>
      <c r="R71" s="32" t="n"/>
      <c r="S71" s="32" t="n"/>
      <c r="T71" s="55" t="n"/>
      <c r="U71" s="54">
        <f>'S49'!T71</f>
        <v/>
      </c>
      <c r="V71" s="53">
        <f>T71-U71</f>
        <v/>
      </c>
      <c r="W71" s="53">
        <f>N71-T71</f>
        <v/>
      </c>
      <c r="X71" s="34" t="n"/>
    </row>
    <row r="72" ht="22" customHeight="1">
      <c r="B72" s="10" t="n">
        <v>68</v>
      </c>
      <c r="C72" s="15" t="inlineStr">
        <is>
          <t>Sidi Slimane</t>
        </is>
      </c>
      <c r="D72" s="10" t="inlineStr">
        <is>
          <t>OULED HCEINE</t>
        </is>
      </c>
      <c r="E72" s="10" t="inlineStr">
        <is>
          <t>50-23</t>
        </is>
      </c>
      <c r="F72" s="10" t="inlineStr">
        <is>
          <t>Entretien et réparation du réseau d'assainissement et de drainage</t>
        </is>
      </c>
      <c r="G72" s="10" t="inlineStr">
        <is>
          <t>Travaux de curage des canaux en terre</t>
        </is>
      </c>
      <c r="H72" s="10" t="inlineStr">
        <is>
          <t>Curage des collecteurs d'assainissement du secteur EST4.</t>
        </is>
      </c>
      <c r="I72" s="11" t="n">
        <v>1805475</v>
      </c>
      <c r="J72" s="12" t="inlineStr">
        <is>
          <t>ml</t>
        </is>
      </c>
      <c r="K72" s="13" t="n">
        <v>903</v>
      </c>
      <c r="L72" s="51" t="n"/>
      <c r="M72" s="56">
        <f>'S49'!M72+L72</f>
        <v/>
      </c>
      <c r="N72" s="57">
        <f>IFERROR(M72/K72,0)</f>
        <v/>
      </c>
      <c r="O72" s="58">
        <f>'S49'!N72</f>
        <v/>
      </c>
      <c r="P72" s="57">
        <f>N72-O72</f>
        <v/>
      </c>
      <c r="Q72" s="32" t="n"/>
      <c r="R72" s="32" t="n"/>
      <c r="S72" s="32" t="n"/>
      <c r="T72" s="55" t="n"/>
      <c r="U72" s="58">
        <f>'S49'!T72</f>
        <v/>
      </c>
      <c r="V72" s="57">
        <f>T72-U72</f>
        <v/>
      </c>
      <c r="W72" s="57">
        <f>N72-T72</f>
        <v/>
      </c>
      <c r="X72" s="34" t="n"/>
    </row>
    <row r="73" ht="22" customHeight="1">
      <c r="B73" s="5" t="n">
        <v>69</v>
      </c>
      <c r="C73" s="15" t="inlineStr">
        <is>
          <t>Sidi Slimane</t>
        </is>
      </c>
      <c r="D73" s="5" t="inlineStr">
        <is>
          <t>OULED HCEINE</t>
        </is>
      </c>
      <c r="E73" s="5" t="inlineStr">
        <is>
          <t>50-23</t>
        </is>
      </c>
      <c r="F73" s="5" t="inlineStr">
        <is>
          <t>Entretien et réparation du réseau d'assainissement et de drainage</t>
        </is>
      </c>
      <c r="G73" s="5" t="inlineStr">
        <is>
          <t>Travaux de curage des canaux en terre</t>
        </is>
      </c>
      <c r="H73" s="5" t="inlineStr">
        <is>
          <t>Curage du canal d'assainissement Tihli central.</t>
        </is>
      </c>
      <c r="I73" s="7" t="n">
        <v>2587200</v>
      </c>
      <c r="J73" s="8" t="inlineStr">
        <is>
          <t>ml</t>
        </is>
      </c>
      <c r="K73" s="9" t="n">
        <v>1294</v>
      </c>
      <c r="L73" s="51" t="n"/>
      <c r="M73" s="52">
        <f>'S49'!M73+L73</f>
        <v/>
      </c>
      <c r="N73" s="53">
        <f>IFERROR(M73/K73,0)</f>
        <v/>
      </c>
      <c r="O73" s="54">
        <f>'S49'!N73</f>
        <v/>
      </c>
      <c r="P73" s="53">
        <f>N73-O73</f>
        <v/>
      </c>
      <c r="Q73" s="32" t="n"/>
      <c r="R73" s="32" t="n"/>
      <c r="S73" s="32" t="n"/>
      <c r="T73" s="55" t="n"/>
      <c r="U73" s="54">
        <f>'S49'!T73</f>
        <v/>
      </c>
      <c r="V73" s="53">
        <f>T73-U73</f>
        <v/>
      </c>
      <c r="W73" s="53">
        <f>N73-T73</f>
        <v/>
      </c>
      <c r="X73" s="34" t="n"/>
    </row>
    <row r="74" ht="22" customHeight="1">
      <c r="B74" s="10" t="n">
        <v>70</v>
      </c>
      <c r="C74" s="15" t="inlineStr">
        <is>
          <t>Sidi Slimane</t>
        </is>
      </c>
      <c r="D74" s="10" t="inlineStr">
        <is>
          <t>OULED HCEINE</t>
        </is>
      </c>
      <c r="E74" s="10" t="inlineStr">
        <is>
          <t>40-21</t>
        </is>
      </c>
      <c r="F74" s="10" t="inlineStr">
        <is>
          <t>Travaux de pistes</t>
        </is>
      </c>
      <c r="G74" s="10" t="inlineStr">
        <is>
          <t>Travaux de réhabilitation des pistes agricoles</t>
        </is>
      </c>
      <c r="H74" s="10" t="inlineStr">
        <is>
          <t>Entretien des pistes agricoles</t>
        </is>
      </c>
      <c r="I74" s="11" t="n">
        <v>3500000</v>
      </c>
      <c r="J74" s="12" t="inlineStr">
        <is>
          <t>km</t>
        </is>
      </c>
      <c r="K74" s="13" t="n">
        <v>7</v>
      </c>
      <c r="L74" s="51" t="n"/>
      <c r="M74" s="56">
        <f>'S49'!M74+L74</f>
        <v/>
      </c>
      <c r="N74" s="57">
        <f>IFERROR(M74/K74,0)</f>
        <v/>
      </c>
      <c r="O74" s="58">
        <f>'S49'!N74</f>
        <v/>
      </c>
      <c r="P74" s="57">
        <f>N74-O74</f>
        <v/>
      </c>
      <c r="Q74" s="32" t="n"/>
      <c r="R74" s="32" t="n"/>
      <c r="S74" s="32" t="n"/>
      <c r="T74" s="55" t="n"/>
      <c r="U74" s="58">
        <f>'S49'!T74</f>
        <v/>
      </c>
      <c r="V74" s="57">
        <f>T74-U74</f>
        <v/>
      </c>
      <c r="W74" s="57">
        <f>N74-T74</f>
        <v/>
      </c>
      <c r="X74" s="34" t="n"/>
    </row>
    <row r="75" ht="22" customHeight="1">
      <c r="B75" s="5" t="n">
        <v>71</v>
      </c>
      <c r="C75" s="15" t="inlineStr">
        <is>
          <t>Sidi Slimane</t>
        </is>
      </c>
      <c r="D75" s="5" t="inlineStr">
        <is>
          <t>OULED HCEINE</t>
        </is>
      </c>
      <c r="E75" s="5" t="inlineStr">
        <is>
          <t>50-21</t>
        </is>
      </c>
      <c r="F75" s="5" t="inlineStr">
        <is>
          <t>Entretien et réparation des stations de pompage</t>
        </is>
      </c>
      <c r="G75" s="5" t="inlineStr">
        <is>
          <t>Travaux de réparation des équipements hydromécaniques et éléctriques et entretien de la partie génie civil des stations de pompage.</t>
        </is>
      </c>
      <c r="H75" s="5" t="inlineStr">
        <is>
          <t>Démontage et expertise des roues des  pompes principaux et pompes a vide de la station EST4 et P11/2.
Changement des roulements, tresses et organes d’effectués de la station EST4 et P11/2
Changement deux débitmètre Ø 1200 mm de la station EST4 et un débimétre de la station P11/2.
Changement des capteurs de niveau inondés.
Révision et réparation des moteurs des vannes motorisées inondées.
changement de six contrôleurs de débits DW181 inondés.
Un capteur de débitmètre inondé nécessitent un diagnostic VEGASON  .
Entretien de l'éclairage du local de vide et bâche d’aspiration inondé de la station EST4 et la partie de l’éclairage du local des pompes inondées de la station P11/2.
Pose de gabions et recouvrement du talus par matelas Reno des stations de pompage P11/2</t>
        </is>
      </c>
      <c r="I75" s="7" t="n">
        <v>870000</v>
      </c>
      <c r="J75" s="8" t="inlineStr">
        <is>
          <t>U</t>
        </is>
      </c>
      <c r="K75" s="9" t="n">
        <v>4</v>
      </c>
      <c r="L75" s="51" t="n"/>
      <c r="M75" s="52">
        <f>'S49'!M75+L75</f>
        <v/>
      </c>
      <c r="N75" s="53">
        <f>IFERROR(M75/K75,0)</f>
        <v/>
      </c>
      <c r="O75" s="54">
        <f>'S49'!N75</f>
        <v/>
      </c>
      <c r="P75" s="53">
        <f>N75-O75</f>
        <v/>
      </c>
      <c r="Q75" s="32" t="n"/>
      <c r="R75" s="32" t="n"/>
      <c r="S75" s="32" t="n"/>
      <c r="T75" s="55" t="n"/>
      <c r="U75" s="54">
        <f>'S49'!T75</f>
        <v/>
      </c>
      <c r="V75" s="53">
        <f>T75-U75</f>
        <v/>
      </c>
      <c r="W75" s="53">
        <f>N75-T75</f>
        <v/>
      </c>
      <c r="X75" s="34" t="n"/>
    </row>
    <row r="76" ht="22" customHeight="1">
      <c r="B76" s="10" t="n">
        <v>72</v>
      </c>
      <c r="C76" s="15" t="inlineStr">
        <is>
          <t>Sidi Slimane</t>
        </is>
      </c>
      <c r="D76" s="10" t="inlineStr">
        <is>
          <t>OULED HCEINE</t>
        </is>
      </c>
      <c r="E76" s="10" t="inlineStr">
        <is>
          <t>50-23</t>
        </is>
      </c>
      <c r="F76" s="10" t="inlineStr">
        <is>
          <t>Entretien et réparation du réseau d'assainissement et de drainage</t>
        </is>
      </c>
      <c r="G76" s="10" t="inlineStr">
        <is>
          <t>Travaux de curage des prises des stations de pompage.</t>
        </is>
      </c>
      <c r="H76" s="10" t="inlineStr">
        <is>
          <t>Curage des siphones des station de pompage EST2 et P11/2.</t>
        </is>
      </c>
      <c r="I76" s="11" t="n">
        <v>500000</v>
      </c>
      <c r="J76" s="12" t="inlineStr">
        <is>
          <t>ml</t>
        </is>
      </c>
      <c r="K76" s="13" t="n">
        <v>167</v>
      </c>
      <c r="L76" s="51" t="n"/>
      <c r="M76" s="56">
        <f>'S49'!M76+L76</f>
        <v/>
      </c>
      <c r="N76" s="57">
        <f>IFERROR(M76/K76,0)</f>
        <v/>
      </c>
      <c r="O76" s="58">
        <f>'S49'!N76</f>
        <v/>
      </c>
      <c r="P76" s="57">
        <f>N76-O76</f>
        <v/>
      </c>
      <c r="Q76" s="32" t="n"/>
      <c r="R76" s="32" t="n"/>
      <c r="S76" s="32" t="n"/>
      <c r="T76" s="55" t="n"/>
      <c r="U76" s="58">
        <f>'S49'!T76</f>
        <v/>
      </c>
      <c r="V76" s="57">
        <f>T76-U76</f>
        <v/>
      </c>
      <c r="W76" s="57">
        <f>N76-T76</f>
        <v/>
      </c>
      <c r="X76" s="34" t="n"/>
    </row>
    <row r="77" ht="26" customHeight="1">
      <c r="B77" s="16" t="inlineStr">
        <is>
          <t>TOTAL</t>
        </is>
      </c>
      <c r="C77" s="16" t="n"/>
      <c r="D77" s="16" t="n"/>
      <c r="E77" s="16" t="n"/>
      <c r="F77" s="16" t="n"/>
      <c r="G77" s="16" t="n"/>
      <c r="H77" s="16" t="n"/>
      <c r="I77" s="17">
        <f>SUM(I5:I76)</f>
        <v/>
      </c>
      <c r="J77" s="16" t="n"/>
      <c r="K77" s="16" t="n"/>
      <c r="L77" s="59">
        <f>SUM(L5:L76)</f>
        <v/>
      </c>
      <c r="M77" s="59">
        <f>SUM(M5:M76)</f>
        <v/>
      </c>
      <c r="N77" s="60">
        <f>IFERROR(SUMPRODUCT(N5:N76,I5:I76)/I77,0)</f>
        <v/>
      </c>
      <c r="O77" s="60">
        <f>IFERROR(SUMPRODUCT(O5:O76,I5:I76)/I77,0)</f>
        <v/>
      </c>
      <c r="P77" s="60">
        <f>N77-O77</f>
        <v/>
      </c>
      <c r="Q77" s="17">
        <f>SUM(Q5:Q76)</f>
        <v/>
      </c>
      <c r="R77" s="17">
        <f>SUM(R5:R76)</f>
        <v/>
      </c>
      <c r="S77" s="17">
        <f>SUM(S5:S76)</f>
        <v/>
      </c>
      <c r="T77" s="60">
        <f>IFERROR(SUMPRODUCT(T5:T76,I5:I76)/I77,0)</f>
        <v/>
      </c>
      <c r="U77" s="60">
        <f>IFERROR(SUMPRODUCT(U5:U76,I5:I76)/I77,0)</f>
        <v/>
      </c>
      <c r="V77" s="60">
        <f>T77-U77</f>
        <v/>
      </c>
      <c r="W77" s="60">
        <f>N77-T77</f>
        <v/>
      </c>
      <c r="X77" s="16" t="n"/>
    </row>
  </sheetData>
  <sheetProtection selectLockedCells="0" selectUnlockedCells="0" sheet="1" objects="0" insertRows="1" insertHyperlinks="1" autoFilter="1" scenarios="0" formatColumns="1" deleteColumns="1" insertColumns="1" pivotTables="1" deleteRows="1" formatCells="1" formatRows="1" sort="1" password="CBBE"/>
  <mergeCells count="6">
    <mergeCell ref="E3:I3"/>
    <mergeCell ref="W3:X3"/>
    <mergeCell ref="J3:P3"/>
    <mergeCell ref="B2:X2"/>
    <mergeCell ref="C3:D3"/>
    <mergeCell ref="Q3:V3"/>
  </mergeCells>
  <conditionalFormatting sqref="P5:P76">
    <cfRule type="cellIs" priority="1" operator="greaterThan" dxfId="0">
      <formula>0</formula>
    </cfRule>
    <cfRule type="cellIs" priority="2" operator="lessThan" dxfId="1">
      <formula>0</formula>
    </cfRule>
  </conditionalFormatting>
  <conditionalFormatting sqref="V5:V76">
    <cfRule type="cellIs" priority="3" operator="greaterThan" dxfId="0">
      <formula>0</formula>
    </cfRule>
    <cfRule type="cellIs" priority="4" operator="lessThan" dxfId="1">
      <formula>0</formula>
    </cfRule>
  </conditionalFormatting>
  <conditionalFormatting sqref="W5:W76">
    <cfRule type="cellIs" priority="5" operator="greaterThan" dxfId="0">
      <formula>0.05</formula>
    </cfRule>
    <cfRule type="cellIs" priority="6" operator="lessThan" dxfId="1">
      <formula>-0.05</formula>
    </cfRule>
    <cfRule type="cellIs" priority="7" operator="between" dxfId="2">
      <formula>-0.05</formula>
      <formula>0.05</formula>
    </cfRule>
  </conditionalFormatting>
  <conditionalFormatting sqref="N5:N76">
    <cfRule type="dataBar" priority="8">
      <dataBar showValue="1">
        <cfvo type="num" val="0"/>
        <cfvo type="num" val="1"/>
        <color rgb="001B7D46"/>
      </dataBar>
    </cfRule>
  </conditionalFormatting>
  <conditionalFormatting sqref="T5:T76">
    <cfRule type="dataBar" priority="9">
      <dataBar showValue="1">
        <cfvo type="num" val="0"/>
        <cfvo type="num" val="1"/>
        <color rgb="00D4820A"/>
      </dataBar>
    </cfRule>
  </conditionalFormatting>
  <dataValidations count="2">
    <dataValidation sqref="T5:T76" showDropDown="0" showInputMessage="0" showErrorMessage="0" allowBlank="1" errorTitle="Invalide" error="Valeur entre 0% et 100%" promptTitle="Avancement %" prompt="Entrez 0.25 pour 25%" type="decimal" operator="between">
      <formula1>0</formula1>
      <formula2>1</formula2>
    </dataValidation>
    <dataValidation sqref="L5:L76" showDropDown="0" showInputMessage="0" showErrorMessage="0" allowBlank="1" errorTitle="Invalide" error="Quantité doit être &gt;= 0" promptTitle="Qté Réalisée" prompt="Entrez la quantité réalisée cette semaine" type="decimal" operator="greaterThanOrEqual">
      <formula1>0</formula1>
    </dataValidation>
  </dataValidations>
  <pageMargins left="0.75" right="0.75" top="1" bottom="1" header="0.5" footer="0.5"/>
</worksheet>
</file>

<file path=xl/worksheets/sheet31.xml><?xml version="1.0" encoding="utf-8"?>
<worksheet xmlns="http://schemas.openxmlformats.org/spreadsheetml/2006/main">
  <sheetPr>
    <tabColor rgb="00375623"/>
    <outlinePr summaryBelow="1" summaryRight="1"/>
    <pageSetUpPr/>
  </sheetPr>
  <dimension ref="B2:X77"/>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5" customWidth="1" min="2" max="2"/>
    <col width="14" customWidth="1" min="3" max="3"/>
    <col width="18" customWidth="1" min="4" max="4"/>
    <col width="9" customWidth="1" min="5" max="5"/>
    <col width="32" customWidth="1" min="6" max="6"/>
    <col width="28" customWidth="1" min="7" max="7"/>
    <col width="34" customWidth="1" min="8" max="8"/>
    <col width="14" customWidth="1" min="9" max="9"/>
    <col width="8" customWidth="1" min="10" max="10"/>
    <col width="12" customWidth="1" min="11" max="11"/>
    <col width="14" customWidth="1" min="12" max="12"/>
    <col width="14" customWidth="1" min="13" max="13"/>
    <col width="14" customWidth="1" min="14" max="14"/>
    <col width="14" customWidth="1" min="15" max="15"/>
    <col width="14" customWidth="1" min="16" max="16"/>
    <col width="16" customWidth="1" min="17" max="17"/>
    <col width="16" customWidth="1" min="18" max="18"/>
    <col width="16" customWidth="1" min="19" max="19"/>
    <col width="14" customWidth="1" min="20" max="20"/>
    <col width="14" customWidth="1" min="21" max="21"/>
    <col width="14" customWidth="1" min="22" max="22"/>
    <col width="14" customWidth="1" min="23" max="23"/>
    <col width="24" customWidth="1" min="24" max="24"/>
  </cols>
  <sheetData>
    <row r="1" ht="15" customHeight="1"/>
    <row r="2" ht="32" customHeight="1">
      <c r="B2" s="1" t="inlineStr">
        <is>
          <t>Suivi Hebdomadaire - Semaine 51 (14/12 - 20/12) — Décembre 2026 - Exécution Physique et Financière</t>
        </is>
      </c>
    </row>
    <row r="3" ht="22" customHeight="1">
      <c r="B3" s="20" t="inlineStr">
        <is>
          <t>Date :</t>
        </is>
      </c>
      <c r="C3" s="49" t="n">
        <v>46370</v>
      </c>
      <c r="D3" s="50" t="n"/>
      <c r="E3" s="22" t="inlineStr">
        <is>
          <t>IDENTIFICATION</t>
        </is>
      </c>
      <c r="J3" s="23" t="inlineStr">
        <is>
          <t>INDICATEURS PHYSIQUES</t>
        </is>
      </c>
      <c r="Q3" s="24" t="inlineStr">
        <is>
          <t>INDICATEURS FINANCIERS</t>
        </is>
      </c>
      <c r="W3" s="25" t="inlineStr">
        <is>
          <t>SYNTHÈSE</t>
        </is>
      </c>
    </row>
    <row r="4" ht="28" customHeight="1">
      <c r="B4" s="4" t="inlineStr">
        <is>
          <t>N°</t>
        </is>
      </c>
      <c r="C4" s="4" t="inlineStr">
        <is>
          <t>Province</t>
        </is>
      </c>
      <c r="D4" s="4" t="inlineStr">
        <is>
          <t>Commune</t>
        </is>
      </c>
      <c r="E4" s="4" t="inlineStr">
        <is>
          <t>Rubrique</t>
        </is>
      </c>
      <c r="F4" s="4" t="inlineStr">
        <is>
          <t>Intitulé Rubrique</t>
        </is>
      </c>
      <c r="G4" s="4" t="inlineStr">
        <is>
          <t>Projet</t>
        </is>
      </c>
      <c r="H4" s="4" t="inlineStr">
        <is>
          <t>Consistance</t>
        </is>
      </c>
      <c r="I4" s="4" t="inlineStr">
        <is>
          <t>Coût Total (DH)</t>
        </is>
      </c>
      <c r="J4" s="26" t="inlineStr">
        <is>
          <t>Unité</t>
        </is>
      </c>
      <c r="K4" s="26" t="inlineStr">
        <is>
          <t>Qté Prévue</t>
        </is>
      </c>
      <c r="L4" s="26" t="inlineStr">
        <is>
          <t>Qté Réalisée Sem.</t>
        </is>
      </c>
      <c r="M4" s="26" t="inlineStr">
        <is>
          <t>Qté Réalisée Cumul</t>
        </is>
      </c>
      <c r="N4" s="26" t="inlineStr">
        <is>
          <t>Avancement Physique %</t>
        </is>
      </c>
      <c r="O4" s="26" t="inlineStr">
        <is>
          <t>% Phys. Sem. Préc.</t>
        </is>
      </c>
      <c r="P4" s="26" t="inlineStr">
        <is>
          <t>Accroissement Phys. %</t>
        </is>
      </c>
      <c r="Q4" s="27" t="inlineStr">
        <is>
          <t>Montant Décaissé (DH)</t>
        </is>
      </c>
      <c r="R4" s="27" t="inlineStr">
        <is>
          <t>Montant Payé (DH)</t>
        </is>
      </c>
      <c r="S4" s="27" t="inlineStr">
        <is>
          <t>Montant Ordonné (DH)</t>
        </is>
      </c>
      <c r="T4" s="27" t="inlineStr">
        <is>
          <t>Avancement Financier %</t>
        </is>
      </c>
      <c r="U4" s="27" t="inlineStr">
        <is>
          <t>% Fin. Sem. Préc.</t>
        </is>
      </c>
      <c r="V4" s="27" t="inlineStr">
        <is>
          <t>Accroissement Fin. %</t>
        </is>
      </c>
      <c r="W4" s="28" t="inlineStr">
        <is>
          <t>Écart Phys.-Fin.</t>
        </is>
      </c>
      <c r="X4" s="28" t="inlineStr">
        <is>
          <t>Observations</t>
        </is>
      </c>
    </row>
    <row r="5" ht="22" customHeight="1">
      <c r="B5" s="5" t="n">
        <v>1</v>
      </c>
      <c r="C5" s="6" t="inlineStr">
        <is>
          <t>Sidi Kacem</t>
        </is>
      </c>
      <c r="D5" s="5" t="inlineStr">
        <is>
          <t>KHENICHET</t>
        </is>
      </c>
      <c r="E5" s="5" t="inlineStr">
        <is>
          <t>50-23</t>
        </is>
      </c>
      <c r="F5" s="5" t="inlineStr">
        <is>
          <t>Entretien et réparation du réseau d'assainissement et de drainage</t>
        </is>
      </c>
      <c r="G5" s="5" t="inlineStr">
        <is>
          <t>Travaux de curage des canaux en terre</t>
        </is>
      </c>
      <c r="H5" s="5" t="inlineStr">
        <is>
          <t>Curage des collecteurs d'assainissement du secteur EST2</t>
        </is>
      </c>
      <c r="I5" s="7" t="n">
        <v>2091568</v>
      </c>
      <c r="J5" s="8" t="inlineStr">
        <is>
          <t>ml</t>
        </is>
      </c>
      <c r="K5" s="9" t="n">
        <v>1046</v>
      </c>
      <c r="L5" s="51" t="n"/>
      <c r="M5" s="52">
        <f>'S50'!M5+L5</f>
        <v/>
      </c>
      <c r="N5" s="53">
        <f>IFERROR(M5/K5,0)</f>
        <v/>
      </c>
      <c r="O5" s="54">
        <f>'S50'!N5</f>
        <v/>
      </c>
      <c r="P5" s="53">
        <f>N5-O5</f>
        <v/>
      </c>
      <c r="Q5" s="32" t="n"/>
      <c r="R5" s="32" t="n"/>
      <c r="S5" s="32" t="n"/>
      <c r="T5" s="55" t="n"/>
      <c r="U5" s="54">
        <f>'S50'!T5</f>
        <v/>
      </c>
      <c r="V5" s="53">
        <f>T5-U5</f>
        <v/>
      </c>
      <c r="W5" s="53">
        <f>N5-T5</f>
        <v/>
      </c>
      <c r="X5" s="34" t="n"/>
    </row>
    <row r="6" ht="22" customHeight="1">
      <c r="B6" s="10" t="n">
        <v>2</v>
      </c>
      <c r="C6" s="6" t="inlineStr">
        <is>
          <t>Sidi Kacem</t>
        </is>
      </c>
      <c r="D6" s="10" t="inlineStr">
        <is>
          <t>KHENICHET</t>
        </is>
      </c>
      <c r="E6" s="10" t="inlineStr">
        <is>
          <t>40-21</t>
        </is>
      </c>
      <c r="F6" s="10" t="inlineStr">
        <is>
          <t>Travaux de pistes</t>
        </is>
      </c>
      <c r="G6" s="10" t="inlineStr">
        <is>
          <t>Travaux de réhabilitation des pistes agricoles</t>
        </is>
      </c>
      <c r="H6" s="10" t="inlineStr">
        <is>
          <t>Entretien des pistes agricoles Douar Nouagra et Douar ouled Salem</t>
        </is>
      </c>
      <c r="I6" s="11" t="n">
        <v>78000</v>
      </c>
      <c r="J6" s="12" t="inlineStr">
        <is>
          <t>km</t>
        </is>
      </c>
      <c r="K6" s="13" t="n">
        <v>1</v>
      </c>
      <c r="L6" s="51" t="n"/>
      <c r="M6" s="56">
        <f>'S50'!M6+L6</f>
        <v/>
      </c>
      <c r="N6" s="57">
        <f>IFERROR(M6/K6,0)</f>
        <v/>
      </c>
      <c r="O6" s="58">
        <f>'S50'!N6</f>
        <v/>
      </c>
      <c r="P6" s="57">
        <f>N6-O6</f>
        <v/>
      </c>
      <c r="Q6" s="32" t="n"/>
      <c r="R6" s="32" t="n"/>
      <c r="S6" s="32" t="n"/>
      <c r="T6" s="55" t="n"/>
      <c r="U6" s="58">
        <f>'S50'!T6</f>
        <v/>
      </c>
      <c r="V6" s="57">
        <f>T6-U6</f>
        <v/>
      </c>
      <c r="W6" s="57">
        <f>N6-T6</f>
        <v/>
      </c>
      <c r="X6" s="34" t="n"/>
    </row>
    <row r="7" ht="22" customHeight="1">
      <c r="B7" s="5" t="n">
        <v>3</v>
      </c>
      <c r="C7" s="6" t="inlineStr">
        <is>
          <t>Sidi Kacem</t>
        </is>
      </c>
      <c r="D7" s="5" t="inlineStr">
        <is>
          <t>KHENICHET</t>
        </is>
      </c>
      <c r="E7" s="5" t="inlineStr">
        <is>
          <t>50-23</t>
        </is>
      </c>
      <c r="F7" s="5" t="inlineStr">
        <is>
          <t>Entretien et réparation du réseau d'assainissement et de drainage</t>
        </is>
      </c>
      <c r="G7" s="5" t="inlineStr">
        <is>
          <t>Curage des prises sur l’oued, bâche d’aspiration et bassin de régulation.</t>
        </is>
      </c>
      <c r="H7" s="5" t="inlineStr">
        <is>
          <t>Curage de la chambre des joints de démontage des siphonnes  de la station de pompage EST2.</t>
        </is>
      </c>
      <c r="I7" s="7" t="n">
        <v>126000</v>
      </c>
      <c r="J7" s="8" t="inlineStr">
        <is>
          <t>ml</t>
        </is>
      </c>
      <c r="K7" s="9" t="n">
        <v>42</v>
      </c>
      <c r="L7" s="51" t="n"/>
      <c r="M7" s="52">
        <f>'S50'!M7+L7</f>
        <v/>
      </c>
      <c r="N7" s="53">
        <f>IFERROR(M7/K7,0)</f>
        <v/>
      </c>
      <c r="O7" s="54">
        <f>'S50'!N7</f>
        <v/>
      </c>
      <c r="P7" s="53">
        <f>N7-O7</f>
        <v/>
      </c>
      <c r="Q7" s="32" t="n"/>
      <c r="R7" s="32" t="n"/>
      <c r="S7" s="32" t="n"/>
      <c r="T7" s="55" t="n"/>
      <c r="U7" s="54">
        <f>'S50'!T7</f>
        <v/>
      </c>
      <c r="V7" s="53">
        <f>T7-U7</f>
        <v/>
      </c>
      <c r="W7" s="53">
        <f>N7-T7</f>
        <v/>
      </c>
      <c r="X7" s="34" t="n"/>
    </row>
    <row r="8" ht="22" customHeight="1">
      <c r="B8" s="10" t="n">
        <v>4</v>
      </c>
      <c r="C8" s="6" t="inlineStr">
        <is>
          <t>Sidi Kacem</t>
        </is>
      </c>
      <c r="D8" s="10" t="inlineStr">
        <is>
          <t>KHENICHET</t>
        </is>
      </c>
      <c r="E8" s="10" t="inlineStr">
        <is>
          <t>50-21</t>
        </is>
      </c>
      <c r="F8" s="10" t="inlineStr">
        <is>
          <t>Entretien et réparation des stations de pompage</t>
        </is>
      </c>
      <c r="G8" s="10" t="inlineStr">
        <is>
          <t>Prestation de maintenance des débitmètres et leurs équipements annexes installés au niveau des station de pompage</t>
        </is>
      </c>
      <c r="H8" s="10" t="inlineStr">
        <is>
          <t>Changement trois débitmètre Ø 600mm inondés de la station de pompage EST 2 et deux capteurs VEGASON 62</t>
        </is>
      </c>
      <c r="I8" s="11" t="n">
        <v>165500</v>
      </c>
      <c r="J8" s="12" t="inlineStr">
        <is>
          <t>U</t>
        </is>
      </c>
      <c r="K8" s="13" t="n">
        <v>3</v>
      </c>
      <c r="L8" s="51" t="n"/>
      <c r="M8" s="56">
        <f>'S50'!M8+L8</f>
        <v/>
      </c>
      <c r="N8" s="57">
        <f>IFERROR(M8/K8,0)</f>
        <v/>
      </c>
      <c r="O8" s="58">
        <f>'S50'!N8</f>
        <v/>
      </c>
      <c r="P8" s="57">
        <f>N8-O8</f>
        <v/>
      </c>
      <c r="Q8" s="32" t="n"/>
      <c r="R8" s="32" t="n"/>
      <c r="S8" s="32" t="n"/>
      <c r="T8" s="55" t="n"/>
      <c r="U8" s="58">
        <f>'S50'!T8</f>
        <v/>
      </c>
      <c r="V8" s="57">
        <f>T8-U8</f>
        <v/>
      </c>
      <c r="W8" s="57">
        <f>N8-T8</f>
        <v/>
      </c>
      <c r="X8" s="34" t="n"/>
    </row>
    <row r="9" ht="22" customHeight="1">
      <c r="B9" s="5" t="n">
        <v>5</v>
      </c>
      <c r="C9" s="6" t="inlineStr">
        <is>
          <t>Sidi Kacem</t>
        </is>
      </c>
      <c r="D9" s="5" t="inlineStr">
        <is>
          <t>BIR TALEB</t>
        </is>
      </c>
      <c r="E9" s="5" t="inlineStr">
        <is>
          <t>50-23</t>
        </is>
      </c>
      <c r="F9" s="5" t="inlineStr">
        <is>
          <t>Entretien et réparation du réseau d'assainissement et de drainage</t>
        </is>
      </c>
      <c r="G9" s="5" t="inlineStr">
        <is>
          <t>Travaux de curage des canaux en terre</t>
        </is>
      </c>
      <c r="H9" s="5" t="inlineStr">
        <is>
          <t>Curage du canal d'assainisement Tihli Aval</t>
        </is>
      </c>
      <c r="I9" s="7" t="n">
        <v>1000000</v>
      </c>
      <c r="J9" s="8" t="inlineStr">
        <is>
          <t>ml</t>
        </is>
      </c>
      <c r="K9" s="9" t="n">
        <v>500</v>
      </c>
      <c r="L9" s="51" t="n"/>
      <c r="M9" s="52">
        <f>'S50'!M9+L9</f>
        <v/>
      </c>
      <c r="N9" s="53">
        <f>IFERROR(M9/K9,0)</f>
        <v/>
      </c>
      <c r="O9" s="54">
        <f>'S50'!N9</f>
        <v/>
      </c>
      <c r="P9" s="53">
        <f>N9-O9</f>
        <v/>
      </c>
      <c r="Q9" s="32" t="n"/>
      <c r="R9" s="32" t="n"/>
      <c r="S9" s="32" t="n"/>
      <c r="T9" s="55" t="n"/>
      <c r="U9" s="54">
        <f>'S50'!T9</f>
        <v/>
      </c>
      <c r="V9" s="53">
        <f>T9-U9</f>
        <v/>
      </c>
      <c r="W9" s="53">
        <f>N9-T9</f>
        <v/>
      </c>
      <c r="X9" s="34" t="n"/>
    </row>
    <row r="10" ht="22" customHeight="1">
      <c r="B10" s="10" t="n">
        <v>6</v>
      </c>
      <c r="C10" s="6" t="inlineStr">
        <is>
          <t>Sidi Kacem</t>
        </is>
      </c>
      <c r="D10" s="10" t="inlineStr">
        <is>
          <t>BIR TALEB</t>
        </is>
      </c>
      <c r="E10" s="10" t="inlineStr">
        <is>
          <t>50-23</t>
        </is>
      </c>
      <c r="F10" s="10" t="inlineStr">
        <is>
          <t>Entretien et réparation du réseau d'assainissement et de drainage</t>
        </is>
      </c>
      <c r="G10" s="10" t="inlineStr"/>
      <c r="H10" s="10" t="inlineStr">
        <is>
          <t>Curage des collecteurs d'assainissement du secteur P11/1</t>
        </is>
      </c>
      <c r="I10" s="11" t="n">
        <v>846731</v>
      </c>
      <c r="J10" s="12" t="inlineStr">
        <is>
          <t>ml</t>
        </is>
      </c>
      <c r="K10" s="13" t="n">
        <v>423</v>
      </c>
      <c r="L10" s="51" t="n"/>
      <c r="M10" s="56">
        <f>'S50'!M10+L10</f>
        <v/>
      </c>
      <c r="N10" s="57">
        <f>IFERROR(M10/K10,0)</f>
        <v/>
      </c>
      <c r="O10" s="58">
        <f>'S50'!N10</f>
        <v/>
      </c>
      <c r="P10" s="57">
        <f>N10-O10</f>
        <v/>
      </c>
      <c r="Q10" s="32" t="n"/>
      <c r="R10" s="32" t="n"/>
      <c r="S10" s="32" t="n"/>
      <c r="T10" s="55" t="n"/>
      <c r="U10" s="58">
        <f>'S50'!T10</f>
        <v/>
      </c>
      <c r="V10" s="57">
        <f>T10-U10</f>
        <v/>
      </c>
      <c r="W10" s="57">
        <f>N10-T10</f>
        <v/>
      </c>
      <c r="X10" s="34" t="n"/>
    </row>
    <row r="11" ht="22" customHeight="1">
      <c r="B11" s="5" t="n">
        <v>7</v>
      </c>
      <c r="C11" s="6" t="inlineStr">
        <is>
          <t>Sidi Kacem</t>
        </is>
      </c>
      <c r="D11" s="5" t="inlineStr">
        <is>
          <t>BIR TALEB</t>
        </is>
      </c>
      <c r="E11" s="5" t="inlineStr">
        <is>
          <t>50-23</t>
        </is>
      </c>
      <c r="F11" s="5" t="inlineStr">
        <is>
          <t>Entretien et réparation du réseau d'assainissement et de drainage</t>
        </is>
      </c>
      <c r="G11" s="5" t="inlineStr">
        <is>
          <t>Curage des prises sur l’oued, bâche d’aspiration et bassin de régulation.</t>
        </is>
      </c>
      <c r="H11" s="5" t="inlineStr">
        <is>
          <t>Curage des prises sur l’oued de la station de pompage P11/1.</t>
        </is>
      </c>
      <c r="I11" s="7" t="n">
        <v>200000</v>
      </c>
      <c r="J11" s="8" t="inlineStr">
        <is>
          <t>ml</t>
        </is>
      </c>
      <c r="K11" s="9" t="n">
        <v>67</v>
      </c>
      <c r="L11" s="51" t="n"/>
      <c r="M11" s="52">
        <f>'S50'!M11+L11</f>
        <v/>
      </c>
      <c r="N11" s="53">
        <f>IFERROR(M11/K11,0)</f>
        <v/>
      </c>
      <c r="O11" s="54">
        <f>'S50'!N11</f>
        <v/>
      </c>
      <c r="P11" s="53">
        <f>N11-O11</f>
        <v/>
      </c>
      <c r="Q11" s="32" t="n"/>
      <c r="R11" s="32" t="n"/>
      <c r="S11" s="32" t="n"/>
      <c r="T11" s="55" t="n"/>
      <c r="U11" s="54">
        <f>'S50'!T11</f>
        <v/>
      </c>
      <c r="V11" s="53">
        <f>T11-U11</f>
        <v/>
      </c>
      <c r="W11" s="53">
        <f>N11-T11</f>
        <v/>
      </c>
      <c r="X11" s="34" t="n"/>
    </row>
    <row r="12" ht="22" customHeight="1">
      <c r="B12" s="10" t="n">
        <v>8</v>
      </c>
      <c r="C12" s="6" t="inlineStr">
        <is>
          <t>Sidi Kacem</t>
        </is>
      </c>
      <c r="D12" s="10" t="inlineStr">
        <is>
          <t>BIR TALEB</t>
        </is>
      </c>
      <c r="E12" s="10" t="inlineStr">
        <is>
          <t>50-21</t>
        </is>
      </c>
      <c r="F12" s="10" t="inlineStr">
        <is>
          <t>Entretien et réparation des stations de pompage</t>
        </is>
      </c>
      <c r="G12" s="10" t="inlineStr">
        <is>
          <t>Prestation de maintenance des débitmètres et leurs équipements annexes installés au niveau des station de pompage</t>
        </is>
      </c>
      <c r="H12" s="10" t="inlineStr">
        <is>
          <t>Changement trois débitmètre Ø 400mm inondés de la station de pompage P11/1</t>
        </is>
      </c>
      <c r="I12" s="11" t="n">
        <v>141900</v>
      </c>
      <c r="J12" s="12" t="inlineStr">
        <is>
          <t>U</t>
        </is>
      </c>
      <c r="K12" s="13" t="n">
        <v>3</v>
      </c>
      <c r="L12" s="51" t="n"/>
      <c r="M12" s="56">
        <f>'S50'!M12+L12</f>
        <v/>
      </c>
      <c r="N12" s="57">
        <f>IFERROR(M12/K12,0)</f>
        <v/>
      </c>
      <c r="O12" s="58">
        <f>'S50'!N12</f>
        <v/>
      </c>
      <c r="P12" s="57">
        <f>N12-O12</f>
        <v/>
      </c>
      <c r="Q12" s="32" t="n"/>
      <c r="R12" s="32" t="n"/>
      <c r="S12" s="32" t="n"/>
      <c r="T12" s="55" t="n"/>
      <c r="U12" s="58">
        <f>'S50'!T12</f>
        <v/>
      </c>
      <c r="V12" s="57">
        <f>T12-U12</f>
        <v/>
      </c>
      <c r="W12" s="57">
        <f>N12-T12</f>
        <v/>
      </c>
      <c r="X12" s="34" t="n"/>
    </row>
    <row r="13" ht="22" customHeight="1">
      <c r="B13" s="5" t="n">
        <v>9</v>
      </c>
      <c r="C13" s="6" t="inlineStr">
        <is>
          <t>Sidi Kacem</t>
        </is>
      </c>
      <c r="D13" s="5" t="inlineStr">
        <is>
          <t>BIR TALEB</t>
        </is>
      </c>
      <c r="E13" s="5" t="inlineStr">
        <is>
          <t>50-21</t>
        </is>
      </c>
      <c r="F13" s="5" t="inlineStr">
        <is>
          <t>Entretien et réparation des stations de pompage</t>
        </is>
      </c>
      <c r="G13" s="5" t="inlineStr">
        <is>
          <t>Prestations de maintenance et de réparation mécanique des pompes et des groupes motopompes submersibles des stations de pompage.</t>
        </is>
      </c>
      <c r="H13" s="5" t="inlineStr">
        <is>
          <t>Démontage et expertise des roues des  pompes principaux et pompes a vide de la station P11/1
Changement des roulements, tresses et organes d’effectués de la station P11/1</t>
        </is>
      </c>
      <c r="I13" s="7" t="n">
        <v>26700</v>
      </c>
      <c r="J13" s="8" t="inlineStr">
        <is>
          <t>U</t>
        </is>
      </c>
      <c r="K13" s="9" t="n">
        <v>1</v>
      </c>
      <c r="L13" s="51" t="n"/>
      <c r="M13" s="52">
        <f>'S50'!M13+L13</f>
        <v/>
      </c>
      <c r="N13" s="53">
        <f>IFERROR(M13/K13,0)</f>
        <v/>
      </c>
      <c r="O13" s="54">
        <f>'S50'!N13</f>
        <v/>
      </c>
      <c r="P13" s="53">
        <f>N13-O13</f>
        <v/>
      </c>
      <c r="Q13" s="32" t="n"/>
      <c r="R13" s="32" t="n"/>
      <c r="S13" s="32" t="n"/>
      <c r="T13" s="55" t="n"/>
      <c r="U13" s="54">
        <f>'S50'!T13</f>
        <v/>
      </c>
      <c r="V13" s="53">
        <f>T13-U13</f>
        <v/>
      </c>
      <c r="W13" s="53">
        <f>N13-T13</f>
        <v/>
      </c>
      <c r="X13" s="34" t="n"/>
    </row>
    <row r="14" ht="22" customHeight="1">
      <c r="B14" s="10" t="n">
        <v>10</v>
      </c>
      <c r="C14" s="6" t="inlineStr">
        <is>
          <t>Sidi Kacem</t>
        </is>
      </c>
      <c r="D14" s="10" t="inlineStr">
        <is>
          <t>BIR TALEB</t>
        </is>
      </c>
      <c r="E14" s="10" t="inlineStr">
        <is>
          <t>50-21</t>
        </is>
      </c>
      <c r="F14" s="10" t="inlineStr">
        <is>
          <t>Entretien et réparation des stations de pompage</t>
        </is>
      </c>
      <c r="G14" s="10" t="inlineStr">
        <is>
          <t>Stabilisation Berge oued</t>
        </is>
      </c>
      <c r="H14" s="10" t="inlineStr">
        <is>
          <t>Pose de  gabions et recouvrement du talus par matelas Reno des stations de pompage P11/1.</t>
        </is>
      </c>
      <c r="I14" s="11" t="n">
        <v>480000</v>
      </c>
      <c r="J14" s="12" t="inlineStr">
        <is>
          <t>m³</t>
        </is>
      </c>
      <c r="K14" s="13" t="n">
        <v>320</v>
      </c>
      <c r="L14" s="51" t="n"/>
      <c r="M14" s="56">
        <f>'S50'!M14+L14</f>
        <v/>
      </c>
      <c r="N14" s="57">
        <f>IFERROR(M14/K14,0)</f>
        <v/>
      </c>
      <c r="O14" s="58">
        <f>'S50'!N14</f>
        <v/>
      </c>
      <c r="P14" s="57">
        <f>N14-O14</f>
        <v/>
      </c>
      <c r="Q14" s="32" t="n"/>
      <c r="R14" s="32" t="n"/>
      <c r="S14" s="32" t="n"/>
      <c r="T14" s="55" t="n"/>
      <c r="U14" s="58">
        <f>'S50'!T14</f>
        <v/>
      </c>
      <c r="V14" s="57">
        <f>T14-U14</f>
        <v/>
      </c>
      <c r="W14" s="57">
        <f>N14-T14</f>
        <v/>
      </c>
      <c r="X14" s="34" t="n"/>
    </row>
    <row r="15" ht="22" customHeight="1">
      <c r="B15" s="5" t="n">
        <v>11</v>
      </c>
      <c r="C15" s="6" t="inlineStr">
        <is>
          <t>Sidi Kacem</t>
        </is>
      </c>
      <c r="D15" s="5" t="inlineStr">
        <is>
          <t>BIR TALEB</t>
        </is>
      </c>
      <c r="E15" s="5" t="inlineStr">
        <is>
          <t>50-21</t>
        </is>
      </c>
      <c r="F15" s="5" t="inlineStr">
        <is>
          <t>Entretien et réparation des stations de pompage</t>
        </is>
      </c>
      <c r="G15" s="5" t="inlineStr">
        <is>
          <t>Génie civile des locaux des stations de pompage.</t>
        </is>
      </c>
      <c r="H15" s="5" t="inlineStr">
        <is>
          <t>Expertise d’état et d’étanchéité des locaux pompes.
Renforcement d’étanchéité des locaux pompe sous niveau des oueds des stations de pompage P11/1.
Entretien des supports en béton des conduites d’aspiration.</t>
        </is>
      </c>
      <c r="I15" s="7" t="n">
        <v>300000</v>
      </c>
      <c r="J15" s="8" t="inlineStr">
        <is>
          <t>U</t>
        </is>
      </c>
      <c r="K15" s="9" t="n">
        <v>1</v>
      </c>
      <c r="L15" s="51" t="n"/>
      <c r="M15" s="52">
        <f>'S50'!M15+L15</f>
        <v/>
      </c>
      <c r="N15" s="53">
        <f>IFERROR(M15/K15,0)</f>
        <v/>
      </c>
      <c r="O15" s="54">
        <f>'S50'!N15</f>
        <v/>
      </c>
      <c r="P15" s="53">
        <f>N15-O15</f>
        <v/>
      </c>
      <c r="Q15" s="32" t="n"/>
      <c r="R15" s="32" t="n"/>
      <c r="S15" s="32" t="n"/>
      <c r="T15" s="55" t="n"/>
      <c r="U15" s="54">
        <f>'S50'!T15</f>
        <v/>
      </c>
      <c r="V15" s="53">
        <f>T15-U15</f>
        <v/>
      </c>
      <c r="W15" s="53">
        <f>N15-T15</f>
        <v/>
      </c>
      <c r="X15" s="34" t="n"/>
    </row>
    <row r="16" ht="22" customHeight="1">
      <c r="B16" s="10" t="n">
        <v>12</v>
      </c>
      <c r="C16" s="6" t="inlineStr">
        <is>
          <t>Sidi Kacem</t>
        </is>
      </c>
      <c r="D16" s="10" t="inlineStr">
        <is>
          <t>CHEBANAT</t>
        </is>
      </c>
      <c r="E16" s="10" t="inlineStr">
        <is>
          <t>50-23</t>
        </is>
      </c>
      <c r="F16" s="10" t="inlineStr">
        <is>
          <t>Entretien et réparation du réseau d'assainissement et de drainage</t>
        </is>
      </c>
      <c r="G16" s="10" t="inlineStr">
        <is>
          <t>Travaux de curage des canaux en terre</t>
        </is>
      </c>
      <c r="H16" s="10" t="inlineStr">
        <is>
          <t>Curage des collecteurs d'assainissement des secteur SH5 et SH6.</t>
        </is>
      </c>
      <c r="I16" s="11" t="n">
        <v>1000000</v>
      </c>
      <c r="J16" s="12" t="inlineStr">
        <is>
          <t>ml</t>
        </is>
      </c>
      <c r="K16" s="13" t="n">
        <v>500</v>
      </c>
      <c r="L16" s="51" t="n"/>
      <c r="M16" s="56">
        <f>'S50'!M16+L16</f>
        <v/>
      </c>
      <c r="N16" s="57">
        <f>IFERROR(M16/K16,0)</f>
        <v/>
      </c>
      <c r="O16" s="58">
        <f>'S50'!N16</f>
        <v/>
      </c>
      <c r="P16" s="57">
        <f>N16-O16</f>
        <v/>
      </c>
      <c r="Q16" s="32" t="n"/>
      <c r="R16" s="32" t="n"/>
      <c r="S16" s="32" t="n"/>
      <c r="T16" s="55" t="n"/>
      <c r="U16" s="58">
        <f>'S50'!T16</f>
        <v/>
      </c>
      <c r="V16" s="57">
        <f>T16-U16</f>
        <v/>
      </c>
      <c r="W16" s="57">
        <f>N16-T16</f>
        <v/>
      </c>
      <c r="X16" s="34" t="n"/>
    </row>
    <row r="17" ht="22" customHeight="1">
      <c r="B17" s="5" t="n">
        <v>13</v>
      </c>
      <c r="C17" s="6" t="inlineStr">
        <is>
          <t>Sidi Kacem</t>
        </is>
      </c>
      <c r="D17" s="5" t="inlineStr">
        <is>
          <t>CHEBANAT</t>
        </is>
      </c>
      <c r="E17" s="5" t="inlineStr">
        <is>
          <t>50-23</t>
        </is>
      </c>
      <c r="F17" s="5" t="inlineStr">
        <is>
          <t>Entretien et réparation du réseau d'assainissement et de drainage</t>
        </is>
      </c>
      <c r="G17" s="5" t="inlineStr">
        <is>
          <t>Travaux de curage des canaux révetus</t>
        </is>
      </c>
      <c r="H17" s="5" t="inlineStr">
        <is>
          <t>Curage du canal principal d'irrigation beht partie aval 1.</t>
        </is>
      </c>
      <c r="I17" s="7" t="n">
        <v>739200</v>
      </c>
      <c r="J17" s="8" t="inlineStr">
        <is>
          <t>ml</t>
        </is>
      </c>
      <c r="K17" s="9" t="n">
        <v>370</v>
      </c>
      <c r="L17" s="51" t="n"/>
      <c r="M17" s="52">
        <f>'S50'!M17+L17</f>
        <v/>
      </c>
      <c r="N17" s="53">
        <f>IFERROR(M17/K17,0)</f>
        <v/>
      </c>
      <c r="O17" s="54">
        <f>'S50'!N17</f>
        <v/>
      </c>
      <c r="P17" s="53">
        <f>N17-O17</f>
        <v/>
      </c>
      <c r="Q17" s="32" t="n"/>
      <c r="R17" s="32" t="n"/>
      <c r="S17" s="32" t="n"/>
      <c r="T17" s="55" t="n"/>
      <c r="U17" s="54">
        <f>'S50'!T17</f>
        <v/>
      </c>
      <c r="V17" s="53">
        <f>T17-U17</f>
        <v/>
      </c>
      <c r="W17" s="53">
        <f>N17-T17</f>
        <v/>
      </c>
      <c r="X17" s="34" t="n"/>
    </row>
    <row r="18" ht="22" customHeight="1">
      <c r="B18" s="10" t="n">
        <v>14</v>
      </c>
      <c r="C18" s="6" t="inlineStr">
        <is>
          <t>Sidi Kacem</t>
        </is>
      </c>
      <c r="D18" s="10" t="inlineStr">
        <is>
          <t>ZIRARA</t>
        </is>
      </c>
      <c r="E18" s="10" t="inlineStr">
        <is>
          <t>50-23</t>
        </is>
      </c>
      <c r="F18" s="10" t="inlineStr">
        <is>
          <t>Entretien et réparation du réseau d'assainissement et de drainage</t>
        </is>
      </c>
      <c r="G18" s="10" t="inlineStr">
        <is>
          <t>Travaux de curage des canaux révetus</t>
        </is>
      </c>
      <c r="H18" s="10" t="inlineStr">
        <is>
          <t>Curage du canal principal d'irrigation beht partie aval 2.</t>
        </is>
      </c>
      <c r="I18" s="11" t="n">
        <v>1276800</v>
      </c>
      <c r="J18" s="12" t="inlineStr">
        <is>
          <t>ml</t>
        </is>
      </c>
      <c r="K18" s="13" t="n">
        <v>638</v>
      </c>
      <c r="L18" s="51" t="n"/>
      <c r="M18" s="56">
        <f>'S50'!M18+L18</f>
        <v/>
      </c>
      <c r="N18" s="57">
        <f>IFERROR(M18/K18,0)</f>
        <v/>
      </c>
      <c r="O18" s="58">
        <f>'S50'!N18</f>
        <v/>
      </c>
      <c r="P18" s="57">
        <f>N18-O18</f>
        <v/>
      </c>
      <c r="Q18" s="32" t="n"/>
      <c r="R18" s="32" t="n"/>
      <c r="S18" s="32" t="n"/>
      <c r="T18" s="55" t="n"/>
      <c r="U18" s="58">
        <f>'S50'!T18</f>
        <v/>
      </c>
      <c r="V18" s="57">
        <f>T18-U18</f>
        <v/>
      </c>
      <c r="W18" s="57">
        <f>N18-T18</f>
        <v/>
      </c>
      <c r="X18" s="34" t="n"/>
    </row>
    <row r="19" ht="22" customHeight="1">
      <c r="B19" s="5" t="n">
        <v>15</v>
      </c>
      <c r="C19" s="6" t="inlineStr">
        <is>
          <t>Sidi Kacem</t>
        </is>
      </c>
      <c r="D19" s="5" t="inlineStr">
        <is>
          <t>DAR LAASLOUJI</t>
        </is>
      </c>
      <c r="E19" s="5" t="inlineStr">
        <is>
          <t>50-23</t>
        </is>
      </c>
      <c r="F19" s="5" t="inlineStr">
        <is>
          <t>Entretien et réparation du réseau d'assainissement et de drainage</t>
        </is>
      </c>
      <c r="G19" s="5" t="inlineStr">
        <is>
          <t>Travaux de curage des canaux en terre</t>
        </is>
      </c>
      <c r="H19" s="5" t="inlineStr">
        <is>
          <t>Curage des collecteurs d'assainissement des secteurs P8-1 et P8-2</t>
        </is>
      </c>
      <c r="I19" s="7" t="n">
        <v>5796360</v>
      </c>
      <c r="J19" s="8" t="inlineStr">
        <is>
          <t>ml</t>
        </is>
      </c>
      <c r="K19" s="9" t="n">
        <v>2898</v>
      </c>
      <c r="L19" s="51" t="n"/>
      <c r="M19" s="52">
        <f>'S50'!M19+L19</f>
        <v/>
      </c>
      <c r="N19" s="53">
        <f>IFERROR(M19/K19,0)</f>
        <v/>
      </c>
      <c r="O19" s="54">
        <f>'S50'!N19</f>
        <v/>
      </c>
      <c r="P19" s="53">
        <f>N19-O19</f>
        <v/>
      </c>
      <c r="Q19" s="32" t="n"/>
      <c r="R19" s="32" t="n"/>
      <c r="S19" s="32" t="n"/>
      <c r="T19" s="55" t="n"/>
      <c r="U19" s="54">
        <f>'S50'!T19</f>
        <v/>
      </c>
      <c r="V19" s="53">
        <f>T19-U19</f>
        <v/>
      </c>
      <c r="W19" s="53">
        <f>N19-T19</f>
        <v/>
      </c>
      <c r="X19" s="34" t="n"/>
    </row>
    <row r="20" ht="22" customHeight="1">
      <c r="B20" s="10" t="n">
        <v>16</v>
      </c>
      <c r="C20" s="6" t="inlineStr">
        <is>
          <t>Sidi Kacem</t>
        </is>
      </c>
      <c r="D20" s="10" t="inlineStr">
        <is>
          <t>DAR LAASLOUJI</t>
        </is>
      </c>
      <c r="E20" s="10" t="inlineStr">
        <is>
          <t>40-21</t>
        </is>
      </c>
      <c r="F20" s="10" t="inlineStr">
        <is>
          <t>Travaux de pistes</t>
        </is>
      </c>
      <c r="G20" s="10" t="inlineStr">
        <is>
          <t>Entretien des pistes agricoles</t>
        </is>
      </c>
      <c r="H20" s="10" t="inlineStr">
        <is>
          <t>Entretien des pistes agricoles</t>
        </is>
      </c>
      <c r="I20" s="11" t="n">
        <v>340000</v>
      </c>
      <c r="J20" s="12" t="inlineStr">
        <is>
          <t>km</t>
        </is>
      </c>
      <c r="K20" s="13" t="n">
        <v>1</v>
      </c>
      <c r="L20" s="51" t="n"/>
      <c r="M20" s="56">
        <f>'S50'!M20+L20</f>
        <v/>
      </c>
      <c r="N20" s="57">
        <f>IFERROR(M20/K20,0)</f>
        <v/>
      </c>
      <c r="O20" s="58">
        <f>'S50'!N20</f>
        <v/>
      </c>
      <c r="P20" s="57">
        <f>N20-O20</f>
        <v/>
      </c>
      <c r="Q20" s="32" t="n"/>
      <c r="R20" s="32" t="n"/>
      <c r="S20" s="32" t="n"/>
      <c r="T20" s="55" t="n"/>
      <c r="U20" s="58">
        <f>'S50'!T20</f>
        <v/>
      </c>
      <c r="V20" s="57">
        <f>T20-U20</f>
        <v/>
      </c>
      <c r="W20" s="57">
        <f>N20-T20</f>
        <v/>
      </c>
      <c r="X20" s="34" t="n"/>
    </row>
    <row r="21" ht="22" customHeight="1">
      <c r="B21" s="5" t="n">
        <v>17</v>
      </c>
      <c r="C21" s="6" t="inlineStr">
        <is>
          <t>Sidi Kacem</t>
        </is>
      </c>
      <c r="D21" s="5" t="inlineStr">
        <is>
          <t>HOUAFATE</t>
        </is>
      </c>
      <c r="E21" s="5" t="inlineStr">
        <is>
          <t>20-11</t>
        </is>
      </c>
      <c r="F21" s="5" t="inlineStr">
        <is>
          <t>Travaux de réhabilitation des équipements</t>
        </is>
      </c>
      <c r="G21" s="5" t="inlineStr">
        <is>
          <t>Travaux de réhabilitation des canaux portés d'irrigation</t>
        </is>
      </c>
      <c r="H21" s="5" t="inlineStr">
        <is>
          <t>Fourniture et de pose de canaux porté et accessoires du réseau S3 du secteur S13</t>
        </is>
      </c>
      <c r="I21" s="7" t="n">
        <v>397934</v>
      </c>
      <c r="J21" s="8" t="inlineStr">
        <is>
          <t>ml</t>
        </is>
      </c>
      <c r="K21" s="9" t="n">
        <v>133</v>
      </c>
      <c r="L21" s="51" t="n"/>
      <c r="M21" s="52">
        <f>'S50'!M21+L21</f>
        <v/>
      </c>
      <c r="N21" s="53">
        <f>IFERROR(M21/K21,0)</f>
        <v/>
      </c>
      <c r="O21" s="54">
        <f>'S50'!N21</f>
        <v/>
      </c>
      <c r="P21" s="53">
        <f>N21-O21</f>
        <v/>
      </c>
      <c r="Q21" s="32" t="n"/>
      <c r="R21" s="32" t="n"/>
      <c r="S21" s="32" t="n"/>
      <c r="T21" s="55" t="n"/>
      <c r="U21" s="54">
        <f>'S50'!T21</f>
        <v/>
      </c>
      <c r="V21" s="53">
        <f>T21-U21</f>
        <v/>
      </c>
      <c r="W21" s="53">
        <f>N21-T21</f>
        <v/>
      </c>
      <c r="X21" s="34" t="n"/>
    </row>
    <row r="22" ht="22" customHeight="1">
      <c r="B22" s="10" t="n">
        <v>18</v>
      </c>
      <c r="C22" s="6" t="inlineStr">
        <is>
          <t>Sidi Kacem</t>
        </is>
      </c>
      <c r="D22" s="10" t="inlineStr">
        <is>
          <t>HOUAFATE</t>
        </is>
      </c>
      <c r="E22" s="10" t="inlineStr">
        <is>
          <t>20-11</t>
        </is>
      </c>
      <c r="F22" s="10" t="inlineStr">
        <is>
          <t>Travaux de réhabilitation des équipements</t>
        </is>
      </c>
      <c r="G22" s="10" t="inlineStr"/>
      <c r="H22" s="10" t="inlineStr">
        <is>
          <t>Fourniture et de pose de canaux porté et accessoires du réseau T2S1 du secteur S13</t>
        </is>
      </c>
      <c r="I22" s="11" t="n">
        <v>207575</v>
      </c>
      <c r="J22" s="12" t="inlineStr">
        <is>
          <t>ml</t>
        </is>
      </c>
      <c r="K22" s="13" t="n">
        <v>69</v>
      </c>
      <c r="L22" s="51" t="n"/>
      <c r="M22" s="56">
        <f>'S50'!M22+L22</f>
        <v/>
      </c>
      <c r="N22" s="57">
        <f>IFERROR(M22/K22,0)</f>
        <v/>
      </c>
      <c r="O22" s="58">
        <f>'S50'!N22</f>
        <v/>
      </c>
      <c r="P22" s="57">
        <f>N22-O22</f>
        <v/>
      </c>
      <c r="Q22" s="32" t="n"/>
      <c r="R22" s="32" t="n"/>
      <c r="S22" s="32" t="n"/>
      <c r="T22" s="55" t="n"/>
      <c r="U22" s="58">
        <f>'S50'!T22</f>
        <v/>
      </c>
      <c r="V22" s="57">
        <f>T22-U22</f>
        <v/>
      </c>
      <c r="W22" s="57">
        <f>N22-T22</f>
        <v/>
      </c>
      <c r="X22" s="34" t="n"/>
    </row>
    <row r="23" ht="22" customHeight="1">
      <c r="B23" s="5" t="n">
        <v>19</v>
      </c>
      <c r="C23" s="6" t="inlineStr">
        <is>
          <t>Sidi Kacem</t>
        </is>
      </c>
      <c r="D23" s="5" t="inlineStr">
        <is>
          <t>HOUAFATE</t>
        </is>
      </c>
      <c r="E23" s="5" t="inlineStr">
        <is>
          <t>40-21</t>
        </is>
      </c>
      <c r="F23" s="5" t="inlineStr">
        <is>
          <t>Travaux de pistes</t>
        </is>
      </c>
      <c r="G23" s="5" t="inlineStr">
        <is>
          <t>Entretien des pistes agricoles</t>
        </is>
      </c>
      <c r="H23" s="5" t="inlineStr">
        <is>
          <t>Entretien des pistes agricoles</t>
        </is>
      </c>
      <c r="I23" s="7" t="n">
        <v>2200000</v>
      </c>
      <c r="J23" s="8" t="inlineStr">
        <is>
          <t>km</t>
        </is>
      </c>
      <c r="K23" s="9" t="n">
        <v>4</v>
      </c>
      <c r="L23" s="51" t="n"/>
      <c r="M23" s="52">
        <f>'S50'!M23+L23</f>
        <v/>
      </c>
      <c r="N23" s="53">
        <f>IFERROR(M23/K23,0)</f>
        <v/>
      </c>
      <c r="O23" s="54">
        <f>'S50'!N23</f>
        <v/>
      </c>
      <c r="P23" s="53">
        <f>N23-O23</f>
        <v/>
      </c>
      <c r="Q23" s="32" t="n"/>
      <c r="R23" s="32" t="n"/>
      <c r="S23" s="32" t="n"/>
      <c r="T23" s="55" t="n"/>
      <c r="U23" s="54">
        <f>'S50'!T23</f>
        <v/>
      </c>
      <c r="V23" s="53">
        <f>T23-U23</f>
        <v/>
      </c>
      <c r="W23" s="53">
        <f>N23-T23</f>
        <v/>
      </c>
      <c r="X23" s="34" t="n"/>
    </row>
    <row r="24" ht="22" customHeight="1">
      <c r="B24" s="10" t="n">
        <v>20</v>
      </c>
      <c r="C24" s="6" t="inlineStr">
        <is>
          <t>Sidi Kacem</t>
        </is>
      </c>
      <c r="D24" s="10" t="inlineStr">
        <is>
          <t>HOUAFATE</t>
        </is>
      </c>
      <c r="E24" s="10" t="inlineStr">
        <is>
          <t>50-23</t>
        </is>
      </c>
      <c r="F24" s="10" t="inlineStr">
        <is>
          <t>Entretien et réparation du réseau d'assainissement et de drainage</t>
        </is>
      </c>
      <c r="G24" s="10" t="inlineStr">
        <is>
          <t>Curage des prises sur l’oued, bâche d’aspiration et bassin de régulation.</t>
        </is>
      </c>
      <c r="H24" s="10" t="inlineStr">
        <is>
          <t>Curage des prises sur l’oued de la station de pompage S17 et S13.
Nettoyage des grilles de préfiltration des boues colmaté de la station de pompage S17 et S13.
Curage de la bâche d’aspiration de la station S17 et S13.</t>
        </is>
      </c>
      <c r="I24" s="11" t="n">
        <v>300000</v>
      </c>
      <c r="J24" s="12" t="inlineStr">
        <is>
          <t>ml</t>
        </is>
      </c>
      <c r="K24" s="13" t="n">
        <v>100</v>
      </c>
      <c r="L24" s="51" t="n"/>
      <c r="M24" s="56">
        <f>'S50'!M24+L24</f>
        <v/>
      </c>
      <c r="N24" s="57">
        <f>IFERROR(M24/K24,0)</f>
        <v/>
      </c>
      <c r="O24" s="58">
        <f>'S50'!N24</f>
        <v/>
      </c>
      <c r="P24" s="57">
        <f>N24-O24</f>
        <v/>
      </c>
      <c r="Q24" s="32" t="n"/>
      <c r="R24" s="32" t="n"/>
      <c r="S24" s="32" t="n"/>
      <c r="T24" s="55" t="n"/>
      <c r="U24" s="58">
        <f>'S50'!T24</f>
        <v/>
      </c>
      <c r="V24" s="57">
        <f>T24-U24</f>
        <v/>
      </c>
      <c r="W24" s="57">
        <f>N24-T24</f>
        <v/>
      </c>
      <c r="X24" s="34" t="n"/>
    </row>
    <row r="25" ht="22" customHeight="1">
      <c r="B25" s="5" t="n">
        <v>21</v>
      </c>
      <c r="C25" s="6" t="inlineStr">
        <is>
          <t>Sidi Kacem</t>
        </is>
      </c>
      <c r="D25" s="5" t="inlineStr">
        <is>
          <t>HOUAFATE</t>
        </is>
      </c>
      <c r="E25" s="5" t="inlineStr">
        <is>
          <t>50-21</t>
        </is>
      </c>
      <c r="F25" s="5" t="inlineStr">
        <is>
          <t>Entretien et réparation des stations de pompage</t>
        </is>
      </c>
      <c r="G25" s="5" t="inlineStr">
        <is>
          <t>Prestation de maintenance des débitmètres et leurs équipements annexes installés au niveau des station de pompage</t>
        </is>
      </c>
      <c r="H25" s="5" t="inlineStr">
        <is>
          <t>Changement trois débitmètre Ø 600mm inondés de la station de pompage S13.</t>
        </is>
      </c>
      <c r="I25" s="7" t="n">
        <v>250000</v>
      </c>
      <c r="J25" s="8" t="inlineStr">
        <is>
          <t>U</t>
        </is>
      </c>
      <c r="K25" s="9" t="n">
        <v>3</v>
      </c>
      <c r="L25" s="51" t="n"/>
      <c r="M25" s="52">
        <f>'S50'!M25+L25</f>
        <v/>
      </c>
      <c r="N25" s="53">
        <f>IFERROR(M25/K25,0)</f>
        <v/>
      </c>
      <c r="O25" s="54">
        <f>'S50'!N25</f>
        <v/>
      </c>
      <c r="P25" s="53">
        <f>N25-O25</f>
        <v/>
      </c>
      <c r="Q25" s="32" t="n"/>
      <c r="R25" s="32" t="n"/>
      <c r="S25" s="32" t="n"/>
      <c r="T25" s="55" t="n"/>
      <c r="U25" s="54">
        <f>'S50'!T25</f>
        <v/>
      </c>
      <c r="V25" s="53">
        <f>T25-U25</f>
        <v/>
      </c>
      <c r="W25" s="53">
        <f>N25-T25</f>
        <v/>
      </c>
      <c r="X25" s="34" t="n"/>
    </row>
    <row r="26" ht="22" customHeight="1">
      <c r="B26" s="10" t="n">
        <v>22</v>
      </c>
      <c r="C26" s="6" t="inlineStr">
        <is>
          <t>Sidi Kacem</t>
        </is>
      </c>
      <c r="D26" s="10" t="inlineStr">
        <is>
          <t>HOUAFATE</t>
        </is>
      </c>
      <c r="E26" s="10" t="inlineStr">
        <is>
          <t>50-21</t>
        </is>
      </c>
      <c r="F26" s="10" t="inlineStr">
        <is>
          <t>Entretien et réparation des stations de pompage</t>
        </is>
      </c>
      <c r="G26" s="10" t="inlineStr">
        <is>
          <t>Prestations de maintenance des moteurs électriques des stations de pompage.</t>
        </is>
      </c>
      <c r="H26" s="10" t="inlineStr">
        <is>
          <t>Révision des trois moteurs électriques 200 KW principaux de la station S13. 
Révision des deux moteurs électriques 5,5 KW groupes vide de la station S13.</t>
        </is>
      </c>
      <c r="I26" s="11" t="n">
        <v>25000</v>
      </c>
      <c r="J26" s="12" t="inlineStr">
        <is>
          <t>U</t>
        </is>
      </c>
      <c r="K26" s="13" t="n">
        <v>3</v>
      </c>
      <c r="L26" s="51" t="n"/>
      <c r="M26" s="56">
        <f>'S50'!M26+L26</f>
        <v/>
      </c>
      <c r="N26" s="57">
        <f>IFERROR(M26/K26,0)</f>
        <v/>
      </c>
      <c r="O26" s="58">
        <f>'S50'!N26</f>
        <v/>
      </c>
      <c r="P26" s="57">
        <f>N26-O26</f>
        <v/>
      </c>
      <c r="Q26" s="32" t="n"/>
      <c r="R26" s="32" t="n"/>
      <c r="S26" s="32" t="n"/>
      <c r="T26" s="55" t="n"/>
      <c r="U26" s="58">
        <f>'S50'!T26</f>
        <v/>
      </c>
      <c r="V26" s="57">
        <f>T26-U26</f>
        <v/>
      </c>
      <c r="W26" s="57">
        <f>N26-T26</f>
        <v/>
      </c>
      <c r="X26" s="34" t="n"/>
    </row>
    <row r="27" ht="22" customHeight="1">
      <c r="B27" s="5" t="n">
        <v>23</v>
      </c>
      <c r="C27" s="6" t="inlineStr">
        <is>
          <t>Sidi Kacem</t>
        </is>
      </c>
      <c r="D27" s="5" t="inlineStr">
        <is>
          <t>HOUAFATE</t>
        </is>
      </c>
      <c r="E27" s="5" t="inlineStr">
        <is>
          <t>50-21</t>
        </is>
      </c>
      <c r="F27" s="5" t="inlineStr">
        <is>
          <t>Entretien et réparation des stations de pompage</t>
        </is>
      </c>
      <c r="G27" s="5" t="inlineStr">
        <is>
          <t>Prestations de maintenance et de réparation mécanique des pompes et des groupes motopompes submersibles des stations de pompage.</t>
        </is>
      </c>
      <c r="H27" s="5" t="inlineStr">
        <is>
          <t>Démontage et expertise des roues des  pompes principaux et pompes a vide de la station S13.
Changement des roulements, tresses et organes d’effectués de la station S13.</t>
        </is>
      </c>
      <c r="I27" s="7" t="n">
        <v>38000</v>
      </c>
      <c r="J27" s="8" t="inlineStr">
        <is>
          <t>U</t>
        </is>
      </c>
      <c r="K27" s="9" t="n">
        <v>1</v>
      </c>
      <c r="L27" s="51" t="n"/>
      <c r="M27" s="52">
        <f>'S50'!M27+L27</f>
        <v/>
      </c>
      <c r="N27" s="53">
        <f>IFERROR(M27/K27,0)</f>
        <v/>
      </c>
      <c r="O27" s="54">
        <f>'S50'!N27</f>
        <v/>
      </c>
      <c r="P27" s="53">
        <f>N27-O27</f>
        <v/>
      </c>
      <c r="Q27" s="32" t="n"/>
      <c r="R27" s="32" t="n"/>
      <c r="S27" s="32" t="n"/>
      <c r="T27" s="55" t="n"/>
      <c r="U27" s="54">
        <f>'S50'!T27</f>
        <v/>
      </c>
      <c r="V27" s="53">
        <f>T27-U27</f>
        <v/>
      </c>
      <c r="W27" s="53">
        <f>N27-T27</f>
        <v/>
      </c>
      <c r="X27" s="34" t="n"/>
    </row>
    <row r="28" ht="22" customHeight="1">
      <c r="B28" s="10" t="n">
        <v>24</v>
      </c>
      <c r="C28" s="6" t="inlineStr">
        <is>
          <t>Sidi Kacem</t>
        </is>
      </c>
      <c r="D28" s="10" t="inlineStr">
        <is>
          <t>HOUAFATE</t>
        </is>
      </c>
      <c r="E28" s="10" t="inlineStr">
        <is>
          <t>50-21</t>
        </is>
      </c>
      <c r="F28" s="10" t="inlineStr">
        <is>
          <t>Entretien et réparation des stations de pompage</t>
        </is>
      </c>
      <c r="G28" s="10" t="inlineStr">
        <is>
          <t>Stabilisation Berge oued</t>
        </is>
      </c>
      <c r="H28" s="10" t="inlineStr">
        <is>
          <t>Pose de  gabions et recouvrement du talus par matelas Reno des stations de pompage S13.</t>
        </is>
      </c>
      <c r="I28" s="11" t="n">
        <v>10560000</v>
      </c>
      <c r="J28" s="12" t="inlineStr">
        <is>
          <t>m³</t>
        </is>
      </c>
      <c r="K28" s="13" t="n">
        <v>7040</v>
      </c>
      <c r="L28" s="51" t="n"/>
      <c r="M28" s="56">
        <f>'S50'!M28+L28</f>
        <v/>
      </c>
      <c r="N28" s="57">
        <f>IFERROR(M28/K28,0)</f>
        <v/>
      </c>
      <c r="O28" s="58">
        <f>'S50'!N28</f>
        <v/>
      </c>
      <c r="P28" s="57">
        <f>N28-O28</f>
        <v/>
      </c>
      <c r="Q28" s="32" t="n"/>
      <c r="R28" s="32" t="n"/>
      <c r="S28" s="32" t="n"/>
      <c r="T28" s="55" t="n"/>
      <c r="U28" s="58">
        <f>'S50'!T28</f>
        <v/>
      </c>
      <c r="V28" s="57">
        <f>T28-U28</f>
        <v/>
      </c>
      <c r="W28" s="57">
        <f>N28-T28</f>
        <v/>
      </c>
      <c r="X28" s="34" t="n"/>
    </row>
    <row r="29" ht="22" customHeight="1">
      <c r="B29" s="5" t="n">
        <v>25</v>
      </c>
      <c r="C29" s="6" t="inlineStr">
        <is>
          <t>Sidi Kacem</t>
        </is>
      </c>
      <c r="D29" s="5" t="inlineStr">
        <is>
          <t>HOUAFATE</t>
        </is>
      </c>
      <c r="E29" s="5" t="inlineStr">
        <is>
          <t>50-21</t>
        </is>
      </c>
      <c r="F29" s="5" t="inlineStr">
        <is>
          <t>Entretien et réparation des stations de pompage</t>
        </is>
      </c>
      <c r="G29" s="5" t="inlineStr">
        <is>
          <t>Mur clôture des stations de pompage.</t>
        </is>
      </c>
      <c r="H29" s="5" t="inlineStr">
        <is>
          <t>Stabilisation du sol et reconstruction des murs clôture (270m) cote oued de la station S17.</t>
        </is>
      </c>
      <c r="I29" s="7" t="n">
        <v>144000</v>
      </c>
      <c r="J29" s="8" t="inlineStr">
        <is>
          <t>ml</t>
        </is>
      </c>
      <c r="K29" s="9" t="n">
        <v>270</v>
      </c>
      <c r="L29" s="51" t="n"/>
      <c r="M29" s="52">
        <f>'S50'!M29+L29</f>
        <v/>
      </c>
      <c r="N29" s="53">
        <f>IFERROR(M29/K29,0)</f>
        <v/>
      </c>
      <c r="O29" s="54">
        <f>'S50'!N29</f>
        <v/>
      </c>
      <c r="P29" s="53">
        <f>N29-O29</f>
        <v/>
      </c>
      <c r="Q29" s="32" t="n"/>
      <c r="R29" s="32" t="n"/>
      <c r="S29" s="32" t="n"/>
      <c r="T29" s="55" t="n"/>
      <c r="U29" s="54">
        <f>'S50'!T29</f>
        <v/>
      </c>
      <c r="V29" s="53">
        <f>T29-U29</f>
        <v/>
      </c>
      <c r="W29" s="53">
        <f>N29-T29</f>
        <v/>
      </c>
      <c r="X29" s="34" t="n"/>
    </row>
    <row r="30" ht="22" customHeight="1">
      <c r="B30" s="10" t="n">
        <v>26</v>
      </c>
      <c r="C30" s="6" t="inlineStr">
        <is>
          <t>Sidi Kacem</t>
        </is>
      </c>
      <c r="D30" s="10" t="inlineStr">
        <is>
          <t>HOUAFATE</t>
        </is>
      </c>
      <c r="E30" s="10" t="inlineStr">
        <is>
          <t>50-21</t>
        </is>
      </c>
      <c r="F30" s="10" t="inlineStr">
        <is>
          <t>Entretien et réparation des stations de pompage</t>
        </is>
      </c>
      <c r="G30" s="10" t="inlineStr">
        <is>
          <t>Génie civile des locaux des stations de pompage.</t>
        </is>
      </c>
      <c r="H30" s="10" t="inlineStr">
        <is>
          <t>Expertise d’état et d’étanchéité des locaux pompes, commande, puissance des stations de pompage S17 et S13.
Renforcement d’étanchéité des locaux pompe sous niveau des oueds des stations de pompage S17 et S13.</t>
        </is>
      </c>
      <c r="I30" s="11" t="n">
        <v>800000</v>
      </c>
      <c r="J30" s="12" t="inlineStr">
        <is>
          <t>U</t>
        </is>
      </c>
      <c r="K30" s="13" t="n">
        <v>1</v>
      </c>
      <c r="L30" s="51" t="n"/>
      <c r="M30" s="56">
        <f>'S50'!M30+L30</f>
        <v/>
      </c>
      <c r="N30" s="57">
        <f>IFERROR(M30/K30,0)</f>
        <v/>
      </c>
      <c r="O30" s="58">
        <f>'S50'!N30</f>
        <v/>
      </c>
      <c r="P30" s="57">
        <f>N30-O30</f>
        <v/>
      </c>
      <c r="Q30" s="32" t="n"/>
      <c r="R30" s="32" t="n"/>
      <c r="S30" s="32" t="n"/>
      <c r="T30" s="55" t="n"/>
      <c r="U30" s="58">
        <f>'S50'!T30</f>
        <v/>
      </c>
      <c r="V30" s="57">
        <f>T30-U30</f>
        <v/>
      </c>
      <c r="W30" s="57">
        <f>N30-T30</f>
        <v/>
      </c>
      <c r="X30" s="34" t="n"/>
    </row>
    <row r="31" ht="22" customHeight="1">
      <c r="B31" s="5" t="n">
        <v>27</v>
      </c>
      <c r="C31" s="6" t="inlineStr">
        <is>
          <t>Sidi Kacem</t>
        </is>
      </c>
      <c r="D31" s="5" t="inlineStr">
        <is>
          <t>NOUIRAT</t>
        </is>
      </c>
      <c r="E31" s="5" t="inlineStr">
        <is>
          <t>50-23</t>
        </is>
      </c>
      <c r="F31" s="5" t="inlineStr">
        <is>
          <t>Entretien et réparation du réseau d'assainissement et de drainage</t>
        </is>
      </c>
      <c r="G31" s="5" t="inlineStr">
        <is>
          <t>Travaux de curage des canaux en terre</t>
        </is>
      </c>
      <c r="H31" s="5" t="inlineStr">
        <is>
          <t>Curage des collecteurs d'assainissement des secteurs EST1 et N5</t>
        </is>
      </c>
      <c r="I31" s="7" t="n">
        <v>1733306</v>
      </c>
      <c r="J31" s="8" t="inlineStr">
        <is>
          <t>ml</t>
        </is>
      </c>
      <c r="K31" s="9" t="n">
        <v>867</v>
      </c>
      <c r="L31" s="51" t="n"/>
      <c r="M31" s="52">
        <f>'S50'!M31+L31</f>
        <v/>
      </c>
      <c r="N31" s="53">
        <f>IFERROR(M31/K31,0)</f>
        <v/>
      </c>
      <c r="O31" s="54">
        <f>'S50'!N31</f>
        <v/>
      </c>
      <c r="P31" s="53">
        <f>N31-O31</f>
        <v/>
      </c>
      <c r="Q31" s="32" t="n"/>
      <c r="R31" s="32" t="n"/>
      <c r="S31" s="32" t="n"/>
      <c r="T31" s="55" t="n"/>
      <c r="U31" s="54">
        <f>'S50'!T31</f>
        <v/>
      </c>
      <c r="V31" s="53">
        <f>T31-U31</f>
        <v/>
      </c>
      <c r="W31" s="53">
        <f>N31-T31</f>
        <v/>
      </c>
      <c r="X31" s="34" t="n"/>
    </row>
    <row r="32" ht="22" customHeight="1">
      <c r="B32" s="10" t="n">
        <v>28</v>
      </c>
      <c r="C32" s="6" t="inlineStr">
        <is>
          <t>Sidi Kacem</t>
        </is>
      </c>
      <c r="D32" s="10" t="inlineStr">
        <is>
          <t>NOUIRAT</t>
        </is>
      </c>
      <c r="E32" s="10" t="inlineStr">
        <is>
          <t>40-21</t>
        </is>
      </c>
      <c r="F32" s="10" t="inlineStr">
        <is>
          <t>Travaux de pistes</t>
        </is>
      </c>
      <c r="G32" s="10" t="inlineStr">
        <is>
          <t>Entretien des pistes agricoles</t>
        </is>
      </c>
      <c r="H32" s="10" t="inlineStr">
        <is>
          <t>Entretien des pistes agricoles</t>
        </is>
      </c>
      <c r="I32" s="11" t="n">
        <v>670000</v>
      </c>
      <c r="J32" s="12" t="inlineStr">
        <is>
          <t>km</t>
        </is>
      </c>
      <c r="K32" s="13" t="n">
        <v>1</v>
      </c>
      <c r="L32" s="51" t="n"/>
      <c r="M32" s="56">
        <f>'S50'!M32+L32</f>
        <v/>
      </c>
      <c r="N32" s="57">
        <f>IFERROR(M32/K32,0)</f>
        <v/>
      </c>
      <c r="O32" s="58">
        <f>'S50'!N32</f>
        <v/>
      </c>
      <c r="P32" s="57">
        <f>N32-O32</f>
        <v/>
      </c>
      <c r="Q32" s="32" t="n"/>
      <c r="R32" s="32" t="n"/>
      <c r="S32" s="32" t="n"/>
      <c r="T32" s="55" t="n"/>
      <c r="U32" s="58">
        <f>'S50'!T32</f>
        <v/>
      </c>
      <c r="V32" s="57">
        <f>T32-U32</f>
        <v/>
      </c>
      <c r="W32" s="57">
        <f>N32-T32</f>
        <v/>
      </c>
      <c r="X32" s="34" t="n"/>
    </row>
    <row r="33" ht="22" customHeight="1">
      <c r="B33" s="5" t="n">
        <v>29</v>
      </c>
      <c r="C33" s="6" t="inlineStr">
        <is>
          <t>Sidi Kacem</t>
        </is>
      </c>
      <c r="D33" s="5" t="inlineStr">
        <is>
          <t>NOUIRAT</t>
        </is>
      </c>
      <c r="E33" s="5" t="inlineStr">
        <is>
          <t>20-11</t>
        </is>
      </c>
      <c r="F33" s="5" t="inlineStr">
        <is>
          <t>Travaux de réhabilitation des équipements</t>
        </is>
      </c>
      <c r="G33" s="5" t="inlineStr">
        <is>
          <t>Travaux de réhabilitation des ouvrages de génie civil</t>
        </is>
      </c>
      <c r="H33" s="5" t="inlineStr">
        <is>
          <t>Réhabilitation de l'ouvrage( genie civil ,gabiollannage,clapet anti retour et buse) de l'ouvrage de débouche SE1</t>
        </is>
      </c>
      <c r="I33" s="7" t="n">
        <v>2500000</v>
      </c>
      <c r="J33" s="8" t="inlineStr">
        <is>
          <t>U</t>
        </is>
      </c>
      <c r="K33" s="9" t="n">
        <v>5</v>
      </c>
      <c r="L33" s="51" t="n"/>
      <c r="M33" s="52">
        <f>'S50'!M33+L33</f>
        <v/>
      </c>
      <c r="N33" s="53">
        <f>IFERROR(M33/K33,0)</f>
        <v/>
      </c>
      <c r="O33" s="54">
        <f>'S50'!N33</f>
        <v/>
      </c>
      <c r="P33" s="53">
        <f>N33-O33</f>
        <v/>
      </c>
      <c r="Q33" s="32" t="n"/>
      <c r="R33" s="32" t="n"/>
      <c r="S33" s="32" t="n"/>
      <c r="T33" s="55" t="n"/>
      <c r="U33" s="54">
        <f>'S50'!T33</f>
        <v/>
      </c>
      <c r="V33" s="53">
        <f>T33-U33</f>
        <v/>
      </c>
      <c r="W33" s="53">
        <f>N33-T33</f>
        <v/>
      </c>
      <c r="X33" s="34" t="n"/>
    </row>
    <row r="34" ht="22" customHeight="1">
      <c r="B34" s="10" t="n">
        <v>30</v>
      </c>
      <c r="C34" s="6" t="inlineStr">
        <is>
          <t>Sidi Kacem</t>
        </is>
      </c>
      <c r="D34" s="10" t="inlineStr">
        <is>
          <t>NOUIRAT</t>
        </is>
      </c>
      <c r="E34" s="10" t="inlineStr">
        <is>
          <t>50-23</t>
        </is>
      </c>
      <c r="F34" s="10" t="inlineStr">
        <is>
          <t>Entretien et réparation du réseau d'assainissement et de drainage</t>
        </is>
      </c>
      <c r="G34" s="10" t="inlineStr">
        <is>
          <t>Curage des prises sur l’oued, bâche d’aspiration et bassin de régulation.</t>
        </is>
      </c>
      <c r="H34" s="10" t="inlineStr">
        <is>
          <t>Curage des prises sur l’oued de la station de pompage E1.
Nettoyage des grilles de préfiltration des boues colmaté de la station de pompage E1.
Curage de la bâche d’aspiration de la station E1.</t>
        </is>
      </c>
      <c r="I34" s="11" t="n">
        <v>800000</v>
      </c>
      <c r="J34" s="12" t="inlineStr">
        <is>
          <t>ml</t>
        </is>
      </c>
      <c r="K34" s="13" t="n">
        <v>267</v>
      </c>
      <c r="L34" s="51" t="n"/>
      <c r="M34" s="56">
        <f>'S50'!M34+L34</f>
        <v/>
      </c>
      <c r="N34" s="57">
        <f>IFERROR(M34/K34,0)</f>
        <v/>
      </c>
      <c r="O34" s="58">
        <f>'S50'!N34</f>
        <v/>
      </c>
      <c r="P34" s="57">
        <f>N34-O34</f>
        <v/>
      </c>
      <c r="Q34" s="32" t="n"/>
      <c r="R34" s="32" t="n"/>
      <c r="S34" s="32" t="n"/>
      <c r="T34" s="55" t="n"/>
      <c r="U34" s="58">
        <f>'S50'!T34</f>
        <v/>
      </c>
      <c r="V34" s="57">
        <f>T34-U34</f>
        <v/>
      </c>
      <c r="W34" s="57">
        <f>N34-T34</f>
        <v/>
      </c>
      <c r="X34" s="34" t="n"/>
    </row>
    <row r="35" ht="22" customHeight="1">
      <c r="B35" s="5" t="n">
        <v>31</v>
      </c>
      <c r="C35" s="6" t="inlineStr">
        <is>
          <t>Sidi Kacem</t>
        </is>
      </c>
      <c r="D35" s="5" t="inlineStr">
        <is>
          <t>NOUIRAT</t>
        </is>
      </c>
      <c r="E35" s="5" t="inlineStr">
        <is>
          <t>50-21</t>
        </is>
      </c>
      <c r="F35" s="5" t="inlineStr">
        <is>
          <t>Entretien et réparation des stations de pompage</t>
        </is>
      </c>
      <c r="G35" s="5" t="inlineStr">
        <is>
          <t>Prestation de maintenance des débitmètres et leurs équipements annexes installés au niveau des station de pompage</t>
        </is>
      </c>
      <c r="H35" s="5" t="inlineStr">
        <is>
          <t>Changement du débitmètre Ø 1200mm inondé de la station de pompage E1.</t>
        </is>
      </c>
      <c r="I35" s="7" t="n">
        <v>195000</v>
      </c>
      <c r="J35" s="8" t="inlineStr">
        <is>
          <t>U</t>
        </is>
      </c>
      <c r="K35" s="9" t="n">
        <v>2</v>
      </c>
      <c r="L35" s="51" t="n"/>
      <c r="M35" s="52">
        <f>'S50'!M35+L35</f>
        <v/>
      </c>
      <c r="N35" s="53">
        <f>IFERROR(M35/K35,0)</f>
        <v/>
      </c>
      <c r="O35" s="54">
        <f>'S50'!N35</f>
        <v/>
      </c>
      <c r="P35" s="53">
        <f>N35-O35</f>
        <v/>
      </c>
      <c r="Q35" s="32" t="n"/>
      <c r="R35" s="32" t="n"/>
      <c r="S35" s="32" t="n"/>
      <c r="T35" s="55" t="n"/>
      <c r="U35" s="54">
        <f>'S50'!T35</f>
        <v/>
      </c>
      <c r="V35" s="53">
        <f>T35-U35</f>
        <v/>
      </c>
      <c r="W35" s="53">
        <f>N35-T35</f>
        <v/>
      </c>
      <c r="X35" s="34" t="n"/>
    </row>
    <row r="36" ht="22" customHeight="1">
      <c r="B36" s="10" t="n">
        <v>32</v>
      </c>
      <c r="C36" s="6" t="inlineStr">
        <is>
          <t>Sidi Kacem</t>
        </is>
      </c>
      <c r="D36" s="10" t="inlineStr">
        <is>
          <t>NOUIRAT</t>
        </is>
      </c>
      <c r="E36" s="10" t="inlineStr">
        <is>
          <t>50-21</t>
        </is>
      </c>
      <c r="F36" s="10" t="inlineStr">
        <is>
          <t>Entretien et réparation des stations de pompage</t>
        </is>
      </c>
      <c r="G36" s="10" t="inlineStr">
        <is>
          <t>Prestations de maintenance des moteurs électriques des stations de pompage.</t>
        </is>
      </c>
      <c r="H36" s="10" t="inlineStr">
        <is>
          <t>Révision des deux moteurs électriques principaux de la station E1.</t>
        </is>
      </c>
      <c r="I36" s="11" t="n">
        <v>50000</v>
      </c>
      <c r="J36" s="12" t="inlineStr">
        <is>
          <t>U</t>
        </is>
      </c>
      <c r="K36" s="13" t="n">
        <v>2</v>
      </c>
      <c r="L36" s="51" t="n"/>
      <c r="M36" s="56">
        <f>'S50'!M36+L36</f>
        <v/>
      </c>
      <c r="N36" s="57">
        <f>IFERROR(M36/K36,0)</f>
        <v/>
      </c>
      <c r="O36" s="58">
        <f>'S50'!N36</f>
        <v/>
      </c>
      <c r="P36" s="57">
        <f>N36-O36</f>
        <v/>
      </c>
      <c r="Q36" s="32" t="n"/>
      <c r="R36" s="32" t="n"/>
      <c r="S36" s="32" t="n"/>
      <c r="T36" s="55" t="n"/>
      <c r="U36" s="58">
        <f>'S50'!T36</f>
        <v/>
      </c>
      <c r="V36" s="57">
        <f>T36-U36</f>
        <v/>
      </c>
      <c r="W36" s="57">
        <f>N36-T36</f>
        <v/>
      </c>
      <c r="X36" s="34" t="n"/>
    </row>
    <row r="37" ht="22" customHeight="1">
      <c r="B37" s="5" t="n">
        <v>33</v>
      </c>
      <c r="C37" s="6" t="inlineStr">
        <is>
          <t>Sidi Kacem</t>
        </is>
      </c>
      <c r="D37" s="5" t="inlineStr">
        <is>
          <t>NOUIRAT</t>
        </is>
      </c>
      <c r="E37" s="5" t="inlineStr">
        <is>
          <t>50-21</t>
        </is>
      </c>
      <c r="F37" s="5" t="inlineStr">
        <is>
          <t>Entretien et réparation des stations de pompage</t>
        </is>
      </c>
      <c r="G37" s="5" t="inlineStr">
        <is>
          <t>Prestations de maintenance et de réparation mécanique des pompes et des groupes motopompes submersibles des stations de pompage.</t>
        </is>
      </c>
      <c r="H37" s="5" t="inlineStr">
        <is>
          <t>Démontage et expertise des cinq pompes principaux et pompes a vide de la station E1.
Changement des roulements, tresses et organes d’effectués de la station E1.</t>
        </is>
      </c>
      <c r="I37" s="7" t="n">
        <v>245000</v>
      </c>
      <c r="J37" s="8" t="inlineStr">
        <is>
          <t>U</t>
        </is>
      </c>
      <c r="K37" s="9" t="n">
        <v>5</v>
      </c>
      <c r="L37" s="51" t="n"/>
      <c r="M37" s="52">
        <f>'S50'!M37+L37</f>
        <v/>
      </c>
      <c r="N37" s="53">
        <f>IFERROR(M37/K37,0)</f>
        <v/>
      </c>
      <c r="O37" s="54">
        <f>'S50'!N37</f>
        <v/>
      </c>
      <c r="P37" s="53">
        <f>N37-O37</f>
        <v/>
      </c>
      <c r="Q37" s="32" t="n"/>
      <c r="R37" s="32" t="n"/>
      <c r="S37" s="32" t="n"/>
      <c r="T37" s="55" t="n"/>
      <c r="U37" s="54">
        <f>'S50'!T37</f>
        <v/>
      </c>
      <c r="V37" s="53">
        <f>T37-U37</f>
        <v/>
      </c>
      <c r="W37" s="53">
        <f>N37-T37</f>
        <v/>
      </c>
      <c r="X37" s="34" t="n"/>
    </row>
    <row r="38" ht="22" customHeight="1">
      <c r="B38" s="10" t="n">
        <v>34</v>
      </c>
      <c r="C38" s="6" t="inlineStr">
        <is>
          <t>Sidi Kacem</t>
        </is>
      </c>
      <c r="D38" s="10" t="inlineStr">
        <is>
          <t>NOUIRAT</t>
        </is>
      </c>
      <c r="E38" s="10" t="inlineStr">
        <is>
          <t>50-21</t>
        </is>
      </c>
      <c r="F38" s="10" t="inlineStr">
        <is>
          <t>Entretien et réparation des stations de pompage</t>
        </is>
      </c>
      <c r="G38" s="10" t="inlineStr">
        <is>
          <t>Génie civile des locaux des stations de pompage.</t>
        </is>
      </c>
      <c r="H38" s="10" t="inlineStr">
        <is>
          <t>Expertise d’état et d’étanchéité des locaux pompes, commande, puissance de la station de pompage E1.
Renforcement d’étanchéité des locaux pompe sous niveau des oueds de la station de pompage E1.</t>
        </is>
      </c>
      <c r="I38" s="11" t="n">
        <v>1000000</v>
      </c>
      <c r="J38" s="12" t="inlineStr">
        <is>
          <t>U</t>
        </is>
      </c>
      <c r="K38" s="13" t="n">
        <v>1</v>
      </c>
      <c r="L38" s="51" t="n"/>
      <c r="M38" s="56">
        <f>'S50'!M38+L38</f>
        <v/>
      </c>
      <c r="N38" s="57">
        <f>IFERROR(M38/K38,0)</f>
        <v/>
      </c>
      <c r="O38" s="58">
        <f>'S50'!N38</f>
        <v/>
      </c>
      <c r="P38" s="57">
        <f>N38-O38</f>
        <v/>
      </c>
      <c r="Q38" s="32" t="n"/>
      <c r="R38" s="32" t="n"/>
      <c r="S38" s="32" t="n"/>
      <c r="T38" s="55" t="n"/>
      <c r="U38" s="58">
        <f>'S50'!T38</f>
        <v/>
      </c>
      <c r="V38" s="57">
        <f>T38-U38</f>
        <v/>
      </c>
      <c r="W38" s="57">
        <f>N38-T38</f>
        <v/>
      </c>
      <c r="X38" s="34" t="n"/>
    </row>
    <row r="39" ht="22" customHeight="1">
      <c r="B39" s="5" t="n">
        <v>35</v>
      </c>
      <c r="C39" s="6" t="inlineStr">
        <is>
          <t>Sidi Kacem</t>
        </is>
      </c>
      <c r="D39" s="5" t="inlineStr">
        <is>
          <t>RMILAT</t>
        </is>
      </c>
      <c r="E39" s="5" t="inlineStr">
        <is>
          <t>50-23</t>
        </is>
      </c>
      <c r="F39" s="5" t="inlineStr">
        <is>
          <t>Entretien et réparation du réseau d'assainissement et de drainage</t>
        </is>
      </c>
      <c r="G39" s="5" t="inlineStr">
        <is>
          <t>Travaux de curage des canaux en terre</t>
        </is>
      </c>
      <c r="H39" s="5" t="inlineStr">
        <is>
          <t>Curage des collecteurs d'assainissement des secteurs P7</t>
        </is>
      </c>
      <c r="I39" s="7" t="n">
        <v>5024032</v>
      </c>
      <c r="J39" s="8" t="inlineStr">
        <is>
          <t>ml</t>
        </is>
      </c>
      <c r="K39" s="9" t="n">
        <v>2512</v>
      </c>
      <c r="L39" s="51" t="n"/>
      <c r="M39" s="52">
        <f>'S50'!M39+L39</f>
        <v/>
      </c>
      <c r="N39" s="53">
        <f>IFERROR(M39/K39,0)</f>
        <v/>
      </c>
      <c r="O39" s="54">
        <f>'S50'!N39</f>
        <v/>
      </c>
      <c r="P39" s="53">
        <f>N39-O39</f>
        <v/>
      </c>
      <c r="Q39" s="32" t="n"/>
      <c r="R39" s="32" t="n"/>
      <c r="S39" s="32" t="n"/>
      <c r="T39" s="55" t="n"/>
      <c r="U39" s="54">
        <f>'S50'!T39</f>
        <v/>
      </c>
      <c r="V39" s="53">
        <f>T39-U39</f>
        <v/>
      </c>
      <c r="W39" s="53">
        <f>N39-T39</f>
        <v/>
      </c>
      <c r="X39" s="34" t="n"/>
    </row>
    <row r="40" ht="22" customHeight="1">
      <c r="B40" s="10" t="n">
        <v>36</v>
      </c>
      <c r="C40" s="6" t="inlineStr">
        <is>
          <t>Sidi Kacem</t>
        </is>
      </c>
      <c r="D40" s="10" t="inlineStr">
        <is>
          <t>RMILAT</t>
        </is>
      </c>
      <c r="E40" s="10" t="inlineStr">
        <is>
          <t>40-21</t>
        </is>
      </c>
      <c r="F40" s="10" t="inlineStr">
        <is>
          <t>Travaux de pistes</t>
        </is>
      </c>
      <c r="G40" s="10" t="inlineStr">
        <is>
          <t>Entretien des pistes agricoles</t>
        </is>
      </c>
      <c r="H40" s="10" t="inlineStr">
        <is>
          <t>Entretien des pistes agricoles</t>
        </is>
      </c>
      <c r="I40" s="11" t="n">
        <v>400000</v>
      </c>
      <c r="J40" s="12" t="inlineStr">
        <is>
          <t>km</t>
        </is>
      </c>
      <c r="K40" s="13" t="n">
        <v>1</v>
      </c>
      <c r="L40" s="51" t="n"/>
      <c r="M40" s="56">
        <f>'S50'!M40+L40</f>
        <v/>
      </c>
      <c r="N40" s="57">
        <f>IFERROR(M40/K40,0)</f>
        <v/>
      </c>
      <c r="O40" s="58">
        <f>'S50'!N40</f>
        <v/>
      </c>
      <c r="P40" s="57">
        <f>N40-O40</f>
        <v/>
      </c>
      <c r="Q40" s="32" t="n"/>
      <c r="R40" s="32" t="n"/>
      <c r="S40" s="32" t="n"/>
      <c r="T40" s="55" t="n"/>
      <c r="U40" s="58">
        <f>'S50'!T40</f>
        <v/>
      </c>
      <c r="V40" s="57">
        <f>T40-U40</f>
        <v/>
      </c>
      <c r="W40" s="57">
        <f>N40-T40</f>
        <v/>
      </c>
      <c r="X40" s="34" t="n"/>
    </row>
    <row r="41" ht="22" customHeight="1">
      <c r="B41" s="5" t="n">
        <v>37</v>
      </c>
      <c r="C41" s="6" t="inlineStr">
        <is>
          <t>Sidi Kacem</t>
        </is>
      </c>
      <c r="D41" s="5" t="inlineStr">
        <is>
          <t>SAFSAF</t>
        </is>
      </c>
      <c r="E41" s="5" t="inlineStr">
        <is>
          <t>50-23</t>
        </is>
      </c>
      <c r="F41" s="5" t="inlineStr">
        <is>
          <t>Entretien et réparation du réseau d'assainissement et de drainage</t>
        </is>
      </c>
      <c r="G41" s="5" t="inlineStr">
        <is>
          <t>Travaux de curage des canaux en terre</t>
        </is>
      </c>
      <c r="H41" s="5" t="inlineStr">
        <is>
          <t>Curage des collecteurs d'assainissement des secteurs S7, S9 et S11</t>
        </is>
      </c>
      <c r="I41" s="7" t="n">
        <v>6000000</v>
      </c>
      <c r="J41" s="8" t="inlineStr">
        <is>
          <t>ml</t>
        </is>
      </c>
      <c r="K41" s="9" t="n">
        <v>3000</v>
      </c>
      <c r="L41" s="51" t="n"/>
      <c r="M41" s="52">
        <f>'S50'!M41+L41</f>
        <v/>
      </c>
      <c r="N41" s="53">
        <f>IFERROR(M41/K41,0)</f>
        <v/>
      </c>
      <c r="O41" s="54">
        <f>'S50'!N41</f>
        <v/>
      </c>
      <c r="P41" s="53">
        <f>N41-O41</f>
        <v/>
      </c>
      <c r="Q41" s="32" t="n"/>
      <c r="R41" s="32" t="n"/>
      <c r="S41" s="32" t="n"/>
      <c r="T41" s="55" t="n"/>
      <c r="U41" s="54">
        <f>'S50'!T41</f>
        <v/>
      </c>
      <c r="V41" s="53">
        <f>T41-U41</f>
        <v/>
      </c>
      <c r="W41" s="53">
        <f>N41-T41</f>
        <v/>
      </c>
      <c r="X41" s="34" t="n"/>
    </row>
    <row r="42" ht="22" customHeight="1">
      <c r="B42" s="10" t="n">
        <v>38</v>
      </c>
      <c r="C42" s="6" t="inlineStr">
        <is>
          <t>Sidi Kacem</t>
        </is>
      </c>
      <c r="D42" s="10" t="inlineStr">
        <is>
          <t>SAFSAF</t>
        </is>
      </c>
      <c r="E42" s="10" t="inlineStr">
        <is>
          <t>20-11</t>
        </is>
      </c>
      <c r="F42" s="10" t="inlineStr">
        <is>
          <t>Travaux de réhabilitation des équipements</t>
        </is>
      </c>
      <c r="G42" s="10" t="inlineStr">
        <is>
          <t>Travaux de réhabilitation des canaux portés d'irrigation</t>
        </is>
      </c>
      <c r="H42" s="10" t="inlineStr">
        <is>
          <t>Fourniture et  pose de canaux porté et accessoires du réseau S4 du secteur S11</t>
        </is>
      </c>
      <c r="I42" s="11" t="n">
        <v>232266</v>
      </c>
      <c r="J42" s="12" t="inlineStr">
        <is>
          <t>ml</t>
        </is>
      </c>
      <c r="K42" s="13" t="n">
        <v>77</v>
      </c>
      <c r="L42" s="51" t="n"/>
      <c r="M42" s="56">
        <f>'S50'!M42+L42</f>
        <v/>
      </c>
      <c r="N42" s="57">
        <f>IFERROR(M42/K42,0)</f>
        <v/>
      </c>
      <c r="O42" s="58">
        <f>'S50'!N42</f>
        <v/>
      </c>
      <c r="P42" s="57">
        <f>N42-O42</f>
        <v/>
      </c>
      <c r="Q42" s="32" t="n"/>
      <c r="R42" s="32" t="n"/>
      <c r="S42" s="32" t="n"/>
      <c r="T42" s="55" t="n"/>
      <c r="U42" s="58">
        <f>'S50'!T42</f>
        <v/>
      </c>
      <c r="V42" s="57">
        <f>T42-U42</f>
        <v/>
      </c>
      <c r="W42" s="57">
        <f>N42-T42</f>
        <v/>
      </c>
      <c r="X42" s="34" t="n"/>
    </row>
    <row r="43" ht="22" customHeight="1">
      <c r="B43" s="5" t="n">
        <v>39</v>
      </c>
      <c r="C43" s="6" t="inlineStr">
        <is>
          <t>Sidi Kacem</t>
        </is>
      </c>
      <c r="D43" s="5" t="inlineStr">
        <is>
          <t>SAFSAF</t>
        </is>
      </c>
      <c r="E43" s="5" t="inlineStr">
        <is>
          <t>20-11</t>
        </is>
      </c>
      <c r="F43" s="5" t="inlineStr">
        <is>
          <t>Travaux de réhabilitation des équipements</t>
        </is>
      </c>
      <c r="G43" s="5" t="inlineStr"/>
      <c r="H43" s="5" t="inlineStr">
        <is>
          <t>Recalage des canaux portés du réseau T5S5 du secteur S9</t>
        </is>
      </c>
      <c r="I43" s="7" t="n">
        <v>1055025</v>
      </c>
      <c r="J43" s="8" t="inlineStr">
        <is>
          <t>ml</t>
        </is>
      </c>
      <c r="K43" s="9" t="n">
        <v>352</v>
      </c>
      <c r="L43" s="51" t="n"/>
      <c r="M43" s="52">
        <f>'S50'!M43+L43</f>
        <v/>
      </c>
      <c r="N43" s="53">
        <f>IFERROR(M43/K43,0)</f>
        <v/>
      </c>
      <c r="O43" s="54">
        <f>'S50'!N43</f>
        <v/>
      </c>
      <c r="P43" s="53">
        <f>N43-O43</f>
        <v/>
      </c>
      <c r="Q43" s="32" t="n"/>
      <c r="R43" s="32" t="n"/>
      <c r="S43" s="32" t="n"/>
      <c r="T43" s="55" t="n"/>
      <c r="U43" s="54">
        <f>'S50'!T43</f>
        <v/>
      </c>
      <c r="V43" s="53">
        <f>T43-U43</f>
        <v/>
      </c>
      <c r="W43" s="53">
        <f>N43-T43</f>
        <v/>
      </c>
      <c r="X43" s="34" t="n"/>
    </row>
    <row r="44" ht="22" customHeight="1">
      <c r="B44" s="10" t="n">
        <v>40</v>
      </c>
      <c r="C44" s="6" t="inlineStr">
        <is>
          <t>Sidi Kacem</t>
        </is>
      </c>
      <c r="D44" s="10" t="inlineStr">
        <is>
          <t>SAFSAF</t>
        </is>
      </c>
      <c r="E44" s="10" t="inlineStr">
        <is>
          <t>20-11</t>
        </is>
      </c>
      <c r="F44" s="10" t="inlineStr">
        <is>
          <t>Travaux de réhabilitation des équipements</t>
        </is>
      </c>
      <c r="G44" s="10" t="inlineStr"/>
      <c r="H44" s="10" t="inlineStr">
        <is>
          <t>Recalage des canaux portés du réseau T7S5 du secteur S9</t>
        </is>
      </c>
      <c r="I44" s="11" t="n">
        <v>1004535</v>
      </c>
      <c r="J44" s="12" t="inlineStr">
        <is>
          <t>ml</t>
        </is>
      </c>
      <c r="K44" s="13" t="n">
        <v>335</v>
      </c>
      <c r="L44" s="51" t="n"/>
      <c r="M44" s="56">
        <f>'S50'!M44+L44</f>
        <v/>
      </c>
      <c r="N44" s="57">
        <f>IFERROR(M44/K44,0)</f>
        <v/>
      </c>
      <c r="O44" s="58">
        <f>'S50'!N44</f>
        <v/>
      </c>
      <c r="P44" s="57">
        <f>N44-O44</f>
        <v/>
      </c>
      <c r="Q44" s="32" t="n"/>
      <c r="R44" s="32" t="n"/>
      <c r="S44" s="32" t="n"/>
      <c r="T44" s="55" t="n"/>
      <c r="U44" s="58">
        <f>'S50'!T44</f>
        <v/>
      </c>
      <c r="V44" s="57">
        <f>T44-U44</f>
        <v/>
      </c>
      <c r="W44" s="57">
        <f>N44-T44</f>
        <v/>
      </c>
      <c r="X44" s="34" t="n"/>
    </row>
    <row r="45" ht="22" customHeight="1">
      <c r="B45" s="5" t="n">
        <v>41</v>
      </c>
      <c r="C45" s="6" t="inlineStr">
        <is>
          <t>Sidi Kacem</t>
        </is>
      </c>
      <c r="D45" s="5" t="inlineStr">
        <is>
          <t>SAFSAF</t>
        </is>
      </c>
      <c r="E45" s="5" t="inlineStr">
        <is>
          <t>20-11</t>
        </is>
      </c>
      <c r="F45" s="5" t="inlineStr">
        <is>
          <t>Travaux de réhabilitation des équipements</t>
        </is>
      </c>
      <c r="G45" s="5" t="inlineStr"/>
      <c r="H45" s="5" t="inlineStr">
        <is>
          <t>Recalage des canaux portés du réseau T2S5 du secteur S9</t>
        </is>
      </c>
      <c r="I45" s="7" t="n">
        <v>793830</v>
      </c>
      <c r="J45" s="8" t="inlineStr">
        <is>
          <t>ml</t>
        </is>
      </c>
      <c r="K45" s="9" t="n">
        <v>265</v>
      </c>
      <c r="L45" s="51" t="n"/>
      <c r="M45" s="52">
        <f>'S50'!M45+L45</f>
        <v/>
      </c>
      <c r="N45" s="53">
        <f>IFERROR(M45/K45,0)</f>
        <v/>
      </c>
      <c r="O45" s="54">
        <f>'S50'!N45</f>
        <v/>
      </c>
      <c r="P45" s="53">
        <f>N45-O45</f>
        <v/>
      </c>
      <c r="Q45" s="32" t="n"/>
      <c r="R45" s="32" t="n"/>
      <c r="S45" s="32" t="n"/>
      <c r="T45" s="55" t="n"/>
      <c r="U45" s="54">
        <f>'S50'!T45</f>
        <v/>
      </c>
      <c r="V45" s="53">
        <f>T45-U45</f>
        <v/>
      </c>
      <c r="W45" s="53">
        <f>N45-T45</f>
        <v/>
      </c>
      <c r="X45" s="34" t="n"/>
    </row>
    <row r="46" ht="22" customHeight="1">
      <c r="B46" s="10" t="n">
        <v>42</v>
      </c>
      <c r="C46" s="6" t="inlineStr">
        <is>
          <t>Sidi Kacem</t>
        </is>
      </c>
      <c r="D46" s="10" t="inlineStr">
        <is>
          <t>SAFSAF</t>
        </is>
      </c>
      <c r="E46" s="10" t="inlineStr">
        <is>
          <t>40-21</t>
        </is>
      </c>
      <c r="F46" s="10" t="inlineStr">
        <is>
          <t>Travaux de pistes</t>
        </is>
      </c>
      <c r="G46" s="10" t="inlineStr">
        <is>
          <t>Entretien des pistes agricoles</t>
        </is>
      </c>
      <c r="H46" s="10" t="inlineStr">
        <is>
          <t>Entretien des pistes agricoles</t>
        </is>
      </c>
      <c r="I46" s="11" t="n">
        <v>2000000</v>
      </c>
      <c r="J46" s="12" t="inlineStr">
        <is>
          <t>km</t>
        </is>
      </c>
      <c r="K46" s="13" t="n">
        <v>4</v>
      </c>
      <c r="L46" s="51" t="n"/>
      <c r="M46" s="56">
        <f>'S50'!M46+L46</f>
        <v/>
      </c>
      <c r="N46" s="57">
        <f>IFERROR(M46/K46,0)</f>
        <v/>
      </c>
      <c r="O46" s="58">
        <f>'S50'!N46</f>
        <v/>
      </c>
      <c r="P46" s="57">
        <f>N46-O46</f>
        <v/>
      </c>
      <c r="Q46" s="32" t="n"/>
      <c r="R46" s="32" t="n"/>
      <c r="S46" s="32" t="n"/>
      <c r="T46" s="55" t="n"/>
      <c r="U46" s="58">
        <f>'S50'!T46</f>
        <v/>
      </c>
      <c r="V46" s="57">
        <f>T46-U46</f>
        <v/>
      </c>
      <c r="W46" s="57">
        <f>N46-T46</f>
        <v/>
      </c>
      <c r="X46" s="34" t="n"/>
    </row>
    <row r="47" ht="22" customHeight="1">
      <c r="B47" s="5" t="n">
        <v>43</v>
      </c>
      <c r="C47" s="6" t="inlineStr">
        <is>
          <t>Sidi Kacem</t>
        </is>
      </c>
      <c r="D47" s="5" t="inlineStr">
        <is>
          <t>SAFSAF</t>
        </is>
      </c>
      <c r="E47" s="5" t="inlineStr">
        <is>
          <t>50-23</t>
        </is>
      </c>
      <c r="F47" s="5" t="inlineStr">
        <is>
          <t>Entretien et réparation du réseau d'assainissement et de drainage</t>
        </is>
      </c>
      <c r="G47" s="5" t="inlineStr">
        <is>
          <t>Curage des prises sur l’oued, bâche d’aspiration et bassin de régulation.</t>
        </is>
      </c>
      <c r="H47" s="5" t="inlineStr">
        <is>
          <t>Curage des prises sur l’oued des stations de pompage S11, S9, 7D et 7B.
Nettoyage des grilles de préfiltration des boues colmaté des stations de pompage S11, S9, 7D et 7B.
Nettoyage des crépines des boues colmaté de station pompage 7D.
Curage des dalots et bâche d’aspiration des stations de pompage S11, S9, 7B.</t>
        </is>
      </c>
      <c r="I47" s="7" t="n">
        <v>200000</v>
      </c>
      <c r="J47" s="8" t="inlineStr">
        <is>
          <t>ml</t>
        </is>
      </c>
      <c r="K47" s="9" t="n">
        <v>67</v>
      </c>
      <c r="L47" s="51" t="n"/>
      <c r="M47" s="52">
        <f>'S50'!M47+L47</f>
        <v/>
      </c>
      <c r="N47" s="53">
        <f>IFERROR(M47/K47,0)</f>
        <v/>
      </c>
      <c r="O47" s="54">
        <f>'S50'!N47</f>
        <v/>
      </c>
      <c r="P47" s="53">
        <f>N47-O47</f>
        <v/>
      </c>
      <c r="Q47" s="32" t="n"/>
      <c r="R47" s="32" t="n"/>
      <c r="S47" s="32" t="n"/>
      <c r="T47" s="55" t="n"/>
      <c r="U47" s="54">
        <f>'S50'!T47</f>
        <v/>
      </c>
      <c r="V47" s="53">
        <f>T47-U47</f>
        <v/>
      </c>
      <c r="W47" s="53">
        <f>N47-T47</f>
        <v/>
      </c>
      <c r="X47" s="34" t="n"/>
    </row>
    <row r="48" ht="22" customHeight="1">
      <c r="B48" s="10" t="n">
        <v>44</v>
      </c>
      <c r="C48" s="6" t="inlineStr">
        <is>
          <t>Sidi Kacem</t>
        </is>
      </c>
      <c r="D48" s="10" t="inlineStr">
        <is>
          <t>SAFSAF</t>
        </is>
      </c>
      <c r="E48" s="10" t="inlineStr">
        <is>
          <t>50-21</t>
        </is>
      </c>
      <c r="F48" s="10" t="inlineStr">
        <is>
          <t>Entretien et réparation des stations de pompage</t>
        </is>
      </c>
      <c r="G48" s="10" t="inlineStr">
        <is>
          <t>Prestation de maintenance des débitmètres et leurs équipements annexes installés au niveau des station de pompage</t>
        </is>
      </c>
      <c r="H48" s="10" t="inlineStr">
        <is>
          <t>Changements Sept des débitmètres Ø 600mm inondé des deux stations de pompage S11 et S9.</t>
        </is>
      </c>
      <c r="I48" s="11" t="n">
        <v>580000</v>
      </c>
      <c r="J48" s="12" t="inlineStr">
        <is>
          <t>U</t>
        </is>
      </c>
      <c r="K48" s="13" t="n">
        <v>7</v>
      </c>
      <c r="L48" s="51" t="n"/>
      <c r="M48" s="56">
        <f>'S50'!M48+L48</f>
        <v/>
      </c>
      <c r="N48" s="57">
        <f>IFERROR(M48/K48,0)</f>
        <v/>
      </c>
      <c r="O48" s="58">
        <f>'S50'!N48</f>
        <v/>
      </c>
      <c r="P48" s="57">
        <f>N48-O48</f>
        <v/>
      </c>
      <c r="Q48" s="32" t="n"/>
      <c r="R48" s="32" t="n"/>
      <c r="S48" s="32" t="n"/>
      <c r="T48" s="55" t="n"/>
      <c r="U48" s="58">
        <f>'S50'!T48</f>
        <v/>
      </c>
      <c r="V48" s="57">
        <f>T48-U48</f>
        <v/>
      </c>
      <c r="W48" s="57">
        <f>N48-T48</f>
        <v/>
      </c>
      <c r="X48" s="34" t="n"/>
    </row>
    <row r="49" ht="22" customHeight="1">
      <c r="B49" s="5" t="n">
        <v>45</v>
      </c>
      <c r="C49" s="6" t="inlineStr">
        <is>
          <t>Sidi Kacem</t>
        </is>
      </c>
      <c r="D49" s="5" t="inlineStr">
        <is>
          <t>SAFSAF</t>
        </is>
      </c>
      <c r="E49" s="5" t="inlineStr">
        <is>
          <t>50-21</t>
        </is>
      </c>
      <c r="F49" s="5" t="inlineStr">
        <is>
          <t>Entretien et réparation des stations de pompage</t>
        </is>
      </c>
      <c r="G49" s="5" t="inlineStr">
        <is>
          <t>Stabilisation Berge oued</t>
        </is>
      </c>
      <c r="H49" s="5" t="inlineStr">
        <is>
          <t>Pose de murs en gabions et recouvrement du talus par matelas Reno des stations de pompage S11, S9, 7D et 7B .</t>
        </is>
      </c>
      <c r="I49" s="7" t="n">
        <v>4000000</v>
      </c>
      <c r="J49" s="8" t="inlineStr">
        <is>
          <t>m³</t>
        </is>
      </c>
      <c r="K49" s="9" t="n">
        <v>2667</v>
      </c>
      <c r="L49" s="51" t="n"/>
      <c r="M49" s="52">
        <f>'S50'!M49+L49</f>
        <v/>
      </c>
      <c r="N49" s="53">
        <f>IFERROR(M49/K49,0)</f>
        <v/>
      </c>
      <c r="O49" s="54">
        <f>'S50'!N49</f>
        <v/>
      </c>
      <c r="P49" s="53">
        <f>N49-O49</f>
        <v/>
      </c>
      <c r="Q49" s="32" t="n"/>
      <c r="R49" s="32" t="n"/>
      <c r="S49" s="32" t="n"/>
      <c r="T49" s="55" t="n"/>
      <c r="U49" s="54">
        <f>'S50'!T49</f>
        <v/>
      </c>
      <c r="V49" s="53">
        <f>T49-U49</f>
        <v/>
      </c>
      <c r="W49" s="53">
        <f>N49-T49</f>
        <v/>
      </c>
      <c r="X49" s="34" t="n"/>
    </row>
    <row r="50" ht="22" customHeight="1">
      <c r="B50" s="10" t="n">
        <v>46</v>
      </c>
      <c r="C50" s="6" t="inlineStr">
        <is>
          <t>Sidi Kacem</t>
        </is>
      </c>
      <c r="D50" s="10" t="inlineStr">
        <is>
          <t>SIDI AZZOUZ</t>
        </is>
      </c>
      <c r="E50" s="10" t="inlineStr">
        <is>
          <t>40-21</t>
        </is>
      </c>
      <c r="F50" s="10" t="inlineStr">
        <is>
          <t>Travaux de pistes</t>
        </is>
      </c>
      <c r="G50" s="10" t="inlineStr">
        <is>
          <t>Entretien des pistes agricoles</t>
        </is>
      </c>
      <c r="H50" s="10" t="inlineStr">
        <is>
          <t>Entretien des pistes agricoles</t>
        </is>
      </c>
      <c r="I50" s="11" t="n">
        <v>655000</v>
      </c>
      <c r="J50" s="12" t="inlineStr">
        <is>
          <t>km</t>
        </is>
      </c>
      <c r="K50" s="13" t="n">
        <v>1</v>
      </c>
      <c r="L50" s="51" t="n"/>
      <c r="M50" s="56">
        <f>'S50'!M50+L50</f>
        <v/>
      </c>
      <c r="N50" s="57">
        <f>IFERROR(M50/K50,0)</f>
        <v/>
      </c>
      <c r="O50" s="58">
        <f>'S50'!N50</f>
        <v/>
      </c>
      <c r="P50" s="57">
        <f>N50-O50</f>
        <v/>
      </c>
      <c r="Q50" s="32" t="n"/>
      <c r="R50" s="32" t="n"/>
      <c r="S50" s="32" t="n"/>
      <c r="T50" s="55" t="n"/>
      <c r="U50" s="58">
        <f>'S50'!T50</f>
        <v/>
      </c>
      <c r="V50" s="57">
        <f>T50-U50</f>
        <v/>
      </c>
      <c r="W50" s="57">
        <f>N50-T50</f>
        <v/>
      </c>
      <c r="X50" s="34" t="n"/>
    </row>
    <row r="51" ht="22" customHeight="1">
      <c r="B51" s="5" t="n">
        <v>47</v>
      </c>
      <c r="C51" s="6" t="inlineStr">
        <is>
          <t>Sidi Kacem</t>
        </is>
      </c>
      <c r="D51" s="5" t="inlineStr">
        <is>
          <t>SIDI EL KAMEL</t>
        </is>
      </c>
      <c r="E51" s="5" t="inlineStr">
        <is>
          <t>20-11</t>
        </is>
      </c>
      <c r="F51" s="5" t="inlineStr">
        <is>
          <t>Travaux de réhabilitation des équipements</t>
        </is>
      </c>
      <c r="G51" s="5" t="inlineStr">
        <is>
          <t>Travaux de réhabilitation des canaux portés d'irrigation</t>
        </is>
      </c>
      <c r="H51" s="5" t="inlineStr">
        <is>
          <t>Fourniture et de pose de canaux porté et accessoires du réseau SR4 du secteur S3R</t>
        </is>
      </c>
      <c r="I51" s="7" t="n">
        <v>5182920</v>
      </c>
      <c r="J51" s="8" t="inlineStr">
        <is>
          <t>ml</t>
        </is>
      </c>
      <c r="K51" s="9" t="n">
        <v>1728</v>
      </c>
      <c r="L51" s="51" t="n"/>
      <c r="M51" s="52">
        <f>'S50'!M51+L51</f>
        <v/>
      </c>
      <c r="N51" s="53">
        <f>IFERROR(M51/K51,0)</f>
        <v/>
      </c>
      <c r="O51" s="54">
        <f>'S50'!N51</f>
        <v/>
      </c>
      <c r="P51" s="53">
        <f>N51-O51</f>
        <v/>
      </c>
      <c r="Q51" s="32" t="n"/>
      <c r="R51" s="32" t="n"/>
      <c r="S51" s="32" t="n"/>
      <c r="T51" s="55" t="n"/>
      <c r="U51" s="54">
        <f>'S50'!T51</f>
        <v/>
      </c>
      <c r="V51" s="53">
        <f>T51-U51</f>
        <v/>
      </c>
      <c r="W51" s="53">
        <f>N51-T51</f>
        <v/>
      </c>
      <c r="X51" s="34" t="n"/>
    </row>
    <row r="52" ht="22" customHeight="1">
      <c r="B52" s="10" t="n">
        <v>48</v>
      </c>
      <c r="C52" s="6" t="inlineStr">
        <is>
          <t>Sidi Kacem</t>
        </is>
      </c>
      <c r="D52" s="10" t="inlineStr">
        <is>
          <t>SIDI EL KAMEL</t>
        </is>
      </c>
      <c r="E52" s="10" t="inlineStr">
        <is>
          <t>20-11</t>
        </is>
      </c>
      <c r="F52" s="10" t="inlineStr">
        <is>
          <t>Travaux de réhabilitation des équipements</t>
        </is>
      </c>
      <c r="G52" s="10" t="inlineStr"/>
      <c r="H52" s="10" t="inlineStr">
        <is>
          <t>Fourniture et de pose de canaux porté et accessoires du réseau SR6 du secteur S1RIZ</t>
        </is>
      </c>
      <c r="I52" s="11" t="n">
        <v>152818</v>
      </c>
      <c r="J52" s="12" t="inlineStr">
        <is>
          <t>ml</t>
        </is>
      </c>
      <c r="K52" s="13" t="n">
        <v>51</v>
      </c>
      <c r="L52" s="51" t="n"/>
      <c r="M52" s="56">
        <f>'S50'!M52+L52</f>
        <v/>
      </c>
      <c r="N52" s="57">
        <f>IFERROR(M52/K52,0)</f>
        <v/>
      </c>
      <c r="O52" s="58">
        <f>'S50'!N52</f>
        <v/>
      </c>
      <c r="P52" s="57">
        <f>N52-O52</f>
        <v/>
      </c>
      <c r="Q52" s="32" t="n"/>
      <c r="R52" s="32" t="n"/>
      <c r="S52" s="32" t="n"/>
      <c r="T52" s="55" t="n"/>
      <c r="U52" s="58">
        <f>'S50'!T52</f>
        <v/>
      </c>
      <c r="V52" s="57">
        <f>T52-U52</f>
        <v/>
      </c>
      <c r="W52" s="57">
        <f>N52-T52</f>
        <v/>
      </c>
      <c r="X52" s="34" t="n"/>
    </row>
    <row r="53" ht="22" customHeight="1">
      <c r="B53" s="5" t="n">
        <v>49</v>
      </c>
      <c r="C53" s="6" t="inlineStr">
        <is>
          <t>Sidi Kacem</t>
        </is>
      </c>
      <c r="D53" s="5" t="inlineStr">
        <is>
          <t>SIDI EL KAMEL</t>
        </is>
      </c>
      <c r="E53" s="5" t="inlineStr">
        <is>
          <t>20-11</t>
        </is>
      </c>
      <c r="F53" s="5" t="inlineStr">
        <is>
          <t>Travaux de réhabilitation des équipements</t>
        </is>
      </c>
      <c r="G53" s="5" t="inlineStr"/>
      <c r="H53" s="5" t="inlineStr">
        <is>
          <t>Recalage des canaux portés du réseau SR4 du secteur S3R</t>
        </is>
      </c>
      <c r="I53" s="7" t="n">
        <v>1418000</v>
      </c>
      <c r="J53" s="8" t="inlineStr">
        <is>
          <t>ml</t>
        </is>
      </c>
      <c r="K53" s="9" t="n">
        <v>473</v>
      </c>
      <c r="L53" s="51" t="n"/>
      <c r="M53" s="52">
        <f>'S50'!M53+L53</f>
        <v/>
      </c>
      <c r="N53" s="53">
        <f>IFERROR(M53/K53,0)</f>
        <v/>
      </c>
      <c r="O53" s="54">
        <f>'S50'!N53</f>
        <v/>
      </c>
      <c r="P53" s="53">
        <f>N53-O53</f>
        <v/>
      </c>
      <c r="Q53" s="32" t="n"/>
      <c r="R53" s="32" t="n"/>
      <c r="S53" s="32" t="n"/>
      <c r="T53" s="55" t="n"/>
      <c r="U53" s="54">
        <f>'S50'!T53</f>
        <v/>
      </c>
      <c r="V53" s="53">
        <f>T53-U53</f>
        <v/>
      </c>
      <c r="W53" s="53">
        <f>N53-T53</f>
        <v/>
      </c>
      <c r="X53" s="34" t="n"/>
    </row>
    <row r="54" ht="22" customHeight="1">
      <c r="B54" s="10" t="n">
        <v>50</v>
      </c>
      <c r="C54" s="6" t="inlineStr">
        <is>
          <t>Sidi Kacem</t>
        </is>
      </c>
      <c r="D54" s="10" t="inlineStr">
        <is>
          <t>SIDI EL KAMEL</t>
        </is>
      </c>
      <c r="E54" s="10" t="inlineStr">
        <is>
          <t>20-11</t>
        </is>
      </c>
      <c r="F54" s="10" t="inlineStr">
        <is>
          <t>Travaux de réhabilitation des équipements</t>
        </is>
      </c>
      <c r="G54" s="10" t="inlineStr">
        <is>
          <t>Travaux de réhabilitation des ouvrages de génie civil</t>
        </is>
      </c>
      <c r="H54" s="10" t="inlineStr">
        <is>
          <t>Réhabilitation des murs de soutènements des ouvrages de franchissements du canal d'assainissement CS3 secteur S3 et de l’ouvrage de franchissement du canal primaire d’irrigation du secteur S1R au niveau de la route provinciale P4234</t>
        </is>
      </c>
      <c r="I54" s="11" t="n">
        <v>800000</v>
      </c>
      <c r="J54" s="12" t="inlineStr">
        <is>
          <t>ml</t>
        </is>
      </c>
      <c r="K54" s="13" t="n">
        <v>400</v>
      </c>
      <c r="L54" s="51" t="n"/>
      <c r="M54" s="56">
        <f>'S50'!M54+L54</f>
        <v/>
      </c>
      <c r="N54" s="57">
        <f>IFERROR(M54/K54,0)</f>
        <v/>
      </c>
      <c r="O54" s="58">
        <f>'S50'!N54</f>
        <v/>
      </c>
      <c r="P54" s="57">
        <f>N54-O54</f>
        <v/>
      </c>
      <c r="Q54" s="32" t="n"/>
      <c r="R54" s="32" t="n"/>
      <c r="S54" s="32" t="n"/>
      <c r="T54" s="55" t="n"/>
      <c r="U54" s="58">
        <f>'S50'!T54</f>
        <v/>
      </c>
      <c r="V54" s="57">
        <f>T54-U54</f>
        <v/>
      </c>
      <c r="W54" s="57">
        <f>N54-T54</f>
        <v/>
      </c>
      <c r="X54" s="34" t="n"/>
    </row>
    <row r="55" ht="22" customHeight="1">
      <c r="B55" s="5" t="n">
        <v>51</v>
      </c>
      <c r="C55" s="6" t="inlineStr">
        <is>
          <t>Sidi Kacem</t>
        </is>
      </c>
      <c r="D55" s="5" t="inlineStr">
        <is>
          <t>SIDI EL KAMEL</t>
        </is>
      </c>
      <c r="E55" s="5" t="inlineStr">
        <is>
          <t>40-21</t>
        </is>
      </c>
      <c r="F55" s="5" t="inlineStr">
        <is>
          <t>Travaux de pistes</t>
        </is>
      </c>
      <c r="G55" s="5" t="inlineStr">
        <is>
          <t>Entretien des pistes agricoles</t>
        </is>
      </c>
      <c r="H55" s="5" t="inlineStr">
        <is>
          <t>Entretien des pistes agricoles</t>
        </is>
      </c>
      <c r="I55" s="7" t="n">
        <v>3700000</v>
      </c>
      <c r="J55" s="8" t="inlineStr">
        <is>
          <t>km</t>
        </is>
      </c>
      <c r="K55" s="9" t="n">
        <v>7</v>
      </c>
      <c r="L55" s="51" t="n"/>
      <c r="M55" s="52">
        <f>'S50'!M55+L55</f>
        <v/>
      </c>
      <c r="N55" s="53">
        <f>IFERROR(M55/K55,0)</f>
        <v/>
      </c>
      <c r="O55" s="54">
        <f>'S50'!N55</f>
        <v/>
      </c>
      <c r="P55" s="53">
        <f>N55-O55</f>
        <v/>
      </c>
      <c r="Q55" s="32" t="n"/>
      <c r="R55" s="32" t="n"/>
      <c r="S55" s="32" t="n"/>
      <c r="T55" s="55" t="n"/>
      <c r="U55" s="54">
        <f>'S50'!T55</f>
        <v/>
      </c>
      <c r="V55" s="53">
        <f>T55-U55</f>
        <v/>
      </c>
      <c r="W55" s="53">
        <f>N55-T55</f>
        <v/>
      </c>
      <c r="X55" s="34" t="n"/>
    </row>
    <row r="56" ht="22" customHeight="1">
      <c r="B56" s="10" t="n">
        <v>52</v>
      </c>
      <c r="C56" s="6" t="inlineStr">
        <is>
          <t>Sidi Kacem</t>
        </is>
      </c>
      <c r="D56" s="10" t="inlineStr">
        <is>
          <t>SIDI EL KAMEL</t>
        </is>
      </c>
      <c r="E56" s="10" t="inlineStr">
        <is>
          <t>50-21</t>
        </is>
      </c>
      <c r="F56" s="10" t="inlineStr">
        <is>
          <t>Entretien et réparation des stations de pompage</t>
        </is>
      </c>
      <c r="G56" s="10" t="inlineStr">
        <is>
          <t>Prestation de maintenance des débitmètres et leurs équipements annexes installés au niveau des station de pompage</t>
        </is>
      </c>
      <c r="H56" s="10" t="inlineStr">
        <is>
          <t>Changement de quatre débitmètres Ø 500mm et trois Ø 800mm inondé des stations de pompage 1R, 3R et 5R.</t>
        </is>
      </c>
      <c r="I56" s="11" t="n">
        <v>705000</v>
      </c>
      <c r="J56" s="12" t="inlineStr">
        <is>
          <t>U</t>
        </is>
      </c>
      <c r="K56" s="13" t="n">
        <v>3</v>
      </c>
      <c r="L56" s="51" t="n"/>
      <c r="M56" s="56">
        <f>'S50'!M56+L56</f>
        <v/>
      </c>
      <c r="N56" s="57">
        <f>IFERROR(M56/K56,0)</f>
        <v/>
      </c>
      <c r="O56" s="58">
        <f>'S50'!N56</f>
        <v/>
      </c>
      <c r="P56" s="57">
        <f>N56-O56</f>
        <v/>
      </c>
      <c r="Q56" s="32" t="n"/>
      <c r="R56" s="32" t="n"/>
      <c r="S56" s="32" t="n"/>
      <c r="T56" s="55" t="n"/>
      <c r="U56" s="58">
        <f>'S50'!T56</f>
        <v/>
      </c>
      <c r="V56" s="57">
        <f>T56-U56</f>
        <v/>
      </c>
      <c r="W56" s="57">
        <f>N56-T56</f>
        <v/>
      </c>
      <c r="X56" s="34" t="n"/>
    </row>
    <row r="57" ht="22" customHeight="1">
      <c r="B57" s="5" t="n">
        <v>53</v>
      </c>
      <c r="C57" s="6" t="inlineStr">
        <is>
          <t>Sidi Kacem</t>
        </is>
      </c>
      <c r="D57" s="5" t="inlineStr">
        <is>
          <t>SIDI EL KAMEL</t>
        </is>
      </c>
      <c r="E57" s="5" t="inlineStr">
        <is>
          <t>50-21</t>
        </is>
      </c>
      <c r="F57" s="5" t="inlineStr">
        <is>
          <t>Entretien et réparation des stations de pompage</t>
        </is>
      </c>
      <c r="G57" s="5" t="inlineStr">
        <is>
          <t>Mur clôture des stations de pompage.</t>
        </is>
      </c>
      <c r="H57" s="5" t="inlineStr">
        <is>
          <t>Stabilisation et reconstruction des murs clôture cote oued des stations de pompage 7A, 3R et 1R.</t>
        </is>
      </c>
      <c r="I57" s="7" t="n">
        <v>372000</v>
      </c>
      <c r="J57" s="8" t="inlineStr">
        <is>
          <t>ml</t>
        </is>
      </c>
      <c r="K57" s="9" t="n">
        <v>124</v>
      </c>
      <c r="L57" s="51" t="n"/>
      <c r="M57" s="52">
        <f>'S50'!M57+L57</f>
        <v/>
      </c>
      <c r="N57" s="53">
        <f>IFERROR(M57/K57,0)</f>
        <v/>
      </c>
      <c r="O57" s="54">
        <f>'S50'!N57</f>
        <v/>
      </c>
      <c r="P57" s="53">
        <f>N57-O57</f>
        <v/>
      </c>
      <c r="Q57" s="32" t="n"/>
      <c r="R57" s="32" t="n"/>
      <c r="S57" s="32" t="n"/>
      <c r="T57" s="55" t="n"/>
      <c r="U57" s="54">
        <f>'S50'!T57</f>
        <v/>
      </c>
      <c r="V57" s="53">
        <f>T57-U57</f>
        <v/>
      </c>
      <c r="W57" s="53">
        <f>N57-T57</f>
        <v/>
      </c>
      <c r="X57" s="34" t="n"/>
    </row>
    <row r="58" ht="22" customHeight="1">
      <c r="B58" s="10" t="n">
        <v>54</v>
      </c>
      <c r="C58" s="14" t="inlineStr">
        <is>
          <t>Kénitra</t>
        </is>
      </c>
      <c r="D58" s="10" t="inlineStr">
        <is>
          <t>Bni malek</t>
        </is>
      </c>
      <c r="E58" s="10" t="inlineStr">
        <is>
          <t>50-23</t>
        </is>
      </c>
      <c r="F58" s="10" t="inlineStr">
        <is>
          <t>Entretien et réparation du réseau d'assainissement et de drainage</t>
        </is>
      </c>
      <c r="G58" s="10" t="inlineStr">
        <is>
          <t>Travaux de curage des canaux en terre</t>
        </is>
      </c>
      <c r="H58" s="10" t="inlineStr">
        <is>
          <t>Curage des emissaires et colatures secondaire au niveau des secteurs MDA ET N9</t>
        </is>
      </c>
      <c r="I58" s="11" t="n">
        <v>10000000</v>
      </c>
      <c r="J58" s="12" t="inlineStr">
        <is>
          <t>ml</t>
        </is>
      </c>
      <c r="K58" s="13" t="n">
        <v>5000</v>
      </c>
      <c r="L58" s="51" t="n"/>
      <c r="M58" s="56">
        <f>'S50'!M58+L58</f>
        <v/>
      </c>
      <c r="N58" s="57">
        <f>IFERROR(M58/K58,0)</f>
        <v/>
      </c>
      <c r="O58" s="58">
        <f>'S50'!N58</f>
        <v/>
      </c>
      <c r="P58" s="57">
        <f>N58-O58</f>
        <v/>
      </c>
      <c r="Q58" s="32" t="n"/>
      <c r="R58" s="32" t="n"/>
      <c r="S58" s="32" t="n"/>
      <c r="T58" s="55" t="n"/>
      <c r="U58" s="58">
        <f>'S50'!T58</f>
        <v/>
      </c>
      <c r="V58" s="57">
        <f>T58-U58</f>
        <v/>
      </c>
      <c r="W58" s="57">
        <f>N58-T58</f>
        <v/>
      </c>
      <c r="X58" s="34" t="n"/>
    </row>
    <row r="59" ht="22" customHeight="1">
      <c r="B59" s="5" t="n">
        <v>55</v>
      </c>
      <c r="C59" s="14" t="inlineStr">
        <is>
          <t>Kénitra</t>
        </is>
      </c>
      <c r="D59" s="5" t="inlineStr">
        <is>
          <t>Bni malek</t>
        </is>
      </c>
      <c r="E59" s="5" t="inlineStr">
        <is>
          <t>40-21</t>
        </is>
      </c>
      <c r="F59" s="5" t="inlineStr">
        <is>
          <t>Travaux de pistes</t>
        </is>
      </c>
      <c r="G59" s="5" t="inlineStr">
        <is>
          <t>Travaux de réhabilitation des pistes agricoles</t>
        </is>
      </c>
      <c r="H59" s="5" t="inlineStr">
        <is>
          <t>Entretien des pistes agricoles des secteurs MDA et N3</t>
        </is>
      </c>
      <c r="I59" s="7" t="n">
        <v>2000000</v>
      </c>
      <c r="J59" s="8" t="inlineStr">
        <is>
          <t>km</t>
        </is>
      </c>
      <c r="K59" s="9" t="n">
        <v>4</v>
      </c>
      <c r="L59" s="51" t="n"/>
      <c r="M59" s="52">
        <f>'S50'!M59+L59</f>
        <v/>
      </c>
      <c r="N59" s="53">
        <f>IFERROR(M59/K59,0)</f>
        <v/>
      </c>
      <c r="O59" s="54">
        <f>'S50'!N59</f>
        <v/>
      </c>
      <c r="P59" s="53">
        <f>N59-O59</f>
        <v/>
      </c>
      <c r="Q59" s="32" t="n"/>
      <c r="R59" s="32" t="n"/>
      <c r="S59" s="32" t="n"/>
      <c r="T59" s="55" t="n"/>
      <c r="U59" s="54">
        <f>'S50'!T59</f>
        <v/>
      </c>
      <c r="V59" s="53">
        <f>T59-U59</f>
        <v/>
      </c>
      <c r="W59" s="53">
        <f>N59-T59</f>
        <v/>
      </c>
      <c r="X59" s="34" t="n"/>
    </row>
    <row r="60" ht="22" customHeight="1">
      <c r="B60" s="10" t="n">
        <v>56</v>
      </c>
      <c r="C60" s="14" t="inlineStr">
        <is>
          <t>Kénitra</t>
        </is>
      </c>
      <c r="D60" s="10" t="inlineStr">
        <is>
          <t>Bni malek</t>
        </is>
      </c>
      <c r="E60" s="10" t="inlineStr">
        <is>
          <t>50-21</t>
        </is>
      </c>
      <c r="F60" s="10" t="inlineStr">
        <is>
          <t>Entretien et réparation des stations de pompage</t>
        </is>
      </c>
      <c r="G60" s="10" t="inlineStr">
        <is>
          <t>Prestations de maintenance et de réparation mécanique des pompes et des groupes motopompes submersibles des stations de pompage.</t>
        </is>
      </c>
      <c r="H60" s="10" t="inlineStr">
        <is>
          <t>station de pompage MDA secteur MDA</t>
        </is>
      </c>
      <c r="I60" s="11" t="n">
        <v>300000</v>
      </c>
      <c r="J60" s="12" t="inlineStr">
        <is>
          <t>U</t>
        </is>
      </c>
      <c r="K60" s="13" t="n">
        <v>1</v>
      </c>
      <c r="L60" s="51" t="n"/>
      <c r="M60" s="56">
        <f>'S50'!M60+L60</f>
        <v/>
      </c>
      <c r="N60" s="57">
        <f>IFERROR(M60/K60,0)</f>
        <v/>
      </c>
      <c r="O60" s="58">
        <f>'S50'!N60</f>
        <v/>
      </c>
      <c r="P60" s="57">
        <f>N60-O60</f>
        <v/>
      </c>
      <c r="Q60" s="32" t="n"/>
      <c r="R60" s="32" t="n"/>
      <c r="S60" s="32" t="n"/>
      <c r="T60" s="55" t="n"/>
      <c r="U60" s="58">
        <f>'S50'!T60</f>
        <v/>
      </c>
      <c r="V60" s="57">
        <f>T60-U60</f>
        <v/>
      </c>
      <c r="W60" s="57">
        <f>N60-T60</f>
        <v/>
      </c>
      <c r="X60" s="34" t="n"/>
    </row>
    <row r="61" ht="22" customHeight="1">
      <c r="B61" s="5" t="n">
        <v>57</v>
      </c>
      <c r="C61" s="14" t="inlineStr">
        <is>
          <t>Kénitra</t>
        </is>
      </c>
      <c r="D61" s="5" t="inlineStr">
        <is>
          <t>Bni malek</t>
        </is>
      </c>
      <c r="E61" s="5" t="inlineStr">
        <is>
          <t>20-11</t>
        </is>
      </c>
      <c r="F61" s="5" t="inlineStr">
        <is>
          <t>Travaux de réhabilitation des équipements</t>
        </is>
      </c>
      <c r="G61" s="5" t="inlineStr">
        <is>
          <t>Travaux de réhabilitation des ouvrages de génie civil</t>
        </is>
      </c>
      <c r="H61" s="5" t="inlineStr">
        <is>
          <t>Rétablissement des bornes affaissées des secteurs N2 et N3</t>
        </is>
      </c>
      <c r="I61" s="7" t="n">
        <v>100000</v>
      </c>
      <c r="J61" s="8" t="inlineStr">
        <is>
          <t>U</t>
        </is>
      </c>
      <c r="K61" s="9" t="n">
        <v>200</v>
      </c>
      <c r="L61" s="51" t="n"/>
      <c r="M61" s="52">
        <f>'S50'!M61+L61</f>
        <v/>
      </c>
      <c r="N61" s="53">
        <f>IFERROR(M61/K61,0)</f>
        <v/>
      </c>
      <c r="O61" s="54">
        <f>'S50'!N61</f>
        <v/>
      </c>
      <c r="P61" s="53">
        <f>N61-O61</f>
        <v/>
      </c>
      <c r="Q61" s="32" t="n"/>
      <c r="R61" s="32" t="n"/>
      <c r="S61" s="32" t="n"/>
      <c r="T61" s="55" t="n"/>
      <c r="U61" s="54">
        <f>'S50'!T61</f>
        <v/>
      </c>
      <c r="V61" s="53">
        <f>T61-U61</f>
        <v/>
      </c>
      <c r="W61" s="53">
        <f>N61-T61</f>
        <v/>
      </c>
      <c r="X61" s="34" t="n"/>
    </row>
    <row r="62" ht="22" customHeight="1">
      <c r="B62" s="10" t="n">
        <v>58</v>
      </c>
      <c r="C62" s="14" t="inlineStr">
        <is>
          <t>Kénitra</t>
        </is>
      </c>
      <c r="D62" s="10" t="inlineStr">
        <is>
          <t>SOUK TLET</t>
        </is>
      </c>
      <c r="E62" s="10" t="inlineStr">
        <is>
          <t>50-23</t>
        </is>
      </c>
      <c r="F62" s="10" t="inlineStr">
        <is>
          <t>Entretien et réparation du réseau d'assainissement et de drainage</t>
        </is>
      </c>
      <c r="G62" s="10" t="inlineStr">
        <is>
          <t>Travaux de curage des canaux en terre</t>
        </is>
      </c>
      <c r="H62" s="10" t="inlineStr">
        <is>
          <t>curage des emissaires et colatures secondaire au niveau des secteurs N2,N3 ET N4,</t>
        </is>
      </c>
      <c r="I62" s="11" t="n">
        <v>3000000</v>
      </c>
      <c r="J62" s="12" t="inlineStr">
        <is>
          <t>ml</t>
        </is>
      </c>
      <c r="K62" s="13" t="n">
        <v>1500</v>
      </c>
      <c r="L62" s="51" t="n"/>
      <c r="M62" s="56">
        <f>'S50'!M62+L62</f>
        <v/>
      </c>
      <c r="N62" s="57">
        <f>IFERROR(M62/K62,0)</f>
        <v/>
      </c>
      <c r="O62" s="58">
        <f>'S50'!N62</f>
        <v/>
      </c>
      <c r="P62" s="57">
        <f>N62-O62</f>
        <v/>
      </c>
      <c r="Q62" s="32" t="n"/>
      <c r="R62" s="32" t="n"/>
      <c r="S62" s="32" t="n"/>
      <c r="T62" s="55" t="n"/>
      <c r="U62" s="58">
        <f>'S50'!T62</f>
        <v/>
      </c>
      <c r="V62" s="57">
        <f>T62-U62</f>
        <v/>
      </c>
      <c r="W62" s="57">
        <f>N62-T62</f>
        <v/>
      </c>
      <c r="X62" s="34" t="n"/>
    </row>
    <row r="63" ht="22" customHeight="1">
      <c r="B63" s="5" t="n">
        <v>59</v>
      </c>
      <c r="C63" s="14" t="inlineStr">
        <is>
          <t>Kénitra</t>
        </is>
      </c>
      <c r="D63" s="5" t="inlineStr">
        <is>
          <t>SOUK TLET</t>
        </is>
      </c>
      <c r="E63" s="5" t="inlineStr">
        <is>
          <t>40-21</t>
        </is>
      </c>
      <c r="F63" s="5" t="inlineStr">
        <is>
          <t>Travaux de pistes</t>
        </is>
      </c>
      <c r="G63" s="5" t="inlineStr">
        <is>
          <t>Travaux de réhabilitation des pistes agricoles</t>
        </is>
      </c>
      <c r="H63" s="5" t="inlineStr">
        <is>
          <t>Entretien des pistes des secteurs N2,N3,N4 et C4R,</t>
        </is>
      </c>
      <c r="I63" s="7" t="n">
        <v>5000000</v>
      </c>
      <c r="J63" s="8" t="inlineStr">
        <is>
          <t>U</t>
        </is>
      </c>
      <c r="K63" s="9" t="n">
        <v>1</v>
      </c>
      <c r="L63" s="51" t="n"/>
      <c r="M63" s="52">
        <f>'S50'!M63+L63</f>
        <v/>
      </c>
      <c r="N63" s="53">
        <f>IFERROR(M63/K63,0)</f>
        <v/>
      </c>
      <c r="O63" s="54">
        <f>'S50'!N63</f>
        <v/>
      </c>
      <c r="P63" s="53">
        <f>N63-O63</f>
        <v/>
      </c>
      <c r="Q63" s="32" t="n"/>
      <c r="R63" s="32" t="n"/>
      <c r="S63" s="32" t="n"/>
      <c r="T63" s="55" t="n"/>
      <c r="U63" s="54">
        <f>'S50'!T63</f>
        <v/>
      </c>
      <c r="V63" s="53">
        <f>T63-U63</f>
        <v/>
      </c>
      <c r="W63" s="53">
        <f>N63-T63</f>
        <v/>
      </c>
      <c r="X63" s="34" t="n"/>
    </row>
    <row r="64" ht="22" customHeight="1">
      <c r="B64" s="10" t="n">
        <v>60</v>
      </c>
      <c r="C64" s="14" t="inlineStr">
        <is>
          <t>Kénitra</t>
        </is>
      </c>
      <c r="D64" s="10" t="inlineStr">
        <is>
          <t>Sidi Med Lahmar</t>
        </is>
      </c>
      <c r="E64" s="10" t="inlineStr">
        <is>
          <t>50-23</t>
        </is>
      </c>
      <c r="F64" s="10" t="inlineStr">
        <is>
          <t>Entretien et réparation du réseau d'assainissement et de drainage</t>
        </is>
      </c>
      <c r="G64" s="10" t="inlineStr">
        <is>
          <t>Travaux de curage des canaux en terre</t>
        </is>
      </c>
      <c r="H64" s="10" t="inlineStr">
        <is>
          <t>Curage des emissaires et colatures secondaires secteurs N1</t>
        </is>
      </c>
      <c r="I64" s="11" t="n">
        <v>3000000</v>
      </c>
      <c r="J64" s="12" t="inlineStr">
        <is>
          <t>ml</t>
        </is>
      </c>
      <c r="K64" s="13" t="n">
        <v>1500</v>
      </c>
      <c r="L64" s="51" t="n"/>
      <c r="M64" s="56">
        <f>'S50'!M64+L64</f>
        <v/>
      </c>
      <c r="N64" s="57">
        <f>IFERROR(M64/K64,0)</f>
        <v/>
      </c>
      <c r="O64" s="58">
        <f>'S50'!N64</f>
        <v/>
      </c>
      <c r="P64" s="57">
        <f>N64-O64</f>
        <v/>
      </c>
      <c r="Q64" s="32" t="n"/>
      <c r="R64" s="32" t="n"/>
      <c r="S64" s="32" t="n"/>
      <c r="T64" s="55" t="n"/>
      <c r="U64" s="58">
        <f>'S50'!T64</f>
        <v/>
      </c>
      <c r="V64" s="57">
        <f>T64-U64</f>
        <v/>
      </c>
      <c r="W64" s="57">
        <f>N64-T64</f>
        <v/>
      </c>
      <c r="X64" s="34" t="n"/>
    </row>
    <row r="65" ht="22" customHeight="1">
      <c r="B65" s="5" t="n">
        <v>61</v>
      </c>
      <c r="C65" s="14" t="inlineStr">
        <is>
          <t>Kénitra</t>
        </is>
      </c>
      <c r="D65" s="5" t="inlineStr">
        <is>
          <t>Sidi Med Lahmar</t>
        </is>
      </c>
      <c r="E65" s="5" t="inlineStr">
        <is>
          <t>40-21</t>
        </is>
      </c>
      <c r="F65" s="5" t="inlineStr">
        <is>
          <t>Travaux de pistes</t>
        </is>
      </c>
      <c r="G65" s="5" t="inlineStr">
        <is>
          <t>Travaux de réhabilitation des pistes agricoles</t>
        </is>
      </c>
      <c r="H65" s="5" t="inlineStr">
        <is>
          <t>Entretien des pistes agricoles des secteurs N9 et N1</t>
        </is>
      </c>
      <c r="I65" s="7" t="n">
        <v>3000000</v>
      </c>
      <c r="J65" s="8" t="inlineStr">
        <is>
          <t>km</t>
        </is>
      </c>
      <c r="K65" s="9" t="n">
        <v>6</v>
      </c>
      <c r="L65" s="51" t="n"/>
      <c r="M65" s="52">
        <f>'S50'!M65+L65</f>
        <v/>
      </c>
      <c r="N65" s="53">
        <f>IFERROR(M65/K65,0)</f>
        <v/>
      </c>
      <c r="O65" s="54">
        <f>'S50'!N65</f>
        <v/>
      </c>
      <c r="P65" s="53">
        <f>N65-O65</f>
        <v/>
      </c>
      <c r="Q65" s="32" t="n"/>
      <c r="R65" s="32" t="n"/>
      <c r="S65" s="32" t="n"/>
      <c r="T65" s="55" t="n"/>
      <c r="U65" s="54">
        <f>'S50'!T65</f>
        <v/>
      </c>
      <c r="V65" s="53">
        <f>T65-U65</f>
        <v/>
      </c>
      <c r="W65" s="53">
        <f>N65-T65</f>
        <v/>
      </c>
      <c r="X65" s="34" t="n"/>
    </row>
    <row r="66" ht="22" customHeight="1">
      <c r="B66" s="10" t="n">
        <v>62</v>
      </c>
      <c r="C66" s="14" t="inlineStr">
        <is>
          <t>Kénitra</t>
        </is>
      </c>
      <c r="D66" s="10" t="inlineStr">
        <is>
          <t>Mograne</t>
        </is>
      </c>
      <c r="E66" s="10" t="inlineStr">
        <is>
          <t>50-23</t>
        </is>
      </c>
      <c r="F66" s="10" t="inlineStr">
        <is>
          <t>Entretien et réparation du réseau d'assainissement et de drainage</t>
        </is>
      </c>
      <c r="G66" s="10" t="inlineStr">
        <is>
          <t>Travaux de curage des canaux en terre</t>
        </is>
      </c>
      <c r="H66" s="10" t="inlineStr">
        <is>
          <t>Curage des canaux d'assainissement Hors secteur équipé ghoufera et laison beht sebou ,</t>
        </is>
      </c>
      <c r="I66" s="11" t="n">
        <v>6000000</v>
      </c>
      <c r="J66" s="12" t="inlineStr">
        <is>
          <t>ml</t>
        </is>
      </c>
      <c r="K66" s="13" t="n">
        <v>3000</v>
      </c>
      <c r="L66" s="51" t="n"/>
      <c r="M66" s="56">
        <f>'S50'!M66+L66</f>
        <v/>
      </c>
      <c r="N66" s="57">
        <f>IFERROR(M66/K66,0)</f>
        <v/>
      </c>
      <c r="O66" s="58">
        <f>'S50'!N66</f>
        <v/>
      </c>
      <c r="P66" s="57">
        <f>N66-O66</f>
        <v/>
      </c>
      <c r="Q66" s="32" t="n"/>
      <c r="R66" s="32" t="n"/>
      <c r="S66" s="32" t="n"/>
      <c r="T66" s="55" t="n"/>
      <c r="U66" s="58">
        <f>'S50'!T66</f>
        <v/>
      </c>
      <c r="V66" s="57">
        <f>T66-U66</f>
        <v/>
      </c>
      <c r="W66" s="57">
        <f>N66-T66</f>
        <v/>
      </c>
      <c r="X66" s="34" t="n"/>
    </row>
    <row r="67" ht="22" customHeight="1">
      <c r="B67" s="5" t="n">
        <v>63</v>
      </c>
      <c r="C67" s="14" t="inlineStr">
        <is>
          <t>Kénitra</t>
        </is>
      </c>
      <c r="D67" s="5" t="inlineStr">
        <is>
          <t>Mograne</t>
        </is>
      </c>
      <c r="E67" s="5" t="inlineStr">
        <is>
          <t>40-21</t>
        </is>
      </c>
      <c r="F67" s="5" t="inlineStr">
        <is>
          <t>Travaux de pistes</t>
        </is>
      </c>
      <c r="G67" s="5" t="inlineStr">
        <is>
          <t>Travaux de réhabilitation des pistes agricoles</t>
        </is>
      </c>
      <c r="H67" s="5" t="inlineStr">
        <is>
          <t>Entretien des pistes agricoles des secteurs SEBOU1,SEBOU2? BEHT3 et BEHT4</t>
        </is>
      </c>
      <c r="I67" s="7" t="n">
        <v>6000000</v>
      </c>
      <c r="J67" s="8" t="inlineStr">
        <is>
          <t>km</t>
        </is>
      </c>
      <c r="K67" s="9" t="n">
        <v>12</v>
      </c>
      <c r="L67" s="51" t="n"/>
      <c r="M67" s="52">
        <f>'S50'!M67+L67</f>
        <v/>
      </c>
      <c r="N67" s="53">
        <f>IFERROR(M67/K67,0)</f>
        <v/>
      </c>
      <c r="O67" s="54">
        <f>'S50'!N67</f>
        <v/>
      </c>
      <c r="P67" s="53">
        <f>N67-O67</f>
        <v/>
      </c>
      <c r="Q67" s="32" t="n"/>
      <c r="R67" s="32" t="n"/>
      <c r="S67" s="32" t="n"/>
      <c r="T67" s="55" t="n"/>
      <c r="U67" s="54">
        <f>'S50'!T67</f>
        <v/>
      </c>
      <c r="V67" s="53">
        <f>T67-U67</f>
        <v/>
      </c>
      <c r="W67" s="53">
        <f>N67-T67</f>
        <v/>
      </c>
      <c r="X67" s="34" t="n"/>
    </row>
    <row r="68" ht="22" customHeight="1">
      <c r="B68" s="10" t="n">
        <v>64</v>
      </c>
      <c r="C68" s="14" t="inlineStr">
        <is>
          <t>Kénitra</t>
        </is>
      </c>
      <c r="D68" s="10" t="inlineStr">
        <is>
          <t>Sidi allal tazi</t>
        </is>
      </c>
      <c r="E68" s="10" t="inlineStr">
        <is>
          <t>50-23</t>
        </is>
      </c>
      <c r="F68" s="10" t="inlineStr">
        <is>
          <t>Entretien et réparation du réseau d'assainissement et de drainage</t>
        </is>
      </c>
      <c r="G68" s="10" t="inlineStr">
        <is>
          <t>Travaux de curage des canaux en terre</t>
        </is>
      </c>
      <c r="H68" s="10" t="inlineStr">
        <is>
          <t>Curage du canaL d'assainissement CK,</t>
        </is>
      </c>
      <c r="I68" s="11" t="n">
        <v>3000000</v>
      </c>
      <c r="J68" s="12" t="inlineStr">
        <is>
          <t>ml</t>
        </is>
      </c>
      <c r="K68" s="13" t="n">
        <v>1500</v>
      </c>
      <c r="L68" s="51" t="n"/>
      <c r="M68" s="56">
        <f>'S50'!M68+L68</f>
        <v/>
      </c>
      <c r="N68" s="57">
        <f>IFERROR(M68/K68,0)</f>
        <v/>
      </c>
      <c r="O68" s="58">
        <f>'S50'!N68</f>
        <v/>
      </c>
      <c r="P68" s="57">
        <f>N68-O68</f>
        <v/>
      </c>
      <c r="Q68" s="32" t="n"/>
      <c r="R68" s="32" t="n"/>
      <c r="S68" s="32" t="n"/>
      <c r="T68" s="55" t="n"/>
      <c r="U68" s="58">
        <f>'S50'!T68</f>
        <v/>
      </c>
      <c r="V68" s="57">
        <f>T68-U68</f>
        <v/>
      </c>
      <c r="W68" s="57">
        <f>N68-T68</f>
        <v/>
      </c>
      <c r="X68" s="34" t="n"/>
    </row>
    <row r="69" ht="22" customHeight="1">
      <c r="B69" s="5" t="n">
        <v>65</v>
      </c>
      <c r="C69" s="14" t="inlineStr">
        <is>
          <t>Kénitra</t>
        </is>
      </c>
      <c r="D69" s="5" t="inlineStr">
        <is>
          <t>AMEUR SAFLIA</t>
        </is>
      </c>
      <c r="E69" s="5" t="inlineStr">
        <is>
          <t>50-23</t>
        </is>
      </c>
      <c r="F69" s="5" t="inlineStr">
        <is>
          <t>Entretien et réparation du réseau d'assainissement et de drainage</t>
        </is>
      </c>
      <c r="G69" s="5" t="inlineStr">
        <is>
          <t>Travaux de curage des canaux en terre</t>
        </is>
      </c>
      <c r="H69" s="5" t="inlineStr">
        <is>
          <t>Curage des canaux d'assainissement amontTtiflt Sebou,</t>
        </is>
      </c>
      <c r="I69" s="7" t="n">
        <v>1000000</v>
      </c>
      <c r="J69" s="8" t="inlineStr">
        <is>
          <t>ml</t>
        </is>
      </c>
      <c r="K69" s="9" t="n">
        <v>500</v>
      </c>
      <c r="L69" s="51" t="n"/>
      <c r="M69" s="52">
        <f>'S50'!M69+L69</f>
        <v/>
      </c>
      <c r="N69" s="53">
        <f>IFERROR(M69/K69,0)</f>
        <v/>
      </c>
      <c r="O69" s="54">
        <f>'S50'!N69</f>
        <v/>
      </c>
      <c r="P69" s="53">
        <f>N69-O69</f>
        <v/>
      </c>
      <c r="Q69" s="32" t="n"/>
      <c r="R69" s="32" t="n"/>
      <c r="S69" s="32" t="n"/>
      <c r="T69" s="55" t="n"/>
      <c r="U69" s="54">
        <f>'S50'!T69</f>
        <v/>
      </c>
      <c r="V69" s="53">
        <f>T69-U69</f>
        <v/>
      </c>
      <c r="W69" s="53">
        <f>N69-T69</f>
        <v/>
      </c>
      <c r="X69" s="34" t="n"/>
    </row>
    <row r="70" ht="22" customHeight="1">
      <c r="B70" s="10" t="n">
        <v>66</v>
      </c>
      <c r="C70" s="14" t="inlineStr">
        <is>
          <t>Kénitra</t>
        </is>
      </c>
      <c r="D70" s="10" t="inlineStr">
        <is>
          <t>Oulad SLAMA</t>
        </is>
      </c>
      <c r="E70" s="10" t="inlineStr">
        <is>
          <t>50-23</t>
        </is>
      </c>
      <c r="F70" s="10" t="inlineStr">
        <is>
          <t>Entretien et réparation du réseau d'assainissement et de drainage</t>
        </is>
      </c>
      <c r="G70" s="10" t="inlineStr">
        <is>
          <t>Travaux de curage des canaux en terre</t>
        </is>
      </c>
      <c r="H70" s="10" t="inlineStr">
        <is>
          <t>Curage des canaux d'assainissement debouche Tiflt aval,</t>
        </is>
      </c>
      <c r="I70" s="11" t="n">
        <v>1000000</v>
      </c>
      <c r="J70" s="12" t="inlineStr">
        <is>
          <t>ml</t>
        </is>
      </c>
      <c r="K70" s="13" t="n">
        <v>500</v>
      </c>
      <c r="L70" s="51" t="n"/>
      <c r="M70" s="56">
        <f>'S50'!M70+L70</f>
        <v/>
      </c>
      <c r="N70" s="57">
        <f>IFERROR(M70/K70,0)</f>
        <v/>
      </c>
      <c r="O70" s="58">
        <f>'S50'!N70</f>
        <v/>
      </c>
      <c r="P70" s="57">
        <f>N70-O70</f>
        <v/>
      </c>
      <c r="Q70" s="32" t="n"/>
      <c r="R70" s="32" t="n"/>
      <c r="S70" s="32" t="n"/>
      <c r="T70" s="55" t="n"/>
      <c r="U70" s="58">
        <f>'S50'!T70</f>
        <v/>
      </c>
      <c r="V70" s="57">
        <f>T70-U70</f>
        <v/>
      </c>
      <c r="W70" s="57">
        <f>N70-T70</f>
        <v/>
      </c>
      <c r="X70" s="34" t="n"/>
    </row>
    <row r="71" ht="22" customHeight="1">
      <c r="B71" s="5" t="n">
        <v>67</v>
      </c>
      <c r="C71" s="14" t="inlineStr">
        <is>
          <t>Kénitra</t>
        </is>
      </c>
      <c r="D71" s="5" t="inlineStr">
        <is>
          <t>BHARA Oulad AYAD</t>
        </is>
      </c>
      <c r="E71" s="5" t="inlineStr">
        <is>
          <t>50-23</t>
        </is>
      </c>
      <c r="F71" s="5" t="inlineStr">
        <is>
          <t>Entretien et réparation du réseau d'assainissement et de drainage</t>
        </is>
      </c>
      <c r="G71" s="5" t="inlineStr">
        <is>
          <t>Travaux de curage des canaux en terre</t>
        </is>
      </c>
      <c r="H71" s="5" t="inlineStr">
        <is>
          <t>Curage des canaux d'assainissement canal nador bas et haut segmet,</t>
        </is>
      </c>
      <c r="I71" s="7" t="n">
        <v>6600000</v>
      </c>
      <c r="J71" s="8" t="inlineStr">
        <is>
          <t>ml</t>
        </is>
      </c>
      <c r="K71" s="9" t="n">
        <v>3300</v>
      </c>
      <c r="L71" s="51" t="n"/>
      <c r="M71" s="52">
        <f>'S50'!M71+L71</f>
        <v/>
      </c>
      <c r="N71" s="53">
        <f>IFERROR(M71/K71,0)</f>
        <v/>
      </c>
      <c r="O71" s="54">
        <f>'S50'!N71</f>
        <v/>
      </c>
      <c r="P71" s="53">
        <f>N71-O71</f>
        <v/>
      </c>
      <c r="Q71" s="32" t="n"/>
      <c r="R71" s="32" t="n"/>
      <c r="S71" s="32" t="n"/>
      <c r="T71" s="55" t="n"/>
      <c r="U71" s="54">
        <f>'S50'!T71</f>
        <v/>
      </c>
      <c r="V71" s="53">
        <f>T71-U71</f>
        <v/>
      </c>
      <c r="W71" s="53">
        <f>N71-T71</f>
        <v/>
      </c>
      <c r="X71" s="34" t="n"/>
    </row>
    <row r="72" ht="22" customHeight="1">
      <c r="B72" s="10" t="n">
        <v>68</v>
      </c>
      <c r="C72" s="15" t="inlineStr">
        <is>
          <t>Sidi Slimane</t>
        </is>
      </c>
      <c r="D72" s="10" t="inlineStr">
        <is>
          <t>OULED HCEINE</t>
        </is>
      </c>
      <c r="E72" s="10" t="inlineStr">
        <is>
          <t>50-23</t>
        </is>
      </c>
      <c r="F72" s="10" t="inlineStr">
        <is>
          <t>Entretien et réparation du réseau d'assainissement et de drainage</t>
        </is>
      </c>
      <c r="G72" s="10" t="inlineStr">
        <is>
          <t>Travaux de curage des canaux en terre</t>
        </is>
      </c>
      <c r="H72" s="10" t="inlineStr">
        <is>
          <t>Curage des collecteurs d'assainissement du secteur EST4.</t>
        </is>
      </c>
      <c r="I72" s="11" t="n">
        <v>1805475</v>
      </c>
      <c r="J72" s="12" t="inlineStr">
        <is>
          <t>ml</t>
        </is>
      </c>
      <c r="K72" s="13" t="n">
        <v>903</v>
      </c>
      <c r="L72" s="51" t="n"/>
      <c r="M72" s="56">
        <f>'S50'!M72+L72</f>
        <v/>
      </c>
      <c r="N72" s="57">
        <f>IFERROR(M72/K72,0)</f>
        <v/>
      </c>
      <c r="O72" s="58">
        <f>'S50'!N72</f>
        <v/>
      </c>
      <c r="P72" s="57">
        <f>N72-O72</f>
        <v/>
      </c>
      <c r="Q72" s="32" t="n"/>
      <c r="R72" s="32" t="n"/>
      <c r="S72" s="32" t="n"/>
      <c r="T72" s="55" t="n"/>
      <c r="U72" s="58">
        <f>'S50'!T72</f>
        <v/>
      </c>
      <c r="V72" s="57">
        <f>T72-U72</f>
        <v/>
      </c>
      <c r="W72" s="57">
        <f>N72-T72</f>
        <v/>
      </c>
      <c r="X72" s="34" t="n"/>
    </row>
    <row r="73" ht="22" customHeight="1">
      <c r="B73" s="5" t="n">
        <v>69</v>
      </c>
      <c r="C73" s="15" t="inlineStr">
        <is>
          <t>Sidi Slimane</t>
        </is>
      </c>
      <c r="D73" s="5" t="inlineStr">
        <is>
          <t>OULED HCEINE</t>
        </is>
      </c>
      <c r="E73" s="5" t="inlineStr">
        <is>
          <t>50-23</t>
        </is>
      </c>
      <c r="F73" s="5" t="inlineStr">
        <is>
          <t>Entretien et réparation du réseau d'assainissement et de drainage</t>
        </is>
      </c>
      <c r="G73" s="5" t="inlineStr">
        <is>
          <t>Travaux de curage des canaux en terre</t>
        </is>
      </c>
      <c r="H73" s="5" t="inlineStr">
        <is>
          <t>Curage du canal d'assainissement Tihli central.</t>
        </is>
      </c>
      <c r="I73" s="7" t="n">
        <v>2587200</v>
      </c>
      <c r="J73" s="8" t="inlineStr">
        <is>
          <t>ml</t>
        </is>
      </c>
      <c r="K73" s="9" t="n">
        <v>1294</v>
      </c>
      <c r="L73" s="51" t="n"/>
      <c r="M73" s="52">
        <f>'S50'!M73+L73</f>
        <v/>
      </c>
      <c r="N73" s="53">
        <f>IFERROR(M73/K73,0)</f>
        <v/>
      </c>
      <c r="O73" s="54">
        <f>'S50'!N73</f>
        <v/>
      </c>
      <c r="P73" s="53">
        <f>N73-O73</f>
        <v/>
      </c>
      <c r="Q73" s="32" t="n"/>
      <c r="R73" s="32" t="n"/>
      <c r="S73" s="32" t="n"/>
      <c r="T73" s="55" t="n"/>
      <c r="U73" s="54">
        <f>'S50'!T73</f>
        <v/>
      </c>
      <c r="V73" s="53">
        <f>T73-U73</f>
        <v/>
      </c>
      <c r="W73" s="53">
        <f>N73-T73</f>
        <v/>
      </c>
      <c r="X73" s="34" t="n"/>
    </row>
    <row r="74" ht="22" customHeight="1">
      <c r="B74" s="10" t="n">
        <v>70</v>
      </c>
      <c r="C74" s="15" t="inlineStr">
        <is>
          <t>Sidi Slimane</t>
        </is>
      </c>
      <c r="D74" s="10" t="inlineStr">
        <is>
          <t>OULED HCEINE</t>
        </is>
      </c>
      <c r="E74" s="10" t="inlineStr">
        <is>
          <t>40-21</t>
        </is>
      </c>
      <c r="F74" s="10" t="inlineStr">
        <is>
          <t>Travaux de pistes</t>
        </is>
      </c>
      <c r="G74" s="10" t="inlineStr">
        <is>
          <t>Travaux de réhabilitation des pistes agricoles</t>
        </is>
      </c>
      <c r="H74" s="10" t="inlineStr">
        <is>
          <t>Entretien des pistes agricoles</t>
        </is>
      </c>
      <c r="I74" s="11" t="n">
        <v>3500000</v>
      </c>
      <c r="J74" s="12" t="inlineStr">
        <is>
          <t>km</t>
        </is>
      </c>
      <c r="K74" s="13" t="n">
        <v>7</v>
      </c>
      <c r="L74" s="51" t="n"/>
      <c r="M74" s="56">
        <f>'S50'!M74+L74</f>
        <v/>
      </c>
      <c r="N74" s="57">
        <f>IFERROR(M74/K74,0)</f>
        <v/>
      </c>
      <c r="O74" s="58">
        <f>'S50'!N74</f>
        <v/>
      </c>
      <c r="P74" s="57">
        <f>N74-O74</f>
        <v/>
      </c>
      <c r="Q74" s="32" t="n"/>
      <c r="R74" s="32" t="n"/>
      <c r="S74" s="32" t="n"/>
      <c r="T74" s="55" t="n"/>
      <c r="U74" s="58">
        <f>'S50'!T74</f>
        <v/>
      </c>
      <c r="V74" s="57">
        <f>T74-U74</f>
        <v/>
      </c>
      <c r="W74" s="57">
        <f>N74-T74</f>
        <v/>
      </c>
      <c r="X74" s="34" t="n"/>
    </row>
    <row r="75" ht="22" customHeight="1">
      <c r="B75" s="5" t="n">
        <v>71</v>
      </c>
      <c r="C75" s="15" t="inlineStr">
        <is>
          <t>Sidi Slimane</t>
        </is>
      </c>
      <c r="D75" s="5" t="inlineStr">
        <is>
          <t>OULED HCEINE</t>
        </is>
      </c>
      <c r="E75" s="5" t="inlineStr">
        <is>
          <t>50-21</t>
        </is>
      </c>
      <c r="F75" s="5" t="inlineStr">
        <is>
          <t>Entretien et réparation des stations de pompage</t>
        </is>
      </c>
      <c r="G75" s="5" t="inlineStr">
        <is>
          <t>Travaux de réparation des équipements hydromécaniques et éléctriques et entretien de la partie génie civil des stations de pompage.</t>
        </is>
      </c>
      <c r="H75" s="5" t="inlineStr">
        <is>
          <t>Démontage et expertise des roues des  pompes principaux et pompes a vide de la station EST4 et P11/2.
Changement des roulements, tresses et organes d’effectués de la station EST4 et P11/2
Changement deux débitmètre Ø 1200 mm de la station EST4 et un débimétre de la station P11/2.
Changement des capteurs de niveau inondés.
Révision et réparation des moteurs des vannes motorisées inondées.
changement de six contrôleurs de débits DW181 inondés.
Un capteur de débitmètre inondé nécessitent un diagnostic VEGASON  .
Entretien de l'éclairage du local de vide et bâche d’aspiration inondé de la station EST4 et la partie de l’éclairage du local des pompes inondées de la station P11/2.
Pose de gabions et recouvrement du talus par matelas Reno des stations de pompage P11/2</t>
        </is>
      </c>
      <c r="I75" s="7" t="n">
        <v>870000</v>
      </c>
      <c r="J75" s="8" t="inlineStr">
        <is>
          <t>U</t>
        </is>
      </c>
      <c r="K75" s="9" t="n">
        <v>4</v>
      </c>
      <c r="L75" s="51" t="n"/>
      <c r="M75" s="52">
        <f>'S50'!M75+L75</f>
        <v/>
      </c>
      <c r="N75" s="53">
        <f>IFERROR(M75/K75,0)</f>
        <v/>
      </c>
      <c r="O75" s="54">
        <f>'S50'!N75</f>
        <v/>
      </c>
      <c r="P75" s="53">
        <f>N75-O75</f>
        <v/>
      </c>
      <c r="Q75" s="32" t="n"/>
      <c r="R75" s="32" t="n"/>
      <c r="S75" s="32" t="n"/>
      <c r="T75" s="55" t="n"/>
      <c r="U75" s="54">
        <f>'S50'!T75</f>
        <v/>
      </c>
      <c r="V75" s="53">
        <f>T75-U75</f>
        <v/>
      </c>
      <c r="W75" s="53">
        <f>N75-T75</f>
        <v/>
      </c>
      <c r="X75" s="34" t="n"/>
    </row>
    <row r="76" ht="22" customHeight="1">
      <c r="B76" s="10" t="n">
        <v>72</v>
      </c>
      <c r="C76" s="15" t="inlineStr">
        <is>
          <t>Sidi Slimane</t>
        </is>
      </c>
      <c r="D76" s="10" t="inlineStr">
        <is>
          <t>OULED HCEINE</t>
        </is>
      </c>
      <c r="E76" s="10" t="inlineStr">
        <is>
          <t>50-23</t>
        </is>
      </c>
      <c r="F76" s="10" t="inlineStr">
        <is>
          <t>Entretien et réparation du réseau d'assainissement et de drainage</t>
        </is>
      </c>
      <c r="G76" s="10" t="inlineStr">
        <is>
          <t>Travaux de curage des prises des stations de pompage.</t>
        </is>
      </c>
      <c r="H76" s="10" t="inlineStr">
        <is>
          <t>Curage des siphones des station de pompage EST2 et P11/2.</t>
        </is>
      </c>
      <c r="I76" s="11" t="n">
        <v>500000</v>
      </c>
      <c r="J76" s="12" t="inlineStr">
        <is>
          <t>ml</t>
        </is>
      </c>
      <c r="K76" s="13" t="n">
        <v>167</v>
      </c>
      <c r="L76" s="51" t="n"/>
      <c r="M76" s="56">
        <f>'S50'!M76+L76</f>
        <v/>
      </c>
      <c r="N76" s="57">
        <f>IFERROR(M76/K76,0)</f>
        <v/>
      </c>
      <c r="O76" s="58">
        <f>'S50'!N76</f>
        <v/>
      </c>
      <c r="P76" s="57">
        <f>N76-O76</f>
        <v/>
      </c>
      <c r="Q76" s="32" t="n"/>
      <c r="R76" s="32" t="n"/>
      <c r="S76" s="32" t="n"/>
      <c r="T76" s="55" t="n"/>
      <c r="U76" s="58">
        <f>'S50'!T76</f>
        <v/>
      </c>
      <c r="V76" s="57">
        <f>T76-U76</f>
        <v/>
      </c>
      <c r="W76" s="57">
        <f>N76-T76</f>
        <v/>
      </c>
      <c r="X76" s="34" t="n"/>
    </row>
    <row r="77" ht="26" customHeight="1">
      <c r="B77" s="16" t="inlineStr">
        <is>
          <t>TOTAL</t>
        </is>
      </c>
      <c r="C77" s="16" t="n"/>
      <c r="D77" s="16" t="n"/>
      <c r="E77" s="16" t="n"/>
      <c r="F77" s="16" t="n"/>
      <c r="G77" s="16" t="n"/>
      <c r="H77" s="16" t="n"/>
      <c r="I77" s="17">
        <f>SUM(I5:I76)</f>
        <v/>
      </c>
      <c r="J77" s="16" t="n"/>
      <c r="K77" s="16" t="n"/>
      <c r="L77" s="59">
        <f>SUM(L5:L76)</f>
        <v/>
      </c>
      <c r="M77" s="59">
        <f>SUM(M5:M76)</f>
        <v/>
      </c>
      <c r="N77" s="60">
        <f>IFERROR(SUMPRODUCT(N5:N76,I5:I76)/I77,0)</f>
        <v/>
      </c>
      <c r="O77" s="60">
        <f>IFERROR(SUMPRODUCT(O5:O76,I5:I76)/I77,0)</f>
        <v/>
      </c>
      <c r="P77" s="60">
        <f>N77-O77</f>
        <v/>
      </c>
      <c r="Q77" s="17">
        <f>SUM(Q5:Q76)</f>
        <v/>
      </c>
      <c r="R77" s="17">
        <f>SUM(R5:R76)</f>
        <v/>
      </c>
      <c r="S77" s="17">
        <f>SUM(S5:S76)</f>
        <v/>
      </c>
      <c r="T77" s="60">
        <f>IFERROR(SUMPRODUCT(T5:T76,I5:I76)/I77,0)</f>
        <v/>
      </c>
      <c r="U77" s="60">
        <f>IFERROR(SUMPRODUCT(U5:U76,I5:I76)/I77,0)</f>
        <v/>
      </c>
      <c r="V77" s="60">
        <f>T77-U77</f>
        <v/>
      </c>
      <c r="W77" s="60">
        <f>N77-T77</f>
        <v/>
      </c>
      <c r="X77" s="16" t="n"/>
    </row>
  </sheetData>
  <sheetProtection selectLockedCells="0" selectUnlockedCells="0" sheet="1" objects="0" insertRows="1" insertHyperlinks="1" autoFilter="1" scenarios="0" formatColumns="1" deleteColumns="1" insertColumns="1" pivotTables="1" deleteRows="1" formatCells="1" formatRows="1" sort="1" password="CBBE"/>
  <mergeCells count="6">
    <mergeCell ref="E3:I3"/>
    <mergeCell ref="W3:X3"/>
    <mergeCell ref="J3:P3"/>
    <mergeCell ref="B2:X2"/>
    <mergeCell ref="C3:D3"/>
    <mergeCell ref="Q3:V3"/>
  </mergeCells>
  <conditionalFormatting sqref="P5:P76">
    <cfRule type="cellIs" priority="1" operator="greaterThan" dxfId="0">
      <formula>0</formula>
    </cfRule>
    <cfRule type="cellIs" priority="2" operator="lessThan" dxfId="1">
      <formula>0</formula>
    </cfRule>
  </conditionalFormatting>
  <conditionalFormatting sqref="V5:V76">
    <cfRule type="cellIs" priority="3" operator="greaterThan" dxfId="0">
      <formula>0</formula>
    </cfRule>
    <cfRule type="cellIs" priority="4" operator="lessThan" dxfId="1">
      <formula>0</formula>
    </cfRule>
  </conditionalFormatting>
  <conditionalFormatting sqref="W5:W76">
    <cfRule type="cellIs" priority="5" operator="greaterThan" dxfId="0">
      <formula>0.05</formula>
    </cfRule>
    <cfRule type="cellIs" priority="6" operator="lessThan" dxfId="1">
      <formula>-0.05</formula>
    </cfRule>
    <cfRule type="cellIs" priority="7" operator="between" dxfId="2">
      <formula>-0.05</formula>
      <formula>0.05</formula>
    </cfRule>
  </conditionalFormatting>
  <conditionalFormatting sqref="N5:N76">
    <cfRule type="dataBar" priority="8">
      <dataBar showValue="1">
        <cfvo type="num" val="0"/>
        <cfvo type="num" val="1"/>
        <color rgb="001B7D46"/>
      </dataBar>
    </cfRule>
  </conditionalFormatting>
  <conditionalFormatting sqref="T5:T76">
    <cfRule type="dataBar" priority="9">
      <dataBar showValue="1">
        <cfvo type="num" val="0"/>
        <cfvo type="num" val="1"/>
        <color rgb="00D4820A"/>
      </dataBar>
    </cfRule>
  </conditionalFormatting>
  <dataValidations count="2">
    <dataValidation sqref="T5:T76" showDropDown="0" showInputMessage="0" showErrorMessage="0" allowBlank="1" errorTitle="Invalide" error="Valeur entre 0% et 100%" promptTitle="Avancement %" prompt="Entrez 0.25 pour 25%" type="decimal" operator="between">
      <formula1>0</formula1>
      <formula2>1</formula2>
    </dataValidation>
    <dataValidation sqref="L5:L76" showDropDown="0" showInputMessage="0" showErrorMessage="0" allowBlank="1" errorTitle="Invalide" error="Quantité doit être &gt;= 0" promptTitle="Qté Réalisée" prompt="Entrez la quantité réalisée cette semaine" type="decimal" operator="greaterThanOrEqual">
      <formula1>0</formula1>
    </dataValidation>
  </dataValidations>
  <pageMargins left="0.75" right="0.75" top="1" bottom="1" header="0.5" footer="0.5"/>
</worksheet>
</file>

<file path=xl/worksheets/sheet32.xml><?xml version="1.0" encoding="utf-8"?>
<worksheet xmlns="http://schemas.openxmlformats.org/spreadsheetml/2006/main">
  <sheetPr>
    <tabColor rgb="00375623"/>
    <outlinePr summaryBelow="1" summaryRight="1"/>
    <pageSetUpPr/>
  </sheetPr>
  <dimension ref="B2:X77"/>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5" customWidth="1" min="2" max="2"/>
    <col width="14" customWidth="1" min="3" max="3"/>
    <col width="18" customWidth="1" min="4" max="4"/>
    <col width="9" customWidth="1" min="5" max="5"/>
    <col width="32" customWidth="1" min="6" max="6"/>
    <col width="28" customWidth="1" min="7" max="7"/>
    <col width="34" customWidth="1" min="8" max="8"/>
    <col width="14" customWidth="1" min="9" max="9"/>
    <col width="8" customWidth="1" min="10" max="10"/>
    <col width="12" customWidth="1" min="11" max="11"/>
    <col width="14" customWidth="1" min="12" max="12"/>
    <col width="14" customWidth="1" min="13" max="13"/>
    <col width="14" customWidth="1" min="14" max="14"/>
    <col width="14" customWidth="1" min="15" max="15"/>
    <col width="14" customWidth="1" min="16" max="16"/>
    <col width="16" customWidth="1" min="17" max="17"/>
    <col width="16" customWidth="1" min="18" max="18"/>
    <col width="16" customWidth="1" min="19" max="19"/>
    <col width="14" customWidth="1" min="20" max="20"/>
    <col width="14" customWidth="1" min="21" max="21"/>
    <col width="14" customWidth="1" min="22" max="22"/>
    <col width="14" customWidth="1" min="23" max="23"/>
    <col width="24" customWidth="1" min="24" max="24"/>
  </cols>
  <sheetData>
    <row r="1" ht="15" customHeight="1"/>
    <row r="2" ht="32" customHeight="1">
      <c r="B2" s="1" t="inlineStr">
        <is>
          <t>Suivi Hebdomadaire - Semaine 52 (21/12 - 27/12) — Décembre 2026 - Exécution Physique et Financière</t>
        </is>
      </c>
    </row>
    <row r="3" ht="22" customHeight="1">
      <c r="B3" s="20" t="inlineStr">
        <is>
          <t>Date :</t>
        </is>
      </c>
      <c r="C3" s="49" t="n">
        <v>46377</v>
      </c>
      <c r="D3" s="50" t="n"/>
      <c r="E3" s="22" t="inlineStr">
        <is>
          <t>IDENTIFICATION</t>
        </is>
      </c>
      <c r="J3" s="23" t="inlineStr">
        <is>
          <t>INDICATEURS PHYSIQUES</t>
        </is>
      </c>
      <c r="Q3" s="24" t="inlineStr">
        <is>
          <t>INDICATEURS FINANCIERS</t>
        </is>
      </c>
      <c r="W3" s="25" t="inlineStr">
        <is>
          <t>SYNTHÈSE</t>
        </is>
      </c>
    </row>
    <row r="4" ht="28" customHeight="1">
      <c r="B4" s="4" t="inlineStr">
        <is>
          <t>N°</t>
        </is>
      </c>
      <c r="C4" s="4" t="inlineStr">
        <is>
          <t>Province</t>
        </is>
      </c>
      <c r="D4" s="4" t="inlineStr">
        <is>
          <t>Commune</t>
        </is>
      </c>
      <c r="E4" s="4" t="inlineStr">
        <is>
          <t>Rubrique</t>
        </is>
      </c>
      <c r="F4" s="4" t="inlineStr">
        <is>
          <t>Intitulé Rubrique</t>
        </is>
      </c>
      <c r="G4" s="4" t="inlineStr">
        <is>
          <t>Projet</t>
        </is>
      </c>
      <c r="H4" s="4" t="inlineStr">
        <is>
          <t>Consistance</t>
        </is>
      </c>
      <c r="I4" s="4" t="inlineStr">
        <is>
          <t>Coût Total (DH)</t>
        </is>
      </c>
      <c r="J4" s="26" t="inlineStr">
        <is>
          <t>Unité</t>
        </is>
      </c>
      <c r="K4" s="26" t="inlineStr">
        <is>
          <t>Qté Prévue</t>
        </is>
      </c>
      <c r="L4" s="26" t="inlineStr">
        <is>
          <t>Qté Réalisée Sem.</t>
        </is>
      </c>
      <c r="M4" s="26" t="inlineStr">
        <is>
          <t>Qté Réalisée Cumul</t>
        </is>
      </c>
      <c r="N4" s="26" t="inlineStr">
        <is>
          <t>Avancement Physique %</t>
        </is>
      </c>
      <c r="O4" s="26" t="inlineStr">
        <is>
          <t>% Phys. Sem. Préc.</t>
        </is>
      </c>
      <c r="P4" s="26" t="inlineStr">
        <is>
          <t>Accroissement Phys. %</t>
        </is>
      </c>
      <c r="Q4" s="27" t="inlineStr">
        <is>
          <t>Montant Décaissé (DH)</t>
        </is>
      </c>
      <c r="R4" s="27" t="inlineStr">
        <is>
          <t>Montant Payé (DH)</t>
        </is>
      </c>
      <c r="S4" s="27" t="inlineStr">
        <is>
          <t>Montant Ordonné (DH)</t>
        </is>
      </c>
      <c r="T4" s="27" t="inlineStr">
        <is>
          <t>Avancement Financier %</t>
        </is>
      </c>
      <c r="U4" s="27" t="inlineStr">
        <is>
          <t>% Fin. Sem. Préc.</t>
        </is>
      </c>
      <c r="V4" s="27" t="inlineStr">
        <is>
          <t>Accroissement Fin. %</t>
        </is>
      </c>
      <c r="W4" s="28" t="inlineStr">
        <is>
          <t>Écart Phys.-Fin.</t>
        </is>
      </c>
      <c r="X4" s="28" t="inlineStr">
        <is>
          <t>Observations</t>
        </is>
      </c>
    </row>
    <row r="5" ht="22" customHeight="1">
      <c r="B5" s="5" t="n">
        <v>1</v>
      </c>
      <c r="C5" s="6" t="inlineStr">
        <is>
          <t>Sidi Kacem</t>
        </is>
      </c>
      <c r="D5" s="5" t="inlineStr">
        <is>
          <t>KHENICHET</t>
        </is>
      </c>
      <c r="E5" s="5" t="inlineStr">
        <is>
          <t>50-23</t>
        </is>
      </c>
      <c r="F5" s="5" t="inlineStr">
        <is>
          <t>Entretien et réparation du réseau d'assainissement et de drainage</t>
        </is>
      </c>
      <c r="G5" s="5" t="inlineStr">
        <is>
          <t>Travaux de curage des canaux en terre</t>
        </is>
      </c>
      <c r="H5" s="5" t="inlineStr">
        <is>
          <t>Curage des collecteurs d'assainissement du secteur EST2</t>
        </is>
      </c>
      <c r="I5" s="7" t="n">
        <v>2091568</v>
      </c>
      <c r="J5" s="8" t="inlineStr">
        <is>
          <t>ml</t>
        </is>
      </c>
      <c r="K5" s="9" t="n">
        <v>1046</v>
      </c>
      <c r="L5" s="51" t="n"/>
      <c r="M5" s="52">
        <f>'S51'!M5+L5</f>
        <v/>
      </c>
      <c r="N5" s="53">
        <f>IFERROR(M5/K5,0)</f>
        <v/>
      </c>
      <c r="O5" s="54">
        <f>'S51'!N5</f>
        <v/>
      </c>
      <c r="P5" s="53">
        <f>N5-O5</f>
        <v/>
      </c>
      <c r="Q5" s="32" t="n"/>
      <c r="R5" s="32" t="n"/>
      <c r="S5" s="32" t="n"/>
      <c r="T5" s="55" t="n"/>
      <c r="U5" s="54">
        <f>'S51'!T5</f>
        <v/>
      </c>
      <c r="V5" s="53">
        <f>T5-U5</f>
        <v/>
      </c>
      <c r="W5" s="53">
        <f>N5-T5</f>
        <v/>
      </c>
      <c r="X5" s="34" t="n"/>
    </row>
    <row r="6" ht="22" customHeight="1">
      <c r="B6" s="10" t="n">
        <v>2</v>
      </c>
      <c r="C6" s="6" t="inlineStr">
        <is>
          <t>Sidi Kacem</t>
        </is>
      </c>
      <c r="D6" s="10" t="inlineStr">
        <is>
          <t>KHENICHET</t>
        </is>
      </c>
      <c r="E6" s="10" t="inlineStr">
        <is>
          <t>40-21</t>
        </is>
      </c>
      <c r="F6" s="10" t="inlineStr">
        <is>
          <t>Travaux de pistes</t>
        </is>
      </c>
      <c r="G6" s="10" t="inlineStr">
        <is>
          <t>Travaux de réhabilitation des pistes agricoles</t>
        </is>
      </c>
      <c r="H6" s="10" t="inlineStr">
        <is>
          <t>Entretien des pistes agricoles Douar Nouagra et Douar ouled Salem</t>
        </is>
      </c>
      <c r="I6" s="11" t="n">
        <v>78000</v>
      </c>
      <c r="J6" s="12" t="inlineStr">
        <is>
          <t>km</t>
        </is>
      </c>
      <c r="K6" s="13" t="n">
        <v>1</v>
      </c>
      <c r="L6" s="51" t="n"/>
      <c r="M6" s="56">
        <f>'S51'!M6+L6</f>
        <v/>
      </c>
      <c r="N6" s="57">
        <f>IFERROR(M6/K6,0)</f>
        <v/>
      </c>
      <c r="O6" s="58">
        <f>'S51'!N6</f>
        <v/>
      </c>
      <c r="P6" s="57">
        <f>N6-O6</f>
        <v/>
      </c>
      <c r="Q6" s="32" t="n"/>
      <c r="R6" s="32" t="n"/>
      <c r="S6" s="32" t="n"/>
      <c r="T6" s="55" t="n"/>
      <c r="U6" s="58">
        <f>'S51'!T6</f>
        <v/>
      </c>
      <c r="V6" s="57">
        <f>T6-U6</f>
        <v/>
      </c>
      <c r="W6" s="57">
        <f>N6-T6</f>
        <v/>
      </c>
      <c r="X6" s="34" t="n"/>
    </row>
    <row r="7" ht="22" customHeight="1">
      <c r="B7" s="5" t="n">
        <v>3</v>
      </c>
      <c r="C7" s="6" t="inlineStr">
        <is>
          <t>Sidi Kacem</t>
        </is>
      </c>
      <c r="D7" s="5" t="inlineStr">
        <is>
          <t>KHENICHET</t>
        </is>
      </c>
      <c r="E7" s="5" t="inlineStr">
        <is>
          <t>50-23</t>
        </is>
      </c>
      <c r="F7" s="5" t="inlineStr">
        <is>
          <t>Entretien et réparation du réseau d'assainissement et de drainage</t>
        </is>
      </c>
      <c r="G7" s="5" t="inlineStr">
        <is>
          <t>Curage des prises sur l’oued, bâche d’aspiration et bassin de régulation.</t>
        </is>
      </c>
      <c r="H7" s="5" t="inlineStr">
        <is>
          <t>Curage de la chambre des joints de démontage des siphonnes  de la station de pompage EST2.</t>
        </is>
      </c>
      <c r="I7" s="7" t="n">
        <v>126000</v>
      </c>
      <c r="J7" s="8" t="inlineStr">
        <is>
          <t>ml</t>
        </is>
      </c>
      <c r="K7" s="9" t="n">
        <v>42</v>
      </c>
      <c r="L7" s="51" t="n"/>
      <c r="M7" s="52">
        <f>'S51'!M7+L7</f>
        <v/>
      </c>
      <c r="N7" s="53">
        <f>IFERROR(M7/K7,0)</f>
        <v/>
      </c>
      <c r="O7" s="54">
        <f>'S51'!N7</f>
        <v/>
      </c>
      <c r="P7" s="53">
        <f>N7-O7</f>
        <v/>
      </c>
      <c r="Q7" s="32" t="n"/>
      <c r="R7" s="32" t="n"/>
      <c r="S7" s="32" t="n"/>
      <c r="T7" s="55" t="n"/>
      <c r="U7" s="54">
        <f>'S51'!T7</f>
        <v/>
      </c>
      <c r="V7" s="53">
        <f>T7-U7</f>
        <v/>
      </c>
      <c r="W7" s="53">
        <f>N7-T7</f>
        <v/>
      </c>
      <c r="X7" s="34" t="n"/>
    </row>
    <row r="8" ht="22" customHeight="1">
      <c r="B8" s="10" t="n">
        <v>4</v>
      </c>
      <c r="C8" s="6" t="inlineStr">
        <is>
          <t>Sidi Kacem</t>
        </is>
      </c>
      <c r="D8" s="10" t="inlineStr">
        <is>
          <t>KHENICHET</t>
        </is>
      </c>
      <c r="E8" s="10" t="inlineStr">
        <is>
          <t>50-21</t>
        </is>
      </c>
      <c r="F8" s="10" t="inlineStr">
        <is>
          <t>Entretien et réparation des stations de pompage</t>
        </is>
      </c>
      <c r="G8" s="10" t="inlineStr">
        <is>
          <t>Prestation de maintenance des débitmètres et leurs équipements annexes installés au niveau des station de pompage</t>
        </is>
      </c>
      <c r="H8" s="10" t="inlineStr">
        <is>
          <t>Changement trois débitmètre Ø 600mm inondés de la station de pompage EST 2 et deux capteurs VEGASON 62</t>
        </is>
      </c>
      <c r="I8" s="11" t="n">
        <v>165500</v>
      </c>
      <c r="J8" s="12" t="inlineStr">
        <is>
          <t>U</t>
        </is>
      </c>
      <c r="K8" s="13" t="n">
        <v>3</v>
      </c>
      <c r="L8" s="51" t="n"/>
      <c r="M8" s="56">
        <f>'S51'!M8+L8</f>
        <v/>
      </c>
      <c r="N8" s="57">
        <f>IFERROR(M8/K8,0)</f>
        <v/>
      </c>
      <c r="O8" s="58">
        <f>'S51'!N8</f>
        <v/>
      </c>
      <c r="P8" s="57">
        <f>N8-O8</f>
        <v/>
      </c>
      <c r="Q8" s="32" t="n"/>
      <c r="R8" s="32" t="n"/>
      <c r="S8" s="32" t="n"/>
      <c r="T8" s="55" t="n"/>
      <c r="U8" s="58">
        <f>'S51'!T8</f>
        <v/>
      </c>
      <c r="V8" s="57">
        <f>T8-U8</f>
        <v/>
      </c>
      <c r="W8" s="57">
        <f>N8-T8</f>
        <v/>
      </c>
      <c r="X8" s="34" t="n"/>
    </row>
    <row r="9" ht="22" customHeight="1">
      <c r="B9" s="5" t="n">
        <v>5</v>
      </c>
      <c r="C9" s="6" t="inlineStr">
        <is>
          <t>Sidi Kacem</t>
        </is>
      </c>
      <c r="D9" s="5" t="inlineStr">
        <is>
          <t>BIR TALEB</t>
        </is>
      </c>
      <c r="E9" s="5" t="inlineStr">
        <is>
          <t>50-23</t>
        </is>
      </c>
      <c r="F9" s="5" t="inlineStr">
        <is>
          <t>Entretien et réparation du réseau d'assainissement et de drainage</t>
        </is>
      </c>
      <c r="G9" s="5" t="inlineStr">
        <is>
          <t>Travaux de curage des canaux en terre</t>
        </is>
      </c>
      <c r="H9" s="5" t="inlineStr">
        <is>
          <t>Curage du canal d'assainisement Tihli Aval</t>
        </is>
      </c>
      <c r="I9" s="7" t="n">
        <v>1000000</v>
      </c>
      <c r="J9" s="8" t="inlineStr">
        <is>
          <t>ml</t>
        </is>
      </c>
      <c r="K9" s="9" t="n">
        <v>500</v>
      </c>
      <c r="L9" s="51" t="n"/>
      <c r="M9" s="52">
        <f>'S51'!M9+L9</f>
        <v/>
      </c>
      <c r="N9" s="53">
        <f>IFERROR(M9/K9,0)</f>
        <v/>
      </c>
      <c r="O9" s="54">
        <f>'S51'!N9</f>
        <v/>
      </c>
      <c r="P9" s="53">
        <f>N9-O9</f>
        <v/>
      </c>
      <c r="Q9" s="32" t="n"/>
      <c r="R9" s="32" t="n"/>
      <c r="S9" s="32" t="n"/>
      <c r="T9" s="55" t="n"/>
      <c r="U9" s="54">
        <f>'S51'!T9</f>
        <v/>
      </c>
      <c r="V9" s="53">
        <f>T9-U9</f>
        <v/>
      </c>
      <c r="W9" s="53">
        <f>N9-T9</f>
        <v/>
      </c>
      <c r="X9" s="34" t="n"/>
    </row>
    <row r="10" ht="22" customHeight="1">
      <c r="B10" s="10" t="n">
        <v>6</v>
      </c>
      <c r="C10" s="6" t="inlineStr">
        <is>
          <t>Sidi Kacem</t>
        </is>
      </c>
      <c r="D10" s="10" t="inlineStr">
        <is>
          <t>BIR TALEB</t>
        </is>
      </c>
      <c r="E10" s="10" t="inlineStr">
        <is>
          <t>50-23</t>
        </is>
      </c>
      <c r="F10" s="10" t="inlineStr">
        <is>
          <t>Entretien et réparation du réseau d'assainissement et de drainage</t>
        </is>
      </c>
      <c r="G10" s="10" t="inlineStr"/>
      <c r="H10" s="10" t="inlineStr">
        <is>
          <t>Curage des collecteurs d'assainissement du secteur P11/1</t>
        </is>
      </c>
      <c r="I10" s="11" t="n">
        <v>846731</v>
      </c>
      <c r="J10" s="12" t="inlineStr">
        <is>
          <t>ml</t>
        </is>
      </c>
      <c r="K10" s="13" t="n">
        <v>423</v>
      </c>
      <c r="L10" s="51" t="n"/>
      <c r="M10" s="56">
        <f>'S51'!M10+L10</f>
        <v/>
      </c>
      <c r="N10" s="57">
        <f>IFERROR(M10/K10,0)</f>
        <v/>
      </c>
      <c r="O10" s="58">
        <f>'S51'!N10</f>
        <v/>
      </c>
      <c r="P10" s="57">
        <f>N10-O10</f>
        <v/>
      </c>
      <c r="Q10" s="32" t="n"/>
      <c r="R10" s="32" t="n"/>
      <c r="S10" s="32" t="n"/>
      <c r="T10" s="55" t="n"/>
      <c r="U10" s="58">
        <f>'S51'!T10</f>
        <v/>
      </c>
      <c r="V10" s="57">
        <f>T10-U10</f>
        <v/>
      </c>
      <c r="W10" s="57">
        <f>N10-T10</f>
        <v/>
      </c>
      <c r="X10" s="34" t="n"/>
    </row>
    <row r="11" ht="22" customHeight="1">
      <c r="B11" s="5" t="n">
        <v>7</v>
      </c>
      <c r="C11" s="6" t="inlineStr">
        <is>
          <t>Sidi Kacem</t>
        </is>
      </c>
      <c r="D11" s="5" t="inlineStr">
        <is>
          <t>BIR TALEB</t>
        </is>
      </c>
      <c r="E11" s="5" t="inlineStr">
        <is>
          <t>50-23</t>
        </is>
      </c>
      <c r="F11" s="5" t="inlineStr">
        <is>
          <t>Entretien et réparation du réseau d'assainissement et de drainage</t>
        </is>
      </c>
      <c r="G11" s="5" t="inlineStr">
        <is>
          <t>Curage des prises sur l’oued, bâche d’aspiration et bassin de régulation.</t>
        </is>
      </c>
      <c r="H11" s="5" t="inlineStr">
        <is>
          <t>Curage des prises sur l’oued de la station de pompage P11/1.</t>
        </is>
      </c>
      <c r="I11" s="7" t="n">
        <v>200000</v>
      </c>
      <c r="J11" s="8" t="inlineStr">
        <is>
          <t>ml</t>
        </is>
      </c>
      <c r="K11" s="9" t="n">
        <v>67</v>
      </c>
      <c r="L11" s="51" t="n"/>
      <c r="M11" s="52">
        <f>'S51'!M11+L11</f>
        <v/>
      </c>
      <c r="N11" s="53">
        <f>IFERROR(M11/K11,0)</f>
        <v/>
      </c>
      <c r="O11" s="54">
        <f>'S51'!N11</f>
        <v/>
      </c>
      <c r="P11" s="53">
        <f>N11-O11</f>
        <v/>
      </c>
      <c r="Q11" s="32" t="n"/>
      <c r="R11" s="32" t="n"/>
      <c r="S11" s="32" t="n"/>
      <c r="T11" s="55" t="n"/>
      <c r="U11" s="54">
        <f>'S51'!T11</f>
        <v/>
      </c>
      <c r="V11" s="53">
        <f>T11-U11</f>
        <v/>
      </c>
      <c r="W11" s="53">
        <f>N11-T11</f>
        <v/>
      </c>
      <c r="X11" s="34" t="n"/>
    </row>
    <row r="12" ht="22" customHeight="1">
      <c r="B12" s="10" t="n">
        <v>8</v>
      </c>
      <c r="C12" s="6" t="inlineStr">
        <is>
          <t>Sidi Kacem</t>
        </is>
      </c>
      <c r="D12" s="10" t="inlineStr">
        <is>
          <t>BIR TALEB</t>
        </is>
      </c>
      <c r="E12" s="10" t="inlineStr">
        <is>
          <t>50-21</t>
        </is>
      </c>
      <c r="F12" s="10" t="inlineStr">
        <is>
          <t>Entretien et réparation des stations de pompage</t>
        </is>
      </c>
      <c r="G12" s="10" t="inlineStr">
        <is>
          <t>Prestation de maintenance des débitmètres et leurs équipements annexes installés au niveau des station de pompage</t>
        </is>
      </c>
      <c r="H12" s="10" t="inlineStr">
        <is>
          <t>Changement trois débitmètre Ø 400mm inondés de la station de pompage P11/1</t>
        </is>
      </c>
      <c r="I12" s="11" t="n">
        <v>141900</v>
      </c>
      <c r="J12" s="12" t="inlineStr">
        <is>
          <t>U</t>
        </is>
      </c>
      <c r="K12" s="13" t="n">
        <v>3</v>
      </c>
      <c r="L12" s="51" t="n"/>
      <c r="M12" s="56">
        <f>'S51'!M12+L12</f>
        <v/>
      </c>
      <c r="N12" s="57">
        <f>IFERROR(M12/K12,0)</f>
        <v/>
      </c>
      <c r="O12" s="58">
        <f>'S51'!N12</f>
        <v/>
      </c>
      <c r="P12" s="57">
        <f>N12-O12</f>
        <v/>
      </c>
      <c r="Q12" s="32" t="n"/>
      <c r="R12" s="32" t="n"/>
      <c r="S12" s="32" t="n"/>
      <c r="T12" s="55" t="n"/>
      <c r="U12" s="58">
        <f>'S51'!T12</f>
        <v/>
      </c>
      <c r="V12" s="57">
        <f>T12-U12</f>
        <v/>
      </c>
      <c r="W12" s="57">
        <f>N12-T12</f>
        <v/>
      </c>
      <c r="X12" s="34" t="n"/>
    </row>
    <row r="13" ht="22" customHeight="1">
      <c r="B13" s="5" t="n">
        <v>9</v>
      </c>
      <c r="C13" s="6" t="inlineStr">
        <is>
          <t>Sidi Kacem</t>
        </is>
      </c>
      <c r="D13" s="5" t="inlineStr">
        <is>
          <t>BIR TALEB</t>
        </is>
      </c>
      <c r="E13" s="5" t="inlineStr">
        <is>
          <t>50-21</t>
        </is>
      </c>
      <c r="F13" s="5" t="inlineStr">
        <is>
          <t>Entretien et réparation des stations de pompage</t>
        </is>
      </c>
      <c r="G13" s="5" t="inlineStr">
        <is>
          <t>Prestations de maintenance et de réparation mécanique des pompes et des groupes motopompes submersibles des stations de pompage.</t>
        </is>
      </c>
      <c r="H13" s="5" t="inlineStr">
        <is>
          <t>Démontage et expertise des roues des  pompes principaux et pompes a vide de la station P11/1
Changement des roulements, tresses et organes d’effectués de la station P11/1</t>
        </is>
      </c>
      <c r="I13" s="7" t="n">
        <v>26700</v>
      </c>
      <c r="J13" s="8" t="inlineStr">
        <is>
          <t>U</t>
        </is>
      </c>
      <c r="K13" s="9" t="n">
        <v>1</v>
      </c>
      <c r="L13" s="51" t="n"/>
      <c r="M13" s="52">
        <f>'S51'!M13+L13</f>
        <v/>
      </c>
      <c r="N13" s="53">
        <f>IFERROR(M13/K13,0)</f>
        <v/>
      </c>
      <c r="O13" s="54">
        <f>'S51'!N13</f>
        <v/>
      </c>
      <c r="P13" s="53">
        <f>N13-O13</f>
        <v/>
      </c>
      <c r="Q13" s="32" t="n"/>
      <c r="R13" s="32" t="n"/>
      <c r="S13" s="32" t="n"/>
      <c r="T13" s="55" t="n"/>
      <c r="U13" s="54">
        <f>'S51'!T13</f>
        <v/>
      </c>
      <c r="V13" s="53">
        <f>T13-U13</f>
        <v/>
      </c>
      <c r="W13" s="53">
        <f>N13-T13</f>
        <v/>
      </c>
      <c r="X13" s="34" t="n"/>
    </row>
    <row r="14" ht="22" customHeight="1">
      <c r="B14" s="10" t="n">
        <v>10</v>
      </c>
      <c r="C14" s="6" t="inlineStr">
        <is>
          <t>Sidi Kacem</t>
        </is>
      </c>
      <c r="D14" s="10" t="inlineStr">
        <is>
          <t>BIR TALEB</t>
        </is>
      </c>
      <c r="E14" s="10" t="inlineStr">
        <is>
          <t>50-21</t>
        </is>
      </c>
      <c r="F14" s="10" t="inlineStr">
        <is>
          <t>Entretien et réparation des stations de pompage</t>
        </is>
      </c>
      <c r="G14" s="10" t="inlineStr">
        <is>
          <t>Stabilisation Berge oued</t>
        </is>
      </c>
      <c r="H14" s="10" t="inlineStr">
        <is>
          <t>Pose de  gabions et recouvrement du talus par matelas Reno des stations de pompage P11/1.</t>
        </is>
      </c>
      <c r="I14" s="11" t="n">
        <v>480000</v>
      </c>
      <c r="J14" s="12" t="inlineStr">
        <is>
          <t>m³</t>
        </is>
      </c>
      <c r="K14" s="13" t="n">
        <v>320</v>
      </c>
      <c r="L14" s="51" t="n"/>
      <c r="M14" s="56">
        <f>'S51'!M14+L14</f>
        <v/>
      </c>
      <c r="N14" s="57">
        <f>IFERROR(M14/K14,0)</f>
        <v/>
      </c>
      <c r="O14" s="58">
        <f>'S51'!N14</f>
        <v/>
      </c>
      <c r="P14" s="57">
        <f>N14-O14</f>
        <v/>
      </c>
      <c r="Q14" s="32" t="n"/>
      <c r="R14" s="32" t="n"/>
      <c r="S14" s="32" t="n"/>
      <c r="T14" s="55" t="n"/>
      <c r="U14" s="58">
        <f>'S51'!T14</f>
        <v/>
      </c>
      <c r="V14" s="57">
        <f>T14-U14</f>
        <v/>
      </c>
      <c r="W14" s="57">
        <f>N14-T14</f>
        <v/>
      </c>
      <c r="X14" s="34" t="n"/>
    </row>
    <row r="15" ht="22" customHeight="1">
      <c r="B15" s="5" t="n">
        <v>11</v>
      </c>
      <c r="C15" s="6" t="inlineStr">
        <is>
          <t>Sidi Kacem</t>
        </is>
      </c>
      <c r="D15" s="5" t="inlineStr">
        <is>
          <t>BIR TALEB</t>
        </is>
      </c>
      <c r="E15" s="5" t="inlineStr">
        <is>
          <t>50-21</t>
        </is>
      </c>
      <c r="F15" s="5" t="inlineStr">
        <is>
          <t>Entretien et réparation des stations de pompage</t>
        </is>
      </c>
      <c r="G15" s="5" t="inlineStr">
        <is>
          <t>Génie civile des locaux des stations de pompage.</t>
        </is>
      </c>
      <c r="H15" s="5" t="inlineStr">
        <is>
          <t>Expertise d’état et d’étanchéité des locaux pompes.
Renforcement d’étanchéité des locaux pompe sous niveau des oueds des stations de pompage P11/1.
Entretien des supports en béton des conduites d’aspiration.</t>
        </is>
      </c>
      <c r="I15" s="7" t="n">
        <v>300000</v>
      </c>
      <c r="J15" s="8" t="inlineStr">
        <is>
          <t>U</t>
        </is>
      </c>
      <c r="K15" s="9" t="n">
        <v>1</v>
      </c>
      <c r="L15" s="51" t="n"/>
      <c r="M15" s="52">
        <f>'S51'!M15+L15</f>
        <v/>
      </c>
      <c r="N15" s="53">
        <f>IFERROR(M15/K15,0)</f>
        <v/>
      </c>
      <c r="O15" s="54">
        <f>'S51'!N15</f>
        <v/>
      </c>
      <c r="P15" s="53">
        <f>N15-O15</f>
        <v/>
      </c>
      <c r="Q15" s="32" t="n"/>
      <c r="R15" s="32" t="n"/>
      <c r="S15" s="32" t="n"/>
      <c r="T15" s="55" t="n"/>
      <c r="U15" s="54">
        <f>'S51'!T15</f>
        <v/>
      </c>
      <c r="V15" s="53">
        <f>T15-U15</f>
        <v/>
      </c>
      <c r="W15" s="53">
        <f>N15-T15</f>
        <v/>
      </c>
      <c r="X15" s="34" t="n"/>
    </row>
    <row r="16" ht="22" customHeight="1">
      <c r="B16" s="10" t="n">
        <v>12</v>
      </c>
      <c r="C16" s="6" t="inlineStr">
        <is>
          <t>Sidi Kacem</t>
        </is>
      </c>
      <c r="D16" s="10" t="inlineStr">
        <is>
          <t>CHEBANAT</t>
        </is>
      </c>
      <c r="E16" s="10" t="inlineStr">
        <is>
          <t>50-23</t>
        </is>
      </c>
      <c r="F16" s="10" t="inlineStr">
        <is>
          <t>Entretien et réparation du réseau d'assainissement et de drainage</t>
        </is>
      </c>
      <c r="G16" s="10" t="inlineStr">
        <is>
          <t>Travaux de curage des canaux en terre</t>
        </is>
      </c>
      <c r="H16" s="10" t="inlineStr">
        <is>
          <t>Curage des collecteurs d'assainissement des secteur SH5 et SH6.</t>
        </is>
      </c>
      <c r="I16" s="11" t="n">
        <v>1000000</v>
      </c>
      <c r="J16" s="12" t="inlineStr">
        <is>
          <t>ml</t>
        </is>
      </c>
      <c r="K16" s="13" t="n">
        <v>500</v>
      </c>
      <c r="L16" s="51" t="n"/>
      <c r="M16" s="56">
        <f>'S51'!M16+L16</f>
        <v/>
      </c>
      <c r="N16" s="57">
        <f>IFERROR(M16/K16,0)</f>
        <v/>
      </c>
      <c r="O16" s="58">
        <f>'S51'!N16</f>
        <v/>
      </c>
      <c r="P16" s="57">
        <f>N16-O16</f>
        <v/>
      </c>
      <c r="Q16" s="32" t="n"/>
      <c r="R16" s="32" t="n"/>
      <c r="S16" s="32" t="n"/>
      <c r="T16" s="55" t="n"/>
      <c r="U16" s="58">
        <f>'S51'!T16</f>
        <v/>
      </c>
      <c r="V16" s="57">
        <f>T16-U16</f>
        <v/>
      </c>
      <c r="W16" s="57">
        <f>N16-T16</f>
        <v/>
      </c>
      <c r="X16" s="34" t="n"/>
    </row>
    <row r="17" ht="22" customHeight="1">
      <c r="B17" s="5" t="n">
        <v>13</v>
      </c>
      <c r="C17" s="6" t="inlineStr">
        <is>
          <t>Sidi Kacem</t>
        </is>
      </c>
      <c r="D17" s="5" t="inlineStr">
        <is>
          <t>CHEBANAT</t>
        </is>
      </c>
      <c r="E17" s="5" t="inlineStr">
        <is>
          <t>50-23</t>
        </is>
      </c>
      <c r="F17" s="5" t="inlineStr">
        <is>
          <t>Entretien et réparation du réseau d'assainissement et de drainage</t>
        </is>
      </c>
      <c r="G17" s="5" t="inlineStr">
        <is>
          <t>Travaux de curage des canaux révetus</t>
        </is>
      </c>
      <c r="H17" s="5" t="inlineStr">
        <is>
          <t>Curage du canal principal d'irrigation beht partie aval 1.</t>
        </is>
      </c>
      <c r="I17" s="7" t="n">
        <v>739200</v>
      </c>
      <c r="J17" s="8" t="inlineStr">
        <is>
          <t>ml</t>
        </is>
      </c>
      <c r="K17" s="9" t="n">
        <v>370</v>
      </c>
      <c r="L17" s="51" t="n"/>
      <c r="M17" s="52">
        <f>'S51'!M17+L17</f>
        <v/>
      </c>
      <c r="N17" s="53">
        <f>IFERROR(M17/K17,0)</f>
        <v/>
      </c>
      <c r="O17" s="54">
        <f>'S51'!N17</f>
        <v/>
      </c>
      <c r="P17" s="53">
        <f>N17-O17</f>
        <v/>
      </c>
      <c r="Q17" s="32" t="n"/>
      <c r="R17" s="32" t="n"/>
      <c r="S17" s="32" t="n"/>
      <c r="T17" s="55" t="n"/>
      <c r="U17" s="54">
        <f>'S51'!T17</f>
        <v/>
      </c>
      <c r="V17" s="53">
        <f>T17-U17</f>
        <v/>
      </c>
      <c r="W17" s="53">
        <f>N17-T17</f>
        <v/>
      </c>
      <c r="X17" s="34" t="n"/>
    </row>
    <row r="18" ht="22" customHeight="1">
      <c r="B18" s="10" t="n">
        <v>14</v>
      </c>
      <c r="C18" s="6" t="inlineStr">
        <is>
          <t>Sidi Kacem</t>
        </is>
      </c>
      <c r="D18" s="10" t="inlineStr">
        <is>
          <t>ZIRARA</t>
        </is>
      </c>
      <c r="E18" s="10" t="inlineStr">
        <is>
          <t>50-23</t>
        </is>
      </c>
      <c r="F18" s="10" t="inlineStr">
        <is>
          <t>Entretien et réparation du réseau d'assainissement et de drainage</t>
        </is>
      </c>
      <c r="G18" s="10" t="inlineStr">
        <is>
          <t>Travaux de curage des canaux révetus</t>
        </is>
      </c>
      <c r="H18" s="10" t="inlineStr">
        <is>
          <t>Curage du canal principal d'irrigation beht partie aval 2.</t>
        </is>
      </c>
      <c r="I18" s="11" t="n">
        <v>1276800</v>
      </c>
      <c r="J18" s="12" t="inlineStr">
        <is>
          <t>ml</t>
        </is>
      </c>
      <c r="K18" s="13" t="n">
        <v>638</v>
      </c>
      <c r="L18" s="51" t="n"/>
      <c r="M18" s="56">
        <f>'S51'!M18+L18</f>
        <v/>
      </c>
      <c r="N18" s="57">
        <f>IFERROR(M18/K18,0)</f>
        <v/>
      </c>
      <c r="O18" s="58">
        <f>'S51'!N18</f>
        <v/>
      </c>
      <c r="P18" s="57">
        <f>N18-O18</f>
        <v/>
      </c>
      <c r="Q18" s="32" t="n"/>
      <c r="R18" s="32" t="n"/>
      <c r="S18" s="32" t="n"/>
      <c r="T18" s="55" t="n"/>
      <c r="U18" s="58">
        <f>'S51'!T18</f>
        <v/>
      </c>
      <c r="V18" s="57">
        <f>T18-U18</f>
        <v/>
      </c>
      <c r="W18" s="57">
        <f>N18-T18</f>
        <v/>
      </c>
      <c r="X18" s="34" t="n"/>
    </row>
    <row r="19" ht="22" customHeight="1">
      <c r="B19" s="5" t="n">
        <v>15</v>
      </c>
      <c r="C19" s="6" t="inlineStr">
        <is>
          <t>Sidi Kacem</t>
        </is>
      </c>
      <c r="D19" s="5" t="inlineStr">
        <is>
          <t>DAR LAASLOUJI</t>
        </is>
      </c>
      <c r="E19" s="5" t="inlineStr">
        <is>
          <t>50-23</t>
        </is>
      </c>
      <c r="F19" s="5" t="inlineStr">
        <is>
          <t>Entretien et réparation du réseau d'assainissement et de drainage</t>
        </is>
      </c>
      <c r="G19" s="5" t="inlineStr">
        <is>
          <t>Travaux de curage des canaux en terre</t>
        </is>
      </c>
      <c r="H19" s="5" t="inlineStr">
        <is>
          <t>Curage des collecteurs d'assainissement des secteurs P8-1 et P8-2</t>
        </is>
      </c>
      <c r="I19" s="7" t="n">
        <v>5796360</v>
      </c>
      <c r="J19" s="8" t="inlineStr">
        <is>
          <t>ml</t>
        </is>
      </c>
      <c r="K19" s="9" t="n">
        <v>2898</v>
      </c>
      <c r="L19" s="51" t="n"/>
      <c r="M19" s="52">
        <f>'S51'!M19+L19</f>
        <v/>
      </c>
      <c r="N19" s="53">
        <f>IFERROR(M19/K19,0)</f>
        <v/>
      </c>
      <c r="O19" s="54">
        <f>'S51'!N19</f>
        <v/>
      </c>
      <c r="P19" s="53">
        <f>N19-O19</f>
        <v/>
      </c>
      <c r="Q19" s="32" t="n"/>
      <c r="R19" s="32" t="n"/>
      <c r="S19" s="32" t="n"/>
      <c r="T19" s="55" t="n"/>
      <c r="U19" s="54">
        <f>'S51'!T19</f>
        <v/>
      </c>
      <c r="V19" s="53">
        <f>T19-U19</f>
        <v/>
      </c>
      <c r="W19" s="53">
        <f>N19-T19</f>
        <v/>
      </c>
      <c r="X19" s="34" t="n"/>
    </row>
    <row r="20" ht="22" customHeight="1">
      <c r="B20" s="10" t="n">
        <v>16</v>
      </c>
      <c r="C20" s="6" t="inlineStr">
        <is>
          <t>Sidi Kacem</t>
        </is>
      </c>
      <c r="D20" s="10" t="inlineStr">
        <is>
          <t>DAR LAASLOUJI</t>
        </is>
      </c>
      <c r="E20" s="10" t="inlineStr">
        <is>
          <t>40-21</t>
        </is>
      </c>
      <c r="F20" s="10" t="inlineStr">
        <is>
          <t>Travaux de pistes</t>
        </is>
      </c>
      <c r="G20" s="10" t="inlineStr">
        <is>
          <t>Entretien des pistes agricoles</t>
        </is>
      </c>
      <c r="H20" s="10" t="inlineStr">
        <is>
          <t>Entretien des pistes agricoles</t>
        </is>
      </c>
      <c r="I20" s="11" t="n">
        <v>340000</v>
      </c>
      <c r="J20" s="12" t="inlineStr">
        <is>
          <t>km</t>
        </is>
      </c>
      <c r="K20" s="13" t="n">
        <v>1</v>
      </c>
      <c r="L20" s="51" t="n"/>
      <c r="M20" s="56">
        <f>'S51'!M20+L20</f>
        <v/>
      </c>
      <c r="N20" s="57">
        <f>IFERROR(M20/K20,0)</f>
        <v/>
      </c>
      <c r="O20" s="58">
        <f>'S51'!N20</f>
        <v/>
      </c>
      <c r="P20" s="57">
        <f>N20-O20</f>
        <v/>
      </c>
      <c r="Q20" s="32" t="n"/>
      <c r="R20" s="32" t="n"/>
      <c r="S20" s="32" t="n"/>
      <c r="T20" s="55" t="n"/>
      <c r="U20" s="58">
        <f>'S51'!T20</f>
        <v/>
      </c>
      <c r="V20" s="57">
        <f>T20-U20</f>
        <v/>
      </c>
      <c r="W20" s="57">
        <f>N20-T20</f>
        <v/>
      </c>
      <c r="X20" s="34" t="n"/>
    </row>
    <row r="21" ht="22" customHeight="1">
      <c r="B21" s="5" t="n">
        <v>17</v>
      </c>
      <c r="C21" s="6" t="inlineStr">
        <is>
          <t>Sidi Kacem</t>
        </is>
      </c>
      <c r="D21" s="5" t="inlineStr">
        <is>
          <t>HOUAFATE</t>
        </is>
      </c>
      <c r="E21" s="5" t="inlineStr">
        <is>
          <t>20-11</t>
        </is>
      </c>
      <c r="F21" s="5" t="inlineStr">
        <is>
          <t>Travaux de réhabilitation des équipements</t>
        </is>
      </c>
      <c r="G21" s="5" t="inlineStr">
        <is>
          <t>Travaux de réhabilitation des canaux portés d'irrigation</t>
        </is>
      </c>
      <c r="H21" s="5" t="inlineStr">
        <is>
          <t>Fourniture et de pose de canaux porté et accessoires du réseau S3 du secteur S13</t>
        </is>
      </c>
      <c r="I21" s="7" t="n">
        <v>397934</v>
      </c>
      <c r="J21" s="8" t="inlineStr">
        <is>
          <t>ml</t>
        </is>
      </c>
      <c r="K21" s="9" t="n">
        <v>133</v>
      </c>
      <c r="L21" s="51" t="n"/>
      <c r="M21" s="52">
        <f>'S51'!M21+L21</f>
        <v/>
      </c>
      <c r="N21" s="53">
        <f>IFERROR(M21/K21,0)</f>
        <v/>
      </c>
      <c r="O21" s="54">
        <f>'S51'!N21</f>
        <v/>
      </c>
      <c r="P21" s="53">
        <f>N21-O21</f>
        <v/>
      </c>
      <c r="Q21" s="32" t="n"/>
      <c r="R21" s="32" t="n"/>
      <c r="S21" s="32" t="n"/>
      <c r="T21" s="55" t="n"/>
      <c r="U21" s="54">
        <f>'S51'!T21</f>
        <v/>
      </c>
      <c r="V21" s="53">
        <f>T21-U21</f>
        <v/>
      </c>
      <c r="W21" s="53">
        <f>N21-T21</f>
        <v/>
      </c>
      <c r="X21" s="34" t="n"/>
    </row>
    <row r="22" ht="22" customHeight="1">
      <c r="B22" s="10" t="n">
        <v>18</v>
      </c>
      <c r="C22" s="6" t="inlineStr">
        <is>
          <t>Sidi Kacem</t>
        </is>
      </c>
      <c r="D22" s="10" t="inlineStr">
        <is>
          <t>HOUAFATE</t>
        </is>
      </c>
      <c r="E22" s="10" t="inlineStr">
        <is>
          <t>20-11</t>
        </is>
      </c>
      <c r="F22" s="10" t="inlineStr">
        <is>
          <t>Travaux de réhabilitation des équipements</t>
        </is>
      </c>
      <c r="G22" s="10" t="inlineStr"/>
      <c r="H22" s="10" t="inlineStr">
        <is>
          <t>Fourniture et de pose de canaux porté et accessoires du réseau T2S1 du secteur S13</t>
        </is>
      </c>
      <c r="I22" s="11" t="n">
        <v>207575</v>
      </c>
      <c r="J22" s="12" t="inlineStr">
        <is>
          <t>ml</t>
        </is>
      </c>
      <c r="K22" s="13" t="n">
        <v>69</v>
      </c>
      <c r="L22" s="51" t="n"/>
      <c r="M22" s="56">
        <f>'S51'!M22+L22</f>
        <v/>
      </c>
      <c r="N22" s="57">
        <f>IFERROR(M22/K22,0)</f>
        <v/>
      </c>
      <c r="O22" s="58">
        <f>'S51'!N22</f>
        <v/>
      </c>
      <c r="P22" s="57">
        <f>N22-O22</f>
        <v/>
      </c>
      <c r="Q22" s="32" t="n"/>
      <c r="R22" s="32" t="n"/>
      <c r="S22" s="32" t="n"/>
      <c r="T22" s="55" t="n"/>
      <c r="U22" s="58">
        <f>'S51'!T22</f>
        <v/>
      </c>
      <c r="V22" s="57">
        <f>T22-U22</f>
        <v/>
      </c>
      <c r="W22" s="57">
        <f>N22-T22</f>
        <v/>
      </c>
      <c r="X22" s="34" t="n"/>
    </row>
    <row r="23" ht="22" customHeight="1">
      <c r="B23" s="5" t="n">
        <v>19</v>
      </c>
      <c r="C23" s="6" t="inlineStr">
        <is>
          <t>Sidi Kacem</t>
        </is>
      </c>
      <c r="D23" s="5" t="inlineStr">
        <is>
          <t>HOUAFATE</t>
        </is>
      </c>
      <c r="E23" s="5" t="inlineStr">
        <is>
          <t>40-21</t>
        </is>
      </c>
      <c r="F23" s="5" t="inlineStr">
        <is>
          <t>Travaux de pistes</t>
        </is>
      </c>
      <c r="G23" s="5" t="inlineStr">
        <is>
          <t>Entretien des pistes agricoles</t>
        </is>
      </c>
      <c r="H23" s="5" t="inlineStr">
        <is>
          <t>Entretien des pistes agricoles</t>
        </is>
      </c>
      <c r="I23" s="7" t="n">
        <v>2200000</v>
      </c>
      <c r="J23" s="8" t="inlineStr">
        <is>
          <t>km</t>
        </is>
      </c>
      <c r="K23" s="9" t="n">
        <v>4</v>
      </c>
      <c r="L23" s="51" t="n"/>
      <c r="M23" s="52">
        <f>'S51'!M23+L23</f>
        <v/>
      </c>
      <c r="N23" s="53">
        <f>IFERROR(M23/K23,0)</f>
        <v/>
      </c>
      <c r="O23" s="54">
        <f>'S51'!N23</f>
        <v/>
      </c>
      <c r="P23" s="53">
        <f>N23-O23</f>
        <v/>
      </c>
      <c r="Q23" s="32" t="n"/>
      <c r="R23" s="32" t="n"/>
      <c r="S23" s="32" t="n"/>
      <c r="T23" s="55" t="n"/>
      <c r="U23" s="54">
        <f>'S51'!T23</f>
        <v/>
      </c>
      <c r="V23" s="53">
        <f>T23-U23</f>
        <v/>
      </c>
      <c r="W23" s="53">
        <f>N23-T23</f>
        <v/>
      </c>
      <c r="X23" s="34" t="n"/>
    </row>
    <row r="24" ht="22" customHeight="1">
      <c r="B24" s="10" t="n">
        <v>20</v>
      </c>
      <c r="C24" s="6" t="inlineStr">
        <is>
          <t>Sidi Kacem</t>
        </is>
      </c>
      <c r="D24" s="10" t="inlineStr">
        <is>
          <t>HOUAFATE</t>
        </is>
      </c>
      <c r="E24" s="10" t="inlineStr">
        <is>
          <t>50-23</t>
        </is>
      </c>
      <c r="F24" s="10" t="inlineStr">
        <is>
          <t>Entretien et réparation du réseau d'assainissement et de drainage</t>
        </is>
      </c>
      <c r="G24" s="10" t="inlineStr">
        <is>
          <t>Curage des prises sur l’oued, bâche d’aspiration et bassin de régulation.</t>
        </is>
      </c>
      <c r="H24" s="10" t="inlineStr">
        <is>
          <t>Curage des prises sur l’oued de la station de pompage S17 et S13.
Nettoyage des grilles de préfiltration des boues colmaté de la station de pompage S17 et S13.
Curage de la bâche d’aspiration de la station S17 et S13.</t>
        </is>
      </c>
      <c r="I24" s="11" t="n">
        <v>300000</v>
      </c>
      <c r="J24" s="12" t="inlineStr">
        <is>
          <t>ml</t>
        </is>
      </c>
      <c r="K24" s="13" t="n">
        <v>100</v>
      </c>
      <c r="L24" s="51" t="n"/>
      <c r="M24" s="56">
        <f>'S51'!M24+L24</f>
        <v/>
      </c>
      <c r="N24" s="57">
        <f>IFERROR(M24/K24,0)</f>
        <v/>
      </c>
      <c r="O24" s="58">
        <f>'S51'!N24</f>
        <v/>
      </c>
      <c r="P24" s="57">
        <f>N24-O24</f>
        <v/>
      </c>
      <c r="Q24" s="32" t="n"/>
      <c r="R24" s="32" t="n"/>
      <c r="S24" s="32" t="n"/>
      <c r="T24" s="55" t="n"/>
      <c r="U24" s="58">
        <f>'S51'!T24</f>
        <v/>
      </c>
      <c r="V24" s="57">
        <f>T24-U24</f>
        <v/>
      </c>
      <c r="W24" s="57">
        <f>N24-T24</f>
        <v/>
      </c>
      <c r="X24" s="34" t="n"/>
    </row>
    <row r="25" ht="22" customHeight="1">
      <c r="B25" s="5" t="n">
        <v>21</v>
      </c>
      <c r="C25" s="6" t="inlineStr">
        <is>
          <t>Sidi Kacem</t>
        </is>
      </c>
      <c r="D25" s="5" t="inlineStr">
        <is>
          <t>HOUAFATE</t>
        </is>
      </c>
      <c r="E25" s="5" t="inlineStr">
        <is>
          <t>50-21</t>
        </is>
      </c>
      <c r="F25" s="5" t="inlineStr">
        <is>
          <t>Entretien et réparation des stations de pompage</t>
        </is>
      </c>
      <c r="G25" s="5" t="inlineStr">
        <is>
          <t>Prestation de maintenance des débitmètres et leurs équipements annexes installés au niveau des station de pompage</t>
        </is>
      </c>
      <c r="H25" s="5" t="inlineStr">
        <is>
          <t>Changement trois débitmètre Ø 600mm inondés de la station de pompage S13.</t>
        </is>
      </c>
      <c r="I25" s="7" t="n">
        <v>250000</v>
      </c>
      <c r="J25" s="8" t="inlineStr">
        <is>
          <t>U</t>
        </is>
      </c>
      <c r="K25" s="9" t="n">
        <v>3</v>
      </c>
      <c r="L25" s="51" t="n"/>
      <c r="M25" s="52">
        <f>'S51'!M25+L25</f>
        <v/>
      </c>
      <c r="N25" s="53">
        <f>IFERROR(M25/K25,0)</f>
        <v/>
      </c>
      <c r="O25" s="54">
        <f>'S51'!N25</f>
        <v/>
      </c>
      <c r="P25" s="53">
        <f>N25-O25</f>
        <v/>
      </c>
      <c r="Q25" s="32" t="n"/>
      <c r="R25" s="32" t="n"/>
      <c r="S25" s="32" t="n"/>
      <c r="T25" s="55" t="n"/>
      <c r="U25" s="54">
        <f>'S51'!T25</f>
        <v/>
      </c>
      <c r="V25" s="53">
        <f>T25-U25</f>
        <v/>
      </c>
      <c r="W25" s="53">
        <f>N25-T25</f>
        <v/>
      </c>
      <c r="X25" s="34" t="n"/>
    </row>
    <row r="26" ht="22" customHeight="1">
      <c r="B26" s="10" t="n">
        <v>22</v>
      </c>
      <c r="C26" s="6" t="inlineStr">
        <is>
          <t>Sidi Kacem</t>
        </is>
      </c>
      <c r="D26" s="10" t="inlineStr">
        <is>
          <t>HOUAFATE</t>
        </is>
      </c>
      <c r="E26" s="10" t="inlineStr">
        <is>
          <t>50-21</t>
        </is>
      </c>
      <c r="F26" s="10" t="inlineStr">
        <is>
          <t>Entretien et réparation des stations de pompage</t>
        </is>
      </c>
      <c r="G26" s="10" t="inlineStr">
        <is>
          <t>Prestations de maintenance des moteurs électriques des stations de pompage.</t>
        </is>
      </c>
      <c r="H26" s="10" t="inlineStr">
        <is>
          <t>Révision des trois moteurs électriques 200 KW principaux de la station S13. 
Révision des deux moteurs électriques 5,5 KW groupes vide de la station S13.</t>
        </is>
      </c>
      <c r="I26" s="11" t="n">
        <v>25000</v>
      </c>
      <c r="J26" s="12" t="inlineStr">
        <is>
          <t>U</t>
        </is>
      </c>
      <c r="K26" s="13" t="n">
        <v>3</v>
      </c>
      <c r="L26" s="51" t="n"/>
      <c r="M26" s="56">
        <f>'S51'!M26+L26</f>
        <v/>
      </c>
      <c r="N26" s="57">
        <f>IFERROR(M26/K26,0)</f>
        <v/>
      </c>
      <c r="O26" s="58">
        <f>'S51'!N26</f>
        <v/>
      </c>
      <c r="P26" s="57">
        <f>N26-O26</f>
        <v/>
      </c>
      <c r="Q26" s="32" t="n"/>
      <c r="R26" s="32" t="n"/>
      <c r="S26" s="32" t="n"/>
      <c r="T26" s="55" t="n"/>
      <c r="U26" s="58">
        <f>'S51'!T26</f>
        <v/>
      </c>
      <c r="V26" s="57">
        <f>T26-U26</f>
        <v/>
      </c>
      <c r="W26" s="57">
        <f>N26-T26</f>
        <v/>
      </c>
      <c r="X26" s="34" t="n"/>
    </row>
    <row r="27" ht="22" customHeight="1">
      <c r="B27" s="5" t="n">
        <v>23</v>
      </c>
      <c r="C27" s="6" t="inlineStr">
        <is>
          <t>Sidi Kacem</t>
        </is>
      </c>
      <c r="D27" s="5" t="inlineStr">
        <is>
          <t>HOUAFATE</t>
        </is>
      </c>
      <c r="E27" s="5" t="inlineStr">
        <is>
          <t>50-21</t>
        </is>
      </c>
      <c r="F27" s="5" t="inlineStr">
        <is>
          <t>Entretien et réparation des stations de pompage</t>
        </is>
      </c>
      <c r="G27" s="5" t="inlineStr">
        <is>
          <t>Prestations de maintenance et de réparation mécanique des pompes et des groupes motopompes submersibles des stations de pompage.</t>
        </is>
      </c>
      <c r="H27" s="5" t="inlineStr">
        <is>
          <t>Démontage et expertise des roues des  pompes principaux et pompes a vide de la station S13.
Changement des roulements, tresses et organes d’effectués de la station S13.</t>
        </is>
      </c>
      <c r="I27" s="7" t="n">
        <v>38000</v>
      </c>
      <c r="J27" s="8" t="inlineStr">
        <is>
          <t>U</t>
        </is>
      </c>
      <c r="K27" s="9" t="n">
        <v>1</v>
      </c>
      <c r="L27" s="51" t="n"/>
      <c r="M27" s="52">
        <f>'S51'!M27+L27</f>
        <v/>
      </c>
      <c r="N27" s="53">
        <f>IFERROR(M27/K27,0)</f>
        <v/>
      </c>
      <c r="O27" s="54">
        <f>'S51'!N27</f>
        <v/>
      </c>
      <c r="P27" s="53">
        <f>N27-O27</f>
        <v/>
      </c>
      <c r="Q27" s="32" t="n"/>
      <c r="R27" s="32" t="n"/>
      <c r="S27" s="32" t="n"/>
      <c r="T27" s="55" t="n"/>
      <c r="U27" s="54">
        <f>'S51'!T27</f>
        <v/>
      </c>
      <c r="V27" s="53">
        <f>T27-U27</f>
        <v/>
      </c>
      <c r="W27" s="53">
        <f>N27-T27</f>
        <v/>
      </c>
      <c r="X27" s="34" t="n"/>
    </row>
    <row r="28" ht="22" customHeight="1">
      <c r="B28" s="10" t="n">
        <v>24</v>
      </c>
      <c r="C28" s="6" t="inlineStr">
        <is>
          <t>Sidi Kacem</t>
        </is>
      </c>
      <c r="D28" s="10" t="inlineStr">
        <is>
          <t>HOUAFATE</t>
        </is>
      </c>
      <c r="E28" s="10" t="inlineStr">
        <is>
          <t>50-21</t>
        </is>
      </c>
      <c r="F28" s="10" t="inlineStr">
        <is>
          <t>Entretien et réparation des stations de pompage</t>
        </is>
      </c>
      <c r="G28" s="10" t="inlineStr">
        <is>
          <t>Stabilisation Berge oued</t>
        </is>
      </c>
      <c r="H28" s="10" t="inlineStr">
        <is>
          <t>Pose de  gabions et recouvrement du talus par matelas Reno des stations de pompage S13.</t>
        </is>
      </c>
      <c r="I28" s="11" t="n">
        <v>10560000</v>
      </c>
      <c r="J28" s="12" t="inlineStr">
        <is>
          <t>m³</t>
        </is>
      </c>
      <c r="K28" s="13" t="n">
        <v>7040</v>
      </c>
      <c r="L28" s="51" t="n"/>
      <c r="M28" s="56">
        <f>'S51'!M28+L28</f>
        <v/>
      </c>
      <c r="N28" s="57">
        <f>IFERROR(M28/K28,0)</f>
        <v/>
      </c>
      <c r="O28" s="58">
        <f>'S51'!N28</f>
        <v/>
      </c>
      <c r="P28" s="57">
        <f>N28-O28</f>
        <v/>
      </c>
      <c r="Q28" s="32" t="n"/>
      <c r="R28" s="32" t="n"/>
      <c r="S28" s="32" t="n"/>
      <c r="T28" s="55" t="n"/>
      <c r="U28" s="58">
        <f>'S51'!T28</f>
        <v/>
      </c>
      <c r="V28" s="57">
        <f>T28-U28</f>
        <v/>
      </c>
      <c r="W28" s="57">
        <f>N28-T28</f>
        <v/>
      </c>
      <c r="X28" s="34" t="n"/>
    </row>
    <row r="29" ht="22" customHeight="1">
      <c r="B29" s="5" t="n">
        <v>25</v>
      </c>
      <c r="C29" s="6" t="inlineStr">
        <is>
          <t>Sidi Kacem</t>
        </is>
      </c>
      <c r="D29" s="5" t="inlineStr">
        <is>
          <t>HOUAFATE</t>
        </is>
      </c>
      <c r="E29" s="5" t="inlineStr">
        <is>
          <t>50-21</t>
        </is>
      </c>
      <c r="F29" s="5" t="inlineStr">
        <is>
          <t>Entretien et réparation des stations de pompage</t>
        </is>
      </c>
      <c r="G29" s="5" t="inlineStr">
        <is>
          <t>Mur clôture des stations de pompage.</t>
        </is>
      </c>
      <c r="H29" s="5" t="inlineStr">
        <is>
          <t>Stabilisation du sol et reconstruction des murs clôture (270m) cote oued de la station S17.</t>
        </is>
      </c>
      <c r="I29" s="7" t="n">
        <v>144000</v>
      </c>
      <c r="J29" s="8" t="inlineStr">
        <is>
          <t>ml</t>
        </is>
      </c>
      <c r="K29" s="9" t="n">
        <v>270</v>
      </c>
      <c r="L29" s="51" t="n"/>
      <c r="M29" s="52">
        <f>'S51'!M29+L29</f>
        <v/>
      </c>
      <c r="N29" s="53">
        <f>IFERROR(M29/K29,0)</f>
        <v/>
      </c>
      <c r="O29" s="54">
        <f>'S51'!N29</f>
        <v/>
      </c>
      <c r="P29" s="53">
        <f>N29-O29</f>
        <v/>
      </c>
      <c r="Q29" s="32" t="n"/>
      <c r="R29" s="32" t="n"/>
      <c r="S29" s="32" t="n"/>
      <c r="T29" s="55" t="n"/>
      <c r="U29" s="54">
        <f>'S51'!T29</f>
        <v/>
      </c>
      <c r="V29" s="53">
        <f>T29-U29</f>
        <v/>
      </c>
      <c r="W29" s="53">
        <f>N29-T29</f>
        <v/>
      </c>
      <c r="X29" s="34" t="n"/>
    </row>
    <row r="30" ht="22" customHeight="1">
      <c r="B30" s="10" t="n">
        <v>26</v>
      </c>
      <c r="C30" s="6" t="inlineStr">
        <is>
          <t>Sidi Kacem</t>
        </is>
      </c>
      <c r="D30" s="10" t="inlineStr">
        <is>
          <t>HOUAFATE</t>
        </is>
      </c>
      <c r="E30" s="10" t="inlineStr">
        <is>
          <t>50-21</t>
        </is>
      </c>
      <c r="F30" s="10" t="inlineStr">
        <is>
          <t>Entretien et réparation des stations de pompage</t>
        </is>
      </c>
      <c r="G30" s="10" t="inlineStr">
        <is>
          <t>Génie civile des locaux des stations de pompage.</t>
        </is>
      </c>
      <c r="H30" s="10" t="inlineStr">
        <is>
          <t>Expertise d’état et d’étanchéité des locaux pompes, commande, puissance des stations de pompage S17 et S13.
Renforcement d’étanchéité des locaux pompe sous niveau des oueds des stations de pompage S17 et S13.</t>
        </is>
      </c>
      <c r="I30" s="11" t="n">
        <v>800000</v>
      </c>
      <c r="J30" s="12" t="inlineStr">
        <is>
          <t>U</t>
        </is>
      </c>
      <c r="K30" s="13" t="n">
        <v>1</v>
      </c>
      <c r="L30" s="51" t="n"/>
      <c r="M30" s="56">
        <f>'S51'!M30+L30</f>
        <v/>
      </c>
      <c r="N30" s="57">
        <f>IFERROR(M30/K30,0)</f>
        <v/>
      </c>
      <c r="O30" s="58">
        <f>'S51'!N30</f>
        <v/>
      </c>
      <c r="P30" s="57">
        <f>N30-O30</f>
        <v/>
      </c>
      <c r="Q30" s="32" t="n"/>
      <c r="R30" s="32" t="n"/>
      <c r="S30" s="32" t="n"/>
      <c r="T30" s="55" t="n"/>
      <c r="U30" s="58">
        <f>'S51'!T30</f>
        <v/>
      </c>
      <c r="V30" s="57">
        <f>T30-U30</f>
        <v/>
      </c>
      <c r="W30" s="57">
        <f>N30-T30</f>
        <v/>
      </c>
      <c r="X30" s="34" t="n"/>
    </row>
    <row r="31" ht="22" customHeight="1">
      <c r="B31" s="5" t="n">
        <v>27</v>
      </c>
      <c r="C31" s="6" t="inlineStr">
        <is>
          <t>Sidi Kacem</t>
        </is>
      </c>
      <c r="D31" s="5" t="inlineStr">
        <is>
          <t>NOUIRAT</t>
        </is>
      </c>
      <c r="E31" s="5" t="inlineStr">
        <is>
          <t>50-23</t>
        </is>
      </c>
      <c r="F31" s="5" t="inlineStr">
        <is>
          <t>Entretien et réparation du réseau d'assainissement et de drainage</t>
        </is>
      </c>
      <c r="G31" s="5" t="inlineStr">
        <is>
          <t>Travaux de curage des canaux en terre</t>
        </is>
      </c>
      <c r="H31" s="5" t="inlineStr">
        <is>
          <t>Curage des collecteurs d'assainissement des secteurs EST1 et N5</t>
        </is>
      </c>
      <c r="I31" s="7" t="n">
        <v>1733306</v>
      </c>
      <c r="J31" s="8" t="inlineStr">
        <is>
          <t>ml</t>
        </is>
      </c>
      <c r="K31" s="9" t="n">
        <v>867</v>
      </c>
      <c r="L31" s="51" t="n"/>
      <c r="M31" s="52">
        <f>'S51'!M31+L31</f>
        <v/>
      </c>
      <c r="N31" s="53">
        <f>IFERROR(M31/K31,0)</f>
        <v/>
      </c>
      <c r="O31" s="54">
        <f>'S51'!N31</f>
        <v/>
      </c>
      <c r="P31" s="53">
        <f>N31-O31</f>
        <v/>
      </c>
      <c r="Q31" s="32" t="n"/>
      <c r="R31" s="32" t="n"/>
      <c r="S31" s="32" t="n"/>
      <c r="T31" s="55" t="n"/>
      <c r="U31" s="54">
        <f>'S51'!T31</f>
        <v/>
      </c>
      <c r="V31" s="53">
        <f>T31-U31</f>
        <v/>
      </c>
      <c r="W31" s="53">
        <f>N31-T31</f>
        <v/>
      </c>
      <c r="X31" s="34" t="n"/>
    </row>
    <row r="32" ht="22" customHeight="1">
      <c r="B32" s="10" t="n">
        <v>28</v>
      </c>
      <c r="C32" s="6" t="inlineStr">
        <is>
          <t>Sidi Kacem</t>
        </is>
      </c>
      <c r="D32" s="10" t="inlineStr">
        <is>
          <t>NOUIRAT</t>
        </is>
      </c>
      <c r="E32" s="10" t="inlineStr">
        <is>
          <t>40-21</t>
        </is>
      </c>
      <c r="F32" s="10" t="inlineStr">
        <is>
          <t>Travaux de pistes</t>
        </is>
      </c>
      <c r="G32" s="10" t="inlineStr">
        <is>
          <t>Entretien des pistes agricoles</t>
        </is>
      </c>
      <c r="H32" s="10" t="inlineStr">
        <is>
          <t>Entretien des pistes agricoles</t>
        </is>
      </c>
      <c r="I32" s="11" t="n">
        <v>670000</v>
      </c>
      <c r="J32" s="12" t="inlineStr">
        <is>
          <t>km</t>
        </is>
      </c>
      <c r="K32" s="13" t="n">
        <v>1</v>
      </c>
      <c r="L32" s="51" t="n"/>
      <c r="M32" s="56">
        <f>'S51'!M32+L32</f>
        <v/>
      </c>
      <c r="N32" s="57">
        <f>IFERROR(M32/K32,0)</f>
        <v/>
      </c>
      <c r="O32" s="58">
        <f>'S51'!N32</f>
        <v/>
      </c>
      <c r="P32" s="57">
        <f>N32-O32</f>
        <v/>
      </c>
      <c r="Q32" s="32" t="n"/>
      <c r="R32" s="32" t="n"/>
      <c r="S32" s="32" t="n"/>
      <c r="T32" s="55" t="n"/>
      <c r="U32" s="58">
        <f>'S51'!T32</f>
        <v/>
      </c>
      <c r="V32" s="57">
        <f>T32-U32</f>
        <v/>
      </c>
      <c r="W32" s="57">
        <f>N32-T32</f>
        <v/>
      </c>
      <c r="X32" s="34" t="n"/>
    </row>
    <row r="33" ht="22" customHeight="1">
      <c r="B33" s="5" t="n">
        <v>29</v>
      </c>
      <c r="C33" s="6" t="inlineStr">
        <is>
          <t>Sidi Kacem</t>
        </is>
      </c>
      <c r="D33" s="5" t="inlineStr">
        <is>
          <t>NOUIRAT</t>
        </is>
      </c>
      <c r="E33" s="5" t="inlineStr">
        <is>
          <t>20-11</t>
        </is>
      </c>
      <c r="F33" s="5" t="inlineStr">
        <is>
          <t>Travaux de réhabilitation des équipements</t>
        </is>
      </c>
      <c r="G33" s="5" t="inlineStr">
        <is>
          <t>Travaux de réhabilitation des ouvrages de génie civil</t>
        </is>
      </c>
      <c r="H33" s="5" t="inlineStr">
        <is>
          <t>Réhabilitation de l'ouvrage( genie civil ,gabiollannage,clapet anti retour et buse) de l'ouvrage de débouche SE1</t>
        </is>
      </c>
      <c r="I33" s="7" t="n">
        <v>2500000</v>
      </c>
      <c r="J33" s="8" t="inlineStr">
        <is>
          <t>U</t>
        </is>
      </c>
      <c r="K33" s="9" t="n">
        <v>5</v>
      </c>
      <c r="L33" s="51" t="n"/>
      <c r="M33" s="52">
        <f>'S51'!M33+L33</f>
        <v/>
      </c>
      <c r="N33" s="53">
        <f>IFERROR(M33/K33,0)</f>
        <v/>
      </c>
      <c r="O33" s="54">
        <f>'S51'!N33</f>
        <v/>
      </c>
      <c r="P33" s="53">
        <f>N33-O33</f>
        <v/>
      </c>
      <c r="Q33" s="32" t="n"/>
      <c r="R33" s="32" t="n"/>
      <c r="S33" s="32" t="n"/>
      <c r="T33" s="55" t="n"/>
      <c r="U33" s="54">
        <f>'S51'!T33</f>
        <v/>
      </c>
      <c r="V33" s="53">
        <f>T33-U33</f>
        <v/>
      </c>
      <c r="W33" s="53">
        <f>N33-T33</f>
        <v/>
      </c>
      <c r="X33" s="34" t="n"/>
    </row>
    <row r="34" ht="22" customHeight="1">
      <c r="B34" s="10" t="n">
        <v>30</v>
      </c>
      <c r="C34" s="6" t="inlineStr">
        <is>
          <t>Sidi Kacem</t>
        </is>
      </c>
      <c r="D34" s="10" t="inlineStr">
        <is>
          <t>NOUIRAT</t>
        </is>
      </c>
      <c r="E34" s="10" t="inlineStr">
        <is>
          <t>50-23</t>
        </is>
      </c>
      <c r="F34" s="10" t="inlineStr">
        <is>
          <t>Entretien et réparation du réseau d'assainissement et de drainage</t>
        </is>
      </c>
      <c r="G34" s="10" t="inlineStr">
        <is>
          <t>Curage des prises sur l’oued, bâche d’aspiration et bassin de régulation.</t>
        </is>
      </c>
      <c r="H34" s="10" t="inlineStr">
        <is>
          <t>Curage des prises sur l’oued de la station de pompage E1.
Nettoyage des grilles de préfiltration des boues colmaté de la station de pompage E1.
Curage de la bâche d’aspiration de la station E1.</t>
        </is>
      </c>
      <c r="I34" s="11" t="n">
        <v>800000</v>
      </c>
      <c r="J34" s="12" t="inlineStr">
        <is>
          <t>ml</t>
        </is>
      </c>
      <c r="K34" s="13" t="n">
        <v>267</v>
      </c>
      <c r="L34" s="51" t="n"/>
      <c r="M34" s="56">
        <f>'S51'!M34+L34</f>
        <v/>
      </c>
      <c r="N34" s="57">
        <f>IFERROR(M34/K34,0)</f>
        <v/>
      </c>
      <c r="O34" s="58">
        <f>'S51'!N34</f>
        <v/>
      </c>
      <c r="P34" s="57">
        <f>N34-O34</f>
        <v/>
      </c>
      <c r="Q34" s="32" t="n"/>
      <c r="R34" s="32" t="n"/>
      <c r="S34" s="32" t="n"/>
      <c r="T34" s="55" t="n"/>
      <c r="U34" s="58">
        <f>'S51'!T34</f>
        <v/>
      </c>
      <c r="V34" s="57">
        <f>T34-U34</f>
        <v/>
      </c>
      <c r="W34" s="57">
        <f>N34-T34</f>
        <v/>
      </c>
      <c r="X34" s="34" t="n"/>
    </row>
    <row r="35" ht="22" customHeight="1">
      <c r="B35" s="5" t="n">
        <v>31</v>
      </c>
      <c r="C35" s="6" t="inlineStr">
        <is>
          <t>Sidi Kacem</t>
        </is>
      </c>
      <c r="D35" s="5" t="inlineStr">
        <is>
          <t>NOUIRAT</t>
        </is>
      </c>
      <c r="E35" s="5" t="inlineStr">
        <is>
          <t>50-21</t>
        </is>
      </c>
      <c r="F35" s="5" t="inlineStr">
        <is>
          <t>Entretien et réparation des stations de pompage</t>
        </is>
      </c>
      <c r="G35" s="5" t="inlineStr">
        <is>
          <t>Prestation de maintenance des débitmètres et leurs équipements annexes installés au niveau des station de pompage</t>
        </is>
      </c>
      <c r="H35" s="5" t="inlineStr">
        <is>
          <t>Changement du débitmètre Ø 1200mm inondé de la station de pompage E1.</t>
        </is>
      </c>
      <c r="I35" s="7" t="n">
        <v>195000</v>
      </c>
      <c r="J35" s="8" t="inlineStr">
        <is>
          <t>U</t>
        </is>
      </c>
      <c r="K35" s="9" t="n">
        <v>2</v>
      </c>
      <c r="L35" s="51" t="n"/>
      <c r="M35" s="52">
        <f>'S51'!M35+L35</f>
        <v/>
      </c>
      <c r="N35" s="53">
        <f>IFERROR(M35/K35,0)</f>
        <v/>
      </c>
      <c r="O35" s="54">
        <f>'S51'!N35</f>
        <v/>
      </c>
      <c r="P35" s="53">
        <f>N35-O35</f>
        <v/>
      </c>
      <c r="Q35" s="32" t="n"/>
      <c r="R35" s="32" t="n"/>
      <c r="S35" s="32" t="n"/>
      <c r="T35" s="55" t="n"/>
      <c r="U35" s="54">
        <f>'S51'!T35</f>
        <v/>
      </c>
      <c r="V35" s="53">
        <f>T35-U35</f>
        <v/>
      </c>
      <c r="W35" s="53">
        <f>N35-T35</f>
        <v/>
      </c>
      <c r="X35" s="34" t="n"/>
    </row>
    <row r="36" ht="22" customHeight="1">
      <c r="B36" s="10" t="n">
        <v>32</v>
      </c>
      <c r="C36" s="6" t="inlineStr">
        <is>
          <t>Sidi Kacem</t>
        </is>
      </c>
      <c r="D36" s="10" t="inlineStr">
        <is>
          <t>NOUIRAT</t>
        </is>
      </c>
      <c r="E36" s="10" t="inlineStr">
        <is>
          <t>50-21</t>
        </is>
      </c>
      <c r="F36" s="10" t="inlineStr">
        <is>
          <t>Entretien et réparation des stations de pompage</t>
        </is>
      </c>
      <c r="G36" s="10" t="inlineStr">
        <is>
          <t>Prestations de maintenance des moteurs électriques des stations de pompage.</t>
        </is>
      </c>
      <c r="H36" s="10" t="inlineStr">
        <is>
          <t>Révision des deux moteurs électriques principaux de la station E1.</t>
        </is>
      </c>
      <c r="I36" s="11" t="n">
        <v>50000</v>
      </c>
      <c r="J36" s="12" t="inlineStr">
        <is>
          <t>U</t>
        </is>
      </c>
      <c r="K36" s="13" t="n">
        <v>2</v>
      </c>
      <c r="L36" s="51" t="n"/>
      <c r="M36" s="56">
        <f>'S51'!M36+L36</f>
        <v/>
      </c>
      <c r="N36" s="57">
        <f>IFERROR(M36/K36,0)</f>
        <v/>
      </c>
      <c r="O36" s="58">
        <f>'S51'!N36</f>
        <v/>
      </c>
      <c r="P36" s="57">
        <f>N36-O36</f>
        <v/>
      </c>
      <c r="Q36" s="32" t="n"/>
      <c r="R36" s="32" t="n"/>
      <c r="S36" s="32" t="n"/>
      <c r="T36" s="55" t="n"/>
      <c r="U36" s="58">
        <f>'S51'!T36</f>
        <v/>
      </c>
      <c r="V36" s="57">
        <f>T36-U36</f>
        <v/>
      </c>
      <c r="W36" s="57">
        <f>N36-T36</f>
        <v/>
      </c>
      <c r="X36" s="34" t="n"/>
    </row>
    <row r="37" ht="22" customHeight="1">
      <c r="B37" s="5" t="n">
        <v>33</v>
      </c>
      <c r="C37" s="6" t="inlineStr">
        <is>
          <t>Sidi Kacem</t>
        </is>
      </c>
      <c r="D37" s="5" t="inlineStr">
        <is>
          <t>NOUIRAT</t>
        </is>
      </c>
      <c r="E37" s="5" t="inlineStr">
        <is>
          <t>50-21</t>
        </is>
      </c>
      <c r="F37" s="5" t="inlineStr">
        <is>
          <t>Entretien et réparation des stations de pompage</t>
        </is>
      </c>
      <c r="G37" s="5" t="inlineStr">
        <is>
          <t>Prestations de maintenance et de réparation mécanique des pompes et des groupes motopompes submersibles des stations de pompage.</t>
        </is>
      </c>
      <c r="H37" s="5" t="inlineStr">
        <is>
          <t>Démontage et expertise des cinq pompes principaux et pompes a vide de la station E1.
Changement des roulements, tresses et organes d’effectués de la station E1.</t>
        </is>
      </c>
      <c r="I37" s="7" t="n">
        <v>245000</v>
      </c>
      <c r="J37" s="8" t="inlineStr">
        <is>
          <t>U</t>
        </is>
      </c>
      <c r="K37" s="9" t="n">
        <v>5</v>
      </c>
      <c r="L37" s="51" t="n"/>
      <c r="M37" s="52">
        <f>'S51'!M37+L37</f>
        <v/>
      </c>
      <c r="N37" s="53">
        <f>IFERROR(M37/K37,0)</f>
        <v/>
      </c>
      <c r="O37" s="54">
        <f>'S51'!N37</f>
        <v/>
      </c>
      <c r="P37" s="53">
        <f>N37-O37</f>
        <v/>
      </c>
      <c r="Q37" s="32" t="n"/>
      <c r="R37" s="32" t="n"/>
      <c r="S37" s="32" t="n"/>
      <c r="T37" s="55" t="n"/>
      <c r="U37" s="54">
        <f>'S51'!T37</f>
        <v/>
      </c>
      <c r="V37" s="53">
        <f>T37-U37</f>
        <v/>
      </c>
      <c r="W37" s="53">
        <f>N37-T37</f>
        <v/>
      </c>
      <c r="X37" s="34" t="n"/>
    </row>
    <row r="38" ht="22" customHeight="1">
      <c r="B38" s="10" t="n">
        <v>34</v>
      </c>
      <c r="C38" s="6" t="inlineStr">
        <is>
          <t>Sidi Kacem</t>
        </is>
      </c>
      <c r="D38" s="10" t="inlineStr">
        <is>
          <t>NOUIRAT</t>
        </is>
      </c>
      <c r="E38" s="10" t="inlineStr">
        <is>
          <t>50-21</t>
        </is>
      </c>
      <c r="F38" s="10" t="inlineStr">
        <is>
          <t>Entretien et réparation des stations de pompage</t>
        </is>
      </c>
      <c r="G38" s="10" t="inlineStr">
        <is>
          <t>Génie civile des locaux des stations de pompage.</t>
        </is>
      </c>
      <c r="H38" s="10" t="inlineStr">
        <is>
          <t>Expertise d’état et d’étanchéité des locaux pompes, commande, puissance de la station de pompage E1.
Renforcement d’étanchéité des locaux pompe sous niveau des oueds de la station de pompage E1.</t>
        </is>
      </c>
      <c r="I38" s="11" t="n">
        <v>1000000</v>
      </c>
      <c r="J38" s="12" t="inlineStr">
        <is>
          <t>U</t>
        </is>
      </c>
      <c r="K38" s="13" t="n">
        <v>1</v>
      </c>
      <c r="L38" s="51" t="n"/>
      <c r="M38" s="56">
        <f>'S51'!M38+L38</f>
        <v/>
      </c>
      <c r="N38" s="57">
        <f>IFERROR(M38/K38,0)</f>
        <v/>
      </c>
      <c r="O38" s="58">
        <f>'S51'!N38</f>
        <v/>
      </c>
      <c r="P38" s="57">
        <f>N38-O38</f>
        <v/>
      </c>
      <c r="Q38" s="32" t="n"/>
      <c r="R38" s="32" t="n"/>
      <c r="S38" s="32" t="n"/>
      <c r="T38" s="55" t="n"/>
      <c r="U38" s="58">
        <f>'S51'!T38</f>
        <v/>
      </c>
      <c r="V38" s="57">
        <f>T38-U38</f>
        <v/>
      </c>
      <c r="W38" s="57">
        <f>N38-T38</f>
        <v/>
      </c>
      <c r="X38" s="34" t="n"/>
    </row>
    <row r="39" ht="22" customHeight="1">
      <c r="B39" s="5" t="n">
        <v>35</v>
      </c>
      <c r="C39" s="6" t="inlineStr">
        <is>
          <t>Sidi Kacem</t>
        </is>
      </c>
      <c r="D39" s="5" t="inlineStr">
        <is>
          <t>RMILAT</t>
        </is>
      </c>
      <c r="E39" s="5" t="inlineStr">
        <is>
          <t>50-23</t>
        </is>
      </c>
      <c r="F39" s="5" t="inlineStr">
        <is>
          <t>Entretien et réparation du réseau d'assainissement et de drainage</t>
        </is>
      </c>
      <c r="G39" s="5" t="inlineStr">
        <is>
          <t>Travaux de curage des canaux en terre</t>
        </is>
      </c>
      <c r="H39" s="5" t="inlineStr">
        <is>
          <t>Curage des collecteurs d'assainissement des secteurs P7</t>
        </is>
      </c>
      <c r="I39" s="7" t="n">
        <v>5024032</v>
      </c>
      <c r="J39" s="8" t="inlineStr">
        <is>
          <t>ml</t>
        </is>
      </c>
      <c r="K39" s="9" t="n">
        <v>2512</v>
      </c>
      <c r="L39" s="51" t="n"/>
      <c r="M39" s="52">
        <f>'S51'!M39+L39</f>
        <v/>
      </c>
      <c r="N39" s="53">
        <f>IFERROR(M39/K39,0)</f>
        <v/>
      </c>
      <c r="O39" s="54">
        <f>'S51'!N39</f>
        <v/>
      </c>
      <c r="P39" s="53">
        <f>N39-O39</f>
        <v/>
      </c>
      <c r="Q39" s="32" t="n"/>
      <c r="R39" s="32" t="n"/>
      <c r="S39" s="32" t="n"/>
      <c r="T39" s="55" t="n"/>
      <c r="U39" s="54">
        <f>'S51'!T39</f>
        <v/>
      </c>
      <c r="V39" s="53">
        <f>T39-U39</f>
        <v/>
      </c>
      <c r="W39" s="53">
        <f>N39-T39</f>
        <v/>
      </c>
      <c r="X39" s="34" t="n"/>
    </row>
    <row r="40" ht="22" customHeight="1">
      <c r="B40" s="10" t="n">
        <v>36</v>
      </c>
      <c r="C40" s="6" t="inlineStr">
        <is>
          <t>Sidi Kacem</t>
        </is>
      </c>
      <c r="D40" s="10" t="inlineStr">
        <is>
          <t>RMILAT</t>
        </is>
      </c>
      <c r="E40" s="10" t="inlineStr">
        <is>
          <t>40-21</t>
        </is>
      </c>
      <c r="F40" s="10" t="inlineStr">
        <is>
          <t>Travaux de pistes</t>
        </is>
      </c>
      <c r="G40" s="10" t="inlineStr">
        <is>
          <t>Entretien des pistes agricoles</t>
        </is>
      </c>
      <c r="H40" s="10" t="inlineStr">
        <is>
          <t>Entretien des pistes agricoles</t>
        </is>
      </c>
      <c r="I40" s="11" t="n">
        <v>400000</v>
      </c>
      <c r="J40" s="12" t="inlineStr">
        <is>
          <t>km</t>
        </is>
      </c>
      <c r="K40" s="13" t="n">
        <v>1</v>
      </c>
      <c r="L40" s="51" t="n"/>
      <c r="M40" s="56">
        <f>'S51'!M40+L40</f>
        <v/>
      </c>
      <c r="N40" s="57">
        <f>IFERROR(M40/K40,0)</f>
        <v/>
      </c>
      <c r="O40" s="58">
        <f>'S51'!N40</f>
        <v/>
      </c>
      <c r="P40" s="57">
        <f>N40-O40</f>
        <v/>
      </c>
      <c r="Q40" s="32" t="n"/>
      <c r="R40" s="32" t="n"/>
      <c r="S40" s="32" t="n"/>
      <c r="T40" s="55" t="n"/>
      <c r="U40" s="58">
        <f>'S51'!T40</f>
        <v/>
      </c>
      <c r="V40" s="57">
        <f>T40-U40</f>
        <v/>
      </c>
      <c r="W40" s="57">
        <f>N40-T40</f>
        <v/>
      </c>
      <c r="X40" s="34" t="n"/>
    </row>
    <row r="41" ht="22" customHeight="1">
      <c r="B41" s="5" t="n">
        <v>37</v>
      </c>
      <c r="C41" s="6" t="inlineStr">
        <is>
          <t>Sidi Kacem</t>
        </is>
      </c>
      <c r="D41" s="5" t="inlineStr">
        <is>
          <t>SAFSAF</t>
        </is>
      </c>
      <c r="E41" s="5" t="inlineStr">
        <is>
          <t>50-23</t>
        </is>
      </c>
      <c r="F41" s="5" t="inlineStr">
        <is>
          <t>Entretien et réparation du réseau d'assainissement et de drainage</t>
        </is>
      </c>
      <c r="G41" s="5" t="inlineStr">
        <is>
          <t>Travaux de curage des canaux en terre</t>
        </is>
      </c>
      <c r="H41" s="5" t="inlineStr">
        <is>
          <t>Curage des collecteurs d'assainissement des secteurs S7, S9 et S11</t>
        </is>
      </c>
      <c r="I41" s="7" t="n">
        <v>6000000</v>
      </c>
      <c r="J41" s="8" t="inlineStr">
        <is>
          <t>ml</t>
        </is>
      </c>
      <c r="K41" s="9" t="n">
        <v>3000</v>
      </c>
      <c r="L41" s="51" t="n"/>
      <c r="M41" s="52">
        <f>'S51'!M41+L41</f>
        <v/>
      </c>
      <c r="N41" s="53">
        <f>IFERROR(M41/K41,0)</f>
        <v/>
      </c>
      <c r="O41" s="54">
        <f>'S51'!N41</f>
        <v/>
      </c>
      <c r="P41" s="53">
        <f>N41-O41</f>
        <v/>
      </c>
      <c r="Q41" s="32" t="n"/>
      <c r="R41" s="32" t="n"/>
      <c r="S41" s="32" t="n"/>
      <c r="T41" s="55" t="n"/>
      <c r="U41" s="54">
        <f>'S51'!T41</f>
        <v/>
      </c>
      <c r="V41" s="53">
        <f>T41-U41</f>
        <v/>
      </c>
      <c r="W41" s="53">
        <f>N41-T41</f>
        <v/>
      </c>
      <c r="X41" s="34" t="n"/>
    </row>
    <row r="42" ht="22" customHeight="1">
      <c r="B42" s="10" t="n">
        <v>38</v>
      </c>
      <c r="C42" s="6" t="inlineStr">
        <is>
          <t>Sidi Kacem</t>
        </is>
      </c>
      <c r="D42" s="10" t="inlineStr">
        <is>
          <t>SAFSAF</t>
        </is>
      </c>
      <c r="E42" s="10" t="inlineStr">
        <is>
          <t>20-11</t>
        </is>
      </c>
      <c r="F42" s="10" t="inlineStr">
        <is>
          <t>Travaux de réhabilitation des équipements</t>
        </is>
      </c>
      <c r="G42" s="10" t="inlineStr">
        <is>
          <t>Travaux de réhabilitation des canaux portés d'irrigation</t>
        </is>
      </c>
      <c r="H42" s="10" t="inlineStr">
        <is>
          <t>Fourniture et  pose de canaux porté et accessoires du réseau S4 du secteur S11</t>
        </is>
      </c>
      <c r="I42" s="11" t="n">
        <v>232266</v>
      </c>
      <c r="J42" s="12" t="inlineStr">
        <is>
          <t>ml</t>
        </is>
      </c>
      <c r="K42" s="13" t="n">
        <v>77</v>
      </c>
      <c r="L42" s="51" t="n"/>
      <c r="M42" s="56">
        <f>'S51'!M42+L42</f>
        <v/>
      </c>
      <c r="N42" s="57">
        <f>IFERROR(M42/K42,0)</f>
        <v/>
      </c>
      <c r="O42" s="58">
        <f>'S51'!N42</f>
        <v/>
      </c>
      <c r="P42" s="57">
        <f>N42-O42</f>
        <v/>
      </c>
      <c r="Q42" s="32" t="n"/>
      <c r="R42" s="32" t="n"/>
      <c r="S42" s="32" t="n"/>
      <c r="T42" s="55" t="n"/>
      <c r="U42" s="58">
        <f>'S51'!T42</f>
        <v/>
      </c>
      <c r="V42" s="57">
        <f>T42-U42</f>
        <v/>
      </c>
      <c r="W42" s="57">
        <f>N42-T42</f>
        <v/>
      </c>
      <c r="X42" s="34" t="n"/>
    </row>
    <row r="43" ht="22" customHeight="1">
      <c r="B43" s="5" t="n">
        <v>39</v>
      </c>
      <c r="C43" s="6" t="inlineStr">
        <is>
          <t>Sidi Kacem</t>
        </is>
      </c>
      <c r="D43" s="5" t="inlineStr">
        <is>
          <t>SAFSAF</t>
        </is>
      </c>
      <c r="E43" s="5" t="inlineStr">
        <is>
          <t>20-11</t>
        </is>
      </c>
      <c r="F43" s="5" t="inlineStr">
        <is>
          <t>Travaux de réhabilitation des équipements</t>
        </is>
      </c>
      <c r="G43" s="5" t="inlineStr"/>
      <c r="H43" s="5" t="inlineStr">
        <is>
          <t>Recalage des canaux portés du réseau T5S5 du secteur S9</t>
        </is>
      </c>
      <c r="I43" s="7" t="n">
        <v>1055025</v>
      </c>
      <c r="J43" s="8" t="inlineStr">
        <is>
          <t>ml</t>
        </is>
      </c>
      <c r="K43" s="9" t="n">
        <v>352</v>
      </c>
      <c r="L43" s="51" t="n"/>
      <c r="M43" s="52">
        <f>'S51'!M43+L43</f>
        <v/>
      </c>
      <c r="N43" s="53">
        <f>IFERROR(M43/K43,0)</f>
        <v/>
      </c>
      <c r="O43" s="54">
        <f>'S51'!N43</f>
        <v/>
      </c>
      <c r="P43" s="53">
        <f>N43-O43</f>
        <v/>
      </c>
      <c r="Q43" s="32" t="n"/>
      <c r="R43" s="32" t="n"/>
      <c r="S43" s="32" t="n"/>
      <c r="T43" s="55" t="n"/>
      <c r="U43" s="54">
        <f>'S51'!T43</f>
        <v/>
      </c>
      <c r="V43" s="53">
        <f>T43-U43</f>
        <v/>
      </c>
      <c r="W43" s="53">
        <f>N43-T43</f>
        <v/>
      </c>
      <c r="X43" s="34" t="n"/>
    </row>
    <row r="44" ht="22" customHeight="1">
      <c r="B44" s="10" t="n">
        <v>40</v>
      </c>
      <c r="C44" s="6" t="inlineStr">
        <is>
          <t>Sidi Kacem</t>
        </is>
      </c>
      <c r="D44" s="10" t="inlineStr">
        <is>
          <t>SAFSAF</t>
        </is>
      </c>
      <c r="E44" s="10" t="inlineStr">
        <is>
          <t>20-11</t>
        </is>
      </c>
      <c r="F44" s="10" t="inlineStr">
        <is>
          <t>Travaux de réhabilitation des équipements</t>
        </is>
      </c>
      <c r="G44" s="10" t="inlineStr"/>
      <c r="H44" s="10" t="inlineStr">
        <is>
          <t>Recalage des canaux portés du réseau T7S5 du secteur S9</t>
        </is>
      </c>
      <c r="I44" s="11" t="n">
        <v>1004535</v>
      </c>
      <c r="J44" s="12" t="inlineStr">
        <is>
          <t>ml</t>
        </is>
      </c>
      <c r="K44" s="13" t="n">
        <v>335</v>
      </c>
      <c r="L44" s="51" t="n"/>
      <c r="M44" s="56">
        <f>'S51'!M44+L44</f>
        <v/>
      </c>
      <c r="N44" s="57">
        <f>IFERROR(M44/K44,0)</f>
        <v/>
      </c>
      <c r="O44" s="58">
        <f>'S51'!N44</f>
        <v/>
      </c>
      <c r="P44" s="57">
        <f>N44-O44</f>
        <v/>
      </c>
      <c r="Q44" s="32" t="n"/>
      <c r="R44" s="32" t="n"/>
      <c r="S44" s="32" t="n"/>
      <c r="T44" s="55" t="n"/>
      <c r="U44" s="58">
        <f>'S51'!T44</f>
        <v/>
      </c>
      <c r="V44" s="57">
        <f>T44-U44</f>
        <v/>
      </c>
      <c r="W44" s="57">
        <f>N44-T44</f>
        <v/>
      </c>
      <c r="X44" s="34" t="n"/>
    </row>
    <row r="45" ht="22" customHeight="1">
      <c r="B45" s="5" t="n">
        <v>41</v>
      </c>
      <c r="C45" s="6" t="inlineStr">
        <is>
          <t>Sidi Kacem</t>
        </is>
      </c>
      <c r="D45" s="5" t="inlineStr">
        <is>
          <t>SAFSAF</t>
        </is>
      </c>
      <c r="E45" s="5" t="inlineStr">
        <is>
          <t>20-11</t>
        </is>
      </c>
      <c r="F45" s="5" t="inlineStr">
        <is>
          <t>Travaux de réhabilitation des équipements</t>
        </is>
      </c>
      <c r="G45" s="5" t="inlineStr"/>
      <c r="H45" s="5" t="inlineStr">
        <is>
          <t>Recalage des canaux portés du réseau T2S5 du secteur S9</t>
        </is>
      </c>
      <c r="I45" s="7" t="n">
        <v>793830</v>
      </c>
      <c r="J45" s="8" t="inlineStr">
        <is>
          <t>ml</t>
        </is>
      </c>
      <c r="K45" s="9" t="n">
        <v>265</v>
      </c>
      <c r="L45" s="51" t="n"/>
      <c r="M45" s="52">
        <f>'S51'!M45+L45</f>
        <v/>
      </c>
      <c r="N45" s="53">
        <f>IFERROR(M45/K45,0)</f>
        <v/>
      </c>
      <c r="O45" s="54">
        <f>'S51'!N45</f>
        <v/>
      </c>
      <c r="P45" s="53">
        <f>N45-O45</f>
        <v/>
      </c>
      <c r="Q45" s="32" t="n"/>
      <c r="R45" s="32" t="n"/>
      <c r="S45" s="32" t="n"/>
      <c r="T45" s="55" t="n"/>
      <c r="U45" s="54">
        <f>'S51'!T45</f>
        <v/>
      </c>
      <c r="V45" s="53">
        <f>T45-U45</f>
        <v/>
      </c>
      <c r="W45" s="53">
        <f>N45-T45</f>
        <v/>
      </c>
      <c r="X45" s="34" t="n"/>
    </row>
    <row r="46" ht="22" customHeight="1">
      <c r="B46" s="10" t="n">
        <v>42</v>
      </c>
      <c r="C46" s="6" t="inlineStr">
        <is>
          <t>Sidi Kacem</t>
        </is>
      </c>
      <c r="D46" s="10" t="inlineStr">
        <is>
          <t>SAFSAF</t>
        </is>
      </c>
      <c r="E46" s="10" t="inlineStr">
        <is>
          <t>40-21</t>
        </is>
      </c>
      <c r="F46" s="10" t="inlineStr">
        <is>
          <t>Travaux de pistes</t>
        </is>
      </c>
      <c r="G46" s="10" t="inlineStr">
        <is>
          <t>Entretien des pistes agricoles</t>
        </is>
      </c>
      <c r="H46" s="10" t="inlineStr">
        <is>
          <t>Entretien des pistes agricoles</t>
        </is>
      </c>
      <c r="I46" s="11" t="n">
        <v>2000000</v>
      </c>
      <c r="J46" s="12" t="inlineStr">
        <is>
          <t>km</t>
        </is>
      </c>
      <c r="K46" s="13" t="n">
        <v>4</v>
      </c>
      <c r="L46" s="51" t="n"/>
      <c r="M46" s="56">
        <f>'S51'!M46+L46</f>
        <v/>
      </c>
      <c r="N46" s="57">
        <f>IFERROR(M46/K46,0)</f>
        <v/>
      </c>
      <c r="O46" s="58">
        <f>'S51'!N46</f>
        <v/>
      </c>
      <c r="P46" s="57">
        <f>N46-O46</f>
        <v/>
      </c>
      <c r="Q46" s="32" t="n"/>
      <c r="R46" s="32" t="n"/>
      <c r="S46" s="32" t="n"/>
      <c r="T46" s="55" t="n"/>
      <c r="U46" s="58">
        <f>'S51'!T46</f>
        <v/>
      </c>
      <c r="V46" s="57">
        <f>T46-U46</f>
        <v/>
      </c>
      <c r="W46" s="57">
        <f>N46-T46</f>
        <v/>
      </c>
      <c r="X46" s="34" t="n"/>
    </row>
    <row r="47" ht="22" customHeight="1">
      <c r="B47" s="5" t="n">
        <v>43</v>
      </c>
      <c r="C47" s="6" t="inlineStr">
        <is>
          <t>Sidi Kacem</t>
        </is>
      </c>
      <c r="D47" s="5" t="inlineStr">
        <is>
          <t>SAFSAF</t>
        </is>
      </c>
      <c r="E47" s="5" t="inlineStr">
        <is>
          <t>50-23</t>
        </is>
      </c>
      <c r="F47" s="5" t="inlineStr">
        <is>
          <t>Entretien et réparation du réseau d'assainissement et de drainage</t>
        </is>
      </c>
      <c r="G47" s="5" t="inlineStr">
        <is>
          <t>Curage des prises sur l’oued, bâche d’aspiration et bassin de régulation.</t>
        </is>
      </c>
      <c r="H47" s="5" t="inlineStr">
        <is>
          <t>Curage des prises sur l’oued des stations de pompage S11, S9, 7D et 7B.
Nettoyage des grilles de préfiltration des boues colmaté des stations de pompage S11, S9, 7D et 7B.
Nettoyage des crépines des boues colmaté de station pompage 7D.
Curage des dalots et bâche d’aspiration des stations de pompage S11, S9, 7B.</t>
        </is>
      </c>
      <c r="I47" s="7" t="n">
        <v>200000</v>
      </c>
      <c r="J47" s="8" t="inlineStr">
        <is>
          <t>ml</t>
        </is>
      </c>
      <c r="K47" s="9" t="n">
        <v>67</v>
      </c>
      <c r="L47" s="51" t="n"/>
      <c r="M47" s="52">
        <f>'S51'!M47+L47</f>
        <v/>
      </c>
      <c r="N47" s="53">
        <f>IFERROR(M47/K47,0)</f>
        <v/>
      </c>
      <c r="O47" s="54">
        <f>'S51'!N47</f>
        <v/>
      </c>
      <c r="P47" s="53">
        <f>N47-O47</f>
        <v/>
      </c>
      <c r="Q47" s="32" t="n"/>
      <c r="R47" s="32" t="n"/>
      <c r="S47" s="32" t="n"/>
      <c r="T47" s="55" t="n"/>
      <c r="U47" s="54">
        <f>'S51'!T47</f>
        <v/>
      </c>
      <c r="V47" s="53">
        <f>T47-U47</f>
        <v/>
      </c>
      <c r="W47" s="53">
        <f>N47-T47</f>
        <v/>
      </c>
      <c r="X47" s="34" t="n"/>
    </row>
    <row r="48" ht="22" customHeight="1">
      <c r="B48" s="10" t="n">
        <v>44</v>
      </c>
      <c r="C48" s="6" t="inlineStr">
        <is>
          <t>Sidi Kacem</t>
        </is>
      </c>
      <c r="D48" s="10" t="inlineStr">
        <is>
          <t>SAFSAF</t>
        </is>
      </c>
      <c r="E48" s="10" t="inlineStr">
        <is>
          <t>50-21</t>
        </is>
      </c>
      <c r="F48" s="10" t="inlineStr">
        <is>
          <t>Entretien et réparation des stations de pompage</t>
        </is>
      </c>
      <c r="G48" s="10" t="inlineStr">
        <is>
          <t>Prestation de maintenance des débitmètres et leurs équipements annexes installés au niveau des station de pompage</t>
        </is>
      </c>
      <c r="H48" s="10" t="inlineStr">
        <is>
          <t>Changements Sept des débitmètres Ø 600mm inondé des deux stations de pompage S11 et S9.</t>
        </is>
      </c>
      <c r="I48" s="11" t="n">
        <v>580000</v>
      </c>
      <c r="J48" s="12" t="inlineStr">
        <is>
          <t>U</t>
        </is>
      </c>
      <c r="K48" s="13" t="n">
        <v>7</v>
      </c>
      <c r="L48" s="51" t="n"/>
      <c r="M48" s="56">
        <f>'S51'!M48+L48</f>
        <v/>
      </c>
      <c r="N48" s="57">
        <f>IFERROR(M48/K48,0)</f>
        <v/>
      </c>
      <c r="O48" s="58">
        <f>'S51'!N48</f>
        <v/>
      </c>
      <c r="P48" s="57">
        <f>N48-O48</f>
        <v/>
      </c>
      <c r="Q48" s="32" t="n"/>
      <c r="R48" s="32" t="n"/>
      <c r="S48" s="32" t="n"/>
      <c r="T48" s="55" t="n"/>
      <c r="U48" s="58">
        <f>'S51'!T48</f>
        <v/>
      </c>
      <c r="V48" s="57">
        <f>T48-U48</f>
        <v/>
      </c>
      <c r="W48" s="57">
        <f>N48-T48</f>
        <v/>
      </c>
      <c r="X48" s="34" t="n"/>
    </row>
    <row r="49" ht="22" customHeight="1">
      <c r="B49" s="5" t="n">
        <v>45</v>
      </c>
      <c r="C49" s="6" t="inlineStr">
        <is>
          <t>Sidi Kacem</t>
        </is>
      </c>
      <c r="D49" s="5" t="inlineStr">
        <is>
          <t>SAFSAF</t>
        </is>
      </c>
      <c r="E49" s="5" t="inlineStr">
        <is>
          <t>50-21</t>
        </is>
      </c>
      <c r="F49" s="5" t="inlineStr">
        <is>
          <t>Entretien et réparation des stations de pompage</t>
        </is>
      </c>
      <c r="G49" s="5" t="inlineStr">
        <is>
          <t>Stabilisation Berge oued</t>
        </is>
      </c>
      <c r="H49" s="5" t="inlineStr">
        <is>
          <t>Pose de murs en gabions et recouvrement du talus par matelas Reno des stations de pompage S11, S9, 7D et 7B .</t>
        </is>
      </c>
      <c r="I49" s="7" t="n">
        <v>4000000</v>
      </c>
      <c r="J49" s="8" t="inlineStr">
        <is>
          <t>m³</t>
        </is>
      </c>
      <c r="K49" s="9" t="n">
        <v>2667</v>
      </c>
      <c r="L49" s="51" t="n"/>
      <c r="M49" s="52">
        <f>'S51'!M49+L49</f>
        <v/>
      </c>
      <c r="N49" s="53">
        <f>IFERROR(M49/K49,0)</f>
        <v/>
      </c>
      <c r="O49" s="54">
        <f>'S51'!N49</f>
        <v/>
      </c>
      <c r="P49" s="53">
        <f>N49-O49</f>
        <v/>
      </c>
      <c r="Q49" s="32" t="n"/>
      <c r="R49" s="32" t="n"/>
      <c r="S49" s="32" t="n"/>
      <c r="T49" s="55" t="n"/>
      <c r="U49" s="54">
        <f>'S51'!T49</f>
        <v/>
      </c>
      <c r="V49" s="53">
        <f>T49-U49</f>
        <v/>
      </c>
      <c r="W49" s="53">
        <f>N49-T49</f>
        <v/>
      </c>
      <c r="X49" s="34" t="n"/>
    </row>
    <row r="50" ht="22" customHeight="1">
      <c r="B50" s="10" t="n">
        <v>46</v>
      </c>
      <c r="C50" s="6" t="inlineStr">
        <is>
          <t>Sidi Kacem</t>
        </is>
      </c>
      <c r="D50" s="10" t="inlineStr">
        <is>
          <t>SIDI AZZOUZ</t>
        </is>
      </c>
      <c r="E50" s="10" t="inlineStr">
        <is>
          <t>40-21</t>
        </is>
      </c>
      <c r="F50" s="10" t="inlineStr">
        <is>
          <t>Travaux de pistes</t>
        </is>
      </c>
      <c r="G50" s="10" t="inlineStr">
        <is>
          <t>Entretien des pistes agricoles</t>
        </is>
      </c>
      <c r="H50" s="10" t="inlineStr">
        <is>
          <t>Entretien des pistes agricoles</t>
        </is>
      </c>
      <c r="I50" s="11" t="n">
        <v>655000</v>
      </c>
      <c r="J50" s="12" t="inlineStr">
        <is>
          <t>km</t>
        </is>
      </c>
      <c r="K50" s="13" t="n">
        <v>1</v>
      </c>
      <c r="L50" s="51" t="n"/>
      <c r="M50" s="56">
        <f>'S51'!M50+L50</f>
        <v/>
      </c>
      <c r="N50" s="57">
        <f>IFERROR(M50/K50,0)</f>
        <v/>
      </c>
      <c r="O50" s="58">
        <f>'S51'!N50</f>
        <v/>
      </c>
      <c r="P50" s="57">
        <f>N50-O50</f>
        <v/>
      </c>
      <c r="Q50" s="32" t="n"/>
      <c r="R50" s="32" t="n"/>
      <c r="S50" s="32" t="n"/>
      <c r="T50" s="55" t="n"/>
      <c r="U50" s="58">
        <f>'S51'!T50</f>
        <v/>
      </c>
      <c r="V50" s="57">
        <f>T50-U50</f>
        <v/>
      </c>
      <c r="W50" s="57">
        <f>N50-T50</f>
        <v/>
      </c>
      <c r="X50" s="34" t="n"/>
    </row>
    <row r="51" ht="22" customHeight="1">
      <c r="B51" s="5" t="n">
        <v>47</v>
      </c>
      <c r="C51" s="6" t="inlineStr">
        <is>
          <t>Sidi Kacem</t>
        </is>
      </c>
      <c r="D51" s="5" t="inlineStr">
        <is>
          <t>SIDI EL KAMEL</t>
        </is>
      </c>
      <c r="E51" s="5" t="inlineStr">
        <is>
          <t>20-11</t>
        </is>
      </c>
      <c r="F51" s="5" t="inlineStr">
        <is>
          <t>Travaux de réhabilitation des équipements</t>
        </is>
      </c>
      <c r="G51" s="5" t="inlineStr">
        <is>
          <t>Travaux de réhabilitation des canaux portés d'irrigation</t>
        </is>
      </c>
      <c r="H51" s="5" t="inlineStr">
        <is>
          <t>Fourniture et de pose de canaux porté et accessoires du réseau SR4 du secteur S3R</t>
        </is>
      </c>
      <c r="I51" s="7" t="n">
        <v>5182920</v>
      </c>
      <c r="J51" s="8" t="inlineStr">
        <is>
          <t>ml</t>
        </is>
      </c>
      <c r="K51" s="9" t="n">
        <v>1728</v>
      </c>
      <c r="L51" s="51" t="n"/>
      <c r="M51" s="52">
        <f>'S51'!M51+L51</f>
        <v/>
      </c>
      <c r="N51" s="53">
        <f>IFERROR(M51/K51,0)</f>
        <v/>
      </c>
      <c r="O51" s="54">
        <f>'S51'!N51</f>
        <v/>
      </c>
      <c r="P51" s="53">
        <f>N51-O51</f>
        <v/>
      </c>
      <c r="Q51" s="32" t="n"/>
      <c r="R51" s="32" t="n"/>
      <c r="S51" s="32" t="n"/>
      <c r="T51" s="55" t="n"/>
      <c r="U51" s="54">
        <f>'S51'!T51</f>
        <v/>
      </c>
      <c r="V51" s="53">
        <f>T51-U51</f>
        <v/>
      </c>
      <c r="W51" s="53">
        <f>N51-T51</f>
        <v/>
      </c>
      <c r="X51" s="34" t="n"/>
    </row>
    <row r="52" ht="22" customHeight="1">
      <c r="B52" s="10" t="n">
        <v>48</v>
      </c>
      <c r="C52" s="6" t="inlineStr">
        <is>
          <t>Sidi Kacem</t>
        </is>
      </c>
      <c r="D52" s="10" t="inlineStr">
        <is>
          <t>SIDI EL KAMEL</t>
        </is>
      </c>
      <c r="E52" s="10" t="inlineStr">
        <is>
          <t>20-11</t>
        </is>
      </c>
      <c r="F52" s="10" t="inlineStr">
        <is>
          <t>Travaux de réhabilitation des équipements</t>
        </is>
      </c>
      <c r="G52" s="10" t="inlineStr"/>
      <c r="H52" s="10" t="inlineStr">
        <is>
          <t>Fourniture et de pose de canaux porté et accessoires du réseau SR6 du secteur S1RIZ</t>
        </is>
      </c>
      <c r="I52" s="11" t="n">
        <v>152818</v>
      </c>
      <c r="J52" s="12" t="inlineStr">
        <is>
          <t>ml</t>
        </is>
      </c>
      <c r="K52" s="13" t="n">
        <v>51</v>
      </c>
      <c r="L52" s="51" t="n"/>
      <c r="M52" s="56">
        <f>'S51'!M52+L52</f>
        <v/>
      </c>
      <c r="N52" s="57">
        <f>IFERROR(M52/K52,0)</f>
        <v/>
      </c>
      <c r="O52" s="58">
        <f>'S51'!N52</f>
        <v/>
      </c>
      <c r="P52" s="57">
        <f>N52-O52</f>
        <v/>
      </c>
      <c r="Q52" s="32" t="n"/>
      <c r="R52" s="32" t="n"/>
      <c r="S52" s="32" t="n"/>
      <c r="T52" s="55" t="n"/>
      <c r="U52" s="58">
        <f>'S51'!T52</f>
        <v/>
      </c>
      <c r="V52" s="57">
        <f>T52-U52</f>
        <v/>
      </c>
      <c r="W52" s="57">
        <f>N52-T52</f>
        <v/>
      </c>
      <c r="X52" s="34" t="n"/>
    </row>
    <row r="53" ht="22" customHeight="1">
      <c r="B53" s="5" t="n">
        <v>49</v>
      </c>
      <c r="C53" s="6" t="inlineStr">
        <is>
          <t>Sidi Kacem</t>
        </is>
      </c>
      <c r="D53" s="5" t="inlineStr">
        <is>
          <t>SIDI EL KAMEL</t>
        </is>
      </c>
      <c r="E53" s="5" t="inlineStr">
        <is>
          <t>20-11</t>
        </is>
      </c>
      <c r="F53" s="5" t="inlineStr">
        <is>
          <t>Travaux de réhabilitation des équipements</t>
        </is>
      </c>
      <c r="G53" s="5" t="inlineStr"/>
      <c r="H53" s="5" t="inlineStr">
        <is>
          <t>Recalage des canaux portés du réseau SR4 du secteur S3R</t>
        </is>
      </c>
      <c r="I53" s="7" t="n">
        <v>1418000</v>
      </c>
      <c r="J53" s="8" t="inlineStr">
        <is>
          <t>ml</t>
        </is>
      </c>
      <c r="K53" s="9" t="n">
        <v>473</v>
      </c>
      <c r="L53" s="51" t="n"/>
      <c r="M53" s="52">
        <f>'S51'!M53+L53</f>
        <v/>
      </c>
      <c r="N53" s="53">
        <f>IFERROR(M53/K53,0)</f>
        <v/>
      </c>
      <c r="O53" s="54">
        <f>'S51'!N53</f>
        <v/>
      </c>
      <c r="P53" s="53">
        <f>N53-O53</f>
        <v/>
      </c>
      <c r="Q53" s="32" t="n"/>
      <c r="R53" s="32" t="n"/>
      <c r="S53" s="32" t="n"/>
      <c r="T53" s="55" t="n"/>
      <c r="U53" s="54">
        <f>'S51'!T53</f>
        <v/>
      </c>
      <c r="V53" s="53">
        <f>T53-U53</f>
        <v/>
      </c>
      <c r="W53" s="53">
        <f>N53-T53</f>
        <v/>
      </c>
      <c r="X53" s="34" t="n"/>
    </row>
    <row r="54" ht="22" customHeight="1">
      <c r="B54" s="10" t="n">
        <v>50</v>
      </c>
      <c r="C54" s="6" t="inlineStr">
        <is>
          <t>Sidi Kacem</t>
        </is>
      </c>
      <c r="D54" s="10" t="inlineStr">
        <is>
          <t>SIDI EL KAMEL</t>
        </is>
      </c>
      <c r="E54" s="10" t="inlineStr">
        <is>
          <t>20-11</t>
        </is>
      </c>
      <c r="F54" s="10" t="inlineStr">
        <is>
          <t>Travaux de réhabilitation des équipements</t>
        </is>
      </c>
      <c r="G54" s="10" t="inlineStr">
        <is>
          <t>Travaux de réhabilitation des ouvrages de génie civil</t>
        </is>
      </c>
      <c r="H54" s="10" t="inlineStr">
        <is>
          <t>Réhabilitation des murs de soutènements des ouvrages de franchissements du canal d'assainissement CS3 secteur S3 et de l’ouvrage de franchissement du canal primaire d’irrigation du secteur S1R au niveau de la route provinciale P4234</t>
        </is>
      </c>
      <c r="I54" s="11" t="n">
        <v>800000</v>
      </c>
      <c r="J54" s="12" t="inlineStr">
        <is>
          <t>ml</t>
        </is>
      </c>
      <c r="K54" s="13" t="n">
        <v>400</v>
      </c>
      <c r="L54" s="51" t="n"/>
      <c r="M54" s="56">
        <f>'S51'!M54+L54</f>
        <v/>
      </c>
      <c r="N54" s="57">
        <f>IFERROR(M54/K54,0)</f>
        <v/>
      </c>
      <c r="O54" s="58">
        <f>'S51'!N54</f>
        <v/>
      </c>
      <c r="P54" s="57">
        <f>N54-O54</f>
        <v/>
      </c>
      <c r="Q54" s="32" t="n"/>
      <c r="R54" s="32" t="n"/>
      <c r="S54" s="32" t="n"/>
      <c r="T54" s="55" t="n"/>
      <c r="U54" s="58">
        <f>'S51'!T54</f>
        <v/>
      </c>
      <c r="V54" s="57">
        <f>T54-U54</f>
        <v/>
      </c>
      <c r="W54" s="57">
        <f>N54-T54</f>
        <v/>
      </c>
      <c r="X54" s="34" t="n"/>
    </row>
    <row r="55" ht="22" customHeight="1">
      <c r="B55" s="5" t="n">
        <v>51</v>
      </c>
      <c r="C55" s="6" t="inlineStr">
        <is>
          <t>Sidi Kacem</t>
        </is>
      </c>
      <c r="D55" s="5" t="inlineStr">
        <is>
          <t>SIDI EL KAMEL</t>
        </is>
      </c>
      <c r="E55" s="5" t="inlineStr">
        <is>
          <t>40-21</t>
        </is>
      </c>
      <c r="F55" s="5" t="inlineStr">
        <is>
          <t>Travaux de pistes</t>
        </is>
      </c>
      <c r="G55" s="5" t="inlineStr">
        <is>
          <t>Entretien des pistes agricoles</t>
        </is>
      </c>
      <c r="H55" s="5" t="inlineStr">
        <is>
          <t>Entretien des pistes agricoles</t>
        </is>
      </c>
      <c r="I55" s="7" t="n">
        <v>3700000</v>
      </c>
      <c r="J55" s="8" t="inlineStr">
        <is>
          <t>km</t>
        </is>
      </c>
      <c r="K55" s="9" t="n">
        <v>7</v>
      </c>
      <c r="L55" s="51" t="n"/>
      <c r="M55" s="52">
        <f>'S51'!M55+L55</f>
        <v/>
      </c>
      <c r="N55" s="53">
        <f>IFERROR(M55/K55,0)</f>
        <v/>
      </c>
      <c r="O55" s="54">
        <f>'S51'!N55</f>
        <v/>
      </c>
      <c r="P55" s="53">
        <f>N55-O55</f>
        <v/>
      </c>
      <c r="Q55" s="32" t="n"/>
      <c r="R55" s="32" t="n"/>
      <c r="S55" s="32" t="n"/>
      <c r="T55" s="55" t="n"/>
      <c r="U55" s="54">
        <f>'S51'!T55</f>
        <v/>
      </c>
      <c r="V55" s="53">
        <f>T55-U55</f>
        <v/>
      </c>
      <c r="W55" s="53">
        <f>N55-T55</f>
        <v/>
      </c>
      <c r="X55" s="34" t="n"/>
    </row>
    <row r="56" ht="22" customHeight="1">
      <c r="B56" s="10" t="n">
        <v>52</v>
      </c>
      <c r="C56" s="6" t="inlineStr">
        <is>
          <t>Sidi Kacem</t>
        </is>
      </c>
      <c r="D56" s="10" t="inlineStr">
        <is>
          <t>SIDI EL KAMEL</t>
        </is>
      </c>
      <c r="E56" s="10" t="inlineStr">
        <is>
          <t>50-21</t>
        </is>
      </c>
      <c r="F56" s="10" t="inlineStr">
        <is>
          <t>Entretien et réparation des stations de pompage</t>
        </is>
      </c>
      <c r="G56" s="10" t="inlineStr">
        <is>
          <t>Prestation de maintenance des débitmètres et leurs équipements annexes installés au niveau des station de pompage</t>
        </is>
      </c>
      <c r="H56" s="10" t="inlineStr">
        <is>
          <t>Changement de quatre débitmètres Ø 500mm et trois Ø 800mm inondé des stations de pompage 1R, 3R et 5R.</t>
        </is>
      </c>
      <c r="I56" s="11" t="n">
        <v>705000</v>
      </c>
      <c r="J56" s="12" t="inlineStr">
        <is>
          <t>U</t>
        </is>
      </c>
      <c r="K56" s="13" t="n">
        <v>3</v>
      </c>
      <c r="L56" s="51" t="n"/>
      <c r="M56" s="56">
        <f>'S51'!M56+L56</f>
        <v/>
      </c>
      <c r="N56" s="57">
        <f>IFERROR(M56/K56,0)</f>
        <v/>
      </c>
      <c r="O56" s="58">
        <f>'S51'!N56</f>
        <v/>
      </c>
      <c r="P56" s="57">
        <f>N56-O56</f>
        <v/>
      </c>
      <c r="Q56" s="32" t="n"/>
      <c r="R56" s="32" t="n"/>
      <c r="S56" s="32" t="n"/>
      <c r="T56" s="55" t="n"/>
      <c r="U56" s="58">
        <f>'S51'!T56</f>
        <v/>
      </c>
      <c r="V56" s="57">
        <f>T56-U56</f>
        <v/>
      </c>
      <c r="W56" s="57">
        <f>N56-T56</f>
        <v/>
      </c>
      <c r="X56" s="34" t="n"/>
    </row>
    <row r="57" ht="22" customHeight="1">
      <c r="B57" s="5" t="n">
        <v>53</v>
      </c>
      <c r="C57" s="6" t="inlineStr">
        <is>
          <t>Sidi Kacem</t>
        </is>
      </c>
      <c r="D57" s="5" t="inlineStr">
        <is>
          <t>SIDI EL KAMEL</t>
        </is>
      </c>
      <c r="E57" s="5" t="inlineStr">
        <is>
          <t>50-21</t>
        </is>
      </c>
      <c r="F57" s="5" t="inlineStr">
        <is>
          <t>Entretien et réparation des stations de pompage</t>
        </is>
      </c>
      <c r="G57" s="5" t="inlineStr">
        <is>
          <t>Mur clôture des stations de pompage.</t>
        </is>
      </c>
      <c r="H57" s="5" t="inlineStr">
        <is>
          <t>Stabilisation et reconstruction des murs clôture cote oued des stations de pompage 7A, 3R et 1R.</t>
        </is>
      </c>
      <c r="I57" s="7" t="n">
        <v>372000</v>
      </c>
      <c r="J57" s="8" t="inlineStr">
        <is>
          <t>ml</t>
        </is>
      </c>
      <c r="K57" s="9" t="n">
        <v>124</v>
      </c>
      <c r="L57" s="51" t="n"/>
      <c r="M57" s="52">
        <f>'S51'!M57+L57</f>
        <v/>
      </c>
      <c r="N57" s="53">
        <f>IFERROR(M57/K57,0)</f>
        <v/>
      </c>
      <c r="O57" s="54">
        <f>'S51'!N57</f>
        <v/>
      </c>
      <c r="P57" s="53">
        <f>N57-O57</f>
        <v/>
      </c>
      <c r="Q57" s="32" t="n"/>
      <c r="R57" s="32" t="n"/>
      <c r="S57" s="32" t="n"/>
      <c r="T57" s="55" t="n"/>
      <c r="U57" s="54">
        <f>'S51'!T57</f>
        <v/>
      </c>
      <c r="V57" s="53">
        <f>T57-U57</f>
        <v/>
      </c>
      <c r="W57" s="53">
        <f>N57-T57</f>
        <v/>
      </c>
      <c r="X57" s="34" t="n"/>
    </row>
    <row r="58" ht="22" customHeight="1">
      <c r="B58" s="10" t="n">
        <v>54</v>
      </c>
      <c r="C58" s="14" t="inlineStr">
        <is>
          <t>Kénitra</t>
        </is>
      </c>
      <c r="D58" s="10" t="inlineStr">
        <is>
          <t>Bni malek</t>
        </is>
      </c>
      <c r="E58" s="10" t="inlineStr">
        <is>
          <t>50-23</t>
        </is>
      </c>
      <c r="F58" s="10" t="inlineStr">
        <is>
          <t>Entretien et réparation du réseau d'assainissement et de drainage</t>
        </is>
      </c>
      <c r="G58" s="10" t="inlineStr">
        <is>
          <t>Travaux de curage des canaux en terre</t>
        </is>
      </c>
      <c r="H58" s="10" t="inlineStr">
        <is>
          <t>Curage des emissaires et colatures secondaire au niveau des secteurs MDA ET N9</t>
        </is>
      </c>
      <c r="I58" s="11" t="n">
        <v>10000000</v>
      </c>
      <c r="J58" s="12" t="inlineStr">
        <is>
          <t>ml</t>
        </is>
      </c>
      <c r="K58" s="13" t="n">
        <v>5000</v>
      </c>
      <c r="L58" s="51" t="n"/>
      <c r="M58" s="56">
        <f>'S51'!M58+L58</f>
        <v/>
      </c>
      <c r="N58" s="57">
        <f>IFERROR(M58/K58,0)</f>
        <v/>
      </c>
      <c r="O58" s="58">
        <f>'S51'!N58</f>
        <v/>
      </c>
      <c r="P58" s="57">
        <f>N58-O58</f>
        <v/>
      </c>
      <c r="Q58" s="32" t="n"/>
      <c r="R58" s="32" t="n"/>
      <c r="S58" s="32" t="n"/>
      <c r="T58" s="55" t="n"/>
      <c r="U58" s="58">
        <f>'S51'!T58</f>
        <v/>
      </c>
      <c r="V58" s="57">
        <f>T58-U58</f>
        <v/>
      </c>
      <c r="W58" s="57">
        <f>N58-T58</f>
        <v/>
      </c>
      <c r="X58" s="34" t="n"/>
    </row>
    <row r="59" ht="22" customHeight="1">
      <c r="B59" s="5" t="n">
        <v>55</v>
      </c>
      <c r="C59" s="14" t="inlineStr">
        <is>
          <t>Kénitra</t>
        </is>
      </c>
      <c r="D59" s="5" t="inlineStr">
        <is>
          <t>Bni malek</t>
        </is>
      </c>
      <c r="E59" s="5" t="inlineStr">
        <is>
          <t>40-21</t>
        </is>
      </c>
      <c r="F59" s="5" t="inlineStr">
        <is>
          <t>Travaux de pistes</t>
        </is>
      </c>
      <c r="G59" s="5" t="inlineStr">
        <is>
          <t>Travaux de réhabilitation des pistes agricoles</t>
        </is>
      </c>
      <c r="H59" s="5" t="inlineStr">
        <is>
          <t>Entretien des pistes agricoles des secteurs MDA et N3</t>
        </is>
      </c>
      <c r="I59" s="7" t="n">
        <v>2000000</v>
      </c>
      <c r="J59" s="8" t="inlineStr">
        <is>
          <t>km</t>
        </is>
      </c>
      <c r="K59" s="9" t="n">
        <v>4</v>
      </c>
      <c r="L59" s="51" t="n"/>
      <c r="M59" s="52">
        <f>'S51'!M59+L59</f>
        <v/>
      </c>
      <c r="N59" s="53">
        <f>IFERROR(M59/K59,0)</f>
        <v/>
      </c>
      <c r="O59" s="54">
        <f>'S51'!N59</f>
        <v/>
      </c>
      <c r="P59" s="53">
        <f>N59-O59</f>
        <v/>
      </c>
      <c r="Q59" s="32" t="n"/>
      <c r="R59" s="32" t="n"/>
      <c r="S59" s="32" t="n"/>
      <c r="T59" s="55" t="n"/>
      <c r="U59" s="54">
        <f>'S51'!T59</f>
        <v/>
      </c>
      <c r="V59" s="53">
        <f>T59-U59</f>
        <v/>
      </c>
      <c r="W59" s="53">
        <f>N59-T59</f>
        <v/>
      </c>
      <c r="X59" s="34" t="n"/>
    </row>
    <row r="60" ht="22" customHeight="1">
      <c r="B60" s="10" t="n">
        <v>56</v>
      </c>
      <c r="C60" s="14" t="inlineStr">
        <is>
          <t>Kénitra</t>
        </is>
      </c>
      <c r="D60" s="10" t="inlineStr">
        <is>
          <t>Bni malek</t>
        </is>
      </c>
      <c r="E60" s="10" t="inlineStr">
        <is>
          <t>50-21</t>
        </is>
      </c>
      <c r="F60" s="10" t="inlineStr">
        <is>
          <t>Entretien et réparation des stations de pompage</t>
        </is>
      </c>
      <c r="G60" s="10" t="inlineStr">
        <is>
          <t>Prestations de maintenance et de réparation mécanique des pompes et des groupes motopompes submersibles des stations de pompage.</t>
        </is>
      </c>
      <c r="H60" s="10" t="inlineStr">
        <is>
          <t>station de pompage MDA secteur MDA</t>
        </is>
      </c>
      <c r="I60" s="11" t="n">
        <v>300000</v>
      </c>
      <c r="J60" s="12" t="inlineStr">
        <is>
          <t>U</t>
        </is>
      </c>
      <c r="K60" s="13" t="n">
        <v>1</v>
      </c>
      <c r="L60" s="51" t="n"/>
      <c r="M60" s="56">
        <f>'S51'!M60+L60</f>
        <v/>
      </c>
      <c r="N60" s="57">
        <f>IFERROR(M60/K60,0)</f>
        <v/>
      </c>
      <c r="O60" s="58">
        <f>'S51'!N60</f>
        <v/>
      </c>
      <c r="P60" s="57">
        <f>N60-O60</f>
        <v/>
      </c>
      <c r="Q60" s="32" t="n"/>
      <c r="R60" s="32" t="n"/>
      <c r="S60" s="32" t="n"/>
      <c r="T60" s="55" t="n"/>
      <c r="U60" s="58">
        <f>'S51'!T60</f>
        <v/>
      </c>
      <c r="V60" s="57">
        <f>T60-U60</f>
        <v/>
      </c>
      <c r="W60" s="57">
        <f>N60-T60</f>
        <v/>
      </c>
      <c r="X60" s="34" t="n"/>
    </row>
    <row r="61" ht="22" customHeight="1">
      <c r="B61" s="5" t="n">
        <v>57</v>
      </c>
      <c r="C61" s="14" t="inlineStr">
        <is>
          <t>Kénitra</t>
        </is>
      </c>
      <c r="D61" s="5" t="inlineStr">
        <is>
          <t>Bni malek</t>
        </is>
      </c>
      <c r="E61" s="5" t="inlineStr">
        <is>
          <t>20-11</t>
        </is>
      </c>
      <c r="F61" s="5" t="inlineStr">
        <is>
          <t>Travaux de réhabilitation des équipements</t>
        </is>
      </c>
      <c r="G61" s="5" t="inlineStr">
        <is>
          <t>Travaux de réhabilitation des ouvrages de génie civil</t>
        </is>
      </c>
      <c r="H61" s="5" t="inlineStr">
        <is>
          <t>Rétablissement des bornes affaissées des secteurs N2 et N3</t>
        </is>
      </c>
      <c r="I61" s="7" t="n">
        <v>100000</v>
      </c>
      <c r="J61" s="8" t="inlineStr">
        <is>
          <t>U</t>
        </is>
      </c>
      <c r="K61" s="9" t="n">
        <v>200</v>
      </c>
      <c r="L61" s="51" t="n"/>
      <c r="M61" s="52">
        <f>'S51'!M61+L61</f>
        <v/>
      </c>
      <c r="N61" s="53">
        <f>IFERROR(M61/K61,0)</f>
        <v/>
      </c>
      <c r="O61" s="54">
        <f>'S51'!N61</f>
        <v/>
      </c>
      <c r="P61" s="53">
        <f>N61-O61</f>
        <v/>
      </c>
      <c r="Q61" s="32" t="n"/>
      <c r="R61" s="32" t="n"/>
      <c r="S61" s="32" t="n"/>
      <c r="T61" s="55" t="n"/>
      <c r="U61" s="54">
        <f>'S51'!T61</f>
        <v/>
      </c>
      <c r="V61" s="53">
        <f>T61-U61</f>
        <v/>
      </c>
      <c r="W61" s="53">
        <f>N61-T61</f>
        <v/>
      </c>
      <c r="X61" s="34" t="n"/>
    </row>
    <row r="62" ht="22" customHeight="1">
      <c r="B62" s="10" t="n">
        <v>58</v>
      </c>
      <c r="C62" s="14" t="inlineStr">
        <is>
          <t>Kénitra</t>
        </is>
      </c>
      <c r="D62" s="10" t="inlineStr">
        <is>
          <t>SOUK TLET</t>
        </is>
      </c>
      <c r="E62" s="10" t="inlineStr">
        <is>
          <t>50-23</t>
        </is>
      </c>
      <c r="F62" s="10" t="inlineStr">
        <is>
          <t>Entretien et réparation du réseau d'assainissement et de drainage</t>
        </is>
      </c>
      <c r="G62" s="10" t="inlineStr">
        <is>
          <t>Travaux de curage des canaux en terre</t>
        </is>
      </c>
      <c r="H62" s="10" t="inlineStr">
        <is>
          <t>curage des emissaires et colatures secondaire au niveau des secteurs N2,N3 ET N4,</t>
        </is>
      </c>
      <c r="I62" s="11" t="n">
        <v>3000000</v>
      </c>
      <c r="J62" s="12" t="inlineStr">
        <is>
          <t>ml</t>
        </is>
      </c>
      <c r="K62" s="13" t="n">
        <v>1500</v>
      </c>
      <c r="L62" s="51" t="n"/>
      <c r="M62" s="56">
        <f>'S51'!M62+L62</f>
        <v/>
      </c>
      <c r="N62" s="57">
        <f>IFERROR(M62/K62,0)</f>
        <v/>
      </c>
      <c r="O62" s="58">
        <f>'S51'!N62</f>
        <v/>
      </c>
      <c r="P62" s="57">
        <f>N62-O62</f>
        <v/>
      </c>
      <c r="Q62" s="32" t="n"/>
      <c r="R62" s="32" t="n"/>
      <c r="S62" s="32" t="n"/>
      <c r="T62" s="55" t="n"/>
      <c r="U62" s="58">
        <f>'S51'!T62</f>
        <v/>
      </c>
      <c r="V62" s="57">
        <f>T62-U62</f>
        <v/>
      </c>
      <c r="W62" s="57">
        <f>N62-T62</f>
        <v/>
      </c>
      <c r="X62" s="34" t="n"/>
    </row>
    <row r="63" ht="22" customHeight="1">
      <c r="B63" s="5" t="n">
        <v>59</v>
      </c>
      <c r="C63" s="14" t="inlineStr">
        <is>
          <t>Kénitra</t>
        </is>
      </c>
      <c r="D63" s="5" t="inlineStr">
        <is>
          <t>SOUK TLET</t>
        </is>
      </c>
      <c r="E63" s="5" t="inlineStr">
        <is>
          <t>40-21</t>
        </is>
      </c>
      <c r="F63" s="5" t="inlineStr">
        <is>
          <t>Travaux de pistes</t>
        </is>
      </c>
      <c r="G63" s="5" t="inlineStr">
        <is>
          <t>Travaux de réhabilitation des pistes agricoles</t>
        </is>
      </c>
      <c r="H63" s="5" t="inlineStr">
        <is>
          <t>Entretien des pistes des secteurs N2,N3,N4 et C4R,</t>
        </is>
      </c>
      <c r="I63" s="7" t="n">
        <v>5000000</v>
      </c>
      <c r="J63" s="8" t="inlineStr">
        <is>
          <t>U</t>
        </is>
      </c>
      <c r="K63" s="9" t="n">
        <v>1</v>
      </c>
      <c r="L63" s="51" t="n"/>
      <c r="M63" s="52">
        <f>'S51'!M63+L63</f>
        <v/>
      </c>
      <c r="N63" s="53">
        <f>IFERROR(M63/K63,0)</f>
        <v/>
      </c>
      <c r="O63" s="54">
        <f>'S51'!N63</f>
        <v/>
      </c>
      <c r="P63" s="53">
        <f>N63-O63</f>
        <v/>
      </c>
      <c r="Q63" s="32" t="n"/>
      <c r="R63" s="32" t="n"/>
      <c r="S63" s="32" t="n"/>
      <c r="T63" s="55" t="n"/>
      <c r="U63" s="54">
        <f>'S51'!T63</f>
        <v/>
      </c>
      <c r="V63" s="53">
        <f>T63-U63</f>
        <v/>
      </c>
      <c r="W63" s="53">
        <f>N63-T63</f>
        <v/>
      </c>
      <c r="X63" s="34" t="n"/>
    </row>
    <row r="64" ht="22" customHeight="1">
      <c r="B64" s="10" t="n">
        <v>60</v>
      </c>
      <c r="C64" s="14" t="inlineStr">
        <is>
          <t>Kénitra</t>
        </is>
      </c>
      <c r="D64" s="10" t="inlineStr">
        <is>
          <t>Sidi Med Lahmar</t>
        </is>
      </c>
      <c r="E64" s="10" t="inlineStr">
        <is>
          <t>50-23</t>
        </is>
      </c>
      <c r="F64" s="10" t="inlineStr">
        <is>
          <t>Entretien et réparation du réseau d'assainissement et de drainage</t>
        </is>
      </c>
      <c r="G64" s="10" t="inlineStr">
        <is>
          <t>Travaux de curage des canaux en terre</t>
        </is>
      </c>
      <c r="H64" s="10" t="inlineStr">
        <is>
          <t>Curage des emissaires et colatures secondaires secteurs N1</t>
        </is>
      </c>
      <c r="I64" s="11" t="n">
        <v>3000000</v>
      </c>
      <c r="J64" s="12" t="inlineStr">
        <is>
          <t>ml</t>
        </is>
      </c>
      <c r="K64" s="13" t="n">
        <v>1500</v>
      </c>
      <c r="L64" s="51" t="n"/>
      <c r="M64" s="56">
        <f>'S51'!M64+L64</f>
        <v/>
      </c>
      <c r="N64" s="57">
        <f>IFERROR(M64/K64,0)</f>
        <v/>
      </c>
      <c r="O64" s="58">
        <f>'S51'!N64</f>
        <v/>
      </c>
      <c r="P64" s="57">
        <f>N64-O64</f>
        <v/>
      </c>
      <c r="Q64" s="32" t="n"/>
      <c r="R64" s="32" t="n"/>
      <c r="S64" s="32" t="n"/>
      <c r="T64" s="55" t="n"/>
      <c r="U64" s="58">
        <f>'S51'!T64</f>
        <v/>
      </c>
      <c r="V64" s="57">
        <f>T64-U64</f>
        <v/>
      </c>
      <c r="W64" s="57">
        <f>N64-T64</f>
        <v/>
      </c>
      <c r="X64" s="34" t="n"/>
    </row>
    <row r="65" ht="22" customHeight="1">
      <c r="B65" s="5" t="n">
        <v>61</v>
      </c>
      <c r="C65" s="14" t="inlineStr">
        <is>
          <t>Kénitra</t>
        </is>
      </c>
      <c r="D65" s="5" t="inlineStr">
        <is>
          <t>Sidi Med Lahmar</t>
        </is>
      </c>
      <c r="E65" s="5" t="inlineStr">
        <is>
          <t>40-21</t>
        </is>
      </c>
      <c r="F65" s="5" t="inlineStr">
        <is>
          <t>Travaux de pistes</t>
        </is>
      </c>
      <c r="G65" s="5" t="inlineStr">
        <is>
          <t>Travaux de réhabilitation des pistes agricoles</t>
        </is>
      </c>
      <c r="H65" s="5" t="inlineStr">
        <is>
          <t>Entretien des pistes agricoles des secteurs N9 et N1</t>
        </is>
      </c>
      <c r="I65" s="7" t="n">
        <v>3000000</v>
      </c>
      <c r="J65" s="8" t="inlineStr">
        <is>
          <t>km</t>
        </is>
      </c>
      <c r="K65" s="9" t="n">
        <v>6</v>
      </c>
      <c r="L65" s="51" t="n"/>
      <c r="M65" s="52">
        <f>'S51'!M65+L65</f>
        <v/>
      </c>
      <c r="N65" s="53">
        <f>IFERROR(M65/K65,0)</f>
        <v/>
      </c>
      <c r="O65" s="54">
        <f>'S51'!N65</f>
        <v/>
      </c>
      <c r="P65" s="53">
        <f>N65-O65</f>
        <v/>
      </c>
      <c r="Q65" s="32" t="n"/>
      <c r="R65" s="32" t="n"/>
      <c r="S65" s="32" t="n"/>
      <c r="T65" s="55" t="n"/>
      <c r="U65" s="54">
        <f>'S51'!T65</f>
        <v/>
      </c>
      <c r="V65" s="53">
        <f>T65-U65</f>
        <v/>
      </c>
      <c r="W65" s="53">
        <f>N65-T65</f>
        <v/>
      </c>
      <c r="X65" s="34" t="n"/>
    </row>
    <row r="66" ht="22" customHeight="1">
      <c r="B66" s="10" t="n">
        <v>62</v>
      </c>
      <c r="C66" s="14" t="inlineStr">
        <is>
          <t>Kénitra</t>
        </is>
      </c>
      <c r="D66" s="10" t="inlineStr">
        <is>
          <t>Mograne</t>
        </is>
      </c>
      <c r="E66" s="10" t="inlineStr">
        <is>
          <t>50-23</t>
        </is>
      </c>
      <c r="F66" s="10" t="inlineStr">
        <is>
          <t>Entretien et réparation du réseau d'assainissement et de drainage</t>
        </is>
      </c>
      <c r="G66" s="10" t="inlineStr">
        <is>
          <t>Travaux de curage des canaux en terre</t>
        </is>
      </c>
      <c r="H66" s="10" t="inlineStr">
        <is>
          <t>Curage des canaux d'assainissement Hors secteur équipé ghoufera et laison beht sebou ,</t>
        </is>
      </c>
      <c r="I66" s="11" t="n">
        <v>6000000</v>
      </c>
      <c r="J66" s="12" t="inlineStr">
        <is>
          <t>ml</t>
        </is>
      </c>
      <c r="K66" s="13" t="n">
        <v>3000</v>
      </c>
      <c r="L66" s="51" t="n"/>
      <c r="M66" s="56">
        <f>'S51'!M66+L66</f>
        <v/>
      </c>
      <c r="N66" s="57">
        <f>IFERROR(M66/K66,0)</f>
        <v/>
      </c>
      <c r="O66" s="58">
        <f>'S51'!N66</f>
        <v/>
      </c>
      <c r="P66" s="57">
        <f>N66-O66</f>
        <v/>
      </c>
      <c r="Q66" s="32" t="n"/>
      <c r="R66" s="32" t="n"/>
      <c r="S66" s="32" t="n"/>
      <c r="T66" s="55" t="n"/>
      <c r="U66" s="58">
        <f>'S51'!T66</f>
        <v/>
      </c>
      <c r="V66" s="57">
        <f>T66-U66</f>
        <v/>
      </c>
      <c r="W66" s="57">
        <f>N66-T66</f>
        <v/>
      </c>
      <c r="X66" s="34" t="n"/>
    </row>
    <row r="67" ht="22" customHeight="1">
      <c r="B67" s="5" t="n">
        <v>63</v>
      </c>
      <c r="C67" s="14" t="inlineStr">
        <is>
          <t>Kénitra</t>
        </is>
      </c>
      <c r="D67" s="5" t="inlineStr">
        <is>
          <t>Mograne</t>
        </is>
      </c>
      <c r="E67" s="5" t="inlineStr">
        <is>
          <t>40-21</t>
        </is>
      </c>
      <c r="F67" s="5" t="inlineStr">
        <is>
          <t>Travaux de pistes</t>
        </is>
      </c>
      <c r="G67" s="5" t="inlineStr">
        <is>
          <t>Travaux de réhabilitation des pistes agricoles</t>
        </is>
      </c>
      <c r="H67" s="5" t="inlineStr">
        <is>
          <t>Entretien des pistes agricoles des secteurs SEBOU1,SEBOU2? BEHT3 et BEHT4</t>
        </is>
      </c>
      <c r="I67" s="7" t="n">
        <v>6000000</v>
      </c>
      <c r="J67" s="8" t="inlineStr">
        <is>
          <t>km</t>
        </is>
      </c>
      <c r="K67" s="9" t="n">
        <v>12</v>
      </c>
      <c r="L67" s="51" t="n"/>
      <c r="M67" s="52">
        <f>'S51'!M67+L67</f>
        <v/>
      </c>
      <c r="N67" s="53">
        <f>IFERROR(M67/K67,0)</f>
        <v/>
      </c>
      <c r="O67" s="54">
        <f>'S51'!N67</f>
        <v/>
      </c>
      <c r="P67" s="53">
        <f>N67-O67</f>
        <v/>
      </c>
      <c r="Q67" s="32" t="n"/>
      <c r="R67" s="32" t="n"/>
      <c r="S67" s="32" t="n"/>
      <c r="T67" s="55" t="n"/>
      <c r="U67" s="54">
        <f>'S51'!T67</f>
        <v/>
      </c>
      <c r="V67" s="53">
        <f>T67-U67</f>
        <v/>
      </c>
      <c r="W67" s="53">
        <f>N67-T67</f>
        <v/>
      </c>
      <c r="X67" s="34" t="n"/>
    </row>
    <row r="68" ht="22" customHeight="1">
      <c r="B68" s="10" t="n">
        <v>64</v>
      </c>
      <c r="C68" s="14" t="inlineStr">
        <is>
          <t>Kénitra</t>
        </is>
      </c>
      <c r="D68" s="10" t="inlineStr">
        <is>
          <t>Sidi allal tazi</t>
        </is>
      </c>
      <c r="E68" s="10" t="inlineStr">
        <is>
          <t>50-23</t>
        </is>
      </c>
      <c r="F68" s="10" t="inlineStr">
        <is>
          <t>Entretien et réparation du réseau d'assainissement et de drainage</t>
        </is>
      </c>
      <c r="G68" s="10" t="inlineStr">
        <is>
          <t>Travaux de curage des canaux en terre</t>
        </is>
      </c>
      <c r="H68" s="10" t="inlineStr">
        <is>
          <t>Curage du canaL d'assainissement CK,</t>
        </is>
      </c>
      <c r="I68" s="11" t="n">
        <v>3000000</v>
      </c>
      <c r="J68" s="12" t="inlineStr">
        <is>
          <t>ml</t>
        </is>
      </c>
      <c r="K68" s="13" t="n">
        <v>1500</v>
      </c>
      <c r="L68" s="51" t="n"/>
      <c r="M68" s="56">
        <f>'S51'!M68+L68</f>
        <v/>
      </c>
      <c r="N68" s="57">
        <f>IFERROR(M68/K68,0)</f>
        <v/>
      </c>
      <c r="O68" s="58">
        <f>'S51'!N68</f>
        <v/>
      </c>
      <c r="P68" s="57">
        <f>N68-O68</f>
        <v/>
      </c>
      <c r="Q68" s="32" t="n"/>
      <c r="R68" s="32" t="n"/>
      <c r="S68" s="32" t="n"/>
      <c r="T68" s="55" t="n"/>
      <c r="U68" s="58">
        <f>'S51'!T68</f>
        <v/>
      </c>
      <c r="V68" s="57">
        <f>T68-U68</f>
        <v/>
      </c>
      <c r="W68" s="57">
        <f>N68-T68</f>
        <v/>
      </c>
      <c r="X68" s="34" t="n"/>
    </row>
    <row r="69" ht="22" customHeight="1">
      <c r="B69" s="5" t="n">
        <v>65</v>
      </c>
      <c r="C69" s="14" t="inlineStr">
        <is>
          <t>Kénitra</t>
        </is>
      </c>
      <c r="D69" s="5" t="inlineStr">
        <is>
          <t>AMEUR SAFLIA</t>
        </is>
      </c>
      <c r="E69" s="5" t="inlineStr">
        <is>
          <t>50-23</t>
        </is>
      </c>
      <c r="F69" s="5" t="inlineStr">
        <is>
          <t>Entretien et réparation du réseau d'assainissement et de drainage</t>
        </is>
      </c>
      <c r="G69" s="5" t="inlineStr">
        <is>
          <t>Travaux de curage des canaux en terre</t>
        </is>
      </c>
      <c r="H69" s="5" t="inlineStr">
        <is>
          <t>Curage des canaux d'assainissement amontTtiflt Sebou,</t>
        </is>
      </c>
      <c r="I69" s="7" t="n">
        <v>1000000</v>
      </c>
      <c r="J69" s="8" t="inlineStr">
        <is>
          <t>ml</t>
        </is>
      </c>
      <c r="K69" s="9" t="n">
        <v>500</v>
      </c>
      <c r="L69" s="51" t="n"/>
      <c r="M69" s="52">
        <f>'S51'!M69+L69</f>
        <v/>
      </c>
      <c r="N69" s="53">
        <f>IFERROR(M69/K69,0)</f>
        <v/>
      </c>
      <c r="O69" s="54">
        <f>'S51'!N69</f>
        <v/>
      </c>
      <c r="P69" s="53">
        <f>N69-O69</f>
        <v/>
      </c>
      <c r="Q69" s="32" t="n"/>
      <c r="R69" s="32" t="n"/>
      <c r="S69" s="32" t="n"/>
      <c r="T69" s="55" t="n"/>
      <c r="U69" s="54">
        <f>'S51'!T69</f>
        <v/>
      </c>
      <c r="V69" s="53">
        <f>T69-U69</f>
        <v/>
      </c>
      <c r="W69" s="53">
        <f>N69-T69</f>
        <v/>
      </c>
      <c r="X69" s="34" t="n"/>
    </row>
    <row r="70" ht="22" customHeight="1">
      <c r="B70" s="10" t="n">
        <v>66</v>
      </c>
      <c r="C70" s="14" t="inlineStr">
        <is>
          <t>Kénitra</t>
        </is>
      </c>
      <c r="D70" s="10" t="inlineStr">
        <is>
          <t>Oulad SLAMA</t>
        </is>
      </c>
      <c r="E70" s="10" t="inlineStr">
        <is>
          <t>50-23</t>
        </is>
      </c>
      <c r="F70" s="10" t="inlineStr">
        <is>
          <t>Entretien et réparation du réseau d'assainissement et de drainage</t>
        </is>
      </c>
      <c r="G70" s="10" t="inlineStr">
        <is>
          <t>Travaux de curage des canaux en terre</t>
        </is>
      </c>
      <c r="H70" s="10" t="inlineStr">
        <is>
          <t>Curage des canaux d'assainissement debouche Tiflt aval,</t>
        </is>
      </c>
      <c r="I70" s="11" t="n">
        <v>1000000</v>
      </c>
      <c r="J70" s="12" t="inlineStr">
        <is>
          <t>ml</t>
        </is>
      </c>
      <c r="K70" s="13" t="n">
        <v>500</v>
      </c>
      <c r="L70" s="51" t="n"/>
      <c r="M70" s="56">
        <f>'S51'!M70+L70</f>
        <v/>
      </c>
      <c r="N70" s="57">
        <f>IFERROR(M70/K70,0)</f>
        <v/>
      </c>
      <c r="O70" s="58">
        <f>'S51'!N70</f>
        <v/>
      </c>
      <c r="P70" s="57">
        <f>N70-O70</f>
        <v/>
      </c>
      <c r="Q70" s="32" t="n"/>
      <c r="R70" s="32" t="n"/>
      <c r="S70" s="32" t="n"/>
      <c r="T70" s="55" t="n"/>
      <c r="U70" s="58">
        <f>'S51'!T70</f>
        <v/>
      </c>
      <c r="V70" s="57">
        <f>T70-U70</f>
        <v/>
      </c>
      <c r="W70" s="57">
        <f>N70-T70</f>
        <v/>
      </c>
      <c r="X70" s="34" t="n"/>
    </row>
    <row r="71" ht="22" customHeight="1">
      <c r="B71" s="5" t="n">
        <v>67</v>
      </c>
      <c r="C71" s="14" t="inlineStr">
        <is>
          <t>Kénitra</t>
        </is>
      </c>
      <c r="D71" s="5" t="inlineStr">
        <is>
          <t>BHARA Oulad AYAD</t>
        </is>
      </c>
      <c r="E71" s="5" t="inlineStr">
        <is>
          <t>50-23</t>
        </is>
      </c>
      <c r="F71" s="5" t="inlineStr">
        <is>
          <t>Entretien et réparation du réseau d'assainissement et de drainage</t>
        </is>
      </c>
      <c r="G71" s="5" t="inlineStr">
        <is>
          <t>Travaux de curage des canaux en terre</t>
        </is>
      </c>
      <c r="H71" s="5" t="inlineStr">
        <is>
          <t>Curage des canaux d'assainissement canal nador bas et haut segmet,</t>
        </is>
      </c>
      <c r="I71" s="7" t="n">
        <v>6600000</v>
      </c>
      <c r="J71" s="8" t="inlineStr">
        <is>
          <t>ml</t>
        </is>
      </c>
      <c r="K71" s="9" t="n">
        <v>3300</v>
      </c>
      <c r="L71" s="51" t="n"/>
      <c r="M71" s="52">
        <f>'S51'!M71+L71</f>
        <v/>
      </c>
      <c r="N71" s="53">
        <f>IFERROR(M71/K71,0)</f>
        <v/>
      </c>
      <c r="O71" s="54">
        <f>'S51'!N71</f>
        <v/>
      </c>
      <c r="P71" s="53">
        <f>N71-O71</f>
        <v/>
      </c>
      <c r="Q71" s="32" t="n"/>
      <c r="R71" s="32" t="n"/>
      <c r="S71" s="32" t="n"/>
      <c r="T71" s="55" t="n"/>
      <c r="U71" s="54">
        <f>'S51'!T71</f>
        <v/>
      </c>
      <c r="V71" s="53">
        <f>T71-U71</f>
        <v/>
      </c>
      <c r="W71" s="53">
        <f>N71-T71</f>
        <v/>
      </c>
      <c r="X71" s="34" t="n"/>
    </row>
    <row r="72" ht="22" customHeight="1">
      <c r="B72" s="10" t="n">
        <v>68</v>
      </c>
      <c r="C72" s="15" t="inlineStr">
        <is>
          <t>Sidi Slimane</t>
        </is>
      </c>
      <c r="D72" s="10" t="inlineStr">
        <is>
          <t>OULED HCEINE</t>
        </is>
      </c>
      <c r="E72" s="10" t="inlineStr">
        <is>
          <t>50-23</t>
        </is>
      </c>
      <c r="F72" s="10" t="inlineStr">
        <is>
          <t>Entretien et réparation du réseau d'assainissement et de drainage</t>
        </is>
      </c>
      <c r="G72" s="10" t="inlineStr">
        <is>
          <t>Travaux de curage des canaux en terre</t>
        </is>
      </c>
      <c r="H72" s="10" t="inlineStr">
        <is>
          <t>Curage des collecteurs d'assainissement du secteur EST4.</t>
        </is>
      </c>
      <c r="I72" s="11" t="n">
        <v>1805475</v>
      </c>
      <c r="J72" s="12" t="inlineStr">
        <is>
          <t>ml</t>
        </is>
      </c>
      <c r="K72" s="13" t="n">
        <v>903</v>
      </c>
      <c r="L72" s="51" t="n"/>
      <c r="M72" s="56">
        <f>'S51'!M72+L72</f>
        <v/>
      </c>
      <c r="N72" s="57">
        <f>IFERROR(M72/K72,0)</f>
        <v/>
      </c>
      <c r="O72" s="58">
        <f>'S51'!N72</f>
        <v/>
      </c>
      <c r="P72" s="57">
        <f>N72-O72</f>
        <v/>
      </c>
      <c r="Q72" s="32" t="n"/>
      <c r="R72" s="32" t="n"/>
      <c r="S72" s="32" t="n"/>
      <c r="T72" s="55" t="n"/>
      <c r="U72" s="58">
        <f>'S51'!T72</f>
        <v/>
      </c>
      <c r="V72" s="57">
        <f>T72-U72</f>
        <v/>
      </c>
      <c r="W72" s="57">
        <f>N72-T72</f>
        <v/>
      </c>
      <c r="X72" s="34" t="n"/>
    </row>
    <row r="73" ht="22" customHeight="1">
      <c r="B73" s="5" t="n">
        <v>69</v>
      </c>
      <c r="C73" s="15" t="inlineStr">
        <is>
          <t>Sidi Slimane</t>
        </is>
      </c>
      <c r="D73" s="5" t="inlineStr">
        <is>
          <t>OULED HCEINE</t>
        </is>
      </c>
      <c r="E73" s="5" t="inlineStr">
        <is>
          <t>50-23</t>
        </is>
      </c>
      <c r="F73" s="5" t="inlineStr">
        <is>
          <t>Entretien et réparation du réseau d'assainissement et de drainage</t>
        </is>
      </c>
      <c r="G73" s="5" t="inlineStr">
        <is>
          <t>Travaux de curage des canaux en terre</t>
        </is>
      </c>
      <c r="H73" s="5" t="inlineStr">
        <is>
          <t>Curage du canal d'assainissement Tihli central.</t>
        </is>
      </c>
      <c r="I73" s="7" t="n">
        <v>2587200</v>
      </c>
      <c r="J73" s="8" t="inlineStr">
        <is>
          <t>ml</t>
        </is>
      </c>
      <c r="K73" s="9" t="n">
        <v>1294</v>
      </c>
      <c r="L73" s="51" t="n"/>
      <c r="M73" s="52">
        <f>'S51'!M73+L73</f>
        <v/>
      </c>
      <c r="N73" s="53">
        <f>IFERROR(M73/K73,0)</f>
        <v/>
      </c>
      <c r="O73" s="54">
        <f>'S51'!N73</f>
        <v/>
      </c>
      <c r="P73" s="53">
        <f>N73-O73</f>
        <v/>
      </c>
      <c r="Q73" s="32" t="n"/>
      <c r="R73" s="32" t="n"/>
      <c r="S73" s="32" t="n"/>
      <c r="T73" s="55" t="n"/>
      <c r="U73" s="54">
        <f>'S51'!T73</f>
        <v/>
      </c>
      <c r="V73" s="53">
        <f>T73-U73</f>
        <v/>
      </c>
      <c r="W73" s="53">
        <f>N73-T73</f>
        <v/>
      </c>
      <c r="X73" s="34" t="n"/>
    </row>
    <row r="74" ht="22" customHeight="1">
      <c r="B74" s="10" t="n">
        <v>70</v>
      </c>
      <c r="C74" s="15" t="inlineStr">
        <is>
          <t>Sidi Slimane</t>
        </is>
      </c>
      <c r="D74" s="10" t="inlineStr">
        <is>
          <t>OULED HCEINE</t>
        </is>
      </c>
      <c r="E74" s="10" t="inlineStr">
        <is>
          <t>40-21</t>
        </is>
      </c>
      <c r="F74" s="10" t="inlineStr">
        <is>
          <t>Travaux de pistes</t>
        </is>
      </c>
      <c r="G74" s="10" t="inlineStr">
        <is>
          <t>Travaux de réhabilitation des pistes agricoles</t>
        </is>
      </c>
      <c r="H74" s="10" t="inlineStr">
        <is>
          <t>Entretien des pistes agricoles</t>
        </is>
      </c>
      <c r="I74" s="11" t="n">
        <v>3500000</v>
      </c>
      <c r="J74" s="12" t="inlineStr">
        <is>
          <t>km</t>
        </is>
      </c>
      <c r="K74" s="13" t="n">
        <v>7</v>
      </c>
      <c r="L74" s="51" t="n"/>
      <c r="M74" s="56">
        <f>'S51'!M74+L74</f>
        <v/>
      </c>
      <c r="N74" s="57">
        <f>IFERROR(M74/K74,0)</f>
        <v/>
      </c>
      <c r="O74" s="58">
        <f>'S51'!N74</f>
        <v/>
      </c>
      <c r="P74" s="57">
        <f>N74-O74</f>
        <v/>
      </c>
      <c r="Q74" s="32" t="n"/>
      <c r="R74" s="32" t="n"/>
      <c r="S74" s="32" t="n"/>
      <c r="T74" s="55" t="n"/>
      <c r="U74" s="58">
        <f>'S51'!T74</f>
        <v/>
      </c>
      <c r="V74" s="57">
        <f>T74-U74</f>
        <v/>
      </c>
      <c r="W74" s="57">
        <f>N74-T74</f>
        <v/>
      </c>
      <c r="X74" s="34" t="n"/>
    </row>
    <row r="75" ht="22" customHeight="1">
      <c r="B75" s="5" t="n">
        <v>71</v>
      </c>
      <c r="C75" s="15" t="inlineStr">
        <is>
          <t>Sidi Slimane</t>
        </is>
      </c>
      <c r="D75" s="5" t="inlineStr">
        <is>
          <t>OULED HCEINE</t>
        </is>
      </c>
      <c r="E75" s="5" t="inlineStr">
        <is>
          <t>50-21</t>
        </is>
      </c>
      <c r="F75" s="5" t="inlineStr">
        <is>
          <t>Entretien et réparation des stations de pompage</t>
        </is>
      </c>
      <c r="G75" s="5" t="inlineStr">
        <is>
          <t>Travaux de réparation des équipements hydromécaniques et éléctriques et entretien de la partie génie civil des stations de pompage.</t>
        </is>
      </c>
      <c r="H75" s="5" t="inlineStr">
        <is>
          <t>Démontage et expertise des roues des  pompes principaux et pompes a vide de la station EST4 et P11/2.
Changement des roulements, tresses et organes d’effectués de la station EST4 et P11/2
Changement deux débitmètre Ø 1200 mm de la station EST4 et un débimétre de la station P11/2.
Changement des capteurs de niveau inondés.
Révision et réparation des moteurs des vannes motorisées inondées.
changement de six contrôleurs de débits DW181 inondés.
Un capteur de débitmètre inondé nécessitent un diagnostic VEGASON  .
Entretien de l'éclairage du local de vide et bâche d’aspiration inondé de la station EST4 et la partie de l’éclairage du local des pompes inondées de la station P11/2.
Pose de gabions et recouvrement du talus par matelas Reno des stations de pompage P11/2</t>
        </is>
      </c>
      <c r="I75" s="7" t="n">
        <v>870000</v>
      </c>
      <c r="J75" s="8" t="inlineStr">
        <is>
          <t>U</t>
        </is>
      </c>
      <c r="K75" s="9" t="n">
        <v>4</v>
      </c>
      <c r="L75" s="51" t="n"/>
      <c r="M75" s="52">
        <f>'S51'!M75+L75</f>
        <v/>
      </c>
      <c r="N75" s="53">
        <f>IFERROR(M75/K75,0)</f>
        <v/>
      </c>
      <c r="O75" s="54">
        <f>'S51'!N75</f>
        <v/>
      </c>
      <c r="P75" s="53">
        <f>N75-O75</f>
        <v/>
      </c>
      <c r="Q75" s="32" t="n"/>
      <c r="R75" s="32" t="n"/>
      <c r="S75" s="32" t="n"/>
      <c r="T75" s="55" t="n"/>
      <c r="U75" s="54">
        <f>'S51'!T75</f>
        <v/>
      </c>
      <c r="V75" s="53">
        <f>T75-U75</f>
        <v/>
      </c>
      <c r="W75" s="53">
        <f>N75-T75</f>
        <v/>
      </c>
      <c r="X75" s="34" t="n"/>
    </row>
    <row r="76" ht="22" customHeight="1">
      <c r="B76" s="10" t="n">
        <v>72</v>
      </c>
      <c r="C76" s="15" t="inlineStr">
        <is>
          <t>Sidi Slimane</t>
        </is>
      </c>
      <c r="D76" s="10" t="inlineStr">
        <is>
          <t>OULED HCEINE</t>
        </is>
      </c>
      <c r="E76" s="10" t="inlineStr">
        <is>
          <t>50-23</t>
        </is>
      </c>
      <c r="F76" s="10" t="inlineStr">
        <is>
          <t>Entretien et réparation du réseau d'assainissement et de drainage</t>
        </is>
      </c>
      <c r="G76" s="10" t="inlineStr">
        <is>
          <t>Travaux de curage des prises des stations de pompage.</t>
        </is>
      </c>
      <c r="H76" s="10" t="inlineStr">
        <is>
          <t>Curage des siphones des station de pompage EST2 et P11/2.</t>
        </is>
      </c>
      <c r="I76" s="11" t="n">
        <v>500000</v>
      </c>
      <c r="J76" s="12" t="inlineStr">
        <is>
          <t>ml</t>
        </is>
      </c>
      <c r="K76" s="13" t="n">
        <v>167</v>
      </c>
      <c r="L76" s="51" t="n"/>
      <c r="M76" s="56">
        <f>'S51'!M76+L76</f>
        <v/>
      </c>
      <c r="N76" s="57">
        <f>IFERROR(M76/K76,0)</f>
        <v/>
      </c>
      <c r="O76" s="58">
        <f>'S51'!N76</f>
        <v/>
      </c>
      <c r="P76" s="57">
        <f>N76-O76</f>
        <v/>
      </c>
      <c r="Q76" s="32" t="n"/>
      <c r="R76" s="32" t="n"/>
      <c r="S76" s="32" t="n"/>
      <c r="T76" s="55" t="n"/>
      <c r="U76" s="58">
        <f>'S51'!T76</f>
        <v/>
      </c>
      <c r="V76" s="57">
        <f>T76-U76</f>
        <v/>
      </c>
      <c r="W76" s="57">
        <f>N76-T76</f>
        <v/>
      </c>
      <c r="X76" s="34" t="n"/>
    </row>
    <row r="77" ht="26" customHeight="1">
      <c r="B77" s="16" t="inlineStr">
        <is>
          <t>TOTAL</t>
        </is>
      </c>
      <c r="C77" s="16" t="n"/>
      <c r="D77" s="16" t="n"/>
      <c r="E77" s="16" t="n"/>
      <c r="F77" s="16" t="n"/>
      <c r="G77" s="16" t="n"/>
      <c r="H77" s="16" t="n"/>
      <c r="I77" s="17">
        <f>SUM(I5:I76)</f>
        <v/>
      </c>
      <c r="J77" s="16" t="n"/>
      <c r="K77" s="16" t="n"/>
      <c r="L77" s="59">
        <f>SUM(L5:L76)</f>
        <v/>
      </c>
      <c r="M77" s="59">
        <f>SUM(M5:M76)</f>
        <v/>
      </c>
      <c r="N77" s="60">
        <f>IFERROR(SUMPRODUCT(N5:N76,I5:I76)/I77,0)</f>
        <v/>
      </c>
      <c r="O77" s="60">
        <f>IFERROR(SUMPRODUCT(O5:O76,I5:I76)/I77,0)</f>
        <v/>
      </c>
      <c r="P77" s="60">
        <f>N77-O77</f>
        <v/>
      </c>
      <c r="Q77" s="17">
        <f>SUM(Q5:Q76)</f>
        <v/>
      </c>
      <c r="R77" s="17">
        <f>SUM(R5:R76)</f>
        <v/>
      </c>
      <c r="S77" s="17">
        <f>SUM(S5:S76)</f>
        <v/>
      </c>
      <c r="T77" s="60">
        <f>IFERROR(SUMPRODUCT(T5:T76,I5:I76)/I77,0)</f>
        <v/>
      </c>
      <c r="U77" s="60">
        <f>IFERROR(SUMPRODUCT(U5:U76,I5:I76)/I77,0)</f>
        <v/>
      </c>
      <c r="V77" s="60">
        <f>T77-U77</f>
        <v/>
      </c>
      <c r="W77" s="60">
        <f>N77-T77</f>
        <v/>
      </c>
      <c r="X77" s="16" t="n"/>
    </row>
  </sheetData>
  <sheetProtection selectLockedCells="0" selectUnlockedCells="0" sheet="1" objects="0" insertRows="1" insertHyperlinks="1" autoFilter="1" scenarios="0" formatColumns="1" deleteColumns="1" insertColumns="1" pivotTables="1" deleteRows="1" formatCells="1" formatRows="1" sort="1" password="CBBE"/>
  <mergeCells count="6">
    <mergeCell ref="E3:I3"/>
    <mergeCell ref="W3:X3"/>
    <mergeCell ref="J3:P3"/>
    <mergeCell ref="B2:X2"/>
    <mergeCell ref="C3:D3"/>
    <mergeCell ref="Q3:V3"/>
  </mergeCells>
  <conditionalFormatting sqref="P5:P76">
    <cfRule type="cellIs" priority="1" operator="greaterThan" dxfId="0">
      <formula>0</formula>
    </cfRule>
    <cfRule type="cellIs" priority="2" operator="lessThan" dxfId="1">
      <formula>0</formula>
    </cfRule>
  </conditionalFormatting>
  <conditionalFormatting sqref="V5:V76">
    <cfRule type="cellIs" priority="3" operator="greaterThan" dxfId="0">
      <formula>0</formula>
    </cfRule>
    <cfRule type="cellIs" priority="4" operator="lessThan" dxfId="1">
      <formula>0</formula>
    </cfRule>
  </conditionalFormatting>
  <conditionalFormatting sqref="W5:W76">
    <cfRule type="cellIs" priority="5" operator="greaterThan" dxfId="0">
      <formula>0.05</formula>
    </cfRule>
    <cfRule type="cellIs" priority="6" operator="lessThan" dxfId="1">
      <formula>-0.05</formula>
    </cfRule>
    <cfRule type="cellIs" priority="7" operator="between" dxfId="2">
      <formula>-0.05</formula>
      <formula>0.05</formula>
    </cfRule>
  </conditionalFormatting>
  <conditionalFormatting sqref="N5:N76">
    <cfRule type="dataBar" priority="8">
      <dataBar showValue="1">
        <cfvo type="num" val="0"/>
        <cfvo type="num" val="1"/>
        <color rgb="001B7D46"/>
      </dataBar>
    </cfRule>
  </conditionalFormatting>
  <conditionalFormatting sqref="T5:T76">
    <cfRule type="dataBar" priority="9">
      <dataBar showValue="1">
        <cfvo type="num" val="0"/>
        <cfvo type="num" val="1"/>
        <color rgb="00D4820A"/>
      </dataBar>
    </cfRule>
  </conditionalFormatting>
  <dataValidations count="2">
    <dataValidation sqref="T5:T76" showDropDown="0" showInputMessage="0" showErrorMessage="0" allowBlank="1" errorTitle="Invalide" error="Valeur entre 0% et 100%" promptTitle="Avancement %" prompt="Entrez 0.25 pour 25%" type="decimal" operator="between">
      <formula1>0</formula1>
      <formula2>1</formula2>
    </dataValidation>
    <dataValidation sqref="L5:L76" showDropDown="0" showInputMessage="0" showErrorMessage="0" allowBlank="1" errorTitle="Invalide" error="Quantité doit être &gt;= 0" promptTitle="Qté Réalisée" prompt="Entrez la quantité réalisée cette semaine" type="decimal" operator="greaterThanOrEqual">
      <formula1>0</formula1>
    </dataValidation>
  </dataValidations>
  <pageMargins left="0.75" right="0.75" top="1" bottom="1" header="0.5" footer="0.5"/>
</worksheet>
</file>

<file path=xl/worksheets/sheet33.xml><?xml version="1.0" encoding="utf-8"?>
<worksheet xmlns="http://schemas.openxmlformats.org/spreadsheetml/2006/main">
  <sheetPr>
    <tabColor rgb="007030A0"/>
    <outlinePr summaryBelow="1" summaryRight="1"/>
    <pageSetUpPr/>
  </sheetPr>
  <dimension ref="B2:N99"/>
  <sheetViews>
    <sheetView showGridLines="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24" customWidth="1" min="2" max="2"/>
    <col width="14" customWidth="1" min="3" max="3"/>
    <col width="18" customWidth="1" min="4" max="4"/>
    <col width="18" customWidth="1" min="5" max="5"/>
    <col width="18" customWidth="1" min="6" max="6"/>
    <col width="18" customWidth="1" min="7" max="7"/>
    <col width="18" customWidth="1" min="8" max="8"/>
    <col width="16" customWidth="1" min="9" max="9"/>
    <col width="16" customWidth="1" min="10" max="10"/>
  </cols>
  <sheetData>
    <row r="1" ht="15" customHeight="1"/>
    <row r="2" ht="32" customHeight="1">
      <c r="B2" s="1" t="inlineStr">
        <is>
          <t>Récapitulatif Hebdomadaire - Suivi d'Exécution 2026 (Juin–Décembre)</t>
        </is>
      </c>
    </row>
    <row r="3" ht="8" customHeight="1"/>
    <row r="4" ht="28" customHeight="1">
      <c r="B4" s="4" t="inlineStr">
        <is>
          <t>Indicateur</t>
        </is>
      </c>
      <c r="C4" s="4">
        <f>'S52'!I77</f>
        <v/>
      </c>
    </row>
    <row r="5">
      <c r="B5" s="43" t="inlineStr">
        <is>
          <t>Total Projets</t>
        </is>
      </c>
      <c r="C5" s="44">
        <f>'S52'!N77</f>
        <v/>
      </c>
    </row>
    <row r="6">
      <c r="B6" s="43" t="inlineStr">
        <is>
          <t>Coût Total (DH)</t>
        </is>
      </c>
      <c r="C6" s="45">
        <f>'S52'!T77</f>
        <v/>
      </c>
    </row>
    <row r="7">
      <c r="B7" s="43" t="inlineStr">
        <is>
          <t>Avancement Physique Moy. %</t>
        </is>
      </c>
      <c r="C7" s="61">
        <f>'S52'!Q77</f>
        <v/>
      </c>
    </row>
    <row r="8">
      <c r="B8" s="43" t="inlineStr">
        <is>
          <t>Avancement Financier Moy. %</t>
        </is>
      </c>
      <c r="C8" s="61">
        <f>'S52'!R77</f>
        <v/>
      </c>
    </row>
    <row r="9">
      <c r="B9" s="43" t="inlineStr">
        <is>
          <t>Montant Décaissé Total (DH)</t>
        </is>
      </c>
      <c r="C9" s="45">
        <f>'S52'!Q77</f>
        <v/>
      </c>
    </row>
    <row r="10">
      <c r="B10" s="43" t="inlineStr">
        <is>
          <t>Montant Payé Total (DH)</t>
        </is>
      </c>
      <c r="C10" s="45">
        <f>'S52'!R77</f>
        <v/>
      </c>
    </row>
    <row r="11">
      <c r="B11" s="43" t="inlineStr">
        <is>
          <t>Écart Physique-Financier</t>
        </is>
      </c>
      <c r="C11" s="44">
        <f>'S52'!W77</f>
        <v/>
      </c>
    </row>
    <row r="14">
      <c r="B14" s="18" t="inlineStr">
        <is>
          <t>Évolution Hebdomadaire 2026 — Toutes les Semaines</t>
        </is>
      </c>
    </row>
    <row r="15" ht="28" customHeight="1">
      <c r="B15" s="4" t="inlineStr">
        <is>
          <t>Semaine</t>
        </is>
      </c>
      <c r="C15" s="4" t="inlineStr">
        <is>
          <t>Période</t>
        </is>
      </c>
      <c r="D15" s="4" t="inlineStr">
        <is>
          <t>Avanc. Phys. %</t>
        </is>
      </c>
      <c r="E15" s="4" t="inlineStr">
        <is>
          <t>Accroiss. Phys. %</t>
        </is>
      </c>
      <c r="F15" s="4" t="inlineStr">
        <is>
          <t>Qté Réalisée Cumul</t>
        </is>
      </c>
      <c r="G15" s="4" t="inlineStr">
        <is>
          <t>Avanc. Fin. %</t>
        </is>
      </c>
      <c r="H15" s="4" t="inlineStr">
        <is>
          <t>Accroiss. Fin. %</t>
        </is>
      </c>
      <c r="I15" s="4" t="inlineStr">
        <is>
          <t>Décaissé (DH)</t>
        </is>
      </c>
      <c r="J15" s="4" t="inlineStr">
        <is>
          <t>Écart Phys.-Fin.</t>
        </is>
      </c>
    </row>
    <row r="16" ht="22" customHeight="1">
      <c r="B16" s="5" t="inlineStr">
        <is>
          <t>S01</t>
        </is>
      </c>
      <c r="C16" s="5" t="inlineStr">
        <is>
          <t>29/12-04/01</t>
        </is>
      </c>
      <c r="D16" s="54">
        <f>'S01'!N77</f>
        <v/>
      </c>
      <c r="E16" s="54">
        <f>'S01'!P77</f>
        <v/>
      </c>
      <c r="F16" s="52">
        <f>'S01'!M77</f>
        <v/>
      </c>
      <c r="G16" s="54">
        <f>'S01'!T77</f>
        <v/>
      </c>
      <c r="H16" s="54">
        <f>'S01'!V77</f>
        <v/>
      </c>
      <c r="I16" s="47">
        <f>'S01'!Q77</f>
        <v/>
      </c>
      <c r="J16" s="54">
        <f>'S01'!W77</f>
        <v/>
      </c>
    </row>
    <row r="17" ht="22" customHeight="1">
      <c r="B17" s="10" t="inlineStr">
        <is>
          <t>S02</t>
        </is>
      </c>
      <c r="C17" s="10" t="inlineStr">
        <is>
          <t>05/01-11/01</t>
        </is>
      </c>
      <c r="D17" s="58">
        <f>'S02'!N77</f>
        <v/>
      </c>
      <c r="E17" s="58">
        <f>'S02'!P77</f>
        <v/>
      </c>
      <c r="F17" s="56">
        <f>'S02'!M77</f>
        <v/>
      </c>
      <c r="G17" s="58">
        <f>'S02'!T77</f>
        <v/>
      </c>
      <c r="H17" s="58">
        <f>'S02'!V77</f>
        <v/>
      </c>
      <c r="I17" s="48">
        <f>'S02'!Q77</f>
        <v/>
      </c>
      <c r="J17" s="58">
        <f>'S02'!W77</f>
        <v/>
      </c>
    </row>
    <row r="18" ht="22" customHeight="1">
      <c r="B18" s="5" t="inlineStr">
        <is>
          <t>S03</t>
        </is>
      </c>
      <c r="C18" s="5" t="inlineStr">
        <is>
          <t>12/01-18/01</t>
        </is>
      </c>
      <c r="D18" s="54">
        <f>'S03'!N77</f>
        <v/>
      </c>
      <c r="E18" s="54">
        <f>'S03'!P77</f>
        <v/>
      </c>
      <c r="F18" s="52">
        <f>'S03'!M77</f>
        <v/>
      </c>
      <c r="G18" s="54">
        <f>'S03'!T77</f>
        <v/>
      </c>
      <c r="H18" s="54">
        <f>'S03'!V77</f>
        <v/>
      </c>
      <c r="I18" s="47">
        <f>'S03'!Q77</f>
        <v/>
      </c>
      <c r="J18" s="54">
        <f>'S03'!W77</f>
        <v/>
      </c>
    </row>
    <row r="19" ht="22" customHeight="1">
      <c r="B19" s="10" t="inlineStr">
        <is>
          <t>S04</t>
        </is>
      </c>
      <c r="C19" s="10" t="inlineStr">
        <is>
          <t>19/01-25/01</t>
        </is>
      </c>
      <c r="D19" s="58">
        <f>'S04'!N77</f>
        <v/>
      </c>
      <c r="E19" s="58">
        <f>'S04'!P77</f>
        <v/>
      </c>
      <c r="F19" s="56">
        <f>'S04'!M77</f>
        <v/>
      </c>
      <c r="G19" s="58">
        <f>'S04'!T77</f>
        <v/>
      </c>
      <c r="H19" s="58">
        <f>'S04'!V77</f>
        <v/>
      </c>
      <c r="I19" s="48">
        <f>'S04'!Q77</f>
        <v/>
      </c>
      <c r="J19" s="58">
        <f>'S04'!W77</f>
        <v/>
      </c>
    </row>
    <row r="20" ht="22" customHeight="1">
      <c r="B20" s="5" t="inlineStr">
        <is>
          <t>S05</t>
        </is>
      </c>
      <c r="C20" s="5" t="inlineStr">
        <is>
          <t>26/01-01/02</t>
        </is>
      </c>
      <c r="D20" s="54">
        <f>'S05'!N77</f>
        <v/>
      </c>
      <c r="E20" s="54">
        <f>'S05'!P77</f>
        <v/>
      </c>
      <c r="F20" s="52">
        <f>'S05'!M77</f>
        <v/>
      </c>
      <c r="G20" s="54">
        <f>'S05'!T77</f>
        <v/>
      </c>
      <c r="H20" s="54">
        <f>'S05'!V77</f>
        <v/>
      </c>
      <c r="I20" s="47">
        <f>'S05'!Q77</f>
        <v/>
      </c>
      <c r="J20" s="54">
        <f>'S05'!W77</f>
        <v/>
      </c>
    </row>
    <row r="21" ht="22" customHeight="1">
      <c r="B21" s="10" t="inlineStr">
        <is>
          <t>S06</t>
        </is>
      </c>
      <c r="C21" s="10" t="inlineStr">
        <is>
          <t>02/02-08/02</t>
        </is>
      </c>
      <c r="D21" s="58">
        <f>'S06'!N77</f>
        <v/>
      </c>
      <c r="E21" s="58">
        <f>'S06'!P77</f>
        <v/>
      </c>
      <c r="F21" s="56">
        <f>'S06'!M77</f>
        <v/>
      </c>
      <c r="G21" s="58">
        <f>'S06'!T77</f>
        <v/>
      </c>
      <c r="H21" s="58">
        <f>'S06'!V77</f>
        <v/>
      </c>
      <c r="I21" s="48">
        <f>'S06'!Q77</f>
        <v/>
      </c>
      <c r="J21" s="58">
        <f>'S06'!W77</f>
        <v/>
      </c>
    </row>
    <row r="22" ht="22" customHeight="1">
      <c r="B22" s="5" t="inlineStr">
        <is>
          <t>S07</t>
        </is>
      </c>
      <c r="C22" s="5" t="inlineStr">
        <is>
          <t>09/02-15/02</t>
        </is>
      </c>
      <c r="D22" s="54">
        <f>'S07'!N77</f>
        <v/>
      </c>
      <c r="E22" s="54">
        <f>'S07'!P77</f>
        <v/>
      </c>
      <c r="F22" s="52">
        <f>'S07'!M77</f>
        <v/>
      </c>
      <c r="G22" s="54">
        <f>'S07'!T77</f>
        <v/>
      </c>
      <c r="H22" s="54">
        <f>'S07'!V77</f>
        <v/>
      </c>
      <c r="I22" s="47">
        <f>'S07'!Q77</f>
        <v/>
      </c>
      <c r="J22" s="54">
        <f>'S07'!W77</f>
        <v/>
      </c>
    </row>
    <row r="23" ht="22" customHeight="1">
      <c r="B23" s="10" t="inlineStr">
        <is>
          <t>S08</t>
        </is>
      </c>
      <c r="C23" s="10" t="inlineStr">
        <is>
          <t>16/02-22/02</t>
        </is>
      </c>
      <c r="D23" s="58">
        <f>'S08'!N77</f>
        <v/>
      </c>
      <c r="E23" s="58">
        <f>'S08'!P77</f>
        <v/>
      </c>
      <c r="F23" s="56">
        <f>'S08'!M77</f>
        <v/>
      </c>
      <c r="G23" s="58">
        <f>'S08'!T77</f>
        <v/>
      </c>
      <c r="H23" s="58">
        <f>'S08'!V77</f>
        <v/>
      </c>
      <c r="I23" s="48">
        <f>'S08'!Q77</f>
        <v/>
      </c>
      <c r="J23" s="58">
        <f>'S08'!W77</f>
        <v/>
      </c>
    </row>
    <row r="24" ht="22" customHeight="1">
      <c r="B24" s="5" t="inlineStr">
        <is>
          <t>S09</t>
        </is>
      </c>
      <c r="C24" s="5" t="inlineStr">
        <is>
          <t>23/02-01/03</t>
        </is>
      </c>
      <c r="D24" s="54">
        <f>'S09'!N77</f>
        <v/>
      </c>
      <c r="E24" s="54">
        <f>'S09'!P77</f>
        <v/>
      </c>
      <c r="F24" s="52">
        <f>'S09'!M77</f>
        <v/>
      </c>
      <c r="G24" s="54">
        <f>'S09'!T77</f>
        <v/>
      </c>
      <c r="H24" s="54">
        <f>'S09'!V77</f>
        <v/>
      </c>
      <c r="I24" s="47">
        <f>'S09'!Q77</f>
        <v/>
      </c>
      <c r="J24" s="54">
        <f>'S09'!W77</f>
        <v/>
      </c>
    </row>
    <row r="25" ht="22" customHeight="1">
      <c r="B25" s="10" t="inlineStr">
        <is>
          <t>S10</t>
        </is>
      </c>
      <c r="C25" s="10" t="inlineStr">
        <is>
          <t>02/03-08/03</t>
        </is>
      </c>
      <c r="D25" s="58">
        <f>'S10'!N77</f>
        <v/>
      </c>
      <c r="E25" s="58">
        <f>'S10'!P77</f>
        <v/>
      </c>
      <c r="F25" s="56">
        <f>'S10'!M77</f>
        <v/>
      </c>
      <c r="G25" s="58">
        <f>'S10'!T77</f>
        <v/>
      </c>
      <c r="H25" s="58">
        <f>'S10'!V77</f>
        <v/>
      </c>
      <c r="I25" s="48">
        <f>'S10'!Q77</f>
        <v/>
      </c>
      <c r="J25" s="58">
        <f>'S10'!W77</f>
        <v/>
      </c>
    </row>
    <row r="26" ht="22" customHeight="1">
      <c r="B26" s="5" t="inlineStr">
        <is>
          <t>S11</t>
        </is>
      </c>
      <c r="C26" s="5" t="inlineStr">
        <is>
          <t>09/03-15/03</t>
        </is>
      </c>
      <c r="D26" s="54">
        <f>'S11'!N77</f>
        <v/>
      </c>
      <c r="E26" s="54">
        <f>'S11'!P77</f>
        <v/>
      </c>
      <c r="F26" s="52">
        <f>'S11'!M77</f>
        <v/>
      </c>
      <c r="G26" s="54">
        <f>'S11'!T77</f>
        <v/>
      </c>
      <c r="H26" s="54">
        <f>'S11'!V77</f>
        <v/>
      </c>
      <c r="I26" s="47">
        <f>'S11'!Q77</f>
        <v/>
      </c>
      <c r="J26" s="54">
        <f>'S11'!W77</f>
        <v/>
      </c>
    </row>
    <row r="27" ht="22" customHeight="1">
      <c r="B27" s="10" t="inlineStr">
        <is>
          <t>S12</t>
        </is>
      </c>
      <c r="C27" s="10" t="inlineStr">
        <is>
          <t>16/03-22/03</t>
        </is>
      </c>
      <c r="D27" s="58">
        <f>'S12'!N77</f>
        <v/>
      </c>
      <c r="E27" s="58">
        <f>'S12'!P77</f>
        <v/>
      </c>
      <c r="F27" s="56">
        <f>'S12'!M77</f>
        <v/>
      </c>
      <c r="G27" s="58">
        <f>'S12'!T77</f>
        <v/>
      </c>
      <c r="H27" s="58">
        <f>'S12'!V77</f>
        <v/>
      </c>
      <c r="I27" s="48">
        <f>'S12'!Q77</f>
        <v/>
      </c>
      <c r="J27" s="58">
        <f>'S12'!W77</f>
        <v/>
      </c>
    </row>
    <row r="28" ht="22" customHeight="1">
      <c r="B28" s="5" t="inlineStr">
        <is>
          <t>S13</t>
        </is>
      </c>
      <c r="C28" s="5" t="inlineStr">
        <is>
          <t>23/03-29/03</t>
        </is>
      </c>
      <c r="D28" s="54">
        <f>'S13'!N77</f>
        <v/>
      </c>
      <c r="E28" s="54">
        <f>'S13'!P77</f>
        <v/>
      </c>
      <c r="F28" s="52">
        <f>'S13'!M77</f>
        <v/>
      </c>
      <c r="G28" s="54">
        <f>'S13'!T77</f>
        <v/>
      </c>
      <c r="H28" s="54">
        <f>'S13'!V77</f>
        <v/>
      </c>
      <c r="I28" s="47">
        <f>'S13'!Q77</f>
        <v/>
      </c>
      <c r="J28" s="54">
        <f>'S13'!W77</f>
        <v/>
      </c>
    </row>
    <row r="29" ht="22" customHeight="1">
      <c r="B29" s="10" t="inlineStr">
        <is>
          <t>S14</t>
        </is>
      </c>
      <c r="C29" s="10" t="inlineStr">
        <is>
          <t>30/03-05/04</t>
        </is>
      </c>
      <c r="D29" s="58">
        <f>'S14'!N77</f>
        <v/>
      </c>
      <c r="E29" s="58">
        <f>'S14'!P77</f>
        <v/>
      </c>
      <c r="F29" s="56">
        <f>'S14'!M77</f>
        <v/>
      </c>
      <c r="G29" s="58">
        <f>'S14'!T77</f>
        <v/>
      </c>
      <c r="H29" s="58">
        <f>'S14'!V77</f>
        <v/>
      </c>
      <c r="I29" s="48">
        <f>'S14'!Q77</f>
        <v/>
      </c>
      <c r="J29" s="58">
        <f>'S14'!W77</f>
        <v/>
      </c>
    </row>
    <row r="30" ht="22" customHeight="1">
      <c r="B30" s="5" t="inlineStr">
        <is>
          <t>S15</t>
        </is>
      </c>
      <c r="C30" s="5" t="inlineStr">
        <is>
          <t>06/04-12/04</t>
        </is>
      </c>
      <c r="D30" s="54">
        <f>'S15'!N77</f>
        <v/>
      </c>
      <c r="E30" s="54">
        <f>'S15'!P77</f>
        <v/>
      </c>
      <c r="F30" s="52">
        <f>'S15'!M77</f>
        <v/>
      </c>
      <c r="G30" s="54">
        <f>'S15'!T77</f>
        <v/>
      </c>
      <c r="H30" s="54">
        <f>'S15'!V77</f>
        <v/>
      </c>
      <c r="I30" s="47">
        <f>'S15'!Q77</f>
        <v/>
      </c>
      <c r="J30" s="54">
        <f>'S15'!W77</f>
        <v/>
      </c>
    </row>
    <row r="31" ht="22" customHeight="1">
      <c r="B31" s="10" t="inlineStr">
        <is>
          <t>S16</t>
        </is>
      </c>
      <c r="C31" s="10" t="inlineStr">
        <is>
          <t>13/04-19/04</t>
        </is>
      </c>
      <c r="D31" s="58">
        <f>'S16'!N77</f>
        <v/>
      </c>
      <c r="E31" s="58">
        <f>'S16'!P77</f>
        <v/>
      </c>
      <c r="F31" s="56">
        <f>'S16'!M77</f>
        <v/>
      </c>
      <c r="G31" s="58">
        <f>'S16'!T77</f>
        <v/>
      </c>
      <c r="H31" s="58">
        <f>'S16'!V77</f>
        <v/>
      </c>
      <c r="I31" s="48">
        <f>'S16'!Q77</f>
        <v/>
      </c>
      <c r="J31" s="58">
        <f>'S16'!W77</f>
        <v/>
      </c>
    </row>
    <row r="32" ht="22" customHeight="1">
      <c r="B32" s="5" t="inlineStr">
        <is>
          <t>S17</t>
        </is>
      </c>
      <c r="C32" s="5" t="inlineStr">
        <is>
          <t>20/04-26/04</t>
        </is>
      </c>
      <c r="D32" s="54">
        <f>'S17'!N77</f>
        <v/>
      </c>
      <c r="E32" s="54">
        <f>'S17'!P77</f>
        <v/>
      </c>
      <c r="F32" s="52">
        <f>'S17'!M77</f>
        <v/>
      </c>
      <c r="G32" s="54">
        <f>'S17'!T77</f>
        <v/>
      </c>
      <c r="H32" s="54">
        <f>'S17'!V77</f>
        <v/>
      </c>
      <c r="I32" s="47">
        <f>'S17'!Q77</f>
        <v/>
      </c>
      <c r="J32" s="54">
        <f>'S17'!W77</f>
        <v/>
      </c>
    </row>
    <row r="33" ht="22" customHeight="1">
      <c r="B33" s="10" t="inlineStr">
        <is>
          <t>S18</t>
        </is>
      </c>
      <c r="C33" s="10" t="inlineStr">
        <is>
          <t>27/04-03/05</t>
        </is>
      </c>
      <c r="D33" s="58">
        <f>'S18'!N77</f>
        <v/>
      </c>
      <c r="E33" s="58">
        <f>'S18'!P77</f>
        <v/>
      </c>
      <c r="F33" s="56">
        <f>'S18'!M77</f>
        <v/>
      </c>
      <c r="G33" s="58">
        <f>'S18'!T77</f>
        <v/>
      </c>
      <c r="H33" s="58">
        <f>'S18'!V77</f>
        <v/>
      </c>
      <c r="I33" s="48">
        <f>'S18'!Q77</f>
        <v/>
      </c>
      <c r="J33" s="58">
        <f>'S18'!W77</f>
        <v/>
      </c>
    </row>
    <row r="34" ht="22" customHeight="1">
      <c r="B34" s="5" t="inlineStr">
        <is>
          <t>S19</t>
        </is>
      </c>
      <c r="C34" s="5" t="inlineStr">
        <is>
          <t>04/05-10/05</t>
        </is>
      </c>
      <c r="D34" s="54">
        <f>'S19'!N77</f>
        <v/>
      </c>
      <c r="E34" s="54">
        <f>'S19'!P77</f>
        <v/>
      </c>
      <c r="F34" s="52">
        <f>'S19'!M77</f>
        <v/>
      </c>
      <c r="G34" s="54">
        <f>'S19'!T77</f>
        <v/>
      </c>
      <c r="H34" s="54">
        <f>'S19'!V77</f>
        <v/>
      </c>
      <c r="I34" s="47">
        <f>'S19'!Q77</f>
        <v/>
      </c>
      <c r="J34" s="54">
        <f>'S19'!W77</f>
        <v/>
      </c>
    </row>
    <row r="35" ht="22" customHeight="1">
      <c r="B35" s="10" t="inlineStr">
        <is>
          <t>S20</t>
        </is>
      </c>
      <c r="C35" s="10" t="inlineStr">
        <is>
          <t>11/05-17/05</t>
        </is>
      </c>
      <c r="D35" s="58">
        <f>'S20'!N77</f>
        <v/>
      </c>
      <c r="E35" s="58">
        <f>'S20'!P77</f>
        <v/>
      </c>
      <c r="F35" s="56">
        <f>'S20'!M77</f>
        <v/>
      </c>
      <c r="G35" s="58">
        <f>'S20'!T77</f>
        <v/>
      </c>
      <c r="H35" s="58">
        <f>'S20'!V77</f>
        <v/>
      </c>
      <c r="I35" s="48">
        <f>'S20'!Q77</f>
        <v/>
      </c>
      <c r="J35" s="58">
        <f>'S20'!W77</f>
        <v/>
      </c>
    </row>
    <row r="36" ht="22" customHeight="1">
      <c r="B36" s="5" t="inlineStr">
        <is>
          <t>S21</t>
        </is>
      </c>
      <c r="C36" s="5" t="inlineStr">
        <is>
          <t>18/05-24/05</t>
        </is>
      </c>
      <c r="D36" s="54">
        <f>'S21'!N77</f>
        <v/>
      </c>
      <c r="E36" s="54">
        <f>'S21'!P77</f>
        <v/>
      </c>
      <c r="F36" s="52">
        <f>'S21'!M77</f>
        <v/>
      </c>
      <c r="G36" s="54">
        <f>'S21'!T77</f>
        <v/>
      </c>
      <c r="H36" s="54">
        <f>'S21'!V77</f>
        <v/>
      </c>
      <c r="I36" s="47">
        <f>'S21'!Q77</f>
        <v/>
      </c>
      <c r="J36" s="54">
        <f>'S21'!W77</f>
        <v/>
      </c>
    </row>
    <row r="37" ht="22" customHeight="1">
      <c r="B37" s="10" t="inlineStr">
        <is>
          <t>S22</t>
        </is>
      </c>
      <c r="C37" s="10" t="inlineStr">
        <is>
          <t>25/05-31/05</t>
        </is>
      </c>
      <c r="D37" s="58">
        <f>'S22'!N77</f>
        <v/>
      </c>
      <c r="E37" s="58">
        <f>'S22'!P77</f>
        <v/>
      </c>
      <c r="F37" s="56">
        <f>'S22'!M77</f>
        <v/>
      </c>
      <c r="G37" s="58">
        <f>'S22'!T77</f>
        <v/>
      </c>
      <c r="H37" s="58">
        <f>'S22'!V77</f>
        <v/>
      </c>
      <c r="I37" s="48">
        <f>'S22'!Q77</f>
        <v/>
      </c>
      <c r="J37" s="58">
        <f>'S22'!W77</f>
        <v/>
      </c>
    </row>
    <row r="38" ht="22" customHeight="1">
      <c r="B38" s="5" t="inlineStr">
        <is>
          <t>S23</t>
        </is>
      </c>
      <c r="C38" s="5" t="inlineStr">
        <is>
          <t>01/06-07/06</t>
        </is>
      </c>
      <c r="D38" s="54">
        <f>'S23'!N77</f>
        <v/>
      </c>
      <c r="E38" s="54">
        <f>'S23'!P77</f>
        <v/>
      </c>
      <c r="F38" s="52">
        <f>'S23'!M77</f>
        <v/>
      </c>
      <c r="G38" s="54">
        <f>'S23'!T77</f>
        <v/>
      </c>
      <c r="H38" s="54">
        <f>'S23'!V77</f>
        <v/>
      </c>
      <c r="I38" s="47">
        <f>'S23'!Q77</f>
        <v/>
      </c>
      <c r="J38" s="54">
        <f>'S23'!W77</f>
        <v/>
      </c>
    </row>
    <row r="39" ht="22" customHeight="1">
      <c r="B39" s="10" t="inlineStr">
        <is>
          <t>S24</t>
        </is>
      </c>
      <c r="C39" s="10" t="inlineStr">
        <is>
          <t>08/06-14/06</t>
        </is>
      </c>
      <c r="D39" s="58">
        <f>'S24'!N77</f>
        <v/>
      </c>
      <c r="E39" s="58">
        <f>'S24'!P77</f>
        <v/>
      </c>
      <c r="F39" s="56">
        <f>'S24'!M77</f>
        <v/>
      </c>
      <c r="G39" s="58">
        <f>'S24'!T77</f>
        <v/>
      </c>
      <c r="H39" s="58">
        <f>'S24'!V77</f>
        <v/>
      </c>
      <c r="I39" s="48">
        <f>'S24'!Q77</f>
        <v/>
      </c>
      <c r="J39" s="58">
        <f>'S24'!W77</f>
        <v/>
      </c>
    </row>
    <row r="40" ht="22" customHeight="1">
      <c r="B40" s="5" t="inlineStr">
        <is>
          <t>S25</t>
        </is>
      </c>
      <c r="C40" s="5" t="inlineStr">
        <is>
          <t>15/06-21/06</t>
        </is>
      </c>
      <c r="D40" s="54">
        <f>'S25'!N77</f>
        <v/>
      </c>
      <c r="E40" s="54">
        <f>'S25'!P77</f>
        <v/>
      </c>
      <c r="F40" s="52">
        <f>'S25'!M77</f>
        <v/>
      </c>
      <c r="G40" s="54">
        <f>'S25'!T77</f>
        <v/>
      </c>
      <c r="H40" s="54">
        <f>'S25'!V77</f>
        <v/>
      </c>
      <c r="I40" s="47">
        <f>'S25'!Q77</f>
        <v/>
      </c>
      <c r="J40" s="54">
        <f>'S25'!W77</f>
        <v/>
      </c>
    </row>
    <row r="41" ht="22" customHeight="1">
      <c r="B41" s="10" t="inlineStr">
        <is>
          <t>S26</t>
        </is>
      </c>
      <c r="C41" s="10" t="inlineStr">
        <is>
          <t>22/06-28/06</t>
        </is>
      </c>
      <c r="D41" s="58">
        <f>'S26'!N77</f>
        <v/>
      </c>
      <c r="E41" s="58">
        <f>'S26'!P77</f>
        <v/>
      </c>
      <c r="F41" s="56">
        <f>'S26'!M77</f>
        <v/>
      </c>
      <c r="G41" s="58">
        <f>'S26'!T77</f>
        <v/>
      </c>
      <c r="H41" s="58">
        <f>'S26'!V77</f>
        <v/>
      </c>
      <c r="I41" s="48">
        <f>'S26'!Q77</f>
        <v/>
      </c>
      <c r="J41" s="58">
        <f>'S26'!W77</f>
        <v/>
      </c>
    </row>
    <row r="42" ht="22" customHeight="1">
      <c r="B42" s="5" t="inlineStr">
        <is>
          <t>S27</t>
        </is>
      </c>
      <c r="C42" s="5" t="inlineStr">
        <is>
          <t>29/06-05/07</t>
        </is>
      </c>
      <c r="D42" s="54">
        <f>'S27'!N77</f>
        <v/>
      </c>
      <c r="E42" s="54">
        <f>'S27'!P77</f>
        <v/>
      </c>
      <c r="F42" s="52">
        <f>'S27'!M77</f>
        <v/>
      </c>
      <c r="G42" s="54">
        <f>'S27'!T77</f>
        <v/>
      </c>
      <c r="H42" s="54">
        <f>'S27'!V77</f>
        <v/>
      </c>
      <c r="I42" s="47">
        <f>'S27'!Q77</f>
        <v/>
      </c>
      <c r="J42" s="54">
        <f>'S27'!W77</f>
        <v/>
      </c>
    </row>
    <row r="43" ht="22" customHeight="1">
      <c r="B43" s="10" t="inlineStr">
        <is>
          <t>S28</t>
        </is>
      </c>
      <c r="C43" s="10" t="inlineStr">
        <is>
          <t>06/07-12/07</t>
        </is>
      </c>
      <c r="D43" s="58">
        <f>'S28'!N77</f>
        <v/>
      </c>
      <c r="E43" s="58">
        <f>'S28'!P77</f>
        <v/>
      </c>
      <c r="F43" s="56">
        <f>'S28'!M77</f>
        <v/>
      </c>
      <c r="G43" s="58">
        <f>'S28'!T77</f>
        <v/>
      </c>
      <c r="H43" s="58">
        <f>'S28'!V77</f>
        <v/>
      </c>
      <c r="I43" s="48">
        <f>'S28'!Q77</f>
        <v/>
      </c>
      <c r="J43" s="58">
        <f>'S28'!W77</f>
        <v/>
      </c>
    </row>
    <row r="44" ht="22" customHeight="1">
      <c r="B44" s="5" t="inlineStr">
        <is>
          <t>S29</t>
        </is>
      </c>
      <c r="C44" s="5" t="inlineStr">
        <is>
          <t>13/07-19/07</t>
        </is>
      </c>
      <c r="D44" s="54">
        <f>'S29'!N77</f>
        <v/>
      </c>
      <c r="E44" s="54">
        <f>'S29'!P77</f>
        <v/>
      </c>
      <c r="F44" s="52">
        <f>'S29'!M77</f>
        <v/>
      </c>
      <c r="G44" s="54">
        <f>'S29'!T77</f>
        <v/>
      </c>
      <c r="H44" s="54">
        <f>'S29'!V77</f>
        <v/>
      </c>
      <c r="I44" s="47">
        <f>'S29'!Q77</f>
        <v/>
      </c>
      <c r="J44" s="54">
        <f>'S29'!W77</f>
        <v/>
      </c>
    </row>
    <row r="45" ht="22" customHeight="1">
      <c r="B45" s="10" t="inlineStr">
        <is>
          <t>S30</t>
        </is>
      </c>
      <c r="C45" s="10" t="inlineStr">
        <is>
          <t>20/07-26/07</t>
        </is>
      </c>
      <c r="D45" s="58">
        <f>'S30'!N77</f>
        <v/>
      </c>
      <c r="E45" s="58">
        <f>'S30'!P77</f>
        <v/>
      </c>
      <c r="F45" s="56">
        <f>'S30'!M77</f>
        <v/>
      </c>
      <c r="G45" s="58">
        <f>'S30'!T77</f>
        <v/>
      </c>
      <c r="H45" s="58">
        <f>'S30'!V77</f>
        <v/>
      </c>
      <c r="I45" s="48">
        <f>'S30'!Q77</f>
        <v/>
      </c>
      <c r="J45" s="58">
        <f>'S30'!W77</f>
        <v/>
      </c>
    </row>
    <row r="46" ht="22" customHeight="1">
      <c r="B46" s="5" t="inlineStr">
        <is>
          <t>S31</t>
        </is>
      </c>
      <c r="C46" s="5" t="inlineStr">
        <is>
          <t>27/07-02/08</t>
        </is>
      </c>
      <c r="D46" s="54">
        <f>'S31'!N77</f>
        <v/>
      </c>
      <c r="E46" s="54">
        <f>'S31'!P77</f>
        <v/>
      </c>
      <c r="F46" s="52">
        <f>'S31'!M77</f>
        <v/>
      </c>
      <c r="G46" s="54">
        <f>'S31'!T77</f>
        <v/>
      </c>
      <c r="H46" s="54">
        <f>'S31'!V77</f>
        <v/>
      </c>
      <c r="I46" s="47">
        <f>'S31'!Q77</f>
        <v/>
      </c>
      <c r="J46" s="54">
        <f>'S31'!W77</f>
        <v/>
      </c>
    </row>
    <row r="47" ht="22" customHeight="1">
      <c r="B47" s="10" t="inlineStr">
        <is>
          <t>S32</t>
        </is>
      </c>
      <c r="C47" s="10" t="inlineStr">
        <is>
          <t>03/08-09/08</t>
        </is>
      </c>
      <c r="D47" s="58">
        <f>'S32'!N77</f>
        <v/>
      </c>
      <c r="E47" s="58">
        <f>'S32'!P77</f>
        <v/>
      </c>
      <c r="F47" s="56">
        <f>'S32'!M77</f>
        <v/>
      </c>
      <c r="G47" s="58">
        <f>'S32'!T77</f>
        <v/>
      </c>
      <c r="H47" s="58">
        <f>'S32'!V77</f>
        <v/>
      </c>
      <c r="I47" s="48">
        <f>'S32'!Q77</f>
        <v/>
      </c>
      <c r="J47" s="58">
        <f>'S32'!W77</f>
        <v/>
      </c>
    </row>
    <row r="48" ht="22" customHeight="1">
      <c r="B48" s="5" t="inlineStr">
        <is>
          <t>S33</t>
        </is>
      </c>
      <c r="C48" s="5" t="inlineStr">
        <is>
          <t>10/08-16/08</t>
        </is>
      </c>
      <c r="D48" s="54">
        <f>'S33'!N77</f>
        <v/>
      </c>
      <c r="E48" s="54">
        <f>'S33'!P77</f>
        <v/>
      </c>
      <c r="F48" s="52">
        <f>'S33'!M77</f>
        <v/>
      </c>
      <c r="G48" s="54">
        <f>'S33'!T77</f>
        <v/>
      </c>
      <c r="H48" s="54">
        <f>'S33'!V77</f>
        <v/>
      </c>
      <c r="I48" s="47">
        <f>'S33'!Q77</f>
        <v/>
      </c>
      <c r="J48" s="54">
        <f>'S33'!W77</f>
        <v/>
      </c>
    </row>
    <row r="49" ht="22" customHeight="1">
      <c r="B49" s="10" t="inlineStr">
        <is>
          <t>S34</t>
        </is>
      </c>
      <c r="C49" s="10" t="inlineStr">
        <is>
          <t>17/08-23/08</t>
        </is>
      </c>
      <c r="D49" s="58">
        <f>'S34'!N77</f>
        <v/>
      </c>
      <c r="E49" s="58">
        <f>'S34'!P77</f>
        <v/>
      </c>
      <c r="F49" s="56">
        <f>'S34'!M77</f>
        <v/>
      </c>
      <c r="G49" s="58">
        <f>'S34'!T77</f>
        <v/>
      </c>
      <c r="H49" s="58">
        <f>'S34'!V77</f>
        <v/>
      </c>
      <c r="I49" s="48">
        <f>'S34'!Q77</f>
        <v/>
      </c>
      <c r="J49" s="58">
        <f>'S34'!W77</f>
        <v/>
      </c>
    </row>
    <row r="50" ht="22" customHeight="1">
      <c r="B50" s="5" t="inlineStr">
        <is>
          <t>S35</t>
        </is>
      </c>
      <c r="C50" s="5" t="inlineStr">
        <is>
          <t>24/08-30/08</t>
        </is>
      </c>
      <c r="D50" s="54">
        <f>'S35'!N77</f>
        <v/>
      </c>
      <c r="E50" s="54">
        <f>'S35'!P77</f>
        <v/>
      </c>
      <c r="F50" s="52">
        <f>'S35'!M77</f>
        <v/>
      </c>
      <c r="G50" s="54">
        <f>'S35'!T77</f>
        <v/>
      </c>
      <c r="H50" s="54">
        <f>'S35'!V77</f>
        <v/>
      </c>
      <c r="I50" s="47">
        <f>'S35'!Q77</f>
        <v/>
      </c>
      <c r="J50" s="54">
        <f>'S35'!W77</f>
        <v/>
      </c>
    </row>
    <row r="51" ht="22" customHeight="1">
      <c r="B51" s="10" t="inlineStr">
        <is>
          <t>S36</t>
        </is>
      </c>
      <c r="C51" s="10" t="inlineStr">
        <is>
          <t>31/08-06/09</t>
        </is>
      </c>
      <c r="D51" s="58">
        <f>'S36'!N77</f>
        <v/>
      </c>
      <c r="E51" s="58">
        <f>'S36'!P77</f>
        <v/>
      </c>
      <c r="F51" s="56">
        <f>'S36'!M77</f>
        <v/>
      </c>
      <c r="G51" s="58">
        <f>'S36'!T77</f>
        <v/>
      </c>
      <c r="H51" s="58">
        <f>'S36'!V77</f>
        <v/>
      </c>
      <c r="I51" s="48">
        <f>'S36'!Q77</f>
        <v/>
      </c>
      <c r="J51" s="58">
        <f>'S36'!W77</f>
        <v/>
      </c>
    </row>
    <row r="52" ht="22" customHeight="1">
      <c r="B52" s="5" t="inlineStr">
        <is>
          <t>S37</t>
        </is>
      </c>
      <c r="C52" s="5" t="inlineStr">
        <is>
          <t>07/09-13/09</t>
        </is>
      </c>
      <c r="D52" s="54">
        <f>'S37'!N77</f>
        <v/>
      </c>
      <c r="E52" s="54">
        <f>'S37'!P77</f>
        <v/>
      </c>
      <c r="F52" s="52">
        <f>'S37'!M77</f>
        <v/>
      </c>
      <c r="G52" s="54">
        <f>'S37'!T77</f>
        <v/>
      </c>
      <c r="H52" s="54">
        <f>'S37'!V77</f>
        <v/>
      </c>
      <c r="I52" s="47">
        <f>'S37'!Q77</f>
        <v/>
      </c>
      <c r="J52" s="54">
        <f>'S37'!W77</f>
        <v/>
      </c>
    </row>
    <row r="53" ht="22" customHeight="1">
      <c r="B53" s="10" t="inlineStr">
        <is>
          <t>S38</t>
        </is>
      </c>
      <c r="C53" s="10" t="inlineStr">
        <is>
          <t>14/09-20/09</t>
        </is>
      </c>
      <c r="D53" s="58">
        <f>'S38'!N77</f>
        <v/>
      </c>
      <c r="E53" s="58">
        <f>'S38'!P77</f>
        <v/>
      </c>
      <c r="F53" s="56">
        <f>'S38'!M77</f>
        <v/>
      </c>
      <c r="G53" s="58">
        <f>'S38'!T77</f>
        <v/>
      </c>
      <c r="H53" s="58">
        <f>'S38'!V77</f>
        <v/>
      </c>
      <c r="I53" s="48">
        <f>'S38'!Q77</f>
        <v/>
      </c>
      <c r="J53" s="58">
        <f>'S38'!W77</f>
        <v/>
      </c>
    </row>
    <row r="54" ht="22" customHeight="1">
      <c r="B54" s="5" t="inlineStr">
        <is>
          <t>S39</t>
        </is>
      </c>
      <c r="C54" s="5" t="inlineStr">
        <is>
          <t>21/09-27/09</t>
        </is>
      </c>
      <c r="D54" s="54">
        <f>'S39'!N77</f>
        <v/>
      </c>
      <c r="E54" s="54">
        <f>'S39'!P77</f>
        <v/>
      </c>
      <c r="F54" s="52">
        <f>'S39'!M77</f>
        <v/>
      </c>
      <c r="G54" s="54">
        <f>'S39'!T77</f>
        <v/>
      </c>
      <c r="H54" s="54">
        <f>'S39'!V77</f>
        <v/>
      </c>
      <c r="I54" s="47">
        <f>'S39'!Q77</f>
        <v/>
      </c>
      <c r="J54" s="54">
        <f>'S39'!W77</f>
        <v/>
      </c>
    </row>
    <row r="55" ht="22" customHeight="1">
      <c r="B55" s="10" t="inlineStr">
        <is>
          <t>S40</t>
        </is>
      </c>
      <c r="C55" s="10" t="inlineStr">
        <is>
          <t>28/09-04/10</t>
        </is>
      </c>
      <c r="D55" s="58">
        <f>'S40'!N77</f>
        <v/>
      </c>
      <c r="E55" s="58">
        <f>'S40'!P77</f>
        <v/>
      </c>
      <c r="F55" s="56">
        <f>'S40'!M77</f>
        <v/>
      </c>
      <c r="G55" s="58">
        <f>'S40'!T77</f>
        <v/>
      </c>
      <c r="H55" s="58">
        <f>'S40'!V77</f>
        <v/>
      </c>
      <c r="I55" s="48">
        <f>'S40'!Q77</f>
        <v/>
      </c>
      <c r="J55" s="58">
        <f>'S40'!W77</f>
        <v/>
      </c>
    </row>
    <row r="56" ht="22" customHeight="1">
      <c r="B56" s="5" t="inlineStr">
        <is>
          <t>S41</t>
        </is>
      </c>
      <c r="C56" s="5" t="inlineStr">
        <is>
          <t>05/10-11/10</t>
        </is>
      </c>
      <c r="D56" s="54">
        <f>'S41'!N77</f>
        <v/>
      </c>
      <c r="E56" s="54">
        <f>'S41'!P77</f>
        <v/>
      </c>
      <c r="F56" s="52">
        <f>'S41'!M77</f>
        <v/>
      </c>
      <c r="G56" s="54">
        <f>'S41'!T77</f>
        <v/>
      </c>
      <c r="H56" s="54">
        <f>'S41'!V77</f>
        <v/>
      </c>
      <c r="I56" s="47">
        <f>'S41'!Q77</f>
        <v/>
      </c>
      <c r="J56" s="54">
        <f>'S41'!W77</f>
        <v/>
      </c>
    </row>
    <row r="57" ht="22" customHeight="1">
      <c r="B57" s="10" t="inlineStr">
        <is>
          <t>S42</t>
        </is>
      </c>
      <c r="C57" s="10" t="inlineStr">
        <is>
          <t>12/10-18/10</t>
        </is>
      </c>
      <c r="D57" s="58">
        <f>'S42'!N77</f>
        <v/>
      </c>
      <c r="E57" s="58">
        <f>'S42'!P77</f>
        <v/>
      </c>
      <c r="F57" s="56">
        <f>'S42'!M77</f>
        <v/>
      </c>
      <c r="G57" s="58">
        <f>'S42'!T77</f>
        <v/>
      </c>
      <c r="H57" s="58">
        <f>'S42'!V77</f>
        <v/>
      </c>
      <c r="I57" s="48">
        <f>'S42'!Q77</f>
        <v/>
      </c>
      <c r="J57" s="58">
        <f>'S42'!W77</f>
        <v/>
      </c>
    </row>
    <row r="58" ht="22" customHeight="1">
      <c r="B58" s="5" t="inlineStr">
        <is>
          <t>S43</t>
        </is>
      </c>
      <c r="C58" s="5" t="inlineStr">
        <is>
          <t>19/10-25/10</t>
        </is>
      </c>
      <c r="D58" s="54">
        <f>'S43'!N77</f>
        <v/>
      </c>
      <c r="E58" s="54">
        <f>'S43'!P77</f>
        <v/>
      </c>
      <c r="F58" s="52">
        <f>'S43'!M77</f>
        <v/>
      </c>
      <c r="G58" s="54">
        <f>'S43'!T77</f>
        <v/>
      </c>
      <c r="H58" s="54">
        <f>'S43'!V77</f>
        <v/>
      </c>
      <c r="I58" s="47">
        <f>'S43'!Q77</f>
        <v/>
      </c>
      <c r="J58" s="54">
        <f>'S43'!W77</f>
        <v/>
      </c>
    </row>
    <row r="59" ht="22" customHeight="1">
      <c r="B59" s="10" t="inlineStr">
        <is>
          <t>S44</t>
        </is>
      </c>
      <c r="C59" s="10" t="inlineStr">
        <is>
          <t>26/10-01/11</t>
        </is>
      </c>
      <c r="D59" s="58">
        <f>'S44'!N77</f>
        <v/>
      </c>
      <c r="E59" s="58">
        <f>'S44'!P77</f>
        <v/>
      </c>
      <c r="F59" s="56">
        <f>'S44'!M77</f>
        <v/>
      </c>
      <c r="G59" s="58">
        <f>'S44'!T77</f>
        <v/>
      </c>
      <c r="H59" s="58">
        <f>'S44'!V77</f>
        <v/>
      </c>
      <c r="I59" s="48">
        <f>'S44'!Q77</f>
        <v/>
      </c>
      <c r="J59" s="58">
        <f>'S44'!W77</f>
        <v/>
      </c>
    </row>
    <row r="60" ht="22" customHeight="1">
      <c r="B60" s="5" t="inlineStr">
        <is>
          <t>S45</t>
        </is>
      </c>
      <c r="C60" s="5" t="inlineStr">
        <is>
          <t>02/11-08/11</t>
        </is>
      </c>
      <c r="D60" s="54">
        <f>'S45'!N77</f>
        <v/>
      </c>
      <c r="E60" s="54">
        <f>'S45'!P77</f>
        <v/>
      </c>
      <c r="F60" s="52">
        <f>'S45'!M77</f>
        <v/>
      </c>
      <c r="G60" s="54">
        <f>'S45'!T77</f>
        <v/>
      </c>
      <c r="H60" s="54">
        <f>'S45'!V77</f>
        <v/>
      </c>
      <c r="I60" s="47">
        <f>'S45'!Q77</f>
        <v/>
      </c>
      <c r="J60" s="54">
        <f>'S45'!W77</f>
        <v/>
      </c>
    </row>
    <row r="61" ht="22" customHeight="1">
      <c r="B61" s="10" t="inlineStr">
        <is>
          <t>S46</t>
        </is>
      </c>
      <c r="C61" s="10" t="inlineStr">
        <is>
          <t>09/11-15/11</t>
        </is>
      </c>
      <c r="D61" s="58">
        <f>'S46'!N77</f>
        <v/>
      </c>
      <c r="E61" s="58">
        <f>'S46'!P77</f>
        <v/>
      </c>
      <c r="F61" s="56">
        <f>'S46'!M77</f>
        <v/>
      </c>
      <c r="G61" s="58">
        <f>'S46'!T77</f>
        <v/>
      </c>
      <c r="H61" s="58">
        <f>'S46'!V77</f>
        <v/>
      </c>
      <c r="I61" s="48">
        <f>'S46'!Q77</f>
        <v/>
      </c>
      <c r="J61" s="58">
        <f>'S46'!W77</f>
        <v/>
      </c>
    </row>
    <row r="62" ht="22" customHeight="1">
      <c r="B62" s="5" t="inlineStr">
        <is>
          <t>S47</t>
        </is>
      </c>
      <c r="C62" s="5" t="inlineStr">
        <is>
          <t>16/11-22/11</t>
        </is>
      </c>
      <c r="D62" s="54">
        <f>'S47'!N77</f>
        <v/>
      </c>
      <c r="E62" s="54">
        <f>'S47'!P77</f>
        <v/>
      </c>
      <c r="F62" s="52">
        <f>'S47'!M77</f>
        <v/>
      </c>
      <c r="G62" s="54">
        <f>'S47'!T77</f>
        <v/>
      </c>
      <c r="H62" s="54">
        <f>'S47'!V77</f>
        <v/>
      </c>
      <c r="I62" s="47">
        <f>'S47'!Q77</f>
        <v/>
      </c>
      <c r="J62" s="54">
        <f>'S47'!W77</f>
        <v/>
      </c>
    </row>
    <row r="63" ht="22" customHeight="1">
      <c r="B63" s="10" t="inlineStr">
        <is>
          <t>S48</t>
        </is>
      </c>
      <c r="C63" s="10" t="inlineStr">
        <is>
          <t>23/11-29/11</t>
        </is>
      </c>
      <c r="D63" s="58">
        <f>'S48'!N77</f>
        <v/>
      </c>
      <c r="E63" s="58">
        <f>'S48'!P77</f>
        <v/>
      </c>
      <c r="F63" s="56">
        <f>'S48'!M77</f>
        <v/>
      </c>
      <c r="G63" s="58">
        <f>'S48'!T77</f>
        <v/>
      </c>
      <c r="H63" s="58">
        <f>'S48'!V77</f>
        <v/>
      </c>
      <c r="I63" s="48">
        <f>'S48'!Q77</f>
        <v/>
      </c>
      <c r="J63" s="58">
        <f>'S48'!W77</f>
        <v/>
      </c>
    </row>
    <row r="64" ht="22" customHeight="1">
      <c r="B64" s="5" t="inlineStr">
        <is>
          <t>S49</t>
        </is>
      </c>
      <c r="C64" s="5" t="inlineStr">
        <is>
          <t>30/11-06/12</t>
        </is>
      </c>
      <c r="D64" s="54">
        <f>'S49'!N77</f>
        <v/>
      </c>
      <c r="E64" s="54">
        <f>'S49'!P77</f>
        <v/>
      </c>
      <c r="F64" s="52">
        <f>'S49'!M77</f>
        <v/>
      </c>
      <c r="G64" s="54">
        <f>'S49'!T77</f>
        <v/>
      </c>
      <c r="H64" s="54">
        <f>'S49'!V77</f>
        <v/>
      </c>
      <c r="I64" s="47">
        <f>'S49'!Q77</f>
        <v/>
      </c>
      <c r="J64" s="54">
        <f>'S49'!W77</f>
        <v/>
      </c>
    </row>
    <row r="65" ht="22" customHeight="1">
      <c r="B65" s="10" t="inlineStr">
        <is>
          <t>S50</t>
        </is>
      </c>
      <c r="C65" s="10" t="inlineStr">
        <is>
          <t>07/12-13/12</t>
        </is>
      </c>
      <c r="D65" s="58">
        <f>'S50'!N77</f>
        <v/>
      </c>
      <c r="E65" s="58">
        <f>'S50'!P77</f>
        <v/>
      </c>
      <c r="F65" s="56">
        <f>'S50'!M77</f>
        <v/>
      </c>
      <c r="G65" s="58">
        <f>'S50'!T77</f>
        <v/>
      </c>
      <c r="H65" s="58">
        <f>'S50'!V77</f>
        <v/>
      </c>
      <c r="I65" s="48">
        <f>'S50'!Q77</f>
        <v/>
      </c>
      <c r="J65" s="58">
        <f>'S50'!W77</f>
        <v/>
      </c>
    </row>
    <row r="66" ht="22" customHeight="1">
      <c r="B66" s="5" t="inlineStr">
        <is>
          <t>S51</t>
        </is>
      </c>
      <c r="C66" s="5" t="inlineStr">
        <is>
          <t>14/12-20/12</t>
        </is>
      </c>
      <c r="D66" s="54">
        <f>'S51'!N77</f>
        <v/>
      </c>
      <c r="E66" s="54">
        <f>'S51'!P77</f>
        <v/>
      </c>
      <c r="F66" s="52">
        <f>'S51'!M77</f>
        <v/>
      </c>
      <c r="G66" s="54">
        <f>'S51'!T77</f>
        <v/>
      </c>
      <c r="H66" s="54">
        <f>'S51'!V77</f>
        <v/>
      </c>
      <c r="I66" s="47">
        <f>'S51'!Q77</f>
        <v/>
      </c>
      <c r="J66" s="54">
        <f>'S51'!W77</f>
        <v/>
      </c>
    </row>
    <row r="67" ht="22" customHeight="1">
      <c r="B67" s="10" t="inlineStr">
        <is>
          <t>S52</t>
        </is>
      </c>
      <c r="C67" s="10" t="inlineStr">
        <is>
          <t>21/12-27/12</t>
        </is>
      </c>
      <c r="D67" s="58">
        <f>'S52'!N77</f>
        <v/>
      </c>
      <c r="E67" s="58">
        <f>'S52'!P77</f>
        <v/>
      </c>
      <c r="F67" s="56">
        <f>'S52'!M77</f>
        <v/>
      </c>
      <c r="G67" s="58">
        <f>'S52'!T77</f>
        <v/>
      </c>
      <c r="H67" s="58">
        <f>'S52'!V77</f>
        <v/>
      </c>
      <c r="I67" s="48">
        <f>'S52'!Q77</f>
        <v/>
      </c>
      <c r="J67" s="58">
        <f>'S52'!W77</f>
        <v/>
      </c>
    </row>
    <row r="70">
      <c r="B70" s="18" t="inlineStr">
        <is>
          <t>Résumé Mensuel 2026</t>
        </is>
      </c>
    </row>
    <row r="71" ht="28" customHeight="1">
      <c r="B71" s="4" t="inlineStr">
        <is>
          <t>Mois</t>
        </is>
      </c>
      <c r="C71" s="4" t="inlineStr">
        <is>
          <t>Semaines</t>
        </is>
      </c>
      <c r="D71" s="4" t="inlineStr">
        <is>
          <t>Avanc. Phys. Fin %</t>
        </is>
      </c>
      <c r="E71" s="4" t="inlineStr">
        <is>
          <t>Avanc. Phys. Fin %</t>
        </is>
      </c>
      <c r="F71" s="4" t="inlineStr">
        <is>
          <t>Accroiss. Phys. %</t>
        </is>
      </c>
      <c r="G71" s="4" t="inlineStr">
        <is>
          <t>Avanc. Fin. Fin %</t>
        </is>
      </c>
      <c r="H71" s="4" t="inlineStr">
        <is>
          <t>Accroiss. Fin. %</t>
        </is>
      </c>
      <c r="I71" s="4" t="inlineStr">
        <is>
          <t>Décaissé (DH)</t>
        </is>
      </c>
      <c r="J71" s="4" t="inlineStr">
        <is>
          <t>Écart Phys.-Fin.</t>
        </is>
      </c>
    </row>
    <row r="72" ht="22" customHeight="1">
      <c r="B72" s="5" t="inlineStr">
        <is>
          <t>Janvier 2026</t>
        </is>
      </c>
      <c r="C72" s="5" t="inlineStr">
        <is>
          <t>S02-S05</t>
        </is>
      </c>
      <c r="D72" s="54">
        <f>'S05'!N77</f>
        <v/>
      </c>
      <c r="E72" s="54">
        <f>'S01'!N77</f>
        <v/>
      </c>
      <c r="F72" s="54">
        <f>D72-E72</f>
        <v/>
      </c>
      <c r="G72" s="54">
        <f>'S05'!T77</f>
        <v/>
      </c>
      <c r="H72" s="54">
        <f>'S05'!T77-'S01'!T77</f>
        <v/>
      </c>
      <c r="I72" s="47">
        <f>'S05'!Q77</f>
        <v/>
      </c>
      <c r="J72" s="54">
        <f>D72-G72</f>
        <v/>
      </c>
    </row>
    <row r="73" ht="22" customHeight="1">
      <c r="B73" s="10" t="inlineStr">
        <is>
          <t>Février 2026</t>
        </is>
      </c>
      <c r="C73" s="10" t="inlineStr">
        <is>
          <t>S06-S09</t>
        </is>
      </c>
      <c r="D73" s="58">
        <f>'S09'!N77</f>
        <v/>
      </c>
      <c r="E73" s="58">
        <f>'S05'!N77</f>
        <v/>
      </c>
      <c r="F73" s="58">
        <f>D73-E73</f>
        <v/>
      </c>
      <c r="G73" s="58">
        <f>'S09'!T77</f>
        <v/>
      </c>
      <c r="H73" s="58">
        <f>'S09'!T77-'S05'!T77</f>
        <v/>
      </c>
      <c r="I73" s="48">
        <f>'S09'!Q77</f>
        <v/>
      </c>
      <c r="J73" s="58">
        <f>D73-G73</f>
        <v/>
      </c>
    </row>
    <row r="74" ht="22" customHeight="1">
      <c r="B74" s="5" t="inlineStr">
        <is>
          <t>Mars 2026</t>
        </is>
      </c>
      <c r="C74" s="5" t="inlineStr">
        <is>
          <t>S10-S14</t>
        </is>
      </c>
      <c r="D74" s="54">
        <f>'S14'!N77</f>
        <v/>
      </c>
      <c r="E74" s="54">
        <f>'S09'!N77</f>
        <v/>
      </c>
      <c r="F74" s="54">
        <f>D74-E74</f>
        <v/>
      </c>
      <c r="G74" s="54">
        <f>'S14'!T77</f>
        <v/>
      </c>
      <c r="H74" s="54">
        <f>'S14'!T77-'S09'!T77</f>
        <v/>
      </c>
      <c r="I74" s="47">
        <f>'S14'!Q77</f>
        <v/>
      </c>
      <c r="J74" s="54">
        <f>D74-G74</f>
        <v/>
      </c>
    </row>
    <row r="75" ht="22" customHeight="1">
      <c r="B75" s="10" t="inlineStr">
        <is>
          <t>Avril 2026</t>
        </is>
      </c>
      <c r="C75" s="10" t="inlineStr">
        <is>
          <t>S15-S18</t>
        </is>
      </c>
      <c r="D75" s="58">
        <f>'S18'!N77</f>
        <v/>
      </c>
      <c r="E75" s="58">
        <f>'S14'!N77</f>
        <v/>
      </c>
      <c r="F75" s="58">
        <f>D75-E75</f>
        <v/>
      </c>
      <c r="G75" s="58">
        <f>'S18'!T77</f>
        <v/>
      </c>
      <c r="H75" s="58">
        <f>'S18'!T77-'S14'!T77</f>
        <v/>
      </c>
      <c r="I75" s="48">
        <f>'S18'!Q77</f>
        <v/>
      </c>
      <c r="J75" s="58">
        <f>D75-G75</f>
        <v/>
      </c>
    </row>
    <row r="76" ht="22" customHeight="1">
      <c r="B76" s="5" t="inlineStr">
        <is>
          <t>Mai 2026</t>
        </is>
      </c>
      <c r="C76" s="5" t="inlineStr">
        <is>
          <t>S19-S22</t>
        </is>
      </c>
      <c r="D76" s="54">
        <f>'S22'!N77</f>
        <v/>
      </c>
      <c r="E76" s="54">
        <f>'S18'!N77</f>
        <v/>
      </c>
      <c r="F76" s="54">
        <f>D76-E76</f>
        <v/>
      </c>
      <c r="G76" s="54">
        <f>'S22'!T77</f>
        <v/>
      </c>
      <c r="H76" s="54">
        <f>'S22'!T77-'S18'!T77</f>
        <v/>
      </c>
      <c r="I76" s="47">
        <f>'S22'!Q77</f>
        <v/>
      </c>
      <c r="J76" s="54">
        <f>D76-G76</f>
        <v/>
      </c>
    </row>
    <row r="77" ht="22" customHeight="1">
      <c r="B77" s="10" t="inlineStr">
        <is>
          <t>Juin 2026</t>
        </is>
      </c>
      <c r="C77" s="10" t="inlineStr">
        <is>
          <t>S23-S27</t>
        </is>
      </c>
      <c r="D77" s="58">
        <f>'S27'!N77</f>
        <v/>
      </c>
      <c r="E77" s="58">
        <f>'S22'!N77</f>
        <v/>
      </c>
      <c r="F77" s="58">
        <f>D77-E77</f>
        <v/>
      </c>
      <c r="G77" s="58">
        <f>'S27'!T77</f>
        <v/>
      </c>
      <c r="H77" s="58">
        <f>'S27'!T77-'S22'!T77</f>
        <v/>
      </c>
      <c r="I77" s="48">
        <f>'S27'!Q77</f>
        <v/>
      </c>
      <c r="J77" s="58">
        <f>D77-G77</f>
        <v/>
      </c>
    </row>
    <row r="78" ht="22" customHeight="1">
      <c r="B78" s="5" t="inlineStr">
        <is>
          <t>Juillet 2026</t>
        </is>
      </c>
      <c r="C78" s="5" t="inlineStr">
        <is>
          <t>S28-S31</t>
        </is>
      </c>
      <c r="D78" s="54">
        <f>'S31'!N77</f>
        <v/>
      </c>
      <c r="E78" s="54">
        <f>'S27'!N77</f>
        <v/>
      </c>
      <c r="F78" s="54">
        <f>D78-E78</f>
        <v/>
      </c>
      <c r="G78" s="54">
        <f>'S31'!T77</f>
        <v/>
      </c>
      <c r="H78" s="54">
        <f>'S31'!T77-'S27'!T77</f>
        <v/>
      </c>
      <c r="I78" s="47">
        <f>'S31'!Q77</f>
        <v/>
      </c>
      <c r="J78" s="54">
        <f>D78-G78</f>
        <v/>
      </c>
    </row>
    <row r="79" ht="22" customHeight="1">
      <c r="B79" s="10" t="inlineStr">
        <is>
          <t>Août 2026</t>
        </is>
      </c>
      <c r="C79" s="10" t="inlineStr">
        <is>
          <t>S32-S36</t>
        </is>
      </c>
      <c r="D79" s="58">
        <f>'S36'!N77</f>
        <v/>
      </c>
      <c r="E79" s="58">
        <f>'S31'!N77</f>
        <v/>
      </c>
      <c r="F79" s="58">
        <f>D79-E79</f>
        <v/>
      </c>
      <c r="G79" s="58">
        <f>'S36'!T77</f>
        <v/>
      </c>
      <c r="H79" s="58">
        <f>'S36'!T77-'S31'!T77</f>
        <v/>
      </c>
      <c r="I79" s="48">
        <f>'S36'!Q77</f>
        <v/>
      </c>
      <c r="J79" s="58">
        <f>D79-G79</f>
        <v/>
      </c>
    </row>
    <row r="80" ht="22" customHeight="1">
      <c r="B80" s="5" t="inlineStr">
        <is>
          <t>Septembre 2026</t>
        </is>
      </c>
      <c r="C80" s="5" t="inlineStr">
        <is>
          <t>S37-S40</t>
        </is>
      </c>
      <c r="D80" s="54">
        <f>'S40'!N77</f>
        <v/>
      </c>
      <c r="E80" s="54">
        <f>'S36'!N77</f>
        <v/>
      </c>
      <c r="F80" s="54">
        <f>D80-E80</f>
        <v/>
      </c>
      <c r="G80" s="54">
        <f>'S40'!T77</f>
        <v/>
      </c>
      <c r="H80" s="54">
        <f>'S40'!T77-'S36'!T77</f>
        <v/>
      </c>
      <c r="I80" s="47">
        <f>'S40'!Q77</f>
        <v/>
      </c>
      <c r="J80" s="54">
        <f>D80-G80</f>
        <v/>
      </c>
    </row>
    <row r="81" ht="22" customHeight="1">
      <c r="B81" s="10" t="inlineStr">
        <is>
          <t>Octobre 2026</t>
        </is>
      </c>
      <c r="C81" s="10" t="inlineStr">
        <is>
          <t>S41-S44</t>
        </is>
      </c>
      <c r="D81" s="58">
        <f>'S44'!N77</f>
        <v/>
      </c>
      <c r="E81" s="58">
        <f>'S40'!N77</f>
        <v/>
      </c>
      <c r="F81" s="58">
        <f>D81-E81</f>
        <v/>
      </c>
      <c r="G81" s="58">
        <f>'S44'!T77</f>
        <v/>
      </c>
      <c r="H81" s="58">
        <f>'S44'!T77-'S40'!T77</f>
        <v/>
      </c>
      <c r="I81" s="48">
        <f>'S44'!Q77</f>
        <v/>
      </c>
      <c r="J81" s="58">
        <f>D81-G81</f>
        <v/>
      </c>
    </row>
    <row r="82" ht="22" customHeight="1">
      <c r="B82" s="5" t="inlineStr">
        <is>
          <t>Novembre 2026</t>
        </is>
      </c>
      <c r="C82" s="5" t="inlineStr">
        <is>
          <t>S45-S49</t>
        </is>
      </c>
      <c r="D82" s="54">
        <f>'S49'!N77</f>
        <v/>
      </c>
      <c r="E82" s="54">
        <f>'S44'!N77</f>
        <v/>
      </c>
      <c r="F82" s="54">
        <f>D82-E82</f>
        <v/>
      </c>
      <c r="G82" s="54">
        <f>'S49'!T77</f>
        <v/>
      </c>
      <c r="H82" s="54">
        <f>'S49'!T77-'S44'!T77</f>
        <v/>
      </c>
      <c r="I82" s="47">
        <f>'S49'!Q77</f>
        <v/>
      </c>
      <c r="J82" s="54">
        <f>D82-G82</f>
        <v/>
      </c>
    </row>
    <row r="83" ht="22" customHeight="1">
      <c r="B83" s="10" t="inlineStr">
        <is>
          <t>Décembre 2026</t>
        </is>
      </c>
      <c r="C83" s="10" t="inlineStr">
        <is>
          <t>S01-S52</t>
        </is>
      </c>
      <c r="D83" s="58">
        <f>'S52'!N77</f>
        <v/>
      </c>
      <c r="E83" s="58" t="n">
        <v>0</v>
      </c>
      <c r="F83" s="58">
        <f>D83-E83</f>
        <v/>
      </c>
      <c r="G83" s="58">
        <f>'S52'!T77</f>
        <v/>
      </c>
      <c r="H83" s="58">
        <f>'S52'!T77</f>
        <v/>
      </c>
      <c r="I83" s="48">
        <f>'S52'!Q77</f>
        <v/>
      </c>
      <c r="J83" s="58">
        <f>D83-G83</f>
        <v/>
      </c>
    </row>
    <row r="86">
      <c r="B86" s="18" t="inlineStr">
        <is>
          <t>Résumé par Province</t>
        </is>
      </c>
    </row>
    <row r="87" ht="28" customHeight="1">
      <c r="B87" s="4" t="inlineStr">
        <is>
          <t>Province</t>
        </is>
      </c>
      <c r="C87" s="4" t="inlineStr">
        <is>
          <t>Nb Projets</t>
        </is>
      </c>
      <c r="D87" s="4" t="inlineStr">
        <is>
          <t>Coût Total (DH)</t>
        </is>
      </c>
      <c r="E87" s="4" t="inlineStr">
        <is>
          <t>Avanc. Phys. %</t>
        </is>
      </c>
      <c r="F87" s="4" t="inlineStr">
        <is>
          <t>Qté Réalisée Cumul</t>
        </is>
      </c>
      <c r="G87" s="4" t="inlineStr">
        <is>
          <t>Avanc. Fin. %</t>
        </is>
      </c>
      <c r="H87" s="4" t="inlineStr">
        <is>
          <t>Décaissé (DH)</t>
        </is>
      </c>
      <c r="I87" s="4" t="inlineStr">
        <is>
          <t>Écart Phys.-Fin.</t>
        </is>
      </c>
    </row>
    <row r="88" ht="22" customHeight="1">
      <c r="B88" s="14" t="inlineStr">
        <is>
          <t>Kénitra</t>
        </is>
      </c>
      <c r="C88" s="5" t="n">
        <v>14</v>
      </c>
      <c r="D88" s="47">
        <f>SUMPRODUCT(('S52'!C5:C76="Kénitra")*'S52'!I5:I76)</f>
        <v/>
      </c>
      <c r="E88" s="54">
        <f>IFERROR(SUMPRODUCT(('S52'!C5:C76="Kénitra")*'S52'!N5:N76*'S52'!I5:I76)/SUMPRODUCT(('S52'!C5:C76="Kénitra")*'S52'!I5:I76),0)</f>
        <v/>
      </c>
      <c r="F88" s="52">
        <f>SUMPRODUCT(('S52'!C5:C76="Kénitra")*'S52'!M5:M76)</f>
        <v/>
      </c>
      <c r="G88" s="54">
        <f>IFERROR(SUMPRODUCT(('S52'!C5:C76="Kénitra")*'S52'!T5:T76*'S52'!I5:I76)/SUMPRODUCT(('S52'!C5:C76="Kénitra")*'S52'!I5:I76),0)</f>
        <v/>
      </c>
      <c r="H88" s="47">
        <f>SUMPRODUCT(('S52'!C5:C76="Kénitra")*'S52'!Q5:Q76)</f>
        <v/>
      </c>
      <c r="I88" s="54">
        <f>E88-G88</f>
        <v/>
      </c>
    </row>
    <row r="89" ht="22" customHeight="1">
      <c r="B89" s="6" t="inlineStr">
        <is>
          <t>Sidi Kacem</t>
        </is>
      </c>
      <c r="C89" s="10" t="n">
        <v>53</v>
      </c>
      <c r="D89" s="48">
        <f>SUMPRODUCT(('S52'!C5:C76="Sidi Kacem")*'S52'!I5:I76)</f>
        <v/>
      </c>
      <c r="E89" s="58">
        <f>IFERROR(SUMPRODUCT(('S52'!C5:C76="Sidi Kacem")*'S52'!N5:N76*'S52'!I5:I76)/SUMPRODUCT(('S52'!C5:C76="Sidi Kacem")*'S52'!I5:I76),0)</f>
        <v/>
      </c>
      <c r="F89" s="56">
        <f>SUMPRODUCT(('S52'!C5:C76="Sidi Kacem")*'S52'!M5:M76)</f>
        <v/>
      </c>
      <c r="G89" s="58">
        <f>IFERROR(SUMPRODUCT(('S52'!C5:C76="Sidi Kacem")*'S52'!T5:T76*'S52'!I5:I76)/SUMPRODUCT(('S52'!C5:C76="Sidi Kacem")*'S52'!I5:I76),0)</f>
        <v/>
      </c>
      <c r="H89" s="48">
        <f>SUMPRODUCT(('S52'!C5:C76="Sidi Kacem")*'S52'!Q5:Q76)</f>
        <v/>
      </c>
      <c r="I89" s="58">
        <f>E89-G89</f>
        <v/>
      </c>
    </row>
    <row r="90" ht="22" customHeight="1">
      <c r="B90" s="15" t="inlineStr">
        <is>
          <t>Sidi Slimane</t>
        </is>
      </c>
      <c r="C90" s="5" t="n">
        <v>5</v>
      </c>
      <c r="D90" s="47">
        <f>SUMPRODUCT(('S52'!C5:C76="Sidi Slimane")*'S52'!I5:I76)</f>
        <v/>
      </c>
      <c r="E90" s="54">
        <f>IFERROR(SUMPRODUCT(('S52'!C5:C76="Sidi Slimane")*'S52'!N5:N76*'S52'!I5:I76)/SUMPRODUCT(('S52'!C5:C76="Sidi Slimane")*'S52'!I5:I76),0)</f>
        <v/>
      </c>
      <c r="F90" s="52">
        <f>SUMPRODUCT(('S52'!C5:C76="Sidi Slimane")*'S52'!M5:M76)</f>
        <v/>
      </c>
      <c r="G90" s="54">
        <f>IFERROR(SUMPRODUCT(('S52'!C5:C76="Sidi Slimane")*'S52'!T5:T76*'S52'!I5:I76)/SUMPRODUCT(('S52'!C5:C76="Sidi Slimane")*'S52'!I5:I76),0)</f>
        <v/>
      </c>
      <c r="H90" s="47">
        <f>SUMPRODUCT(('S52'!C5:C76="Sidi Slimane")*'S52'!Q5:Q76)</f>
        <v/>
      </c>
      <c r="I90" s="54">
        <f>E90-G90</f>
        <v/>
      </c>
    </row>
    <row r="91" ht="26" customHeight="1">
      <c r="B91" s="16" t="inlineStr">
        <is>
          <t>TOTAL</t>
        </is>
      </c>
      <c r="C91" s="16">
        <f>SUM(C88:C90)</f>
        <v/>
      </c>
      <c r="D91" s="17">
        <f>SUM(D88:D90)</f>
        <v/>
      </c>
      <c r="E91" s="60">
        <f>'S52'!N77</f>
        <v/>
      </c>
      <c r="F91" s="59">
        <f>SUM(F88:F90)</f>
        <v/>
      </c>
      <c r="G91" s="60">
        <f>'S52'!T77</f>
        <v/>
      </c>
      <c r="H91" s="17">
        <f>SUM(H88:H90)</f>
        <v/>
      </c>
      <c r="I91" s="60">
        <f>E91-G91</f>
        <v/>
      </c>
    </row>
    <row r="94">
      <c r="B94" s="18" t="inlineStr">
        <is>
          <t>Détail des Unités Physiques Utilisées</t>
        </is>
      </c>
    </row>
    <row r="95" ht="28" customHeight="1">
      <c r="B95" s="4" t="inlineStr">
        <is>
          <t>Unité</t>
        </is>
      </c>
      <c r="C95" s="4" t="inlineStr">
        <is>
          <t>Nb Projets</t>
        </is>
      </c>
      <c r="D95" s="4" t="inlineStr">
        <is>
          <t>Qté Prévue Totale</t>
        </is>
      </c>
      <c r="E95" s="4" t="inlineStr">
        <is>
          <t>Qté Réalisée Cumul</t>
        </is>
      </c>
      <c r="F95" s="4" t="inlineStr">
        <is>
          <t>Avancement %</t>
        </is>
      </c>
    </row>
    <row r="96" ht="22" customHeight="1">
      <c r="B96" s="8" t="inlineStr">
        <is>
          <t>U</t>
        </is>
      </c>
      <c r="C96" s="5" t="n">
        <v>19</v>
      </c>
      <c r="D96" s="7" t="n">
        <v>247</v>
      </c>
      <c r="E96" s="52">
        <f>SUMPRODUCT(('S52'!J5:J76="U")*'S52'!M5:M76)</f>
        <v/>
      </c>
      <c r="F96" s="54">
        <f>IFERROR(E96/D96,0)</f>
        <v/>
      </c>
    </row>
    <row r="97" ht="22" customHeight="1">
      <c r="B97" s="12" t="inlineStr">
        <is>
          <t>km</t>
        </is>
      </c>
      <c r="C97" s="10" t="n">
        <v>12</v>
      </c>
      <c r="D97" s="11" t="n">
        <v>49</v>
      </c>
      <c r="E97" s="56">
        <f>SUMPRODUCT(('S52'!J5:J76="km")*'S52'!M5:M76)</f>
        <v/>
      </c>
      <c r="F97" s="58">
        <f>IFERROR(E97/D97,0)</f>
        <v/>
      </c>
    </row>
    <row r="98" ht="22" customHeight="1">
      <c r="B98" s="8" t="inlineStr">
        <is>
          <t>ml</t>
        </is>
      </c>
      <c r="C98" s="5" t="n">
        <v>38</v>
      </c>
      <c r="D98" s="7" t="n">
        <v>36738</v>
      </c>
      <c r="E98" s="52">
        <f>SUMPRODUCT(('S52'!J5:J76="ml")*'S52'!M5:M76)</f>
        <v/>
      </c>
      <c r="F98" s="54">
        <f>IFERROR(E98/D98,0)</f>
        <v/>
      </c>
    </row>
    <row r="99" ht="22" customHeight="1">
      <c r="B99" s="12" t="inlineStr">
        <is>
          <t>m³</t>
        </is>
      </c>
      <c r="C99" s="10" t="n">
        <v>3</v>
      </c>
      <c r="D99" s="11" t="n">
        <v>10027</v>
      </c>
      <c r="E99" s="56">
        <f>SUMPRODUCT(('S52'!J5:J76="m³")*'S52'!M5:M76)</f>
        <v/>
      </c>
      <c r="F99" s="58">
        <f>IFERROR(E99/D99,0)</f>
        <v/>
      </c>
    </row>
  </sheetData>
  <mergeCells count="5">
    <mergeCell ref="B86:I86"/>
    <mergeCell ref="B94:F94"/>
    <mergeCell ref="B14:I14"/>
    <mergeCell ref="B2:N2"/>
    <mergeCell ref="B70:J70"/>
  </mergeCells>
  <conditionalFormatting sqref="E16:E67">
    <cfRule type="cellIs" priority="1" operator="greaterThan" dxfId="0">
      <formula>0</formula>
    </cfRule>
    <cfRule type="cellIs" priority="2" operator="lessThan" dxfId="1">
      <formula>0</formula>
    </cfRule>
  </conditionalFormatting>
  <conditionalFormatting sqref="H16:H67">
    <cfRule type="cellIs" priority="3" operator="greaterThan" dxfId="0">
      <formula>0</formula>
    </cfRule>
    <cfRule type="cellIs" priority="4" operator="lessThan" dxfId="1">
      <formula>0</formula>
    </cfRule>
  </conditionalFormatting>
  <conditionalFormatting sqref="F72:F83">
    <cfRule type="cellIs" priority="5" operator="greaterThan" dxfId="0">
      <formula>0</formula>
    </cfRule>
    <cfRule type="cellIs" priority="6" operator="lessThan" dxfId="1">
      <formula>0</formula>
    </cfRule>
  </conditionalFormatting>
  <conditionalFormatting sqref="H72:H83">
    <cfRule type="cellIs" priority="7" operator="greaterThan" dxfId="0">
      <formula>0</formula>
    </cfRule>
    <cfRule type="cellIs" priority="8" operator="lessThan" dxfId="1">
      <formula>0</formula>
    </cfRule>
  </conditionalFormatting>
  <conditionalFormatting sqref="F96:F99">
    <cfRule type="dataBar" priority="9">
      <dataBar showValue="1">
        <cfvo type="num" val="0"/>
        <cfvo type="num" val="1"/>
        <color rgb="001B7D46"/>
      </dataBar>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Z.ai</dc:creator>
  <dcterms:created xmlns:dcterms="http://purl.org/dc/terms/" xmlns:xsi="http://www.w3.org/2001/XMLSchema-instance" xsi:type="dcterms:W3CDTF">2026-06-11T22:48:49Z</dcterms:created>
  <dcterms:modified xmlns:dcterms="http://purl.org/dc/terms/" xmlns:xsi="http://www.w3.org/2001/XMLSchema-instance" xsi:type="dcterms:W3CDTF">2026-06-11T22:56:28Z</dcterms:modified>
</cp:coreProperties>
</file>