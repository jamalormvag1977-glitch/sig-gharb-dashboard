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ste Projets" sheetId="1" state="visible" r:id="rId3"/>
    <sheet name="Guide" sheetId="2" state="visible" r:id="rId4"/>
    <sheet name="S01" sheetId="3" state="visible" r:id="rId5"/>
    <sheet name="S02" sheetId="4" state="visible" r:id="rId6"/>
    <sheet name="S03" sheetId="5" state="visible" r:id="rId7"/>
    <sheet name="S04" sheetId="6" state="visible" r:id="rId8"/>
    <sheet name="Récapitulatif"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<sst xmlns="http://schemas.openxmlformats.org/spreadsheetml/2006/main" count="2275" uniqueCount="169">
  <si>
    <t xml:space="preserve">Liste Référentielle des Projets - ORMVAG Gharb</t>
  </si>
  <si>
    <t xml:space="preserve">N°</t>
  </si>
  <si>
    <t xml:space="preserve">Province</t>
  </si>
  <si>
    <t xml:space="preserve">Commune</t>
  </si>
  <si>
    <t xml:space="preserve">Rubrique</t>
  </si>
  <si>
    <t xml:space="preserve">Intitulé Rubrique</t>
  </si>
  <si>
    <t xml:space="preserve">Projet</t>
  </si>
  <si>
    <t xml:space="preserve">Consistance</t>
  </si>
  <si>
    <t xml:space="preserve">Coût Total (DH)</t>
  </si>
  <si>
    <t xml:space="preserve">Sidi Kacem</t>
  </si>
  <si>
    <t xml:space="preserve">KHENICHET</t>
  </si>
  <si>
    <t xml:space="preserve">50-23</t>
  </si>
  <si>
    <t xml:space="preserve">Entretien et réparation du réseau d'assainissement et de drainage</t>
  </si>
  <si>
    <t xml:space="preserve">Travaux de curage des canaux en terre</t>
  </si>
  <si>
    <t xml:space="preserve">Curage des collecteurs d'assainissement du secteur EST2</t>
  </si>
  <si>
    <t xml:space="preserve">40-21</t>
  </si>
  <si>
    <t xml:space="preserve">Travaux de pistes</t>
  </si>
  <si>
    <t xml:space="preserve">Travaux de réhabilitation des pistes agricoles</t>
  </si>
  <si>
    <t xml:space="preserve">Entretien des pistes agricoles Douar Nouagra et Douar ouled Salem</t>
  </si>
  <si>
    <t xml:space="preserve">Curage des prises sur l’oued, bâche d’aspiration et bassin de régulation.</t>
  </si>
  <si>
    <t xml:space="preserve">Curage de la chambre des joints de démontage des siphonnes  de la station de pompage EST2.</t>
  </si>
  <si>
    <t xml:space="preserve">50-21</t>
  </si>
  <si>
    <t xml:space="preserve">Entretien et réparation des stations de pompage</t>
  </si>
  <si>
    <t xml:space="preserve">Prestation de maintenance des débitmètres et leurs équipements annexes installés au niveau des station de pompage</t>
  </si>
  <si>
    <t xml:space="preserve">Changement trois débitmètre Ø 600mm inondés de la station de pompage EST 2 et deux capteurs VEGASON 62</t>
  </si>
  <si>
    <t xml:space="preserve">BIR TALEB</t>
  </si>
  <si>
    <t xml:space="preserve">Curage du canal d'assainisement Tihli Aval</t>
  </si>
  <si>
    <t xml:space="preserve">Curage des collecteurs d'assainissement du secteur P11/1</t>
  </si>
  <si>
    <t xml:space="preserve">Curage des prises sur l’oued de la station de pompage P11/1.</t>
  </si>
  <si>
    <t xml:space="preserve">Changement trois débitmètre Ø 400mm inondés de la station de pompage P11/1</t>
  </si>
  <si>
    <t xml:space="preserve">Prestations de maintenance et de réparation mécanique des pompes et des groupes motopompes submersibles des stations de pompage.</t>
  </si>
  <si>
    <t xml:space="preserve">Démontage et expertise des roues des  pompes principaux et pompes a vide de la station P11/1
Changement des roulements, tresses et organes d’effectués de la station P11/1</t>
  </si>
  <si>
    <t xml:space="preserve">Stabilisation Berge oued</t>
  </si>
  <si>
    <t xml:space="preserve">Pose de  gabions et recouvrement du talus par matelas Reno des stations de pompage P11/1.</t>
  </si>
  <si>
    <t xml:space="preserve">Génie civile des locaux des stations de pompage.</t>
  </si>
  <si>
    <t xml:space="preserve">Expertise d’état et d’étanchéité des locaux pompes.
Renforcement d’étanchéité des locaux pompe sous niveau des oueds des stations de pompage P11/1.
Entretien des supports en béton des conduites d’aspiration.</t>
  </si>
  <si>
    <t xml:space="preserve">CHEBANAT</t>
  </si>
  <si>
    <t xml:space="preserve">Curage des collecteurs d'assainissement des secteur SH5 et SH6.</t>
  </si>
  <si>
    <t xml:space="preserve">Travaux de curage des canaux révetus</t>
  </si>
  <si>
    <t xml:space="preserve">Curage du canal principal d'irrigation beht partie aval 1.</t>
  </si>
  <si>
    <t xml:space="preserve">ZIRARA</t>
  </si>
  <si>
    <t xml:space="preserve">Curage du canal principal d'irrigation beht partie aval 2.</t>
  </si>
  <si>
    <t xml:space="preserve">DAR LAASLOUJI</t>
  </si>
  <si>
    <t xml:space="preserve">Curage des collecteurs d'assainissement des secteurs P8-1 et P8-2</t>
  </si>
  <si>
    <t xml:space="preserve">Entretien des pistes agricoles</t>
  </si>
  <si>
    <t xml:space="preserve">HOUAFATE</t>
  </si>
  <si>
    <t xml:space="preserve">20-11</t>
  </si>
  <si>
    <t xml:space="preserve">Travaux de réhabilitation des équipements</t>
  </si>
  <si>
    <t xml:space="preserve">Travaux de réhabilitation des canaux portés d'irrigation</t>
  </si>
  <si>
    <t xml:space="preserve">Fourniture et de pose de canaux porté et accessoires du réseau S3 du secteur S13</t>
  </si>
  <si>
    <t xml:space="preserve">Fourniture et de pose de canaux porté et accessoires du réseau T2S1 du secteur S13</t>
  </si>
  <si>
    <t xml:space="preserve">Curage des prises sur l’oued de la station de pompage S17 et S13.
Nettoyage des grilles de préfiltration des boues colmaté de la station de pompage S17 et S13.
Curage de la bâche d’aspiration de la station S17 et S13.</t>
  </si>
  <si>
    <t xml:space="preserve">Changement trois débitmètre Ø 600mm inondés de la station de pompage S13.</t>
  </si>
  <si>
    <t xml:space="preserve">Prestations de maintenance des moteurs électriques des stations de pompage.</t>
  </si>
  <si>
    <t xml:space="preserve">Révision des trois moteurs électriques 200 KW principaux de la station S13. 
Révision des deux moteurs électriques 5,5 KW groupes vide de la station S13.</t>
  </si>
  <si>
    <t xml:space="preserve">Démontage et expertise des roues des  pompes principaux et pompes a vide de la station S13.
Changement des roulements, tresses et organes d’effectués de la station S13.</t>
  </si>
  <si>
    <t xml:space="preserve">Pose de  gabions et recouvrement du talus par matelas Reno des stations de pompage S13.</t>
  </si>
  <si>
    <t xml:space="preserve">Mur clôture des stations de pompage.</t>
  </si>
  <si>
    <t xml:space="preserve">Stabilisation du sol et reconstruction des murs clôture (270m) cote oued de la station S17.</t>
  </si>
  <si>
    <t xml:space="preserve">Expertise d’état et d’étanchéité des locaux pompes, commande, puissance des stations de pompage S17 et S13.
Renforcement d’étanchéité des locaux pompe sous niveau des oueds des stations de pompage S17 et S13.</t>
  </si>
  <si>
    <t xml:space="preserve">NOUIRAT</t>
  </si>
  <si>
    <t xml:space="preserve">Curage des collecteurs d'assainissement des secteurs EST1 et N5</t>
  </si>
  <si>
    <t xml:space="preserve">Travaux de réhabilitation des ouvrages de génie civil</t>
  </si>
  <si>
    <t xml:space="preserve">Réhabilitation de l'ouvrage( genie civil ,gabiollannage,clapet anti retour et buse) de l'ouvrage de débouche SE1</t>
  </si>
  <si>
    <t xml:space="preserve">Curage des prises sur l’oued de la station de pompage E1.
Nettoyage des grilles de préfiltration des boues colmaté de la station de pompage E1.
Curage de la bâche d’aspiration de la station E1.</t>
  </si>
  <si>
    <t xml:space="preserve">Changement du débitmètre Ø 1200mm inondé de la station de pompage E1.</t>
  </si>
  <si>
    <t xml:space="preserve">Révision des deux moteurs électriques principaux de la station E1.</t>
  </si>
  <si>
    <t xml:space="preserve">Démontage et expertise des cinq pompes principaux et pompes a vide de la station E1.
Changement des roulements, tresses et organes d’effectués de la station E1.</t>
  </si>
  <si>
    <t xml:space="preserve">Expertise d’état et d’étanchéité des locaux pompes, commande, puissance de la station de pompage E1.
Renforcement d’étanchéité des locaux pompe sous niveau des oueds de la station de pompage E1.</t>
  </si>
  <si>
    <t xml:space="preserve">RMILAT</t>
  </si>
  <si>
    <t xml:space="preserve">Curage des collecteurs d'assainissement des secteurs P7</t>
  </si>
  <si>
    <t xml:space="preserve">SAFSAF</t>
  </si>
  <si>
    <t xml:space="preserve">Curage des collecteurs d'assainissement des secteurs S7, S9 et S11</t>
  </si>
  <si>
    <t xml:space="preserve">Fourniture et  pose de canaux porté et accessoires du réseau S4 du secteur S11</t>
  </si>
  <si>
    <t xml:space="preserve">Recalage des canaux portés du réseau T5S5 du secteur S9</t>
  </si>
  <si>
    <t xml:space="preserve">Recalage des canaux portés du réseau T7S5 du secteur S9</t>
  </si>
  <si>
    <t xml:space="preserve">Recalage des canaux portés du réseau T2S5 du secteur S9</t>
  </si>
  <si>
    <t xml:space="preserve">Curage des prises sur l’oued des stations de pompage S11, S9, 7D et 7B.
Nettoyage des grilles de préfiltration des boues colmaté des stations de pompage S11, S9, 7D et 7B.
Nettoyage des crépines des boues colmaté de station pompage 7D.
Curage des dalots et bâche d’aspiration des stations de pompage S11, S9, 7B.</t>
  </si>
  <si>
    <t xml:space="preserve">Changements Sept des débitmètres Ø 600mm inondé des deux stations de pompage S11 et S9.</t>
  </si>
  <si>
    <t xml:space="preserve">Pose de murs en gabions et recouvrement du talus par matelas Reno des stations de pompage S11, S9, 7D et 7B .</t>
  </si>
  <si>
    <t xml:space="preserve">SIDI AZZOUZ</t>
  </si>
  <si>
    <t xml:space="preserve">SIDI EL KAMEL</t>
  </si>
  <si>
    <t xml:space="preserve">Fourniture et de pose de canaux porté et accessoires du réseau SR4 du secteur S3R</t>
  </si>
  <si>
    <t xml:space="preserve">Fourniture et de pose de canaux porté et accessoires du réseau SR6 du secteur S1RIZ</t>
  </si>
  <si>
    <t xml:space="preserve">Recalage des canaux portés du réseau SR4 du secteur S3R</t>
  </si>
  <si>
    <t xml:space="preserve">Réhabilitation des murs de soutènements des ouvrages de franchissements du canal d'assainissement CS3 secteur S3 et de l’ouvrage de franchissement du canal primaire d’irrigation du secteur S1R au niveau de la route provinciale P4234</t>
  </si>
  <si>
    <t xml:space="preserve">Changement de quatre débitmètres Ø 500mm et trois Ø 800mm inondé des stations de pompage 1R, 3R et 5R.</t>
  </si>
  <si>
    <t xml:space="preserve">Stabilisation et reconstruction des murs clôture cote oued des stations de pompage 7A, 3R et 1R.</t>
  </si>
  <si>
    <t xml:space="preserve">Kénitra</t>
  </si>
  <si>
    <t xml:space="preserve">Bni malek</t>
  </si>
  <si>
    <t xml:space="preserve">Curage des emissaires et colatures secondaire au niveau des secteurs MDA ET N9</t>
  </si>
  <si>
    <t xml:space="preserve">Entretien des pistes agricoles des secteurs MDA et N3</t>
  </si>
  <si>
    <t xml:space="preserve">station de pompage MDA secteur MDA</t>
  </si>
  <si>
    <t xml:space="preserve">Rétablissement des bornes affaissées des secteurs N2 et N3</t>
  </si>
  <si>
    <t xml:space="preserve">SOUK TLET</t>
  </si>
  <si>
    <t xml:space="preserve">curage des emissaires et colatures secondaire au niveau des secteurs N2,N3 ET N4,</t>
  </si>
  <si>
    <t xml:space="preserve">Entretien des pistes des secteurs N2,N3,N4 et C4R,</t>
  </si>
  <si>
    <t xml:space="preserve">Sidi Med Lahmar</t>
  </si>
  <si>
    <t xml:space="preserve">Curage des emissaires et colatures secondaires secteurs N1</t>
  </si>
  <si>
    <t xml:space="preserve">Entretien des pistes agricoles des secteurs N9 et N1</t>
  </si>
  <si>
    <t xml:space="preserve">Mograne</t>
  </si>
  <si>
    <t xml:space="preserve">Curage des canaux d'assainissement Hors secteur équipé ghoufera et laison beht sebou ,</t>
  </si>
  <si>
    <t xml:space="preserve">Entretien des pistes agricoles des secteurs SEBOU1,SEBOU2? BEHT3 et BEHT4</t>
  </si>
  <si>
    <t xml:space="preserve">Sidi allal tazi</t>
  </si>
  <si>
    <t xml:space="preserve">Curage du canaL d'assainissement CK,</t>
  </si>
  <si>
    <t xml:space="preserve">AMEUR SAFLIA</t>
  </si>
  <si>
    <t xml:space="preserve">Curage des canaux d'assainissement amontTtiflt Sebou,</t>
  </si>
  <si>
    <t xml:space="preserve">Oulad SLAMA</t>
  </si>
  <si>
    <t xml:space="preserve">Curage des canaux d'assainissement debouche Tiflt aval,</t>
  </si>
  <si>
    <t xml:space="preserve">BHARA Oulad AYAD</t>
  </si>
  <si>
    <t xml:space="preserve">Curage des canaux d'assainissement canal nador bas et haut segmet,</t>
  </si>
  <si>
    <t xml:space="preserve">Sidi Slimane</t>
  </si>
  <si>
    <t xml:space="preserve">OULED HCEINE</t>
  </si>
  <si>
    <t xml:space="preserve">Curage des collecteurs d'assainissement du secteur EST4.</t>
  </si>
  <si>
    <t xml:space="preserve">Curage du canal d'assainissement Tihli central.</t>
  </si>
  <si>
    <t xml:space="preserve">Travaux de réparation des équipements hydromécaniques et éléctriques et entretien de la partie génie civil des stations de pompage.</t>
  </si>
  <si>
    <t xml:space="preserve">Démontage et expertise des roues des  pompes principaux et pompes a vide de la station EST4 et P11/2.
Changement des roulements, tresses et organes d’effectués de la station EST4 et P11/2
Changement deux débitmètre Ø 1200 mm de la station EST4 et un débimétre de la station P11/2.
Changement des capteurs de niveau inondés.
Révision et réparation des moteurs des vannes motorisées inondées.
changement de six contrôleurs de débits DW181 inondés.
Un capteur de débitmètre inondé nécessitent un diagnostic VEGASON  .
Entretien de l'éclairage du local de vide et bâche d’aspiration inondé de la station EST4 et la partie de l’éclairage du local des pompes inondées de la station P11/2.
Pose de gabions et recouvrement du talus par matelas Reno des stations de pompage P11/2</t>
  </si>
  <si>
    <t xml:space="preserve">Travaux de curage des prises des stations de pompage.</t>
  </si>
  <si>
    <t xml:space="preserve">Curage des siphones des station de pompage EST2 et P11/2.</t>
  </si>
  <si>
    <t xml:space="preserve">TOTAL</t>
  </si>
  <si>
    <t xml:space="preserve">Guide d'Utilisation du Canevas Hebdomadaire</t>
  </si>
  <si>
    <t xml:space="preserve">RUBRIQUE</t>
  </si>
  <si>
    <t xml:space="preserve">DESCRIPTION</t>
  </si>
  <si>
    <t xml:space="preserve">Code Couleur</t>
  </si>
  <si>
    <t xml:space="preserve">Jaune = Cellule de saisie (modifiable) | Vert = Formule auto (réf. inter-feuille) | Noir = Formule calculée | Bleu = Valeur saisie</t>
  </si>
  <si>
    <t xml:space="preserve">Feuilles S01-S04</t>
  </si>
  <si>
    <t xml:space="preserve">Chaque feuille représente une semaine. Saisissez uniquement dans les cellules jaunes : Avancement Physique %, Montants, Avancement Financier %, Observations.</t>
  </si>
  <si>
    <t xml:space="preserve">Colonnes Automatiques</t>
  </si>
  <si>
    <t xml:space="preserve">% Sem. Préc. : récupéré automatiquement de la semaine précédente | Accroissement % : calculé automatiquement | Écart Phys.-Fin. : différence entre avancement physique et financier</t>
  </si>
  <si>
    <t xml:space="preserve">Ajouter Semaines</t>
  </si>
  <si>
    <t xml:space="preserve">Pour ajouter S05 : Dupliquez S04, renommez en S05, puis modifiez les formules de la colonne K (% Sem. Préc.) pour référencer S04 au lieu de S03.</t>
  </si>
  <si>
    <t xml:space="preserve">Protection</t>
  </si>
  <si>
    <t xml:space="preserve">Les cellules de référence et les formules sont verrouillées. Mot de passe de déprotection : ormvag2026</t>
  </si>
  <si>
    <t xml:space="preserve">Récapitulatif</t>
  </si>
  <si>
    <t xml:space="preserve">La feuille Récapitulatif se met à jour automatiquement à partir de la dernière semaine (S04) et affiche les KPI, l'évolution hebdomadaire et le résumé par province.</t>
  </si>
  <si>
    <t xml:space="preserve">Format Pourcentages</t>
  </si>
  <si>
    <t xml:space="preserve">Saisir 0.25 pour 25%, 0.50 pour 50%, 1.00 pour 100%. Les valeurs doivent être entre 0 et 1.</t>
  </si>
  <si>
    <t xml:space="preserve">Suivi Hebdomadaire - Semaine 1 - Exécution Physique et Financière</t>
  </si>
  <si>
    <t xml:space="preserve">Date Semaine :</t>
  </si>
  <si>
    <t xml:space="preserve">Avancement Physique %</t>
  </si>
  <si>
    <t xml:space="preserve">% Physique Sem. Préc.</t>
  </si>
  <si>
    <t xml:space="preserve">Accroissement Physique %</t>
  </si>
  <si>
    <t xml:space="preserve">Montant Décaissé (DH)</t>
  </si>
  <si>
    <t xml:space="preserve">Montant Payé (DH)</t>
  </si>
  <si>
    <t xml:space="preserve">Montant Ordonné (DH)</t>
  </si>
  <si>
    <t xml:space="preserve">Avancement Financier %</t>
  </si>
  <si>
    <t xml:space="preserve">% Financier Sem. Préc.</t>
  </si>
  <si>
    <t xml:space="preserve">Accroissement Financier %</t>
  </si>
  <si>
    <t xml:space="preserve">Écart Physique-Financier</t>
  </si>
  <si>
    <t xml:space="preserve">Observations</t>
  </si>
  <si>
    <t xml:space="preserve">Suivi Hebdomadaire - Semaine 2 - Exécution Physique et Financière</t>
  </si>
  <si>
    <t xml:space="preserve">Suivi Hebdomadaire - Semaine 3 - Exécution Physique et Financière</t>
  </si>
  <si>
    <t xml:space="preserve">Suivi Hebdomadaire - Semaine 4 - Exécution Physique et Financière</t>
  </si>
  <si>
    <t xml:space="preserve">Récapitulatif Hebdomadaire - Suivi d'Exécution</t>
  </si>
  <si>
    <t xml:space="preserve">Total Projets</t>
  </si>
  <si>
    <t xml:space="preserve">Avancement Physique Moy.</t>
  </si>
  <si>
    <t xml:space="preserve">Avancement Financier Moy.</t>
  </si>
  <si>
    <t xml:space="preserve">Montant Décaissé Total (DH)</t>
  </si>
  <si>
    <t xml:space="preserve">Montant Payé Total (DH)</t>
  </si>
  <si>
    <t xml:space="preserve">Semaine en cours (S04)</t>
  </si>
  <si>
    <t xml:space="preserve">Évolution Hebdomadaire par Semaine</t>
  </si>
  <si>
    <t xml:space="preserve">Semaine</t>
  </si>
  <si>
    <t xml:space="preserve">Écart Phys.-Fin.</t>
  </si>
  <si>
    <t xml:space="preserve">S01</t>
  </si>
  <si>
    <t xml:space="preserve">S02</t>
  </si>
  <si>
    <t xml:space="preserve">S03</t>
  </si>
  <si>
    <t xml:space="preserve">S04</t>
  </si>
  <si>
    <t xml:space="preserve">Récapitulatif par Province</t>
  </si>
  <si>
    <t xml:space="preserve">Nb Projets</t>
  </si>
</sst>
</file>

<file path=xl/styles.xml><?xml version="1.0" encoding="utf-8"?>
<styleSheet xmlns="http://schemas.openxmlformats.org/spreadsheetml/2006/main">
  <numFmts count="4">
    <numFmt numFmtId="164" formatCode="General"/>
    <numFmt numFmtId="165" formatCode="#,##0"/>
    <numFmt numFmtId="166" formatCode="yyyy\-mm\-dd"/>
    <numFmt numFmtId="167" formatCode="0.0%"/>
  </numFmts>
  <fonts count="14">
    <font>
      <sz val="11"/>
      <color theme="1"/>
      <name val="Calibri"/>
      <family val="2"/>
      <charset val="1"/>
    </font>
    <font>
      <sz val="10"/>
      <name val="Arial"/>
      <family val="0"/>
    </font>
    <font>
      <sz val="10"/>
      <name val="Arial"/>
      <family val="0"/>
    </font>
    <font>
      <sz val="10"/>
      <name val="Arial"/>
      <family val="0"/>
    </font>
    <font>
      <sz val="16"/>
      <color rgb="FF1B2A4A"/>
      <name val="Noto Sans CJK SC"/>
      <family val="0"/>
      <charset val="1"/>
    </font>
    <font>
      <sz val="11"/>
      <color rgb="FFFFFFFF"/>
      <name val="Noto Sans CJK SC"/>
      <family val="0"/>
      <charset val="1"/>
    </font>
    <font>
      <sz val="11"/>
      <color rgb="FF37352F"/>
      <name val="Noto Sans CJK SC"/>
      <family val="0"/>
      <charset val="1"/>
    </font>
    <font>
      <sz val="11"/>
      <color rgb="FFC76E7E"/>
      <name val="Noto Sans CJK SC"/>
      <family val="0"/>
      <charset val="1"/>
    </font>
    <font>
      <sz val="11"/>
      <color rgb="FFD4A017"/>
      <name val="Noto Sans CJK SC"/>
      <family val="0"/>
      <charset val="1"/>
    </font>
    <font>
      <sz val="11"/>
      <color rgb="FF5BB58A"/>
      <name val="Noto Sans CJK SC"/>
      <family val="0"/>
      <charset val="1"/>
    </font>
    <font>
      <sz val="11"/>
      <color rgb="FF1B2A4A"/>
      <name val="Noto Sans CJK SC"/>
      <family val="0"/>
      <charset val="1"/>
    </font>
    <font>
      <sz val="11"/>
      <color rgb="FF0000FF"/>
      <name val="Noto Sans CJK SC"/>
      <family val="0"/>
      <charset val="1"/>
    </font>
    <font>
      <sz val="11"/>
      <color rgb="FF008000"/>
      <name val="Noto Sans CJK SC"/>
      <family val="0"/>
      <charset val="1"/>
    </font>
    <font>
      <sz val="22"/>
      <color rgb="FF1B2A4A"/>
      <name val="Noto Sans CJK SC"/>
      <family val="0"/>
      <charset val="1"/>
    </font>
  </fonts>
  <fills count="10">
    <fill>
      <patternFill patternType="none"/>
    </fill>
    <fill>
      <patternFill patternType="gray125"/>
    </fill>
    <fill>
      <patternFill patternType="solid">
        <fgColor rgb="FF1B2A4A"/>
        <bgColor rgb="FF37352F"/>
      </patternFill>
    </fill>
    <fill>
      <patternFill patternType="solid">
        <fgColor rgb="FFFFFFFF"/>
        <bgColor rgb="FFF7F7F5"/>
      </patternFill>
    </fill>
    <fill>
      <patternFill patternType="solid">
        <fgColor rgb="FFFFF0F3"/>
        <bgColor rgb="FFFDEDEC"/>
      </patternFill>
    </fill>
    <fill>
      <patternFill patternType="solid">
        <fgColor rgb="FFF7F7F5"/>
        <bgColor rgb="FFFEF9E7"/>
      </patternFill>
    </fill>
    <fill>
      <patternFill patternType="solid">
        <fgColor rgb="FFFFF8DC"/>
        <bgColor rgb="FFFEF9E7"/>
      </patternFill>
    </fill>
    <fill>
      <patternFill patternType="solid">
        <fgColor rgb="FFF0FFF4"/>
        <bgColor rgb="FFF7F7F5"/>
      </patternFill>
    </fill>
    <fill>
      <patternFill patternType="solid">
        <fgColor rgb="FFD6E4F0"/>
        <bgColor rgb="FFE9E9E8"/>
      </patternFill>
    </fill>
    <fill>
      <patternFill patternType="solid">
        <fgColor rgb="FFFFFFCC"/>
        <bgColor rgb="FFFFF8DC"/>
      </patternFill>
    </fill>
  </fills>
  <borders count="3">
    <border diagonalUp="false" diagonalDown="false">
      <left/>
      <right/>
      <top/>
      <bottom/>
      <diagonal/>
    </border>
    <border diagonalUp="false" diagonalDown="false">
      <left/>
      <right/>
      <top/>
      <bottom style="thin">
        <color rgb="FFE9E9E8"/>
      </bottom>
      <diagonal/>
    </border>
    <border diagonalUp="false" diagonalDown="false">
      <left/>
      <right/>
      <top style="medium">
        <color rgb="FFE9E9E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left"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false" applyProtection="false">
      <alignment horizontal="general" vertical="bottom" textRotation="0" wrapText="false" indent="0" shrinkToFit="false"/>
      <protection locked="true" hidden="false"/>
    </xf>
    <xf numFmtId="165" fontId="6" fillId="3"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5" fontId="6" fillId="5" borderId="0" xfId="0" applyFont="true" applyBorder="false" applyAlignment="false" applyProtection="false">
      <alignment horizontal="general" vertical="bottom" textRotation="0" wrapText="false" indent="0" shrinkToFit="false"/>
      <protection locked="true" hidden="false"/>
    </xf>
    <xf numFmtId="164" fontId="8" fillId="6" borderId="0" xfId="0" applyFont="true" applyBorder="false" applyAlignment="false" applyProtection="false">
      <alignment horizontal="general" vertical="bottom" textRotation="0" wrapText="false" indent="0" shrinkToFit="false"/>
      <protection locked="true" hidden="false"/>
    </xf>
    <xf numFmtId="164" fontId="9" fillId="7" borderId="0" xfId="0" applyFont="true" applyBorder="false" applyAlignment="false" applyProtection="false">
      <alignment horizontal="general" vertical="bottom" textRotation="0" wrapText="false" indent="0" shrinkToFit="false"/>
      <protection locked="true" hidden="false"/>
    </xf>
    <xf numFmtId="164" fontId="10" fillId="8" borderId="2" xfId="0" applyFont="true" applyBorder="true" applyAlignment="false" applyProtection="false">
      <alignment horizontal="general" vertical="bottom" textRotation="0" wrapText="false" indent="0" shrinkToFit="false"/>
      <protection locked="true" hidden="false"/>
    </xf>
    <xf numFmtId="165" fontId="10" fillId="8" borderId="2"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6" fontId="11" fillId="9" borderId="0" xfId="0" applyFont="true" applyBorder="true" applyAlignment="true" applyProtection="true">
      <alignment horizontal="center" vertical="center" textRotation="0" wrapText="false" indent="0" shrinkToFit="false"/>
      <protection locked="false" hidden="false"/>
    </xf>
    <xf numFmtId="167" fontId="11" fillId="9" borderId="0" xfId="0" applyFont="true" applyBorder="false" applyAlignment="false" applyProtection="true">
      <alignment horizontal="general" vertical="bottom" textRotation="0" wrapText="false" indent="0" shrinkToFit="false"/>
      <protection locked="false" hidden="false"/>
    </xf>
    <xf numFmtId="167" fontId="6" fillId="3" borderId="0" xfId="0" applyFont="true" applyBorder="false" applyAlignment="false" applyProtection="false">
      <alignment horizontal="general" vertical="bottom" textRotation="0" wrapText="false" indent="0" shrinkToFit="false"/>
      <protection locked="true" hidden="false"/>
    </xf>
    <xf numFmtId="165" fontId="11" fillId="9" borderId="0" xfId="0" applyFont="true" applyBorder="false" applyAlignment="false" applyProtection="true">
      <alignment horizontal="general" vertical="bottom" textRotation="0" wrapText="false" indent="0" shrinkToFit="false"/>
      <protection locked="false" hidden="false"/>
    </xf>
    <xf numFmtId="164" fontId="11" fillId="9" borderId="0" xfId="0" applyFont="true" applyBorder="false" applyAlignment="false" applyProtection="true">
      <alignment horizontal="general" vertical="bottom" textRotation="0" wrapText="false" indent="0" shrinkToFit="false"/>
      <protection locked="false" hidden="false"/>
    </xf>
    <xf numFmtId="167" fontId="6" fillId="5" borderId="0" xfId="0" applyFont="tru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true" applyProtection="false">
      <alignment horizontal="general" vertical="bottom" textRotation="0" wrapText="true" indent="0" shrinkToFit="false"/>
      <protection locked="true" hidden="false"/>
    </xf>
    <xf numFmtId="164" fontId="6" fillId="3" borderId="0" xfId="0" applyFont="true" applyBorder="false" applyAlignment="true" applyProtection="false">
      <alignment horizontal="general" vertical="bottom" textRotation="0" wrapText="true" indent="0" shrinkToFit="false"/>
      <protection locked="true" hidden="false"/>
    </xf>
    <xf numFmtId="167" fontId="10" fillId="8" borderId="2" xfId="0" applyFont="true" applyBorder="true" applyAlignment="false" applyProtection="false">
      <alignment horizontal="general" vertical="bottom" textRotation="0" wrapText="false" indent="0" shrinkToFit="false"/>
      <protection locked="true" hidden="false"/>
    </xf>
    <xf numFmtId="167" fontId="12" fillId="3" borderId="0" xfId="0" applyFont="true" applyBorder="false" applyAlignment="false" applyProtection="false">
      <alignment horizontal="general" vertical="bottom" textRotation="0" wrapText="false" indent="0" shrinkToFit="false"/>
      <protection locked="true" hidden="false"/>
    </xf>
    <xf numFmtId="167" fontId="12" fillId="5"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right" vertical="center" textRotation="0" wrapText="false" indent="0" shrinkToFit="false"/>
      <protection locked="true" hidden="false"/>
    </xf>
    <xf numFmtId="165" fontId="13" fillId="0" borderId="0" xfId="0" applyFont="true" applyBorder="false" applyAlignment="true" applyProtection="false">
      <alignment horizontal="right" vertical="center" textRotation="0" wrapText="false" indent="0" shrinkToFit="false"/>
      <protection locked="true" hidden="false"/>
    </xf>
    <xf numFmtId="167" fontId="13" fillId="0" borderId="0" xfId="0" applyFont="true" applyBorder="false" applyAlignment="true" applyProtection="false">
      <alignment horizontal="right" vertical="center" textRotation="0" wrapText="false" indent="0" shrinkToFit="false"/>
      <protection locked="true" hidden="false"/>
    </xf>
    <xf numFmtId="164" fontId="10" fillId="0" borderId="0" xfId="0" applyFont="true" applyBorder="true" applyAlignment="false" applyProtection="false">
      <alignment horizontal="general" vertical="bottom" textRotation="0" wrapText="false" indent="0" shrinkToFit="false"/>
      <protection locked="true" hidden="false"/>
    </xf>
    <xf numFmtId="165" fontId="12" fillId="3" borderId="0" xfId="0" applyFont="true" applyBorder="false" applyAlignment="false" applyProtection="false">
      <alignment horizontal="general" vertical="bottom" textRotation="0" wrapText="false" indent="0" shrinkToFit="false"/>
      <protection locked="true" hidden="false"/>
    </xf>
    <xf numFmtId="165" fontId="12" fillId="5"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ont>
        <color rgb="FF1B7D46"/>
      </font>
      <fill>
        <patternFill>
          <bgColor rgb="FFE8F5E9"/>
        </patternFill>
      </fill>
    </dxf>
    <dxf>
      <font>
        <color rgb="FFC0392B"/>
      </font>
      <fill>
        <patternFill>
          <bgColor rgb="FFFDEDEC"/>
        </patternFill>
      </fill>
    </dxf>
    <dxf>
      <font>
        <color rgb="FFD4820A"/>
      </font>
      <fill>
        <patternFill>
          <bgColor rgb="FFFEF9E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B7D46"/>
      <rgbColor rgb="FFFFF0F3"/>
      <rgbColor rgb="FF8C8A84"/>
      <rgbColor rgb="FF9999FF"/>
      <rgbColor rgb="FF7030A0"/>
      <rgbColor rgb="FFFFFFCC"/>
      <rgbColor rgb="FFE8F5E9"/>
      <rgbColor rgb="FF660066"/>
      <rgbColor rgb="FFC76E7E"/>
      <rgbColor rgb="FF0066CC"/>
      <rgbColor rgb="FFD6E4F0"/>
      <rgbColor rgb="FF000080"/>
      <rgbColor rgb="FFFF00FF"/>
      <rgbColor rgb="FFFFFF00"/>
      <rgbColor rgb="FF00FFFF"/>
      <rgbColor rgb="FF800080"/>
      <rgbColor rgb="FF800000"/>
      <rgbColor rgb="FF008080"/>
      <rgbColor rgb="FF0000FF"/>
      <rgbColor rgb="FF00CCFF"/>
      <rgbColor rgb="FFF0FFF4"/>
      <rgbColor rgb="FFE9E9E8"/>
      <rgbColor rgb="FFFFF8DC"/>
      <rgbColor rgb="FFF7F7F5"/>
      <rgbColor rgb="FFFEF9E7"/>
      <rgbColor rgb="FFCC99FF"/>
      <rgbColor rgb="FFFDEDEC"/>
      <rgbColor rgb="FF3366FF"/>
      <rgbColor rgb="FF33CCCC"/>
      <rgbColor rgb="FF99CC00"/>
      <rgbColor rgb="FFFFCC00"/>
      <rgbColor rgb="FFD4A017"/>
      <rgbColor rgb="FFD4820A"/>
      <rgbColor rgb="FF666699"/>
      <rgbColor rgb="FF969696"/>
      <rgbColor rgb="FF1B2A4A"/>
      <rgbColor rgb="FF5BB58A"/>
      <rgbColor rgb="FF003300"/>
      <rgbColor rgb="FF333300"/>
      <rgbColor rgb="FFC0392B"/>
      <rgbColor rgb="FF993366"/>
      <rgbColor rgb="FF333399"/>
      <rgbColor rgb="FF37352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B2A4A"/>
    <pageSetUpPr fitToPage="false"/>
  </sheetPr>
  <dimension ref="B1:I7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16"/>
    <col collapsed="false" customWidth="true" hidden="false" outlineLevel="0" max="4" min="4" style="0" width="20"/>
    <col collapsed="false" customWidth="true" hidden="false" outlineLevel="0" max="5" min="5" style="0" width="10"/>
    <col collapsed="false" customWidth="true" hidden="false" outlineLevel="0" max="6" min="6" style="0" width="36"/>
    <col collapsed="false" customWidth="true" hidden="false" outlineLevel="0" max="7" min="7" style="0" width="32"/>
    <col collapsed="false" customWidth="true" hidden="false" outlineLevel="0" max="8" min="8" style="0" width="36"/>
    <col collapsed="false" customWidth="true" hidden="false" outlineLevel="0" max="9" min="9" style="0" width="16"/>
  </cols>
  <sheetData>
    <row r="1" customFormat="false" ht="15" hidden="false" customHeight="true" outlineLevel="0" collapsed="false"/>
    <row r="2" customFormat="false" ht="31.5" hidden="false" customHeight="true" outlineLevel="0" collapsed="false">
      <c r="B2" s="1" t="s">
        <v>0</v>
      </c>
      <c r="C2" s="1"/>
      <c r="D2" s="1"/>
      <c r="E2" s="1"/>
      <c r="F2" s="1"/>
      <c r="G2" s="1"/>
      <c r="H2" s="1"/>
      <c r="I2" s="1"/>
    </row>
    <row r="3" customFormat="false" ht="7.5" hidden="false" customHeight="true" outlineLevel="0" collapsed="false"/>
    <row r="4" customFormat="false" ht="27.75" hidden="false" customHeight="true" outlineLevel="0" collapsed="false">
      <c r="B4" s="2" t="s">
        <v>1</v>
      </c>
      <c r="C4" s="2" t="s">
        <v>2</v>
      </c>
      <c r="D4" s="2" t="s">
        <v>3</v>
      </c>
      <c r="E4" s="2" t="s">
        <v>4</v>
      </c>
      <c r="F4" s="2" t="s">
        <v>5</v>
      </c>
      <c r="G4" s="2" t="s">
        <v>6</v>
      </c>
      <c r="H4" s="2" t="s">
        <v>7</v>
      </c>
      <c r="I4" s="2" t="s">
        <v>8</v>
      </c>
    </row>
    <row r="5" customFormat="false" ht="21.75" hidden="false" customHeight="true" outlineLevel="0" collapsed="false">
      <c r="B5" s="3" t="n">
        <v>1</v>
      </c>
      <c r="C5" s="4" t="s">
        <v>9</v>
      </c>
      <c r="D5" s="3" t="s">
        <v>10</v>
      </c>
      <c r="E5" s="3" t="s">
        <v>11</v>
      </c>
      <c r="F5" s="3" t="s">
        <v>12</v>
      </c>
      <c r="G5" s="3" t="s">
        <v>13</v>
      </c>
      <c r="H5" s="3" t="s">
        <v>14</v>
      </c>
      <c r="I5" s="5" t="n">
        <v>2091568</v>
      </c>
    </row>
    <row r="6" customFormat="false" ht="21.75" hidden="false" customHeight="true" outlineLevel="0" collapsed="false">
      <c r="B6" s="6" t="n">
        <v>2</v>
      </c>
      <c r="C6" s="4" t="s">
        <v>9</v>
      </c>
      <c r="D6" s="6" t="s">
        <v>10</v>
      </c>
      <c r="E6" s="6" t="s">
        <v>15</v>
      </c>
      <c r="F6" s="6" t="s">
        <v>16</v>
      </c>
      <c r="G6" s="6" t="s">
        <v>17</v>
      </c>
      <c r="H6" s="6" t="s">
        <v>18</v>
      </c>
      <c r="I6" s="7" t="n">
        <v>78000</v>
      </c>
    </row>
    <row r="7" customFormat="false" ht="21.75" hidden="false" customHeight="true" outlineLevel="0" collapsed="false">
      <c r="B7" s="3" t="n">
        <v>3</v>
      </c>
      <c r="C7" s="4" t="s">
        <v>9</v>
      </c>
      <c r="D7" s="3" t="s">
        <v>10</v>
      </c>
      <c r="E7" s="3" t="s">
        <v>11</v>
      </c>
      <c r="F7" s="3" t="s">
        <v>12</v>
      </c>
      <c r="G7" s="3" t="s">
        <v>19</v>
      </c>
      <c r="H7" s="3" t="s">
        <v>20</v>
      </c>
      <c r="I7" s="5" t="n">
        <v>126000</v>
      </c>
    </row>
    <row r="8" customFormat="false" ht="21.75" hidden="false" customHeight="true" outlineLevel="0" collapsed="false">
      <c r="B8" s="6" t="n">
        <v>4</v>
      </c>
      <c r="C8" s="4" t="s">
        <v>9</v>
      </c>
      <c r="D8" s="6" t="s">
        <v>10</v>
      </c>
      <c r="E8" s="6" t="s">
        <v>21</v>
      </c>
      <c r="F8" s="6" t="s">
        <v>22</v>
      </c>
      <c r="G8" s="6" t="s">
        <v>23</v>
      </c>
      <c r="H8" s="6" t="s">
        <v>24</v>
      </c>
      <c r="I8" s="7" t="n">
        <v>165500</v>
      </c>
    </row>
    <row r="9" customFormat="false" ht="21.75" hidden="false" customHeight="true" outlineLevel="0" collapsed="false">
      <c r="B9" s="3" t="n">
        <v>5</v>
      </c>
      <c r="C9" s="4" t="s">
        <v>9</v>
      </c>
      <c r="D9" s="3" t="s">
        <v>25</v>
      </c>
      <c r="E9" s="3" t="s">
        <v>11</v>
      </c>
      <c r="F9" s="3" t="s">
        <v>12</v>
      </c>
      <c r="G9" s="3" t="s">
        <v>13</v>
      </c>
      <c r="H9" s="3" t="s">
        <v>26</v>
      </c>
      <c r="I9" s="5" t="n">
        <v>1000000</v>
      </c>
    </row>
    <row r="10" customFormat="false" ht="21.75" hidden="false" customHeight="true" outlineLevel="0" collapsed="false">
      <c r="B10" s="6" t="n">
        <v>6</v>
      </c>
      <c r="C10" s="4" t="s">
        <v>9</v>
      </c>
      <c r="D10" s="6" t="s">
        <v>25</v>
      </c>
      <c r="E10" s="6" t="s">
        <v>11</v>
      </c>
      <c r="F10" s="6" t="s">
        <v>12</v>
      </c>
      <c r="G10" s="6"/>
      <c r="H10" s="6" t="s">
        <v>27</v>
      </c>
      <c r="I10" s="7" t="n">
        <v>846731</v>
      </c>
    </row>
    <row r="11" customFormat="false" ht="21.75" hidden="false" customHeight="true" outlineLevel="0" collapsed="false">
      <c r="B11" s="3" t="n">
        <v>7</v>
      </c>
      <c r="C11" s="4" t="s">
        <v>9</v>
      </c>
      <c r="D11" s="3" t="s">
        <v>25</v>
      </c>
      <c r="E11" s="3" t="s">
        <v>11</v>
      </c>
      <c r="F11" s="3" t="s">
        <v>12</v>
      </c>
      <c r="G11" s="3" t="s">
        <v>19</v>
      </c>
      <c r="H11" s="3" t="s">
        <v>28</v>
      </c>
      <c r="I11" s="5" t="n">
        <v>200000</v>
      </c>
    </row>
    <row r="12" customFormat="false" ht="21.75" hidden="false" customHeight="true" outlineLevel="0" collapsed="false">
      <c r="B12" s="6" t="n">
        <v>8</v>
      </c>
      <c r="C12" s="4" t="s">
        <v>9</v>
      </c>
      <c r="D12" s="6" t="s">
        <v>25</v>
      </c>
      <c r="E12" s="6" t="s">
        <v>21</v>
      </c>
      <c r="F12" s="6" t="s">
        <v>22</v>
      </c>
      <c r="G12" s="6" t="s">
        <v>23</v>
      </c>
      <c r="H12" s="6" t="s">
        <v>29</v>
      </c>
      <c r="I12" s="7" t="n">
        <v>141900</v>
      </c>
    </row>
    <row r="13" customFormat="false" ht="21.75" hidden="false" customHeight="true" outlineLevel="0" collapsed="false">
      <c r="B13" s="3" t="n">
        <v>9</v>
      </c>
      <c r="C13" s="4" t="s">
        <v>9</v>
      </c>
      <c r="D13" s="3" t="s">
        <v>25</v>
      </c>
      <c r="E13" s="3" t="s">
        <v>21</v>
      </c>
      <c r="F13" s="3" t="s">
        <v>22</v>
      </c>
      <c r="G13" s="3" t="s">
        <v>30</v>
      </c>
      <c r="H13" s="3" t="s">
        <v>31</v>
      </c>
      <c r="I13" s="5" t="n">
        <v>26700</v>
      </c>
    </row>
    <row r="14" customFormat="false" ht="21.75" hidden="false" customHeight="true" outlineLevel="0" collapsed="false">
      <c r="B14" s="6" t="n">
        <v>10</v>
      </c>
      <c r="C14" s="4" t="s">
        <v>9</v>
      </c>
      <c r="D14" s="6" t="s">
        <v>25</v>
      </c>
      <c r="E14" s="6" t="s">
        <v>21</v>
      </c>
      <c r="F14" s="6" t="s">
        <v>22</v>
      </c>
      <c r="G14" s="6" t="s">
        <v>32</v>
      </c>
      <c r="H14" s="6" t="s">
        <v>33</v>
      </c>
      <c r="I14" s="7" t="n">
        <v>480000</v>
      </c>
    </row>
    <row r="15" customFormat="false" ht="21.75" hidden="false" customHeight="true" outlineLevel="0" collapsed="false">
      <c r="B15" s="3" t="n">
        <v>11</v>
      </c>
      <c r="C15" s="4" t="s">
        <v>9</v>
      </c>
      <c r="D15" s="3" t="s">
        <v>25</v>
      </c>
      <c r="E15" s="3" t="s">
        <v>21</v>
      </c>
      <c r="F15" s="3" t="s">
        <v>22</v>
      </c>
      <c r="G15" s="3" t="s">
        <v>34</v>
      </c>
      <c r="H15" s="3" t="s">
        <v>35</v>
      </c>
      <c r="I15" s="5" t="n">
        <v>300000</v>
      </c>
    </row>
    <row r="16" customFormat="false" ht="21.75" hidden="false" customHeight="true" outlineLevel="0" collapsed="false">
      <c r="B16" s="6" t="n">
        <v>12</v>
      </c>
      <c r="C16" s="4" t="s">
        <v>9</v>
      </c>
      <c r="D16" s="6" t="s">
        <v>36</v>
      </c>
      <c r="E16" s="6" t="s">
        <v>11</v>
      </c>
      <c r="F16" s="6" t="s">
        <v>12</v>
      </c>
      <c r="G16" s="6" t="s">
        <v>13</v>
      </c>
      <c r="H16" s="6" t="s">
        <v>37</v>
      </c>
      <c r="I16" s="7" t="n">
        <v>1000000</v>
      </c>
    </row>
    <row r="17" customFormat="false" ht="21.75" hidden="false" customHeight="true" outlineLevel="0" collapsed="false">
      <c r="B17" s="3" t="n">
        <v>13</v>
      </c>
      <c r="C17" s="4" t="s">
        <v>9</v>
      </c>
      <c r="D17" s="3" t="s">
        <v>36</v>
      </c>
      <c r="E17" s="3" t="s">
        <v>11</v>
      </c>
      <c r="F17" s="3" t="s">
        <v>12</v>
      </c>
      <c r="G17" s="3" t="s">
        <v>38</v>
      </c>
      <c r="H17" s="3" t="s">
        <v>39</v>
      </c>
      <c r="I17" s="5" t="n">
        <v>739200</v>
      </c>
    </row>
    <row r="18" customFormat="false" ht="21.75" hidden="false" customHeight="true" outlineLevel="0" collapsed="false">
      <c r="B18" s="6" t="n">
        <v>14</v>
      </c>
      <c r="C18" s="4" t="s">
        <v>9</v>
      </c>
      <c r="D18" s="6" t="s">
        <v>40</v>
      </c>
      <c r="E18" s="6" t="s">
        <v>11</v>
      </c>
      <c r="F18" s="6" t="s">
        <v>12</v>
      </c>
      <c r="G18" s="6" t="s">
        <v>38</v>
      </c>
      <c r="H18" s="6" t="s">
        <v>41</v>
      </c>
      <c r="I18" s="7" t="n">
        <v>1276800</v>
      </c>
    </row>
    <row r="19" customFormat="false" ht="21.75" hidden="false" customHeight="true" outlineLevel="0" collapsed="false">
      <c r="B19" s="3" t="n">
        <v>15</v>
      </c>
      <c r="C19" s="4" t="s">
        <v>9</v>
      </c>
      <c r="D19" s="3" t="s">
        <v>42</v>
      </c>
      <c r="E19" s="3" t="s">
        <v>11</v>
      </c>
      <c r="F19" s="3" t="s">
        <v>12</v>
      </c>
      <c r="G19" s="3" t="s">
        <v>13</v>
      </c>
      <c r="H19" s="3" t="s">
        <v>43</v>
      </c>
      <c r="I19" s="5" t="n">
        <v>5796360</v>
      </c>
    </row>
    <row r="20" customFormat="false" ht="21.75" hidden="false" customHeight="true" outlineLevel="0" collapsed="false">
      <c r="B20" s="6" t="n">
        <v>16</v>
      </c>
      <c r="C20" s="4" t="s">
        <v>9</v>
      </c>
      <c r="D20" s="6" t="s">
        <v>42</v>
      </c>
      <c r="E20" s="6" t="s">
        <v>15</v>
      </c>
      <c r="F20" s="6" t="s">
        <v>16</v>
      </c>
      <c r="G20" s="6" t="s">
        <v>44</v>
      </c>
      <c r="H20" s="6" t="s">
        <v>44</v>
      </c>
      <c r="I20" s="7" t="n">
        <v>340000</v>
      </c>
    </row>
    <row r="21" customFormat="false" ht="21.75" hidden="false" customHeight="true" outlineLevel="0" collapsed="false">
      <c r="B21" s="3" t="n">
        <v>17</v>
      </c>
      <c r="C21" s="4" t="s">
        <v>9</v>
      </c>
      <c r="D21" s="3" t="s">
        <v>45</v>
      </c>
      <c r="E21" s="3" t="s">
        <v>46</v>
      </c>
      <c r="F21" s="3" t="s">
        <v>47</v>
      </c>
      <c r="G21" s="3" t="s">
        <v>48</v>
      </c>
      <c r="H21" s="3" t="s">
        <v>49</v>
      </c>
      <c r="I21" s="5" t="n">
        <v>397934</v>
      </c>
    </row>
    <row r="22" customFormat="false" ht="21.75" hidden="false" customHeight="true" outlineLevel="0" collapsed="false">
      <c r="B22" s="6" t="n">
        <v>18</v>
      </c>
      <c r="C22" s="4" t="s">
        <v>9</v>
      </c>
      <c r="D22" s="6" t="s">
        <v>45</v>
      </c>
      <c r="E22" s="6" t="s">
        <v>46</v>
      </c>
      <c r="F22" s="6" t="s">
        <v>47</v>
      </c>
      <c r="G22" s="6"/>
      <c r="H22" s="6" t="s">
        <v>50</v>
      </c>
      <c r="I22" s="7" t="n">
        <v>207575</v>
      </c>
    </row>
    <row r="23" customFormat="false" ht="21.75" hidden="false" customHeight="true" outlineLevel="0" collapsed="false">
      <c r="B23" s="3" t="n">
        <v>19</v>
      </c>
      <c r="C23" s="4" t="s">
        <v>9</v>
      </c>
      <c r="D23" s="3" t="s">
        <v>45</v>
      </c>
      <c r="E23" s="3" t="s">
        <v>15</v>
      </c>
      <c r="F23" s="3" t="s">
        <v>16</v>
      </c>
      <c r="G23" s="3" t="s">
        <v>44</v>
      </c>
      <c r="H23" s="3" t="s">
        <v>44</v>
      </c>
      <c r="I23" s="5" t="n">
        <v>2200000</v>
      </c>
    </row>
    <row r="24" customFormat="false" ht="21.75" hidden="false" customHeight="true" outlineLevel="0" collapsed="false">
      <c r="B24" s="6" t="n">
        <v>20</v>
      </c>
      <c r="C24" s="4" t="s">
        <v>9</v>
      </c>
      <c r="D24" s="6" t="s">
        <v>45</v>
      </c>
      <c r="E24" s="6" t="s">
        <v>11</v>
      </c>
      <c r="F24" s="6" t="s">
        <v>12</v>
      </c>
      <c r="G24" s="6" t="s">
        <v>19</v>
      </c>
      <c r="H24" s="6" t="s">
        <v>51</v>
      </c>
      <c r="I24" s="7" t="n">
        <v>300000</v>
      </c>
    </row>
    <row r="25" customFormat="false" ht="21.75" hidden="false" customHeight="true" outlineLevel="0" collapsed="false">
      <c r="B25" s="3" t="n">
        <v>21</v>
      </c>
      <c r="C25" s="4" t="s">
        <v>9</v>
      </c>
      <c r="D25" s="3" t="s">
        <v>45</v>
      </c>
      <c r="E25" s="3" t="s">
        <v>21</v>
      </c>
      <c r="F25" s="3" t="s">
        <v>22</v>
      </c>
      <c r="G25" s="3" t="s">
        <v>23</v>
      </c>
      <c r="H25" s="3" t="s">
        <v>52</v>
      </c>
      <c r="I25" s="5" t="n">
        <v>250000</v>
      </c>
    </row>
    <row r="26" customFormat="false" ht="21.75" hidden="false" customHeight="true" outlineLevel="0" collapsed="false">
      <c r="B26" s="6" t="n">
        <v>22</v>
      </c>
      <c r="C26" s="4" t="s">
        <v>9</v>
      </c>
      <c r="D26" s="6" t="s">
        <v>45</v>
      </c>
      <c r="E26" s="6" t="s">
        <v>21</v>
      </c>
      <c r="F26" s="6" t="s">
        <v>22</v>
      </c>
      <c r="G26" s="6" t="s">
        <v>53</v>
      </c>
      <c r="H26" s="6" t="s">
        <v>54</v>
      </c>
      <c r="I26" s="7" t="n">
        <v>25000</v>
      </c>
    </row>
    <row r="27" customFormat="false" ht="21.75" hidden="false" customHeight="true" outlineLevel="0" collapsed="false">
      <c r="B27" s="3" t="n">
        <v>23</v>
      </c>
      <c r="C27" s="4" t="s">
        <v>9</v>
      </c>
      <c r="D27" s="3" t="s">
        <v>45</v>
      </c>
      <c r="E27" s="3" t="s">
        <v>21</v>
      </c>
      <c r="F27" s="3" t="s">
        <v>22</v>
      </c>
      <c r="G27" s="3" t="s">
        <v>30</v>
      </c>
      <c r="H27" s="3" t="s">
        <v>55</v>
      </c>
      <c r="I27" s="5" t="n">
        <v>38000</v>
      </c>
    </row>
    <row r="28" customFormat="false" ht="21.75" hidden="false" customHeight="true" outlineLevel="0" collapsed="false">
      <c r="B28" s="6" t="n">
        <v>24</v>
      </c>
      <c r="C28" s="4" t="s">
        <v>9</v>
      </c>
      <c r="D28" s="6" t="s">
        <v>45</v>
      </c>
      <c r="E28" s="6" t="s">
        <v>21</v>
      </c>
      <c r="F28" s="6" t="s">
        <v>22</v>
      </c>
      <c r="G28" s="6" t="s">
        <v>32</v>
      </c>
      <c r="H28" s="6" t="s">
        <v>56</v>
      </c>
      <c r="I28" s="7" t="n">
        <v>10560000</v>
      </c>
    </row>
    <row r="29" customFormat="false" ht="21.75" hidden="false" customHeight="true" outlineLevel="0" collapsed="false">
      <c r="B29" s="3" t="n">
        <v>25</v>
      </c>
      <c r="C29" s="4" t="s">
        <v>9</v>
      </c>
      <c r="D29" s="3" t="s">
        <v>45</v>
      </c>
      <c r="E29" s="3" t="s">
        <v>21</v>
      </c>
      <c r="F29" s="3" t="s">
        <v>22</v>
      </c>
      <c r="G29" s="3" t="s">
        <v>57</v>
      </c>
      <c r="H29" s="3" t="s">
        <v>58</v>
      </c>
      <c r="I29" s="5" t="n">
        <v>144000</v>
      </c>
    </row>
    <row r="30" customFormat="false" ht="21.75" hidden="false" customHeight="true" outlineLevel="0" collapsed="false">
      <c r="B30" s="6" t="n">
        <v>26</v>
      </c>
      <c r="C30" s="4" t="s">
        <v>9</v>
      </c>
      <c r="D30" s="6" t="s">
        <v>45</v>
      </c>
      <c r="E30" s="6" t="s">
        <v>21</v>
      </c>
      <c r="F30" s="6" t="s">
        <v>22</v>
      </c>
      <c r="G30" s="6" t="s">
        <v>34</v>
      </c>
      <c r="H30" s="6" t="s">
        <v>59</v>
      </c>
      <c r="I30" s="7" t="n">
        <v>800000</v>
      </c>
    </row>
    <row r="31" customFormat="false" ht="21.75" hidden="false" customHeight="true" outlineLevel="0" collapsed="false">
      <c r="B31" s="3" t="n">
        <v>27</v>
      </c>
      <c r="C31" s="4" t="s">
        <v>9</v>
      </c>
      <c r="D31" s="3" t="s">
        <v>60</v>
      </c>
      <c r="E31" s="3" t="s">
        <v>11</v>
      </c>
      <c r="F31" s="3" t="s">
        <v>12</v>
      </c>
      <c r="G31" s="3" t="s">
        <v>13</v>
      </c>
      <c r="H31" s="3" t="s">
        <v>61</v>
      </c>
      <c r="I31" s="5" t="n">
        <v>1733306</v>
      </c>
    </row>
    <row r="32" customFormat="false" ht="21.75" hidden="false" customHeight="true" outlineLevel="0" collapsed="false">
      <c r="B32" s="6" t="n">
        <v>28</v>
      </c>
      <c r="C32" s="4" t="s">
        <v>9</v>
      </c>
      <c r="D32" s="6" t="s">
        <v>60</v>
      </c>
      <c r="E32" s="6" t="s">
        <v>15</v>
      </c>
      <c r="F32" s="6" t="s">
        <v>16</v>
      </c>
      <c r="G32" s="6" t="s">
        <v>44</v>
      </c>
      <c r="H32" s="6" t="s">
        <v>44</v>
      </c>
      <c r="I32" s="7" t="n">
        <v>670000</v>
      </c>
    </row>
    <row r="33" customFormat="false" ht="21.75" hidden="false" customHeight="true" outlineLevel="0" collapsed="false">
      <c r="B33" s="3" t="n">
        <v>29</v>
      </c>
      <c r="C33" s="4" t="s">
        <v>9</v>
      </c>
      <c r="D33" s="3" t="s">
        <v>60</v>
      </c>
      <c r="E33" s="3" t="s">
        <v>46</v>
      </c>
      <c r="F33" s="3" t="s">
        <v>47</v>
      </c>
      <c r="G33" s="3" t="s">
        <v>62</v>
      </c>
      <c r="H33" s="3" t="s">
        <v>63</v>
      </c>
      <c r="I33" s="5" t="n">
        <v>2500000</v>
      </c>
    </row>
    <row r="34" customFormat="false" ht="21.75" hidden="false" customHeight="true" outlineLevel="0" collapsed="false">
      <c r="B34" s="6" t="n">
        <v>30</v>
      </c>
      <c r="C34" s="4" t="s">
        <v>9</v>
      </c>
      <c r="D34" s="6" t="s">
        <v>60</v>
      </c>
      <c r="E34" s="6" t="s">
        <v>11</v>
      </c>
      <c r="F34" s="6" t="s">
        <v>12</v>
      </c>
      <c r="G34" s="6" t="s">
        <v>19</v>
      </c>
      <c r="H34" s="6" t="s">
        <v>64</v>
      </c>
      <c r="I34" s="7" t="n">
        <v>800000</v>
      </c>
    </row>
    <row r="35" customFormat="false" ht="21.75" hidden="false" customHeight="true" outlineLevel="0" collapsed="false">
      <c r="B35" s="3" t="n">
        <v>31</v>
      </c>
      <c r="C35" s="4" t="s">
        <v>9</v>
      </c>
      <c r="D35" s="3" t="s">
        <v>60</v>
      </c>
      <c r="E35" s="3" t="s">
        <v>21</v>
      </c>
      <c r="F35" s="3" t="s">
        <v>22</v>
      </c>
      <c r="G35" s="3" t="s">
        <v>23</v>
      </c>
      <c r="H35" s="3" t="s">
        <v>65</v>
      </c>
      <c r="I35" s="5" t="n">
        <v>195000</v>
      </c>
    </row>
    <row r="36" customFormat="false" ht="21.75" hidden="false" customHeight="true" outlineLevel="0" collapsed="false">
      <c r="B36" s="6" t="n">
        <v>32</v>
      </c>
      <c r="C36" s="4" t="s">
        <v>9</v>
      </c>
      <c r="D36" s="6" t="s">
        <v>60</v>
      </c>
      <c r="E36" s="6" t="s">
        <v>21</v>
      </c>
      <c r="F36" s="6" t="s">
        <v>22</v>
      </c>
      <c r="G36" s="6" t="s">
        <v>53</v>
      </c>
      <c r="H36" s="6" t="s">
        <v>66</v>
      </c>
      <c r="I36" s="7" t="n">
        <v>50000</v>
      </c>
    </row>
    <row r="37" customFormat="false" ht="21.75" hidden="false" customHeight="true" outlineLevel="0" collapsed="false">
      <c r="B37" s="3" t="n">
        <v>33</v>
      </c>
      <c r="C37" s="4" t="s">
        <v>9</v>
      </c>
      <c r="D37" s="3" t="s">
        <v>60</v>
      </c>
      <c r="E37" s="3" t="s">
        <v>21</v>
      </c>
      <c r="F37" s="3" t="s">
        <v>22</v>
      </c>
      <c r="G37" s="3" t="s">
        <v>30</v>
      </c>
      <c r="H37" s="3" t="s">
        <v>67</v>
      </c>
      <c r="I37" s="5" t="n">
        <v>245000</v>
      </c>
    </row>
    <row r="38" customFormat="false" ht="21.75" hidden="false" customHeight="true" outlineLevel="0" collapsed="false">
      <c r="B38" s="6" t="n">
        <v>34</v>
      </c>
      <c r="C38" s="4" t="s">
        <v>9</v>
      </c>
      <c r="D38" s="6" t="s">
        <v>60</v>
      </c>
      <c r="E38" s="6" t="s">
        <v>21</v>
      </c>
      <c r="F38" s="6" t="s">
        <v>22</v>
      </c>
      <c r="G38" s="6" t="s">
        <v>34</v>
      </c>
      <c r="H38" s="6" t="s">
        <v>68</v>
      </c>
      <c r="I38" s="7" t="n">
        <v>1000000</v>
      </c>
    </row>
    <row r="39" customFormat="false" ht="21.75" hidden="false" customHeight="true" outlineLevel="0" collapsed="false">
      <c r="B39" s="3" t="n">
        <v>35</v>
      </c>
      <c r="C39" s="4" t="s">
        <v>9</v>
      </c>
      <c r="D39" s="3" t="s">
        <v>69</v>
      </c>
      <c r="E39" s="3" t="s">
        <v>11</v>
      </c>
      <c r="F39" s="3" t="s">
        <v>12</v>
      </c>
      <c r="G39" s="3" t="s">
        <v>13</v>
      </c>
      <c r="H39" s="3" t="s">
        <v>70</v>
      </c>
      <c r="I39" s="5" t="n">
        <v>5024032</v>
      </c>
    </row>
    <row r="40" customFormat="false" ht="21.75" hidden="false" customHeight="true" outlineLevel="0" collapsed="false">
      <c r="B40" s="6" t="n">
        <v>36</v>
      </c>
      <c r="C40" s="4" t="s">
        <v>9</v>
      </c>
      <c r="D40" s="6" t="s">
        <v>69</v>
      </c>
      <c r="E40" s="6" t="s">
        <v>15</v>
      </c>
      <c r="F40" s="6" t="s">
        <v>16</v>
      </c>
      <c r="G40" s="6" t="s">
        <v>44</v>
      </c>
      <c r="H40" s="6" t="s">
        <v>44</v>
      </c>
      <c r="I40" s="7" t="n">
        <v>400000</v>
      </c>
    </row>
    <row r="41" customFormat="false" ht="21.75" hidden="false" customHeight="true" outlineLevel="0" collapsed="false">
      <c r="B41" s="3" t="n">
        <v>37</v>
      </c>
      <c r="C41" s="4" t="s">
        <v>9</v>
      </c>
      <c r="D41" s="3" t="s">
        <v>71</v>
      </c>
      <c r="E41" s="3" t="s">
        <v>11</v>
      </c>
      <c r="F41" s="3" t="s">
        <v>12</v>
      </c>
      <c r="G41" s="3" t="s">
        <v>13</v>
      </c>
      <c r="H41" s="3" t="s">
        <v>72</v>
      </c>
      <c r="I41" s="5" t="n">
        <v>6000000</v>
      </c>
    </row>
    <row r="42" customFormat="false" ht="21.75" hidden="false" customHeight="true" outlineLevel="0" collapsed="false">
      <c r="B42" s="6" t="n">
        <v>38</v>
      </c>
      <c r="C42" s="4" t="s">
        <v>9</v>
      </c>
      <c r="D42" s="6" t="s">
        <v>71</v>
      </c>
      <c r="E42" s="6" t="s">
        <v>46</v>
      </c>
      <c r="F42" s="6" t="s">
        <v>47</v>
      </c>
      <c r="G42" s="6" t="s">
        <v>48</v>
      </c>
      <c r="H42" s="6" t="s">
        <v>73</v>
      </c>
      <c r="I42" s="7" t="n">
        <v>232266</v>
      </c>
    </row>
    <row r="43" customFormat="false" ht="21.75" hidden="false" customHeight="true" outlineLevel="0" collapsed="false">
      <c r="B43" s="3" t="n">
        <v>39</v>
      </c>
      <c r="C43" s="4" t="s">
        <v>9</v>
      </c>
      <c r="D43" s="3" t="s">
        <v>71</v>
      </c>
      <c r="E43" s="3" t="s">
        <v>46</v>
      </c>
      <c r="F43" s="3" t="s">
        <v>47</v>
      </c>
      <c r="G43" s="3"/>
      <c r="H43" s="3" t="s">
        <v>74</v>
      </c>
      <c r="I43" s="5" t="n">
        <v>1055025</v>
      </c>
    </row>
    <row r="44" customFormat="false" ht="21.75" hidden="false" customHeight="true" outlineLevel="0" collapsed="false">
      <c r="B44" s="6" t="n">
        <v>40</v>
      </c>
      <c r="C44" s="4" t="s">
        <v>9</v>
      </c>
      <c r="D44" s="6" t="s">
        <v>71</v>
      </c>
      <c r="E44" s="6" t="s">
        <v>46</v>
      </c>
      <c r="F44" s="6" t="s">
        <v>47</v>
      </c>
      <c r="G44" s="6"/>
      <c r="H44" s="6" t="s">
        <v>75</v>
      </c>
      <c r="I44" s="7" t="n">
        <v>1004535</v>
      </c>
    </row>
    <row r="45" customFormat="false" ht="21.75" hidden="false" customHeight="true" outlineLevel="0" collapsed="false">
      <c r="B45" s="3" t="n">
        <v>41</v>
      </c>
      <c r="C45" s="4" t="s">
        <v>9</v>
      </c>
      <c r="D45" s="3" t="s">
        <v>71</v>
      </c>
      <c r="E45" s="3" t="s">
        <v>46</v>
      </c>
      <c r="F45" s="3" t="s">
        <v>47</v>
      </c>
      <c r="G45" s="3"/>
      <c r="H45" s="3" t="s">
        <v>76</v>
      </c>
      <c r="I45" s="5" t="n">
        <v>793830</v>
      </c>
    </row>
    <row r="46" customFormat="false" ht="21.75" hidden="false" customHeight="true" outlineLevel="0" collapsed="false">
      <c r="B46" s="6" t="n">
        <v>42</v>
      </c>
      <c r="C46" s="4" t="s">
        <v>9</v>
      </c>
      <c r="D46" s="6" t="s">
        <v>71</v>
      </c>
      <c r="E46" s="6" t="s">
        <v>15</v>
      </c>
      <c r="F46" s="6" t="s">
        <v>16</v>
      </c>
      <c r="G46" s="6" t="s">
        <v>44</v>
      </c>
      <c r="H46" s="6" t="s">
        <v>44</v>
      </c>
      <c r="I46" s="7" t="n">
        <v>2000000</v>
      </c>
    </row>
    <row r="47" customFormat="false" ht="21.75" hidden="false" customHeight="true" outlineLevel="0" collapsed="false">
      <c r="B47" s="3" t="n">
        <v>43</v>
      </c>
      <c r="C47" s="4" t="s">
        <v>9</v>
      </c>
      <c r="D47" s="3" t="s">
        <v>71</v>
      </c>
      <c r="E47" s="3" t="s">
        <v>11</v>
      </c>
      <c r="F47" s="3" t="s">
        <v>12</v>
      </c>
      <c r="G47" s="3" t="s">
        <v>19</v>
      </c>
      <c r="H47" s="3" t="s">
        <v>77</v>
      </c>
      <c r="I47" s="5" t="n">
        <v>200000</v>
      </c>
    </row>
    <row r="48" customFormat="false" ht="21.75" hidden="false" customHeight="true" outlineLevel="0" collapsed="false">
      <c r="B48" s="6" t="n">
        <v>44</v>
      </c>
      <c r="C48" s="4" t="s">
        <v>9</v>
      </c>
      <c r="D48" s="6" t="s">
        <v>71</v>
      </c>
      <c r="E48" s="6" t="s">
        <v>21</v>
      </c>
      <c r="F48" s="6" t="s">
        <v>22</v>
      </c>
      <c r="G48" s="6" t="s">
        <v>23</v>
      </c>
      <c r="H48" s="6" t="s">
        <v>78</v>
      </c>
      <c r="I48" s="7" t="n">
        <v>580000</v>
      </c>
    </row>
    <row r="49" customFormat="false" ht="21.75" hidden="false" customHeight="true" outlineLevel="0" collapsed="false">
      <c r="B49" s="3" t="n">
        <v>45</v>
      </c>
      <c r="C49" s="4" t="s">
        <v>9</v>
      </c>
      <c r="D49" s="3" t="s">
        <v>71</v>
      </c>
      <c r="E49" s="3" t="s">
        <v>21</v>
      </c>
      <c r="F49" s="3" t="s">
        <v>22</v>
      </c>
      <c r="G49" s="3" t="s">
        <v>32</v>
      </c>
      <c r="H49" s="3" t="s">
        <v>79</v>
      </c>
      <c r="I49" s="5" t="n">
        <v>4000000</v>
      </c>
    </row>
    <row r="50" customFormat="false" ht="21.75" hidden="false" customHeight="true" outlineLevel="0" collapsed="false">
      <c r="B50" s="6" t="n">
        <v>46</v>
      </c>
      <c r="C50" s="4" t="s">
        <v>9</v>
      </c>
      <c r="D50" s="6" t="s">
        <v>80</v>
      </c>
      <c r="E50" s="6" t="s">
        <v>15</v>
      </c>
      <c r="F50" s="6" t="s">
        <v>16</v>
      </c>
      <c r="G50" s="6" t="s">
        <v>44</v>
      </c>
      <c r="H50" s="6" t="s">
        <v>44</v>
      </c>
      <c r="I50" s="7" t="n">
        <v>655000</v>
      </c>
    </row>
    <row r="51" customFormat="false" ht="21.75" hidden="false" customHeight="true" outlineLevel="0" collapsed="false">
      <c r="B51" s="3" t="n">
        <v>47</v>
      </c>
      <c r="C51" s="4" t="s">
        <v>9</v>
      </c>
      <c r="D51" s="3" t="s">
        <v>81</v>
      </c>
      <c r="E51" s="3" t="s">
        <v>46</v>
      </c>
      <c r="F51" s="3" t="s">
        <v>47</v>
      </c>
      <c r="G51" s="3" t="s">
        <v>48</v>
      </c>
      <c r="H51" s="3" t="s">
        <v>82</v>
      </c>
      <c r="I51" s="5" t="n">
        <v>5182920</v>
      </c>
    </row>
    <row r="52" customFormat="false" ht="21.75" hidden="false" customHeight="true" outlineLevel="0" collapsed="false">
      <c r="B52" s="6" t="n">
        <v>48</v>
      </c>
      <c r="C52" s="4" t="s">
        <v>9</v>
      </c>
      <c r="D52" s="6" t="s">
        <v>81</v>
      </c>
      <c r="E52" s="6" t="s">
        <v>46</v>
      </c>
      <c r="F52" s="6" t="s">
        <v>47</v>
      </c>
      <c r="G52" s="6"/>
      <c r="H52" s="6" t="s">
        <v>83</v>
      </c>
      <c r="I52" s="7" t="n">
        <v>152818</v>
      </c>
    </row>
    <row r="53" customFormat="false" ht="21.75" hidden="false" customHeight="true" outlineLevel="0" collapsed="false">
      <c r="B53" s="3" t="n">
        <v>49</v>
      </c>
      <c r="C53" s="4" t="s">
        <v>9</v>
      </c>
      <c r="D53" s="3" t="s">
        <v>81</v>
      </c>
      <c r="E53" s="3" t="s">
        <v>46</v>
      </c>
      <c r="F53" s="3" t="s">
        <v>47</v>
      </c>
      <c r="G53" s="3"/>
      <c r="H53" s="3" t="s">
        <v>84</v>
      </c>
      <c r="I53" s="5" t="n">
        <v>1418000</v>
      </c>
    </row>
    <row r="54" customFormat="false" ht="21.75" hidden="false" customHeight="true" outlineLevel="0" collapsed="false">
      <c r="B54" s="6" t="n">
        <v>50</v>
      </c>
      <c r="C54" s="4" t="s">
        <v>9</v>
      </c>
      <c r="D54" s="6" t="s">
        <v>81</v>
      </c>
      <c r="E54" s="6" t="s">
        <v>46</v>
      </c>
      <c r="F54" s="6" t="s">
        <v>47</v>
      </c>
      <c r="G54" s="6" t="s">
        <v>62</v>
      </c>
      <c r="H54" s="6" t="s">
        <v>85</v>
      </c>
      <c r="I54" s="7" t="n">
        <v>800000</v>
      </c>
    </row>
    <row r="55" customFormat="false" ht="21.75" hidden="false" customHeight="true" outlineLevel="0" collapsed="false">
      <c r="B55" s="3" t="n">
        <v>51</v>
      </c>
      <c r="C55" s="4" t="s">
        <v>9</v>
      </c>
      <c r="D55" s="3" t="s">
        <v>81</v>
      </c>
      <c r="E55" s="3" t="s">
        <v>15</v>
      </c>
      <c r="F55" s="3" t="s">
        <v>16</v>
      </c>
      <c r="G55" s="3" t="s">
        <v>44</v>
      </c>
      <c r="H55" s="3" t="s">
        <v>44</v>
      </c>
      <c r="I55" s="5" t="n">
        <v>3700000</v>
      </c>
    </row>
    <row r="56" customFormat="false" ht="21.75" hidden="false" customHeight="true" outlineLevel="0" collapsed="false">
      <c r="B56" s="6" t="n">
        <v>52</v>
      </c>
      <c r="C56" s="4" t="s">
        <v>9</v>
      </c>
      <c r="D56" s="6" t="s">
        <v>81</v>
      </c>
      <c r="E56" s="6" t="s">
        <v>21</v>
      </c>
      <c r="F56" s="6" t="s">
        <v>22</v>
      </c>
      <c r="G56" s="6" t="s">
        <v>23</v>
      </c>
      <c r="H56" s="6" t="s">
        <v>86</v>
      </c>
      <c r="I56" s="7" t="n">
        <v>705000</v>
      </c>
    </row>
    <row r="57" customFormat="false" ht="21.75" hidden="false" customHeight="true" outlineLevel="0" collapsed="false">
      <c r="B57" s="3" t="n">
        <v>53</v>
      </c>
      <c r="C57" s="4" t="s">
        <v>9</v>
      </c>
      <c r="D57" s="3" t="s">
        <v>81</v>
      </c>
      <c r="E57" s="3" t="s">
        <v>21</v>
      </c>
      <c r="F57" s="3" t="s">
        <v>22</v>
      </c>
      <c r="G57" s="3" t="s">
        <v>57</v>
      </c>
      <c r="H57" s="3" t="s">
        <v>87</v>
      </c>
      <c r="I57" s="5" t="n">
        <v>372000</v>
      </c>
    </row>
    <row r="58" customFormat="false" ht="21.75" hidden="false" customHeight="true" outlineLevel="0" collapsed="false">
      <c r="B58" s="6" t="n">
        <v>54</v>
      </c>
      <c r="C58" s="8" t="s">
        <v>88</v>
      </c>
      <c r="D58" s="6" t="s">
        <v>89</v>
      </c>
      <c r="E58" s="6" t="s">
        <v>11</v>
      </c>
      <c r="F58" s="6" t="s">
        <v>12</v>
      </c>
      <c r="G58" s="6" t="s">
        <v>13</v>
      </c>
      <c r="H58" s="6" t="s">
        <v>90</v>
      </c>
      <c r="I58" s="7" t="n">
        <v>10000000</v>
      </c>
    </row>
    <row r="59" customFormat="false" ht="21.75" hidden="false" customHeight="true" outlineLevel="0" collapsed="false">
      <c r="B59" s="3" t="n">
        <v>55</v>
      </c>
      <c r="C59" s="8" t="s">
        <v>88</v>
      </c>
      <c r="D59" s="3" t="s">
        <v>89</v>
      </c>
      <c r="E59" s="3" t="s">
        <v>15</v>
      </c>
      <c r="F59" s="3" t="s">
        <v>16</v>
      </c>
      <c r="G59" s="3" t="s">
        <v>17</v>
      </c>
      <c r="H59" s="3" t="s">
        <v>91</v>
      </c>
      <c r="I59" s="5" t="n">
        <v>2000000</v>
      </c>
    </row>
    <row r="60" customFormat="false" ht="21.75" hidden="false" customHeight="true" outlineLevel="0" collapsed="false">
      <c r="B60" s="6" t="n">
        <v>56</v>
      </c>
      <c r="C60" s="8" t="s">
        <v>88</v>
      </c>
      <c r="D60" s="6" t="s">
        <v>89</v>
      </c>
      <c r="E60" s="6" t="s">
        <v>21</v>
      </c>
      <c r="F60" s="6" t="s">
        <v>22</v>
      </c>
      <c r="G60" s="6" t="s">
        <v>30</v>
      </c>
      <c r="H60" s="6" t="s">
        <v>92</v>
      </c>
      <c r="I60" s="7" t="n">
        <v>300000</v>
      </c>
    </row>
    <row r="61" customFormat="false" ht="21.75" hidden="false" customHeight="true" outlineLevel="0" collapsed="false">
      <c r="B61" s="3" t="n">
        <v>57</v>
      </c>
      <c r="C61" s="8" t="s">
        <v>88</v>
      </c>
      <c r="D61" s="3" t="s">
        <v>89</v>
      </c>
      <c r="E61" s="3" t="s">
        <v>46</v>
      </c>
      <c r="F61" s="3" t="s">
        <v>47</v>
      </c>
      <c r="G61" s="3" t="s">
        <v>62</v>
      </c>
      <c r="H61" s="3" t="s">
        <v>93</v>
      </c>
      <c r="I61" s="5" t="n">
        <v>100000</v>
      </c>
    </row>
    <row r="62" customFormat="false" ht="21.75" hidden="false" customHeight="true" outlineLevel="0" collapsed="false">
      <c r="B62" s="6" t="n">
        <v>58</v>
      </c>
      <c r="C62" s="8" t="s">
        <v>88</v>
      </c>
      <c r="D62" s="6" t="s">
        <v>94</v>
      </c>
      <c r="E62" s="6" t="s">
        <v>11</v>
      </c>
      <c r="F62" s="6" t="s">
        <v>12</v>
      </c>
      <c r="G62" s="6" t="s">
        <v>13</v>
      </c>
      <c r="H62" s="6" t="s">
        <v>95</v>
      </c>
      <c r="I62" s="7" t="n">
        <v>3000000</v>
      </c>
    </row>
    <row r="63" customFormat="false" ht="21.75" hidden="false" customHeight="true" outlineLevel="0" collapsed="false">
      <c r="B63" s="3" t="n">
        <v>59</v>
      </c>
      <c r="C63" s="8" t="s">
        <v>88</v>
      </c>
      <c r="D63" s="3" t="s">
        <v>94</v>
      </c>
      <c r="E63" s="3" t="s">
        <v>15</v>
      </c>
      <c r="F63" s="3" t="s">
        <v>16</v>
      </c>
      <c r="G63" s="3" t="s">
        <v>17</v>
      </c>
      <c r="H63" s="3" t="s">
        <v>96</v>
      </c>
      <c r="I63" s="5" t="n">
        <v>5000000</v>
      </c>
    </row>
    <row r="64" customFormat="false" ht="21.75" hidden="false" customHeight="true" outlineLevel="0" collapsed="false">
      <c r="B64" s="6" t="n">
        <v>60</v>
      </c>
      <c r="C64" s="8" t="s">
        <v>88</v>
      </c>
      <c r="D64" s="6" t="s">
        <v>97</v>
      </c>
      <c r="E64" s="6" t="s">
        <v>11</v>
      </c>
      <c r="F64" s="6" t="s">
        <v>12</v>
      </c>
      <c r="G64" s="6" t="s">
        <v>13</v>
      </c>
      <c r="H64" s="6" t="s">
        <v>98</v>
      </c>
      <c r="I64" s="7" t="n">
        <v>3000000</v>
      </c>
    </row>
    <row r="65" customFormat="false" ht="21.75" hidden="false" customHeight="true" outlineLevel="0" collapsed="false">
      <c r="B65" s="3" t="n">
        <v>61</v>
      </c>
      <c r="C65" s="8" t="s">
        <v>88</v>
      </c>
      <c r="D65" s="3" t="s">
        <v>97</v>
      </c>
      <c r="E65" s="3" t="s">
        <v>15</v>
      </c>
      <c r="F65" s="3" t="s">
        <v>16</v>
      </c>
      <c r="G65" s="3" t="s">
        <v>17</v>
      </c>
      <c r="H65" s="3" t="s">
        <v>99</v>
      </c>
      <c r="I65" s="5" t="n">
        <v>3000000</v>
      </c>
    </row>
    <row r="66" customFormat="false" ht="21.75" hidden="false" customHeight="true" outlineLevel="0" collapsed="false">
      <c r="B66" s="6" t="n">
        <v>62</v>
      </c>
      <c r="C66" s="8" t="s">
        <v>88</v>
      </c>
      <c r="D66" s="6" t="s">
        <v>100</v>
      </c>
      <c r="E66" s="6" t="s">
        <v>11</v>
      </c>
      <c r="F66" s="6" t="s">
        <v>12</v>
      </c>
      <c r="G66" s="6" t="s">
        <v>13</v>
      </c>
      <c r="H66" s="6" t="s">
        <v>101</v>
      </c>
      <c r="I66" s="7" t="n">
        <v>6000000</v>
      </c>
    </row>
    <row r="67" customFormat="false" ht="21.75" hidden="false" customHeight="true" outlineLevel="0" collapsed="false">
      <c r="B67" s="3" t="n">
        <v>63</v>
      </c>
      <c r="C67" s="8" t="s">
        <v>88</v>
      </c>
      <c r="D67" s="3" t="s">
        <v>100</v>
      </c>
      <c r="E67" s="3" t="s">
        <v>15</v>
      </c>
      <c r="F67" s="3" t="s">
        <v>16</v>
      </c>
      <c r="G67" s="3" t="s">
        <v>17</v>
      </c>
      <c r="H67" s="3" t="s">
        <v>102</v>
      </c>
      <c r="I67" s="5" t="n">
        <v>6000000</v>
      </c>
    </row>
    <row r="68" customFormat="false" ht="21.75" hidden="false" customHeight="true" outlineLevel="0" collapsed="false">
      <c r="B68" s="6" t="n">
        <v>64</v>
      </c>
      <c r="C68" s="8" t="s">
        <v>88</v>
      </c>
      <c r="D68" s="6" t="s">
        <v>103</v>
      </c>
      <c r="E68" s="6" t="s">
        <v>11</v>
      </c>
      <c r="F68" s="6" t="s">
        <v>12</v>
      </c>
      <c r="G68" s="6" t="s">
        <v>13</v>
      </c>
      <c r="H68" s="6" t="s">
        <v>104</v>
      </c>
      <c r="I68" s="7" t="n">
        <v>3000000</v>
      </c>
    </row>
    <row r="69" customFormat="false" ht="21.75" hidden="false" customHeight="true" outlineLevel="0" collapsed="false">
      <c r="B69" s="3" t="n">
        <v>65</v>
      </c>
      <c r="C69" s="8" t="s">
        <v>88</v>
      </c>
      <c r="D69" s="3" t="s">
        <v>105</v>
      </c>
      <c r="E69" s="3" t="s">
        <v>11</v>
      </c>
      <c r="F69" s="3" t="s">
        <v>12</v>
      </c>
      <c r="G69" s="3" t="s">
        <v>13</v>
      </c>
      <c r="H69" s="3" t="s">
        <v>106</v>
      </c>
      <c r="I69" s="5" t="n">
        <v>1000000</v>
      </c>
    </row>
    <row r="70" customFormat="false" ht="21.75" hidden="false" customHeight="true" outlineLevel="0" collapsed="false">
      <c r="B70" s="6" t="n">
        <v>66</v>
      </c>
      <c r="C70" s="8" t="s">
        <v>88</v>
      </c>
      <c r="D70" s="6" t="s">
        <v>107</v>
      </c>
      <c r="E70" s="6" t="s">
        <v>11</v>
      </c>
      <c r="F70" s="6" t="s">
        <v>12</v>
      </c>
      <c r="G70" s="6" t="s">
        <v>13</v>
      </c>
      <c r="H70" s="6" t="s">
        <v>108</v>
      </c>
      <c r="I70" s="7" t="n">
        <v>1000000</v>
      </c>
    </row>
    <row r="71" customFormat="false" ht="21.75" hidden="false" customHeight="true" outlineLevel="0" collapsed="false">
      <c r="B71" s="3" t="n">
        <v>67</v>
      </c>
      <c r="C71" s="8" t="s">
        <v>88</v>
      </c>
      <c r="D71" s="3" t="s">
        <v>109</v>
      </c>
      <c r="E71" s="3" t="s">
        <v>11</v>
      </c>
      <c r="F71" s="3" t="s">
        <v>12</v>
      </c>
      <c r="G71" s="3" t="s">
        <v>13</v>
      </c>
      <c r="H71" s="3" t="s">
        <v>110</v>
      </c>
      <c r="I71" s="5" t="n">
        <v>6600000</v>
      </c>
    </row>
    <row r="72" customFormat="false" ht="21.75" hidden="false" customHeight="true" outlineLevel="0" collapsed="false">
      <c r="B72" s="6" t="n">
        <v>68</v>
      </c>
      <c r="C72" s="9" t="s">
        <v>111</v>
      </c>
      <c r="D72" s="6" t="s">
        <v>112</v>
      </c>
      <c r="E72" s="6" t="s">
        <v>11</v>
      </c>
      <c r="F72" s="6" t="s">
        <v>12</v>
      </c>
      <c r="G72" s="6" t="s">
        <v>13</v>
      </c>
      <c r="H72" s="6" t="s">
        <v>113</v>
      </c>
      <c r="I72" s="7" t="n">
        <v>1805475</v>
      </c>
    </row>
    <row r="73" customFormat="false" ht="21.75" hidden="false" customHeight="true" outlineLevel="0" collapsed="false">
      <c r="B73" s="3" t="n">
        <v>69</v>
      </c>
      <c r="C73" s="9" t="s">
        <v>111</v>
      </c>
      <c r="D73" s="3" t="s">
        <v>112</v>
      </c>
      <c r="E73" s="3" t="s">
        <v>11</v>
      </c>
      <c r="F73" s="3" t="s">
        <v>12</v>
      </c>
      <c r="G73" s="3" t="s">
        <v>13</v>
      </c>
      <c r="H73" s="3" t="s">
        <v>114</v>
      </c>
      <c r="I73" s="5" t="n">
        <v>2587200</v>
      </c>
    </row>
    <row r="74" customFormat="false" ht="21.75" hidden="false" customHeight="true" outlineLevel="0" collapsed="false">
      <c r="B74" s="6" t="n">
        <v>70</v>
      </c>
      <c r="C74" s="9" t="s">
        <v>111</v>
      </c>
      <c r="D74" s="6" t="s">
        <v>112</v>
      </c>
      <c r="E74" s="6" t="s">
        <v>15</v>
      </c>
      <c r="F74" s="6" t="s">
        <v>16</v>
      </c>
      <c r="G74" s="6" t="s">
        <v>17</v>
      </c>
      <c r="H74" s="6" t="s">
        <v>44</v>
      </c>
      <c r="I74" s="7" t="n">
        <v>3500000</v>
      </c>
    </row>
    <row r="75" customFormat="false" ht="21.75" hidden="false" customHeight="true" outlineLevel="0" collapsed="false">
      <c r="B75" s="3" t="n">
        <v>71</v>
      </c>
      <c r="C75" s="9" t="s">
        <v>111</v>
      </c>
      <c r="D75" s="3" t="s">
        <v>112</v>
      </c>
      <c r="E75" s="3" t="s">
        <v>21</v>
      </c>
      <c r="F75" s="3" t="s">
        <v>22</v>
      </c>
      <c r="G75" s="3" t="s">
        <v>115</v>
      </c>
      <c r="H75" s="3" t="s">
        <v>116</v>
      </c>
      <c r="I75" s="5" t="n">
        <v>870000</v>
      </c>
    </row>
    <row r="76" customFormat="false" ht="21.75" hidden="false" customHeight="true" outlineLevel="0" collapsed="false">
      <c r="B76" s="6" t="n">
        <v>72</v>
      </c>
      <c r="C76" s="9" t="s">
        <v>111</v>
      </c>
      <c r="D76" s="6" t="s">
        <v>112</v>
      </c>
      <c r="E76" s="6" t="s">
        <v>11</v>
      </c>
      <c r="F76" s="6" t="s">
        <v>12</v>
      </c>
      <c r="G76" s="6" t="s">
        <v>117</v>
      </c>
      <c r="H76" s="6" t="s">
        <v>118</v>
      </c>
      <c r="I76" s="7" t="n">
        <v>500000</v>
      </c>
    </row>
    <row r="77" customFormat="false" ht="25.5" hidden="false" customHeight="true" outlineLevel="0" collapsed="false">
      <c r="B77" s="10" t="s">
        <v>119</v>
      </c>
      <c r="C77" s="10"/>
      <c r="D77" s="10"/>
      <c r="E77" s="10"/>
      <c r="F77" s="10"/>
      <c r="G77" s="10"/>
      <c r="H77" s="10"/>
      <c r="I77" s="11" t="n">
        <f aca="false">SUM(I5:I76)</f>
        <v>130262675</v>
      </c>
    </row>
  </sheetData>
  <mergeCells count="1">
    <mergeCell ref="B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C8A84"/>
    <pageSetUpPr fitToPage="false"/>
  </sheetPr>
  <dimension ref="B1:H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4" min="4" style="0" width="80"/>
  </cols>
  <sheetData>
    <row r="1" customFormat="false" ht="15" hidden="false" customHeight="true" outlineLevel="0" collapsed="false"/>
    <row r="2" customFormat="false" ht="31.5" hidden="false" customHeight="true" outlineLevel="0" collapsed="false">
      <c r="B2" s="1" t="s">
        <v>120</v>
      </c>
      <c r="C2" s="1"/>
      <c r="D2" s="1"/>
      <c r="E2" s="1"/>
      <c r="F2" s="1"/>
      <c r="G2" s="1"/>
      <c r="H2" s="1"/>
    </row>
    <row r="3" customFormat="false" ht="7.5" hidden="false" customHeight="true" outlineLevel="0" collapsed="false"/>
    <row r="5" customFormat="false" ht="15" hidden="false" customHeight="false" outlineLevel="0" collapsed="false">
      <c r="B5" s="12" t="s">
        <v>121</v>
      </c>
      <c r="D5" s="12" t="s">
        <v>122</v>
      </c>
    </row>
    <row r="6" customFormat="false" ht="28.35" hidden="false" customHeight="false" outlineLevel="0" collapsed="false">
      <c r="B6" s="12" t="s">
        <v>123</v>
      </c>
      <c r="D6" s="13" t="s">
        <v>124</v>
      </c>
    </row>
    <row r="7" customFormat="false" ht="41.75" hidden="false" customHeight="false" outlineLevel="0" collapsed="false">
      <c r="B7" s="12" t="s">
        <v>125</v>
      </c>
      <c r="D7" s="13" t="s">
        <v>126</v>
      </c>
    </row>
    <row r="8" customFormat="false" ht="41.75" hidden="false" customHeight="false" outlineLevel="0" collapsed="false">
      <c r="B8" s="12" t="s">
        <v>127</v>
      </c>
      <c r="D8" s="13" t="s">
        <v>128</v>
      </c>
    </row>
    <row r="9" customFormat="false" ht="41.75" hidden="false" customHeight="false" outlineLevel="0" collapsed="false">
      <c r="B9" s="12" t="s">
        <v>129</v>
      </c>
      <c r="D9" s="13" t="s">
        <v>130</v>
      </c>
    </row>
    <row r="10" customFormat="false" ht="28.35" hidden="false" customHeight="false" outlineLevel="0" collapsed="false">
      <c r="B10" s="12" t="s">
        <v>131</v>
      </c>
      <c r="D10" s="13" t="s">
        <v>132</v>
      </c>
    </row>
    <row r="11" customFormat="false" ht="41.75" hidden="false" customHeight="false" outlineLevel="0" collapsed="false">
      <c r="B11" s="12" t="s">
        <v>133</v>
      </c>
      <c r="D11" s="13" t="s">
        <v>134</v>
      </c>
    </row>
    <row r="12" customFormat="false" ht="28.35" hidden="false" customHeight="false" outlineLevel="0" collapsed="false">
      <c r="B12" s="12" t="s">
        <v>135</v>
      </c>
      <c r="D12" s="13" t="s">
        <v>136</v>
      </c>
    </row>
  </sheetData>
  <mergeCells count="1">
    <mergeCell ref="B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16"/>
    <col collapsed="false" customWidth="true" hidden="false" outlineLevel="0" max="4" min="4" style="0" width="20"/>
    <col collapsed="false" customWidth="true" hidden="false" outlineLevel="0" max="5" min="5" style="0" width="10"/>
    <col collapsed="false" customWidth="true" hidden="false" outlineLevel="0" max="6" min="6" style="0" width="36"/>
    <col collapsed="false" customWidth="true" hidden="false" outlineLevel="0" max="7" min="7" style="0" width="32"/>
    <col collapsed="false" customWidth="true" hidden="false" outlineLevel="0" max="8" min="8" style="0" width="36"/>
    <col collapsed="false" customWidth="true" hidden="false" outlineLevel="0" max="9" min="9" style="0" width="16"/>
    <col collapsed="false" customWidth="true" hidden="false" outlineLevel="0" max="12" min="10" style="0" width="14"/>
    <col collapsed="false" customWidth="true" hidden="false" outlineLevel="0" max="15" min="13" style="0" width="18"/>
    <col collapsed="false" customWidth="true" hidden="false" outlineLevel="0" max="19" min="16" style="0" width="14"/>
    <col collapsed="false" customWidth="true" hidden="false" outlineLevel="0" max="20" min="20" style="0" width="28"/>
  </cols>
  <sheetData>
    <row r="1" customFormat="false" ht="15" hidden="false" customHeight="true" outlineLevel="0" collapsed="false"/>
    <row r="2" customFormat="false" ht="31.5" hidden="false" customHeight="true" outlineLevel="0" collapsed="false">
      <c r="B2" s="1" t="s">
        <v>137</v>
      </c>
      <c r="C2" s="1"/>
      <c r="D2" s="1"/>
      <c r="E2" s="1"/>
      <c r="F2" s="1"/>
      <c r="G2" s="1"/>
      <c r="H2" s="1"/>
      <c r="I2" s="1"/>
      <c r="J2" s="1"/>
      <c r="K2" s="1"/>
      <c r="L2" s="1"/>
      <c r="M2" s="1"/>
      <c r="N2" s="1"/>
      <c r="O2" s="1"/>
      <c r="P2" s="1"/>
      <c r="Q2" s="1"/>
      <c r="R2" s="1"/>
      <c r="S2" s="1"/>
      <c r="T2" s="1"/>
    </row>
    <row r="3" customFormat="false" ht="7.5" hidden="false" customHeight="true" outlineLevel="0" collapsed="false">
      <c r="B3" s="14" t="s">
        <v>138</v>
      </c>
      <c r="C3" s="15"/>
      <c r="D3" s="15"/>
    </row>
    <row r="4" customFormat="false" ht="27.75" hidden="false" customHeight="true" outlineLevel="0" collapsed="false">
      <c r="B4" s="2" t="s">
        <v>1</v>
      </c>
      <c r="C4" s="2" t="s">
        <v>2</v>
      </c>
      <c r="D4" s="2" t="s">
        <v>3</v>
      </c>
      <c r="E4" s="2" t="s">
        <v>4</v>
      </c>
      <c r="F4" s="2" t="s">
        <v>5</v>
      </c>
      <c r="G4" s="2" t="s">
        <v>6</v>
      </c>
      <c r="H4" s="2" t="s">
        <v>7</v>
      </c>
      <c r="I4" s="2" t="s">
        <v>8</v>
      </c>
      <c r="J4" s="2" t="s">
        <v>139</v>
      </c>
      <c r="K4" s="2" t="s">
        <v>140</v>
      </c>
      <c r="L4" s="2" t="s">
        <v>141</v>
      </c>
      <c r="M4" s="2" t="s">
        <v>142</v>
      </c>
      <c r="N4" s="2" t="s">
        <v>143</v>
      </c>
      <c r="O4" s="2" t="s">
        <v>144</v>
      </c>
      <c r="P4" s="2" t="s">
        <v>145</v>
      </c>
      <c r="Q4" s="2" t="s">
        <v>146</v>
      </c>
      <c r="R4" s="2" t="s">
        <v>147</v>
      </c>
      <c r="S4" s="2" t="s">
        <v>148</v>
      </c>
      <c r="T4" s="2" t="s">
        <v>149</v>
      </c>
    </row>
    <row r="5" customFormat="false" ht="21.75" hidden="false" customHeight="true" outlineLevel="0" collapsed="false">
      <c r="B5" s="3" t="n">
        <v>1</v>
      </c>
      <c r="C5" s="4" t="s">
        <v>9</v>
      </c>
      <c r="D5" s="3" t="s">
        <v>10</v>
      </c>
      <c r="E5" s="3" t="s">
        <v>11</v>
      </c>
      <c r="F5" s="3" t="s">
        <v>12</v>
      </c>
      <c r="G5" s="3" t="s">
        <v>13</v>
      </c>
      <c r="H5" s="3" t="s">
        <v>14</v>
      </c>
      <c r="I5" s="5" t="n">
        <v>2091568</v>
      </c>
      <c r="J5" s="16"/>
      <c r="K5" s="17" t="n">
        <v>0</v>
      </c>
      <c r="L5" s="17" t="n">
        <f aca="false">J5-K5</f>
        <v>0</v>
      </c>
      <c r="M5" s="18"/>
      <c r="N5" s="18"/>
      <c r="O5" s="18"/>
      <c r="P5" s="16"/>
      <c r="Q5" s="17" t="n">
        <v>0</v>
      </c>
      <c r="R5" s="17" t="n">
        <f aca="false">P5-Q5</f>
        <v>0</v>
      </c>
      <c r="S5" s="17" t="n">
        <f aca="false">J5-P5</f>
        <v>0</v>
      </c>
      <c r="T5" s="19"/>
    </row>
    <row r="6" customFormat="false" ht="21.75" hidden="false" customHeight="true" outlineLevel="0" collapsed="false">
      <c r="B6" s="6" t="n">
        <v>2</v>
      </c>
      <c r="C6" s="4" t="s">
        <v>9</v>
      </c>
      <c r="D6" s="6" t="s">
        <v>10</v>
      </c>
      <c r="E6" s="6" t="s">
        <v>15</v>
      </c>
      <c r="F6" s="6" t="s">
        <v>16</v>
      </c>
      <c r="G6" s="6" t="s">
        <v>17</v>
      </c>
      <c r="H6" s="6" t="s">
        <v>18</v>
      </c>
      <c r="I6" s="7" t="n">
        <v>78000</v>
      </c>
      <c r="J6" s="16"/>
      <c r="K6" s="20" t="n">
        <v>0</v>
      </c>
      <c r="L6" s="20" t="n">
        <f aca="false">J6-K6</f>
        <v>0</v>
      </c>
      <c r="M6" s="18"/>
      <c r="N6" s="18"/>
      <c r="O6" s="18"/>
      <c r="P6" s="16"/>
      <c r="Q6" s="20" t="n">
        <v>0</v>
      </c>
      <c r="R6" s="20" t="n">
        <f aca="false">P6-Q6</f>
        <v>0</v>
      </c>
      <c r="S6" s="20" t="n">
        <f aca="false">J6-P6</f>
        <v>0</v>
      </c>
      <c r="T6" s="19"/>
    </row>
    <row r="7" customFormat="false" ht="21.75" hidden="false" customHeight="true" outlineLevel="0" collapsed="false">
      <c r="B7" s="3" t="n">
        <v>3</v>
      </c>
      <c r="C7" s="4" t="s">
        <v>9</v>
      </c>
      <c r="D7" s="3" t="s">
        <v>10</v>
      </c>
      <c r="E7" s="3" t="s">
        <v>11</v>
      </c>
      <c r="F7" s="3" t="s">
        <v>12</v>
      </c>
      <c r="G7" s="3" t="s">
        <v>19</v>
      </c>
      <c r="H7" s="3" t="s">
        <v>20</v>
      </c>
      <c r="I7" s="5" t="n">
        <v>126000</v>
      </c>
      <c r="J7" s="16"/>
      <c r="K7" s="17" t="n">
        <v>0</v>
      </c>
      <c r="L7" s="17" t="n">
        <f aca="false">J7-K7</f>
        <v>0</v>
      </c>
      <c r="M7" s="18"/>
      <c r="N7" s="18"/>
      <c r="O7" s="18"/>
      <c r="P7" s="16"/>
      <c r="Q7" s="17" t="n">
        <v>0</v>
      </c>
      <c r="R7" s="17" t="n">
        <f aca="false">P7-Q7</f>
        <v>0</v>
      </c>
      <c r="S7" s="17" t="n">
        <f aca="false">J7-P7</f>
        <v>0</v>
      </c>
      <c r="T7" s="19"/>
    </row>
    <row r="8" customFormat="false" ht="21.75" hidden="false" customHeight="true" outlineLevel="0" collapsed="false">
      <c r="B8" s="6" t="n">
        <v>4</v>
      </c>
      <c r="C8" s="4" t="s">
        <v>9</v>
      </c>
      <c r="D8" s="6" t="s">
        <v>10</v>
      </c>
      <c r="E8" s="6" t="s">
        <v>21</v>
      </c>
      <c r="F8" s="6" t="s">
        <v>22</v>
      </c>
      <c r="G8" s="6" t="s">
        <v>23</v>
      </c>
      <c r="H8" s="6" t="s">
        <v>24</v>
      </c>
      <c r="I8" s="7" t="n">
        <v>165500</v>
      </c>
      <c r="J8" s="16"/>
      <c r="K8" s="20" t="n">
        <v>0</v>
      </c>
      <c r="L8" s="20" t="n">
        <f aca="false">J8-K8</f>
        <v>0</v>
      </c>
      <c r="M8" s="18"/>
      <c r="N8" s="18"/>
      <c r="O8" s="18"/>
      <c r="P8" s="16"/>
      <c r="Q8" s="20" t="n">
        <v>0</v>
      </c>
      <c r="R8" s="20" t="n">
        <f aca="false">P8-Q8</f>
        <v>0</v>
      </c>
      <c r="S8" s="20" t="n">
        <f aca="false">J8-P8</f>
        <v>0</v>
      </c>
      <c r="T8" s="19"/>
    </row>
    <row r="9" customFormat="false" ht="21.75" hidden="false" customHeight="true" outlineLevel="0" collapsed="false">
      <c r="B9" s="3" t="n">
        <v>5</v>
      </c>
      <c r="C9" s="4" t="s">
        <v>9</v>
      </c>
      <c r="D9" s="3" t="s">
        <v>25</v>
      </c>
      <c r="E9" s="3" t="s">
        <v>11</v>
      </c>
      <c r="F9" s="3" t="s">
        <v>12</v>
      </c>
      <c r="G9" s="3" t="s">
        <v>13</v>
      </c>
      <c r="H9" s="3" t="s">
        <v>26</v>
      </c>
      <c r="I9" s="5" t="n">
        <v>1000000</v>
      </c>
      <c r="J9" s="16"/>
      <c r="K9" s="17" t="n">
        <v>0</v>
      </c>
      <c r="L9" s="17" t="n">
        <f aca="false">J9-K9</f>
        <v>0</v>
      </c>
      <c r="M9" s="18"/>
      <c r="N9" s="18"/>
      <c r="O9" s="18"/>
      <c r="P9" s="16"/>
      <c r="Q9" s="17" t="n">
        <v>0</v>
      </c>
      <c r="R9" s="17" t="n">
        <f aca="false">P9-Q9</f>
        <v>0</v>
      </c>
      <c r="S9" s="17" t="n">
        <f aca="false">J9-P9</f>
        <v>0</v>
      </c>
      <c r="T9" s="19"/>
    </row>
    <row r="10" customFormat="false" ht="21.75" hidden="false" customHeight="true" outlineLevel="0" collapsed="false">
      <c r="B10" s="6" t="n">
        <v>6</v>
      </c>
      <c r="C10" s="4" t="s">
        <v>9</v>
      </c>
      <c r="D10" s="6" t="s">
        <v>25</v>
      </c>
      <c r="E10" s="6" t="s">
        <v>11</v>
      </c>
      <c r="F10" s="6" t="s">
        <v>12</v>
      </c>
      <c r="G10" s="6"/>
      <c r="H10" s="6" t="s">
        <v>27</v>
      </c>
      <c r="I10" s="7" t="n">
        <v>846731</v>
      </c>
      <c r="J10" s="16"/>
      <c r="K10" s="20" t="n">
        <v>0</v>
      </c>
      <c r="L10" s="20" t="n">
        <f aca="false">J10-K10</f>
        <v>0</v>
      </c>
      <c r="M10" s="18"/>
      <c r="N10" s="18"/>
      <c r="O10" s="18"/>
      <c r="P10" s="16"/>
      <c r="Q10" s="20" t="n">
        <v>0</v>
      </c>
      <c r="R10" s="20" t="n">
        <f aca="false">P10-Q10</f>
        <v>0</v>
      </c>
      <c r="S10" s="20" t="n">
        <f aca="false">J10-P10</f>
        <v>0</v>
      </c>
      <c r="T10" s="19"/>
    </row>
    <row r="11" customFormat="false" ht="21.75" hidden="false" customHeight="true" outlineLevel="0" collapsed="false">
      <c r="B11" s="3" t="n">
        <v>7</v>
      </c>
      <c r="C11" s="4" t="s">
        <v>9</v>
      </c>
      <c r="D11" s="3" t="s">
        <v>25</v>
      </c>
      <c r="E11" s="3" t="s">
        <v>11</v>
      </c>
      <c r="F11" s="3" t="s">
        <v>12</v>
      </c>
      <c r="G11" s="3" t="s">
        <v>19</v>
      </c>
      <c r="H11" s="3" t="s">
        <v>28</v>
      </c>
      <c r="I11" s="5" t="n">
        <v>200000</v>
      </c>
      <c r="J11" s="16"/>
      <c r="K11" s="17" t="n">
        <v>0</v>
      </c>
      <c r="L11" s="17" t="n">
        <f aca="false">J11-K11</f>
        <v>0</v>
      </c>
      <c r="M11" s="18"/>
      <c r="N11" s="18"/>
      <c r="O11" s="18"/>
      <c r="P11" s="16"/>
      <c r="Q11" s="17" t="n">
        <v>0</v>
      </c>
      <c r="R11" s="17" t="n">
        <f aca="false">P11-Q11</f>
        <v>0</v>
      </c>
      <c r="S11" s="17" t="n">
        <f aca="false">J11-P11</f>
        <v>0</v>
      </c>
      <c r="T11" s="19"/>
    </row>
    <row r="12" customFormat="false" ht="21.75" hidden="false" customHeight="true" outlineLevel="0" collapsed="false">
      <c r="B12" s="6" t="n">
        <v>8</v>
      </c>
      <c r="C12" s="4" t="s">
        <v>9</v>
      </c>
      <c r="D12" s="6" t="s">
        <v>25</v>
      </c>
      <c r="E12" s="6" t="s">
        <v>21</v>
      </c>
      <c r="F12" s="6" t="s">
        <v>22</v>
      </c>
      <c r="G12" s="6" t="s">
        <v>23</v>
      </c>
      <c r="H12" s="6" t="s">
        <v>29</v>
      </c>
      <c r="I12" s="7" t="n">
        <v>141900</v>
      </c>
      <c r="J12" s="16"/>
      <c r="K12" s="20" t="n">
        <v>0</v>
      </c>
      <c r="L12" s="20" t="n">
        <f aca="false">J12-K12</f>
        <v>0</v>
      </c>
      <c r="M12" s="18"/>
      <c r="N12" s="18"/>
      <c r="O12" s="18"/>
      <c r="P12" s="16"/>
      <c r="Q12" s="20" t="n">
        <v>0</v>
      </c>
      <c r="R12" s="20" t="n">
        <f aca="false">P12-Q12</f>
        <v>0</v>
      </c>
      <c r="S12" s="20" t="n">
        <f aca="false">J12-P12</f>
        <v>0</v>
      </c>
      <c r="T12" s="19"/>
    </row>
    <row r="13" customFormat="false" ht="21.75" hidden="false" customHeight="true" outlineLevel="0" collapsed="false">
      <c r="B13" s="3" t="n">
        <v>9</v>
      </c>
      <c r="C13" s="4" t="s">
        <v>9</v>
      </c>
      <c r="D13" s="3" t="s">
        <v>25</v>
      </c>
      <c r="E13" s="3" t="s">
        <v>21</v>
      </c>
      <c r="F13" s="3" t="s">
        <v>22</v>
      </c>
      <c r="G13" s="3" t="s">
        <v>30</v>
      </c>
      <c r="H13" s="3" t="s">
        <v>31</v>
      </c>
      <c r="I13" s="5" t="n">
        <v>26700</v>
      </c>
      <c r="J13" s="16"/>
      <c r="K13" s="17" t="n">
        <v>0</v>
      </c>
      <c r="L13" s="17" t="n">
        <f aca="false">J13-K13</f>
        <v>0</v>
      </c>
      <c r="M13" s="18"/>
      <c r="N13" s="18"/>
      <c r="O13" s="18"/>
      <c r="P13" s="16"/>
      <c r="Q13" s="17" t="n">
        <v>0</v>
      </c>
      <c r="R13" s="17" t="n">
        <f aca="false">P13-Q13</f>
        <v>0</v>
      </c>
      <c r="S13" s="17" t="n">
        <f aca="false">J13-P13</f>
        <v>0</v>
      </c>
      <c r="T13" s="19"/>
    </row>
    <row r="14" customFormat="false" ht="21.75" hidden="false" customHeight="true" outlineLevel="0" collapsed="false">
      <c r="B14" s="6" t="n">
        <v>10</v>
      </c>
      <c r="C14" s="4" t="s">
        <v>9</v>
      </c>
      <c r="D14" s="6" t="s">
        <v>25</v>
      </c>
      <c r="E14" s="6" t="s">
        <v>21</v>
      </c>
      <c r="F14" s="6" t="s">
        <v>22</v>
      </c>
      <c r="G14" s="6" t="s">
        <v>32</v>
      </c>
      <c r="H14" s="6" t="s">
        <v>33</v>
      </c>
      <c r="I14" s="7" t="n">
        <v>480000</v>
      </c>
      <c r="J14" s="16"/>
      <c r="K14" s="20" t="n">
        <v>0</v>
      </c>
      <c r="L14" s="20" t="n">
        <f aca="false">J14-K14</f>
        <v>0</v>
      </c>
      <c r="M14" s="18"/>
      <c r="N14" s="18"/>
      <c r="O14" s="18"/>
      <c r="P14" s="16"/>
      <c r="Q14" s="20" t="n">
        <v>0</v>
      </c>
      <c r="R14" s="20" t="n">
        <f aca="false">P14-Q14</f>
        <v>0</v>
      </c>
      <c r="S14" s="20" t="n">
        <f aca="false">J14-P14</f>
        <v>0</v>
      </c>
      <c r="T14" s="19"/>
    </row>
    <row r="15" customFormat="false" ht="21.75" hidden="false" customHeight="true" outlineLevel="0" collapsed="false">
      <c r="B15" s="3" t="n">
        <v>11</v>
      </c>
      <c r="C15" s="4" t="s">
        <v>9</v>
      </c>
      <c r="D15" s="3" t="s">
        <v>25</v>
      </c>
      <c r="E15" s="3" t="s">
        <v>21</v>
      </c>
      <c r="F15" s="3" t="s">
        <v>22</v>
      </c>
      <c r="G15" s="3" t="s">
        <v>34</v>
      </c>
      <c r="H15" s="3" t="s">
        <v>35</v>
      </c>
      <c r="I15" s="5" t="n">
        <v>300000</v>
      </c>
      <c r="J15" s="16"/>
      <c r="K15" s="17" t="n">
        <v>0</v>
      </c>
      <c r="L15" s="17" t="n">
        <f aca="false">J15-K15</f>
        <v>0</v>
      </c>
      <c r="M15" s="18"/>
      <c r="N15" s="18"/>
      <c r="O15" s="18"/>
      <c r="P15" s="16"/>
      <c r="Q15" s="17" t="n">
        <v>0</v>
      </c>
      <c r="R15" s="17" t="n">
        <f aca="false">P15-Q15</f>
        <v>0</v>
      </c>
      <c r="S15" s="17" t="n">
        <f aca="false">J15-P15</f>
        <v>0</v>
      </c>
      <c r="T15" s="19"/>
    </row>
    <row r="16" customFormat="false" ht="21.75" hidden="false" customHeight="true" outlineLevel="0" collapsed="false">
      <c r="B16" s="6" t="n">
        <v>12</v>
      </c>
      <c r="C16" s="4" t="s">
        <v>9</v>
      </c>
      <c r="D16" s="6" t="s">
        <v>36</v>
      </c>
      <c r="E16" s="6" t="s">
        <v>11</v>
      </c>
      <c r="F16" s="6" t="s">
        <v>12</v>
      </c>
      <c r="G16" s="6" t="s">
        <v>13</v>
      </c>
      <c r="H16" s="6" t="s">
        <v>37</v>
      </c>
      <c r="I16" s="7" t="n">
        <v>1000000</v>
      </c>
      <c r="J16" s="16"/>
      <c r="K16" s="20" t="n">
        <v>0</v>
      </c>
      <c r="L16" s="20" t="n">
        <f aca="false">J16-K16</f>
        <v>0</v>
      </c>
      <c r="M16" s="18"/>
      <c r="N16" s="18"/>
      <c r="O16" s="18"/>
      <c r="P16" s="16"/>
      <c r="Q16" s="20" t="n">
        <v>0</v>
      </c>
      <c r="R16" s="20" t="n">
        <f aca="false">P16-Q16</f>
        <v>0</v>
      </c>
      <c r="S16" s="20" t="n">
        <f aca="false">J16-P16</f>
        <v>0</v>
      </c>
      <c r="T16" s="19"/>
    </row>
    <row r="17" customFormat="false" ht="21.75" hidden="false" customHeight="true" outlineLevel="0" collapsed="false">
      <c r="B17" s="3" t="n">
        <v>13</v>
      </c>
      <c r="C17" s="4" t="s">
        <v>9</v>
      </c>
      <c r="D17" s="3" t="s">
        <v>36</v>
      </c>
      <c r="E17" s="3" t="s">
        <v>11</v>
      </c>
      <c r="F17" s="3" t="s">
        <v>12</v>
      </c>
      <c r="G17" s="3" t="s">
        <v>38</v>
      </c>
      <c r="H17" s="3" t="s">
        <v>39</v>
      </c>
      <c r="I17" s="5" t="n">
        <v>739200</v>
      </c>
      <c r="J17" s="16"/>
      <c r="K17" s="17" t="n">
        <v>0</v>
      </c>
      <c r="L17" s="17" t="n">
        <f aca="false">J17-K17</f>
        <v>0</v>
      </c>
      <c r="M17" s="18"/>
      <c r="N17" s="18"/>
      <c r="O17" s="18"/>
      <c r="P17" s="16"/>
      <c r="Q17" s="17" t="n">
        <v>0</v>
      </c>
      <c r="R17" s="17" t="n">
        <f aca="false">P17-Q17</f>
        <v>0</v>
      </c>
      <c r="S17" s="17" t="n">
        <f aca="false">J17-P17</f>
        <v>0</v>
      </c>
      <c r="T17" s="19"/>
    </row>
    <row r="18" customFormat="false" ht="21.75" hidden="false" customHeight="true" outlineLevel="0" collapsed="false">
      <c r="B18" s="6" t="n">
        <v>14</v>
      </c>
      <c r="C18" s="4" t="s">
        <v>9</v>
      </c>
      <c r="D18" s="6" t="s">
        <v>40</v>
      </c>
      <c r="E18" s="6" t="s">
        <v>11</v>
      </c>
      <c r="F18" s="6" t="s">
        <v>12</v>
      </c>
      <c r="G18" s="6" t="s">
        <v>38</v>
      </c>
      <c r="H18" s="6" t="s">
        <v>41</v>
      </c>
      <c r="I18" s="7" t="n">
        <v>1276800</v>
      </c>
      <c r="J18" s="16"/>
      <c r="K18" s="20" t="n">
        <v>0</v>
      </c>
      <c r="L18" s="20" t="n">
        <f aca="false">J18-K18</f>
        <v>0</v>
      </c>
      <c r="M18" s="18"/>
      <c r="N18" s="18"/>
      <c r="O18" s="18"/>
      <c r="P18" s="16"/>
      <c r="Q18" s="20" t="n">
        <v>0</v>
      </c>
      <c r="R18" s="20" t="n">
        <f aca="false">P18-Q18</f>
        <v>0</v>
      </c>
      <c r="S18" s="20" t="n">
        <f aca="false">J18-P18</f>
        <v>0</v>
      </c>
      <c r="T18" s="19"/>
    </row>
    <row r="19" customFormat="false" ht="21.75" hidden="false" customHeight="true" outlineLevel="0" collapsed="false">
      <c r="B19" s="3" t="n">
        <v>15</v>
      </c>
      <c r="C19" s="4" t="s">
        <v>9</v>
      </c>
      <c r="D19" s="3" t="s">
        <v>42</v>
      </c>
      <c r="E19" s="3" t="s">
        <v>11</v>
      </c>
      <c r="F19" s="3" t="s">
        <v>12</v>
      </c>
      <c r="G19" s="3" t="s">
        <v>13</v>
      </c>
      <c r="H19" s="3" t="s">
        <v>43</v>
      </c>
      <c r="I19" s="5" t="n">
        <v>5796360</v>
      </c>
      <c r="J19" s="16"/>
      <c r="K19" s="17" t="n">
        <v>0</v>
      </c>
      <c r="L19" s="17" t="n">
        <f aca="false">J19-K19</f>
        <v>0</v>
      </c>
      <c r="M19" s="18"/>
      <c r="N19" s="18"/>
      <c r="O19" s="18"/>
      <c r="P19" s="16"/>
      <c r="Q19" s="17" t="n">
        <v>0</v>
      </c>
      <c r="R19" s="17" t="n">
        <f aca="false">P19-Q19</f>
        <v>0</v>
      </c>
      <c r="S19" s="17" t="n">
        <f aca="false">J19-P19</f>
        <v>0</v>
      </c>
      <c r="T19" s="19"/>
    </row>
    <row r="20" customFormat="false" ht="21.75" hidden="false" customHeight="true" outlineLevel="0" collapsed="false">
      <c r="B20" s="6" t="n">
        <v>16</v>
      </c>
      <c r="C20" s="4" t="s">
        <v>9</v>
      </c>
      <c r="D20" s="6" t="s">
        <v>42</v>
      </c>
      <c r="E20" s="6" t="s">
        <v>15</v>
      </c>
      <c r="F20" s="6" t="s">
        <v>16</v>
      </c>
      <c r="G20" s="6" t="s">
        <v>44</v>
      </c>
      <c r="H20" s="6" t="s">
        <v>44</v>
      </c>
      <c r="I20" s="7" t="n">
        <v>340000</v>
      </c>
      <c r="J20" s="16"/>
      <c r="K20" s="20" t="n">
        <v>0</v>
      </c>
      <c r="L20" s="20" t="n">
        <f aca="false">J20-K20</f>
        <v>0</v>
      </c>
      <c r="M20" s="18"/>
      <c r="N20" s="18"/>
      <c r="O20" s="18"/>
      <c r="P20" s="16"/>
      <c r="Q20" s="20" t="n">
        <v>0</v>
      </c>
      <c r="R20" s="20" t="n">
        <f aca="false">P20-Q20</f>
        <v>0</v>
      </c>
      <c r="S20" s="20" t="n">
        <f aca="false">J20-P20</f>
        <v>0</v>
      </c>
      <c r="T20" s="19"/>
    </row>
    <row r="21" customFormat="false" ht="21.75" hidden="false" customHeight="true" outlineLevel="0" collapsed="false">
      <c r="B21" s="3" t="n">
        <v>17</v>
      </c>
      <c r="C21" s="4" t="s">
        <v>9</v>
      </c>
      <c r="D21" s="3" t="s">
        <v>45</v>
      </c>
      <c r="E21" s="3" t="s">
        <v>46</v>
      </c>
      <c r="F21" s="3" t="s">
        <v>47</v>
      </c>
      <c r="G21" s="3" t="s">
        <v>48</v>
      </c>
      <c r="H21" s="3" t="s">
        <v>49</v>
      </c>
      <c r="I21" s="5" t="n">
        <v>397934</v>
      </c>
      <c r="J21" s="16"/>
      <c r="K21" s="17" t="n">
        <v>0</v>
      </c>
      <c r="L21" s="17" t="n">
        <f aca="false">J21-K21</f>
        <v>0</v>
      </c>
      <c r="M21" s="18"/>
      <c r="N21" s="18"/>
      <c r="O21" s="18"/>
      <c r="P21" s="16"/>
      <c r="Q21" s="17" t="n">
        <v>0</v>
      </c>
      <c r="R21" s="17" t="n">
        <f aca="false">P21-Q21</f>
        <v>0</v>
      </c>
      <c r="S21" s="17" t="n">
        <f aca="false">J21-P21</f>
        <v>0</v>
      </c>
      <c r="T21" s="19"/>
    </row>
    <row r="22" customFormat="false" ht="21.75" hidden="false" customHeight="true" outlineLevel="0" collapsed="false">
      <c r="B22" s="6" t="n">
        <v>18</v>
      </c>
      <c r="C22" s="4" t="s">
        <v>9</v>
      </c>
      <c r="D22" s="6" t="s">
        <v>45</v>
      </c>
      <c r="E22" s="6" t="s">
        <v>46</v>
      </c>
      <c r="F22" s="6" t="s">
        <v>47</v>
      </c>
      <c r="G22" s="6"/>
      <c r="H22" s="6" t="s">
        <v>50</v>
      </c>
      <c r="I22" s="7" t="n">
        <v>207575</v>
      </c>
      <c r="J22" s="16"/>
      <c r="K22" s="20" t="n">
        <v>0</v>
      </c>
      <c r="L22" s="20" t="n">
        <f aca="false">J22-K22</f>
        <v>0</v>
      </c>
      <c r="M22" s="18"/>
      <c r="N22" s="18"/>
      <c r="O22" s="18"/>
      <c r="P22" s="16"/>
      <c r="Q22" s="20" t="n">
        <v>0</v>
      </c>
      <c r="R22" s="20" t="n">
        <f aca="false">P22-Q22</f>
        <v>0</v>
      </c>
      <c r="S22" s="20" t="n">
        <f aca="false">J22-P22</f>
        <v>0</v>
      </c>
      <c r="T22" s="19"/>
    </row>
    <row r="23" customFormat="false" ht="21.75" hidden="false" customHeight="true" outlineLevel="0" collapsed="false">
      <c r="B23" s="3" t="n">
        <v>19</v>
      </c>
      <c r="C23" s="4" t="s">
        <v>9</v>
      </c>
      <c r="D23" s="3" t="s">
        <v>45</v>
      </c>
      <c r="E23" s="3" t="s">
        <v>15</v>
      </c>
      <c r="F23" s="3" t="s">
        <v>16</v>
      </c>
      <c r="G23" s="3" t="s">
        <v>44</v>
      </c>
      <c r="H23" s="3" t="s">
        <v>44</v>
      </c>
      <c r="I23" s="5" t="n">
        <v>2200000</v>
      </c>
      <c r="J23" s="16"/>
      <c r="K23" s="17" t="n">
        <v>0</v>
      </c>
      <c r="L23" s="17" t="n">
        <f aca="false">J23-K23</f>
        <v>0</v>
      </c>
      <c r="M23" s="18"/>
      <c r="N23" s="18"/>
      <c r="O23" s="18"/>
      <c r="P23" s="16"/>
      <c r="Q23" s="17" t="n">
        <v>0</v>
      </c>
      <c r="R23" s="17" t="n">
        <f aca="false">P23-Q23</f>
        <v>0</v>
      </c>
      <c r="S23" s="17" t="n">
        <f aca="false">J23-P23</f>
        <v>0</v>
      </c>
      <c r="T23" s="19"/>
    </row>
    <row r="24" customFormat="false" ht="21.75" hidden="false" customHeight="true" outlineLevel="0" collapsed="false">
      <c r="B24" s="6" t="n">
        <v>20</v>
      </c>
      <c r="C24" s="4" t="s">
        <v>9</v>
      </c>
      <c r="D24" s="6" t="s">
        <v>45</v>
      </c>
      <c r="E24" s="6" t="s">
        <v>11</v>
      </c>
      <c r="F24" s="6" t="s">
        <v>12</v>
      </c>
      <c r="G24" s="6" t="s">
        <v>19</v>
      </c>
      <c r="H24" s="6" t="s">
        <v>51</v>
      </c>
      <c r="I24" s="7" t="n">
        <v>300000</v>
      </c>
      <c r="J24" s="16"/>
      <c r="K24" s="20" t="n">
        <v>0</v>
      </c>
      <c r="L24" s="20" t="n">
        <f aca="false">J24-K24</f>
        <v>0</v>
      </c>
      <c r="M24" s="18"/>
      <c r="N24" s="18"/>
      <c r="O24" s="18"/>
      <c r="P24" s="16"/>
      <c r="Q24" s="20" t="n">
        <v>0</v>
      </c>
      <c r="R24" s="20" t="n">
        <f aca="false">P24-Q24</f>
        <v>0</v>
      </c>
      <c r="S24" s="20" t="n">
        <f aca="false">J24-P24</f>
        <v>0</v>
      </c>
      <c r="T24" s="19"/>
    </row>
    <row r="25" customFormat="false" ht="21.75" hidden="false" customHeight="true" outlineLevel="0" collapsed="false">
      <c r="B25" s="3" t="n">
        <v>21</v>
      </c>
      <c r="C25" s="4" t="s">
        <v>9</v>
      </c>
      <c r="D25" s="3" t="s">
        <v>45</v>
      </c>
      <c r="E25" s="3" t="s">
        <v>21</v>
      </c>
      <c r="F25" s="3" t="s">
        <v>22</v>
      </c>
      <c r="G25" s="3" t="s">
        <v>23</v>
      </c>
      <c r="H25" s="3" t="s">
        <v>52</v>
      </c>
      <c r="I25" s="5" t="n">
        <v>250000</v>
      </c>
      <c r="J25" s="16"/>
      <c r="K25" s="17" t="n">
        <v>0</v>
      </c>
      <c r="L25" s="17" t="n">
        <f aca="false">J25-K25</f>
        <v>0</v>
      </c>
      <c r="M25" s="18"/>
      <c r="N25" s="18"/>
      <c r="O25" s="18"/>
      <c r="P25" s="16"/>
      <c r="Q25" s="17" t="n">
        <v>0</v>
      </c>
      <c r="R25" s="17" t="n">
        <f aca="false">P25-Q25</f>
        <v>0</v>
      </c>
      <c r="S25" s="17" t="n">
        <f aca="false">J25-P25</f>
        <v>0</v>
      </c>
      <c r="T25" s="19"/>
    </row>
    <row r="26" customFormat="false" ht="21.75" hidden="false" customHeight="true" outlineLevel="0" collapsed="false">
      <c r="B26" s="6" t="n">
        <v>22</v>
      </c>
      <c r="C26" s="4" t="s">
        <v>9</v>
      </c>
      <c r="D26" s="6" t="s">
        <v>45</v>
      </c>
      <c r="E26" s="6" t="s">
        <v>21</v>
      </c>
      <c r="F26" s="6" t="s">
        <v>22</v>
      </c>
      <c r="G26" s="6" t="s">
        <v>53</v>
      </c>
      <c r="H26" s="21" t="s">
        <v>54</v>
      </c>
      <c r="I26" s="7" t="n">
        <v>25000</v>
      </c>
      <c r="J26" s="16"/>
      <c r="K26" s="20" t="n">
        <v>0</v>
      </c>
      <c r="L26" s="20" t="n">
        <f aca="false">J26-K26</f>
        <v>0</v>
      </c>
      <c r="M26" s="18"/>
      <c r="N26" s="18"/>
      <c r="O26" s="18"/>
      <c r="P26" s="16"/>
      <c r="Q26" s="20" t="n">
        <v>0</v>
      </c>
      <c r="R26" s="20" t="n">
        <f aca="false">P26-Q26</f>
        <v>0</v>
      </c>
      <c r="S26" s="20" t="n">
        <f aca="false">J26-P26</f>
        <v>0</v>
      </c>
      <c r="T26" s="19"/>
    </row>
    <row r="27" customFormat="false" ht="21.75" hidden="false" customHeight="true" outlineLevel="0" collapsed="false">
      <c r="B27" s="3" t="n">
        <v>23</v>
      </c>
      <c r="C27" s="4" t="s">
        <v>9</v>
      </c>
      <c r="D27" s="3" t="s">
        <v>45</v>
      </c>
      <c r="E27" s="3" t="s">
        <v>21</v>
      </c>
      <c r="F27" s="3" t="s">
        <v>22</v>
      </c>
      <c r="G27" s="3" t="s">
        <v>30</v>
      </c>
      <c r="H27" s="22" t="s">
        <v>55</v>
      </c>
      <c r="I27" s="5" t="n">
        <v>38000</v>
      </c>
      <c r="J27" s="16"/>
      <c r="K27" s="17" t="n">
        <v>0</v>
      </c>
      <c r="L27" s="17" t="n">
        <f aca="false">J27-K27</f>
        <v>0</v>
      </c>
      <c r="M27" s="18"/>
      <c r="N27" s="18"/>
      <c r="O27" s="18"/>
      <c r="P27" s="16"/>
      <c r="Q27" s="17" t="n">
        <v>0</v>
      </c>
      <c r="R27" s="17" t="n">
        <f aca="false">P27-Q27</f>
        <v>0</v>
      </c>
      <c r="S27" s="17" t="n">
        <f aca="false">J27-P27</f>
        <v>0</v>
      </c>
      <c r="T27" s="19"/>
    </row>
    <row r="28" customFormat="false" ht="21.75" hidden="false" customHeight="true" outlineLevel="0" collapsed="false">
      <c r="B28" s="6" t="n">
        <v>24</v>
      </c>
      <c r="C28" s="4" t="s">
        <v>9</v>
      </c>
      <c r="D28" s="6" t="s">
        <v>45</v>
      </c>
      <c r="E28" s="6" t="s">
        <v>21</v>
      </c>
      <c r="F28" s="6" t="s">
        <v>22</v>
      </c>
      <c r="G28" s="6" t="s">
        <v>32</v>
      </c>
      <c r="H28" s="6" t="s">
        <v>56</v>
      </c>
      <c r="I28" s="7" t="n">
        <v>10560000</v>
      </c>
      <c r="J28" s="16"/>
      <c r="K28" s="20" t="n">
        <v>0</v>
      </c>
      <c r="L28" s="20" t="n">
        <f aca="false">J28-K28</f>
        <v>0</v>
      </c>
      <c r="M28" s="18"/>
      <c r="N28" s="18"/>
      <c r="O28" s="18"/>
      <c r="P28" s="16"/>
      <c r="Q28" s="20" t="n">
        <v>0</v>
      </c>
      <c r="R28" s="20" t="n">
        <f aca="false">P28-Q28</f>
        <v>0</v>
      </c>
      <c r="S28" s="20" t="n">
        <f aca="false">J28-P28</f>
        <v>0</v>
      </c>
      <c r="T28" s="19"/>
    </row>
    <row r="29" customFormat="false" ht="21.75" hidden="false" customHeight="true" outlineLevel="0" collapsed="false">
      <c r="B29" s="3" t="n">
        <v>25</v>
      </c>
      <c r="C29" s="4" t="s">
        <v>9</v>
      </c>
      <c r="D29" s="3" t="s">
        <v>45</v>
      </c>
      <c r="E29" s="3" t="s">
        <v>21</v>
      </c>
      <c r="F29" s="3" t="s">
        <v>22</v>
      </c>
      <c r="G29" s="3" t="s">
        <v>57</v>
      </c>
      <c r="H29" s="3" t="s">
        <v>58</v>
      </c>
      <c r="I29" s="5" t="n">
        <v>144000</v>
      </c>
      <c r="J29" s="16"/>
      <c r="K29" s="17" t="n">
        <v>0</v>
      </c>
      <c r="L29" s="17" t="n">
        <f aca="false">J29-K29</f>
        <v>0</v>
      </c>
      <c r="M29" s="18"/>
      <c r="N29" s="18"/>
      <c r="O29" s="18"/>
      <c r="P29" s="16"/>
      <c r="Q29" s="17" t="n">
        <v>0</v>
      </c>
      <c r="R29" s="17" t="n">
        <f aca="false">P29-Q29</f>
        <v>0</v>
      </c>
      <c r="S29" s="17" t="n">
        <f aca="false">J29-P29</f>
        <v>0</v>
      </c>
      <c r="T29" s="19"/>
    </row>
    <row r="30" customFormat="false" ht="21.75" hidden="false" customHeight="true" outlineLevel="0" collapsed="false">
      <c r="B30" s="6" t="n">
        <v>26</v>
      </c>
      <c r="C30" s="4" t="s">
        <v>9</v>
      </c>
      <c r="D30" s="6" t="s">
        <v>45</v>
      </c>
      <c r="E30" s="6" t="s">
        <v>21</v>
      </c>
      <c r="F30" s="6" t="s">
        <v>22</v>
      </c>
      <c r="G30" s="6" t="s">
        <v>34</v>
      </c>
      <c r="H30" s="6" t="s">
        <v>59</v>
      </c>
      <c r="I30" s="7" t="n">
        <v>800000</v>
      </c>
      <c r="J30" s="16"/>
      <c r="K30" s="20" t="n">
        <v>0</v>
      </c>
      <c r="L30" s="20" t="n">
        <f aca="false">J30-K30</f>
        <v>0</v>
      </c>
      <c r="M30" s="18"/>
      <c r="N30" s="18"/>
      <c r="O30" s="18"/>
      <c r="P30" s="16"/>
      <c r="Q30" s="20" t="n">
        <v>0</v>
      </c>
      <c r="R30" s="20" t="n">
        <f aca="false">P30-Q30</f>
        <v>0</v>
      </c>
      <c r="S30" s="20" t="n">
        <f aca="false">J30-P30</f>
        <v>0</v>
      </c>
      <c r="T30" s="19"/>
    </row>
    <row r="31" customFormat="false" ht="21.75" hidden="false" customHeight="true" outlineLevel="0" collapsed="false">
      <c r="B31" s="3" t="n">
        <v>27</v>
      </c>
      <c r="C31" s="4" t="s">
        <v>9</v>
      </c>
      <c r="D31" s="3" t="s">
        <v>60</v>
      </c>
      <c r="E31" s="3" t="s">
        <v>11</v>
      </c>
      <c r="F31" s="3" t="s">
        <v>12</v>
      </c>
      <c r="G31" s="3" t="s">
        <v>13</v>
      </c>
      <c r="H31" s="3" t="s">
        <v>61</v>
      </c>
      <c r="I31" s="5" t="n">
        <v>1733306</v>
      </c>
      <c r="J31" s="16"/>
      <c r="K31" s="17" t="n">
        <v>0</v>
      </c>
      <c r="L31" s="17" t="n">
        <f aca="false">J31-K31</f>
        <v>0</v>
      </c>
      <c r="M31" s="18"/>
      <c r="N31" s="18"/>
      <c r="O31" s="18"/>
      <c r="P31" s="16"/>
      <c r="Q31" s="17" t="n">
        <v>0</v>
      </c>
      <c r="R31" s="17" t="n">
        <f aca="false">P31-Q31</f>
        <v>0</v>
      </c>
      <c r="S31" s="17" t="n">
        <f aca="false">J31-P31</f>
        <v>0</v>
      </c>
      <c r="T31" s="19"/>
    </row>
    <row r="32" customFormat="false" ht="21.75" hidden="false" customHeight="true" outlineLevel="0" collapsed="false">
      <c r="B32" s="6" t="n">
        <v>28</v>
      </c>
      <c r="C32" s="4" t="s">
        <v>9</v>
      </c>
      <c r="D32" s="6" t="s">
        <v>60</v>
      </c>
      <c r="E32" s="6" t="s">
        <v>15</v>
      </c>
      <c r="F32" s="6" t="s">
        <v>16</v>
      </c>
      <c r="G32" s="6" t="s">
        <v>44</v>
      </c>
      <c r="H32" s="6" t="s">
        <v>44</v>
      </c>
      <c r="I32" s="7" t="n">
        <v>670000</v>
      </c>
      <c r="J32" s="16"/>
      <c r="K32" s="20" t="n">
        <v>0</v>
      </c>
      <c r="L32" s="20" t="n">
        <f aca="false">J32-K32</f>
        <v>0</v>
      </c>
      <c r="M32" s="18"/>
      <c r="N32" s="18"/>
      <c r="O32" s="18"/>
      <c r="P32" s="16"/>
      <c r="Q32" s="20" t="n">
        <v>0</v>
      </c>
      <c r="R32" s="20" t="n">
        <f aca="false">P32-Q32</f>
        <v>0</v>
      </c>
      <c r="S32" s="20" t="n">
        <f aca="false">J32-P32</f>
        <v>0</v>
      </c>
      <c r="T32" s="19"/>
    </row>
    <row r="33" customFormat="false" ht="21.75" hidden="false" customHeight="true" outlineLevel="0" collapsed="false">
      <c r="B33" s="3" t="n">
        <v>29</v>
      </c>
      <c r="C33" s="4" t="s">
        <v>9</v>
      </c>
      <c r="D33" s="3" t="s">
        <v>60</v>
      </c>
      <c r="E33" s="3" t="s">
        <v>46</v>
      </c>
      <c r="F33" s="3" t="s">
        <v>47</v>
      </c>
      <c r="G33" s="3" t="s">
        <v>62</v>
      </c>
      <c r="H33" s="3" t="s">
        <v>63</v>
      </c>
      <c r="I33" s="5" t="n">
        <v>2500000</v>
      </c>
      <c r="J33" s="16"/>
      <c r="K33" s="17" t="n">
        <v>0</v>
      </c>
      <c r="L33" s="17" t="n">
        <f aca="false">J33-K33</f>
        <v>0</v>
      </c>
      <c r="M33" s="18"/>
      <c r="N33" s="18"/>
      <c r="O33" s="18"/>
      <c r="P33" s="16"/>
      <c r="Q33" s="17" t="n">
        <v>0</v>
      </c>
      <c r="R33" s="17" t="n">
        <f aca="false">P33-Q33</f>
        <v>0</v>
      </c>
      <c r="S33" s="17" t="n">
        <f aca="false">J33-P33</f>
        <v>0</v>
      </c>
      <c r="T33" s="19"/>
    </row>
    <row r="34" customFormat="false" ht="21.75" hidden="false" customHeight="true" outlineLevel="0" collapsed="false">
      <c r="B34" s="6" t="n">
        <v>30</v>
      </c>
      <c r="C34" s="4" t="s">
        <v>9</v>
      </c>
      <c r="D34" s="6" t="s">
        <v>60</v>
      </c>
      <c r="E34" s="6" t="s">
        <v>11</v>
      </c>
      <c r="F34" s="6" t="s">
        <v>12</v>
      </c>
      <c r="G34" s="6" t="s">
        <v>19</v>
      </c>
      <c r="H34" s="6" t="s">
        <v>64</v>
      </c>
      <c r="I34" s="7" t="n">
        <v>800000</v>
      </c>
      <c r="J34" s="16"/>
      <c r="K34" s="20" t="n">
        <v>0</v>
      </c>
      <c r="L34" s="20" t="n">
        <f aca="false">J34-K34</f>
        <v>0</v>
      </c>
      <c r="M34" s="18"/>
      <c r="N34" s="18"/>
      <c r="O34" s="18"/>
      <c r="P34" s="16"/>
      <c r="Q34" s="20" t="n">
        <v>0</v>
      </c>
      <c r="R34" s="20" t="n">
        <f aca="false">P34-Q34</f>
        <v>0</v>
      </c>
      <c r="S34" s="20" t="n">
        <f aca="false">J34-P34</f>
        <v>0</v>
      </c>
      <c r="T34" s="19"/>
    </row>
    <row r="35" customFormat="false" ht="21.75" hidden="false" customHeight="true" outlineLevel="0" collapsed="false">
      <c r="B35" s="3" t="n">
        <v>31</v>
      </c>
      <c r="C35" s="4" t="s">
        <v>9</v>
      </c>
      <c r="D35" s="3" t="s">
        <v>60</v>
      </c>
      <c r="E35" s="3" t="s">
        <v>21</v>
      </c>
      <c r="F35" s="3" t="s">
        <v>22</v>
      </c>
      <c r="G35" s="3" t="s">
        <v>23</v>
      </c>
      <c r="H35" s="3" t="s">
        <v>65</v>
      </c>
      <c r="I35" s="5" t="n">
        <v>195000</v>
      </c>
      <c r="J35" s="16"/>
      <c r="K35" s="17" t="n">
        <v>0</v>
      </c>
      <c r="L35" s="17" t="n">
        <f aca="false">J35-K35</f>
        <v>0</v>
      </c>
      <c r="M35" s="18"/>
      <c r="N35" s="18"/>
      <c r="O35" s="18"/>
      <c r="P35" s="16"/>
      <c r="Q35" s="17" t="n">
        <v>0</v>
      </c>
      <c r="R35" s="17" t="n">
        <f aca="false">P35-Q35</f>
        <v>0</v>
      </c>
      <c r="S35" s="17" t="n">
        <f aca="false">J35-P35</f>
        <v>0</v>
      </c>
      <c r="T35" s="19"/>
    </row>
    <row r="36" customFormat="false" ht="21.75" hidden="false" customHeight="true" outlineLevel="0" collapsed="false">
      <c r="B36" s="6" t="n">
        <v>32</v>
      </c>
      <c r="C36" s="4" t="s">
        <v>9</v>
      </c>
      <c r="D36" s="6" t="s">
        <v>60</v>
      </c>
      <c r="E36" s="6" t="s">
        <v>21</v>
      </c>
      <c r="F36" s="6" t="s">
        <v>22</v>
      </c>
      <c r="G36" s="6" t="s">
        <v>53</v>
      </c>
      <c r="H36" s="6" t="s">
        <v>66</v>
      </c>
      <c r="I36" s="7" t="n">
        <v>50000</v>
      </c>
      <c r="J36" s="16"/>
      <c r="K36" s="20" t="n">
        <v>0</v>
      </c>
      <c r="L36" s="20" t="n">
        <f aca="false">J36-K36</f>
        <v>0</v>
      </c>
      <c r="M36" s="18"/>
      <c r="N36" s="18"/>
      <c r="O36" s="18"/>
      <c r="P36" s="16"/>
      <c r="Q36" s="20" t="n">
        <v>0</v>
      </c>
      <c r="R36" s="20" t="n">
        <f aca="false">P36-Q36</f>
        <v>0</v>
      </c>
      <c r="S36" s="20" t="n">
        <f aca="false">J36-P36</f>
        <v>0</v>
      </c>
      <c r="T36" s="19"/>
    </row>
    <row r="37" customFormat="false" ht="21.75" hidden="false" customHeight="true" outlineLevel="0" collapsed="false">
      <c r="B37" s="3" t="n">
        <v>33</v>
      </c>
      <c r="C37" s="4" t="s">
        <v>9</v>
      </c>
      <c r="D37" s="3" t="s">
        <v>60</v>
      </c>
      <c r="E37" s="3" t="s">
        <v>21</v>
      </c>
      <c r="F37" s="3" t="s">
        <v>22</v>
      </c>
      <c r="G37" s="3" t="s">
        <v>30</v>
      </c>
      <c r="H37" s="3" t="s">
        <v>67</v>
      </c>
      <c r="I37" s="5" t="n">
        <v>245000</v>
      </c>
      <c r="J37" s="16"/>
      <c r="K37" s="17" t="n">
        <v>0</v>
      </c>
      <c r="L37" s="17" t="n">
        <f aca="false">J37-K37</f>
        <v>0</v>
      </c>
      <c r="M37" s="18"/>
      <c r="N37" s="18"/>
      <c r="O37" s="18"/>
      <c r="P37" s="16"/>
      <c r="Q37" s="17" t="n">
        <v>0</v>
      </c>
      <c r="R37" s="17" t="n">
        <f aca="false">P37-Q37</f>
        <v>0</v>
      </c>
      <c r="S37" s="17" t="n">
        <f aca="false">J37-P37</f>
        <v>0</v>
      </c>
      <c r="T37" s="19"/>
    </row>
    <row r="38" customFormat="false" ht="21.75" hidden="false" customHeight="true" outlineLevel="0" collapsed="false">
      <c r="B38" s="6" t="n">
        <v>34</v>
      </c>
      <c r="C38" s="4" t="s">
        <v>9</v>
      </c>
      <c r="D38" s="6" t="s">
        <v>60</v>
      </c>
      <c r="E38" s="6" t="s">
        <v>21</v>
      </c>
      <c r="F38" s="6" t="s">
        <v>22</v>
      </c>
      <c r="G38" s="6" t="s">
        <v>34</v>
      </c>
      <c r="H38" s="6" t="s">
        <v>68</v>
      </c>
      <c r="I38" s="7" t="n">
        <v>1000000</v>
      </c>
      <c r="J38" s="16"/>
      <c r="K38" s="20" t="n">
        <v>0</v>
      </c>
      <c r="L38" s="20" t="n">
        <f aca="false">J38-K38</f>
        <v>0</v>
      </c>
      <c r="M38" s="18"/>
      <c r="N38" s="18"/>
      <c r="O38" s="18"/>
      <c r="P38" s="16"/>
      <c r="Q38" s="20" t="n">
        <v>0</v>
      </c>
      <c r="R38" s="20" t="n">
        <f aca="false">P38-Q38</f>
        <v>0</v>
      </c>
      <c r="S38" s="20" t="n">
        <f aca="false">J38-P38</f>
        <v>0</v>
      </c>
      <c r="T38" s="19"/>
    </row>
    <row r="39" customFormat="false" ht="21.75" hidden="false" customHeight="true" outlineLevel="0" collapsed="false">
      <c r="B39" s="3" t="n">
        <v>35</v>
      </c>
      <c r="C39" s="4" t="s">
        <v>9</v>
      </c>
      <c r="D39" s="3" t="s">
        <v>69</v>
      </c>
      <c r="E39" s="3" t="s">
        <v>11</v>
      </c>
      <c r="F39" s="3" t="s">
        <v>12</v>
      </c>
      <c r="G39" s="3" t="s">
        <v>13</v>
      </c>
      <c r="H39" s="3" t="s">
        <v>70</v>
      </c>
      <c r="I39" s="5" t="n">
        <v>5024032</v>
      </c>
      <c r="J39" s="16"/>
      <c r="K39" s="17" t="n">
        <v>0</v>
      </c>
      <c r="L39" s="17" t="n">
        <f aca="false">J39-K39</f>
        <v>0</v>
      </c>
      <c r="M39" s="18"/>
      <c r="N39" s="18"/>
      <c r="O39" s="18"/>
      <c r="P39" s="16"/>
      <c r="Q39" s="17" t="n">
        <v>0</v>
      </c>
      <c r="R39" s="17" t="n">
        <f aca="false">P39-Q39</f>
        <v>0</v>
      </c>
      <c r="S39" s="17" t="n">
        <f aca="false">J39-P39</f>
        <v>0</v>
      </c>
      <c r="T39" s="19"/>
    </row>
    <row r="40" customFormat="false" ht="21.75" hidden="false" customHeight="true" outlineLevel="0" collapsed="false">
      <c r="B40" s="6" t="n">
        <v>36</v>
      </c>
      <c r="C40" s="4" t="s">
        <v>9</v>
      </c>
      <c r="D40" s="6" t="s">
        <v>69</v>
      </c>
      <c r="E40" s="6" t="s">
        <v>15</v>
      </c>
      <c r="F40" s="6" t="s">
        <v>16</v>
      </c>
      <c r="G40" s="6" t="s">
        <v>44</v>
      </c>
      <c r="H40" s="6" t="s">
        <v>44</v>
      </c>
      <c r="I40" s="7" t="n">
        <v>400000</v>
      </c>
      <c r="J40" s="16"/>
      <c r="K40" s="20" t="n">
        <v>0</v>
      </c>
      <c r="L40" s="20" t="n">
        <f aca="false">J40-K40</f>
        <v>0</v>
      </c>
      <c r="M40" s="18"/>
      <c r="N40" s="18"/>
      <c r="O40" s="18"/>
      <c r="P40" s="16"/>
      <c r="Q40" s="20" t="n">
        <v>0</v>
      </c>
      <c r="R40" s="20" t="n">
        <f aca="false">P40-Q40</f>
        <v>0</v>
      </c>
      <c r="S40" s="20" t="n">
        <f aca="false">J40-P40</f>
        <v>0</v>
      </c>
      <c r="T40" s="19"/>
    </row>
    <row r="41" customFormat="false" ht="21.75" hidden="false" customHeight="true" outlineLevel="0" collapsed="false">
      <c r="B41" s="3" t="n">
        <v>37</v>
      </c>
      <c r="C41" s="4" t="s">
        <v>9</v>
      </c>
      <c r="D41" s="3" t="s">
        <v>71</v>
      </c>
      <c r="E41" s="3" t="s">
        <v>11</v>
      </c>
      <c r="F41" s="3" t="s">
        <v>12</v>
      </c>
      <c r="G41" s="3" t="s">
        <v>13</v>
      </c>
      <c r="H41" s="3" t="s">
        <v>72</v>
      </c>
      <c r="I41" s="5" t="n">
        <v>6000000</v>
      </c>
      <c r="J41" s="16"/>
      <c r="K41" s="17" t="n">
        <v>0</v>
      </c>
      <c r="L41" s="17" t="n">
        <f aca="false">J41-K41</f>
        <v>0</v>
      </c>
      <c r="M41" s="18"/>
      <c r="N41" s="18"/>
      <c r="O41" s="18"/>
      <c r="P41" s="16"/>
      <c r="Q41" s="17" t="n">
        <v>0</v>
      </c>
      <c r="R41" s="17" t="n">
        <f aca="false">P41-Q41</f>
        <v>0</v>
      </c>
      <c r="S41" s="17" t="n">
        <f aca="false">J41-P41</f>
        <v>0</v>
      </c>
      <c r="T41" s="19"/>
    </row>
    <row r="42" customFormat="false" ht="21.75" hidden="false" customHeight="true" outlineLevel="0" collapsed="false">
      <c r="B42" s="6" t="n">
        <v>38</v>
      </c>
      <c r="C42" s="4" t="s">
        <v>9</v>
      </c>
      <c r="D42" s="6" t="s">
        <v>71</v>
      </c>
      <c r="E42" s="6" t="s">
        <v>46</v>
      </c>
      <c r="F42" s="6" t="s">
        <v>47</v>
      </c>
      <c r="G42" s="6" t="s">
        <v>48</v>
      </c>
      <c r="H42" s="6" t="s">
        <v>73</v>
      </c>
      <c r="I42" s="7" t="n">
        <v>232266</v>
      </c>
      <c r="J42" s="16"/>
      <c r="K42" s="20" t="n">
        <v>0</v>
      </c>
      <c r="L42" s="20" t="n">
        <f aca="false">J42-K42</f>
        <v>0</v>
      </c>
      <c r="M42" s="18"/>
      <c r="N42" s="18"/>
      <c r="O42" s="18"/>
      <c r="P42" s="16"/>
      <c r="Q42" s="20" t="n">
        <v>0</v>
      </c>
      <c r="R42" s="20" t="n">
        <f aca="false">P42-Q42</f>
        <v>0</v>
      </c>
      <c r="S42" s="20" t="n">
        <f aca="false">J42-P42</f>
        <v>0</v>
      </c>
      <c r="T42" s="19"/>
    </row>
    <row r="43" customFormat="false" ht="21.75" hidden="false" customHeight="true" outlineLevel="0" collapsed="false">
      <c r="B43" s="3" t="n">
        <v>39</v>
      </c>
      <c r="C43" s="4" t="s">
        <v>9</v>
      </c>
      <c r="D43" s="3" t="s">
        <v>71</v>
      </c>
      <c r="E43" s="3" t="s">
        <v>46</v>
      </c>
      <c r="F43" s="3" t="s">
        <v>47</v>
      </c>
      <c r="G43" s="3"/>
      <c r="H43" s="3" t="s">
        <v>74</v>
      </c>
      <c r="I43" s="5" t="n">
        <v>1055025</v>
      </c>
      <c r="J43" s="16"/>
      <c r="K43" s="17" t="n">
        <v>0</v>
      </c>
      <c r="L43" s="17" t="n">
        <f aca="false">J43-K43</f>
        <v>0</v>
      </c>
      <c r="M43" s="18"/>
      <c r="N43" s="18"/>
      <c r="O43" s="18"/>
      <c r="P43" s="16"/>
      <c r="Q43" s="17" t="n">
        <v>0</v>
      </c>
      <c r="R43" s="17" t="n">
        <f aca="false">P43-Q43</f>
        <v>0</v>
      </c>
      <c r="S43" s="17" t="n">
        <f aca="false">J43-P43</f>
        <v>0</v>
      </c>
      <c r="T43" s="19"/>
    </row>
    <row r="44" customFormat="false" ht="21.75" hidden="false" customHeight="true" outlineLevel="0" collapsed="false">
      <c r="B44" s="6" t="n">
        <v>40</v>
      </c>
      <c r="C44" s="4" t="s">
        <v>9</v>
      </c>
      <c r="D44" s="6" t="s">
        <v>71</v>
      </c>
      <c r="E44" s="6" t="s">
        <v>46</v>
      </c>
      <c r="F44" s="6" t="s">
        <v>47</v>
      </c>
      <c r="G44" s="6"/>
      <c r="H44" s="6" t="s">
        <v>75</v>
      </c>
      <c r="I44" s="7" t="n">
        <v>1004535</v>
      </c>
      <c r="J44" s="16"/>
      <c r="K44" s="20" t="n">
        <v>0</v>
      </c>
      <c r="L44" s="20" t="n">
        <f aca="false">J44-K44</f>
        <v>0</v>
      </c>
      <c r="M44" s="18"/>
      <c r="N44" s="18"/>
      <c r="O44" s="18"/>
      <c r="P44" s="16"/>
      <c r="Q44" s="20" t="n">
        <v>0</v>
      </c>
      <c r="R44" s="20" t="n">
        <f aca="false">P44-Q44</f>
        <v>0</v>
      </c>
      <c r="S44" s="20" t="n">
        <f aca="false">J44-P44</f>
        <v>0</v>
      </c>
      <c r="T44" s="19"/>
    </row>
    <row r="45" customFormat="false" ht="21.75" hidden="false" customHeight="true" outlineLevel="0" collapsed="false">
      <c r="B45" s="3" t="n">
        <v>41</v>
      </c>
      <c r="C45" s="4" t="s">
        <v>9</v>
      </c>
      <c r="D45" s="3" t="s">
        <v>71</v>
      </c>
      <c r="E45" s="3" t="s">
        <v>46</v>
      </c>
      <c r="F45" s="3" t="s">
        <v>47</v>
      </c>
      <c r="G45" s="3"/>
      <c r="H45" s="3" t="s">
        <v>76</v>
      </c>
      <c r="I45" s="5" t="n">
        <v>793830</v>
      </c>
      <c r="J45" s="16"/>
      <c r="K45" s="17" t="n">
        <v>0</v>
      </c>
      <c r="L45" s="17" t="n">
        <f aca="false">J45-K45</f>
        <v>0</v>
      </c>
      <c r="M45" s="18"/>
      <c r="N45" s="18"/>
      <c r="O45" s="18"/>
      <c r="P45" s="16"/>
      <c r="Q45" s="17" t="n">
        <v>0</v>
      </c>
      <c r="R45" s="17" t="n">
        <f aca="false">P45-Q45</f>
        <v>0</v>
      </c>
      <c r="S45" s="17" t="n">
        <f aca="false">J45-P45</f>
        <v>0</v>
      </c>
      <c r="T45" s="19"/>
    </row>
    <row r="46" customFormat="false" ht="21.75" hidden="false" customHeight="true" outlineLevel="0" collapsed="false">
      <c r="B46" s="6" t="n">
        <v>42</v>
      </c>
      <c r="C46" s="4" t="s">
        <v>9</v>
      </c>
      <c r="D46" s="6" t="s">
        <v>71</v>
      </c>
      <c r="E46" s="6" t="s">
        <v>15</v>
      </c>
      <c r="F46" s="6" t="s">
        <v>16</v>
      </c>
      <c r="G46" s="6" t="s">
        <v>44</v>
      </c>
      <c r="H46" s="6" t="s">
        <v>44</v>
      </c>
      <c r="I46" s="7" t="n">
        <v>2000000</v>
      </c>
      <c r="J46" s="16"/>
      <c r="K46" s="20" t="n">
        <v>0</v>
      </c>
      <c r="L46" s="20" t="n">
        <f aca="false">J46-K46</f>
        <v>0</v>
      </c>
      <c r="M46" s="18"/>
      <c r="N46" s="18"/>
      <c r="O46" s="18"/>
      <c r="P46" s="16"/>
      <c r="Q46" s="20" t="n">
        <v>0</v>
      </c>
      <c r="R46" s="20" t="n">
        <f aca="false">P46-Q46</f>
        <v>0</v>
      </c>
      <c r="S46" s="20" t="n">
        <f aca="false">J46-P46</f>
        <v>0</v>
      </c>
      <c r="T46" s="19"/>
    </row>
    <row r="47" customFormat="false" ht="21.75" hidden="false" customHeight="true" outlineLevel="0" collapsed="false">
      <c r="B47" s="3" t="n">
        <v>43</v>
      </c>
      <c r="C47" s="4" t="s">
        <v>9</v>
      </c>
      <c r="D47" s="3" t="s">
        <v>71</v>
      </c>
      <c r="E47" s="3" t="s">
        <v>11</v>
      </c>
      <c r="F47" s="3" t="s">
        <v>12</v>
      </c>
      <c r="G47" s="3" t="s">
        <v>19</v>
      </c>
      <c r="H47" s="3" t="s">
        <v>77</v>
      </c>
      <c r="I47" s="5" t="n">
        <v>200000</v>
      </c>
      <c r="J47" s="16"/>
      <c r="K47" s="17" t="n">
        <v>0</v>
      </c>
      <c r="L47" s="17" t="n">
        <f aca="false">J47-K47</f>
        <v>0</v>
      </c>
      <c r="M47" s="18"/>
      <c r="N47" s="18"/>
      <c r="O47" s="18"/>
      <c r="P47" s="16"/>
      <c r="Q47" s="17" t="n">
        <v>0</v>
      </c>
      <c r="R47" s="17" t="n">
        <f aca="false">P47-Q47</f>
        <v>0</v>
      </c>
      <c r="S47" s="17" t="n">
        <f aca="false">J47-P47</f>
        <v>0</v>
      </c>
      <c r="T47" s="19"/>
    </row>
    <row r="48" customFormat="false" ht="21.75" hidden="false" customHeight="true" outlineLevel="0" collapsed="false">
      <c r="B48" s="6" t="n">
        <v>44</v>
      </c>
      <c r="C48" s="4" t="s">
        <v>9</v>
      </c>
      <c r="D48" s="6" t="s">
        <v>71</v>
      </c>
      <c r="E48" s="6" t="s">
        <v>21</v>
      </c>
      <c r="F48" s="6" t="s">
        <v>22</v>
      </c>
      <c r="G48" s="6" t="s">
        <v>23</v>
      </c>
      <c r="H48" s="6" t="s">
        <v>78</v>
      </c>
      <c r="I48" s="7" t="n">
        <v>580000</v>
      </c>
      <c r="J48" s="16"/>
      <c r="K48" s="20" t="n">
        <v>0</v>
      </c>
      <c r="L48" s="20" t="n">
        <f aca="false">J48-K48</f>
        <v>0</v>
      </c>
      <c r="M48" s="18"/>
      <c r="N48" s="18"/>
      <c r="O48" s="18"/>
      <c r="P48" s="16"/>
      <c r="Q48" s="20" t="n">
        <v>0</v>
      </c>
      <c r="R48" s="20" t="n">
        <f aca="false">P48-Q48</f>
        <v>0</v>
      </c>
      <c r="S48" s="20" t="n">
        <f aca="false">J48-P48</f>
        <v>0</v>
      </c>
      <c r="T48" s="19"/>
    </row>
    <row r="49" customFormat="false" ht="21.75" hidden="false" customHeight="true" outlineLevel="0" collapsed="false">
      <c r="B49" s="3" t="n">
        <v>45</v>
      </c>
      <c r="C49" s="4" t="s">
        <v>9</v>
      </c>
      <c r="D49" s="3" t="s">
        <v>71</v>
      </c>
      <c r="E49" s="3" t="s">
        <v>21</v>
      </c>
      <c r="F49" s="3" t="s">
        <v>22</v>
      </c>
      <c r="G49" s="3" t="s">
        <v>32</v>
      </c>
      <c r="H49" s="3" t="s">
        <v>79</v>
      </c>
      <c r="I49" s="5" t="n">
        <v>4000000</v>
      </c>
      <c r="J49" s="16"/>
      <c r="K49" s="17" t="n">
        <v>0</v>
      </c>
      <c r="L49" s="17" t="n">
        <f aca="false">J49-K49</f>
        <v>0</v>
      </c>
      <c r="M49" s="18"/>
      <c r="N49" s="18"/>
      <c r="O49" s="18"/>
      <c r="P49" s="16"/>
      <c r="Q49" s="17" t="n">
        <v>0</v>
      </c>
      <c r="R49" s="17" t="n">
        <f aca="false">P49-Q49</f>
        <v>0</v>
      </c>
      <c r="S49" s="17" t="n">
        <f aca="false">J49-P49</f>
        <v>0</v>
      </c>
      <c r="T49" s="19"/>
    </row>
    <row r="50" customFormat="false" ht="21.75" hidden="false" customHeight="true" outlineLevel="0" collapsed="false">
      <c r="B50" s="6" t="n">
        <v>46</v>
      </c>
      <c r="C50" s="4" t="s">
        <v>9</v>
      </c>
      <c r="D50" s="6" t="s">
        <v>80</v>
      </c>
      <c r="E50" s="6" t="s">
        <v>15</v>
      </c>
      <c r="F50" s="6" t="s">
        <v>16</v>
      </c>
      <c r="G50" s="6" t="s">
        <v>44</v>
      </c>
      <c r="H50" s="6" t="s">
        <v>44</v>
      </c>
      <c r="I50" s="7" t="n">
        <v>655000</v>
      </c>
      <c r="J50" s="16"/>
      <c r="K50" s="20" t="n">
        <v>0</v>
      </c>
      <c r="L50" s="20" t="n">
        <f aca="false">J50-K50</f>
        <v>0</v>
      </c>
      <c r="M50" s="18"/>
      <c r="N50" s="18"/>
      <c r="O50" s="18"/>
      <c r="P50" s="16"/>
      <c r="Q50" s="20" t="n">
        <v>0</v>
      </c>
      <c r="R50" s="20" t="n">
        <f aca="false">P50-Q50</f>
        <v>0</v>
      </c>
      <c r="S50" s="20" t="n">
        <f aca="false">J50-P50</f>
        <v>0</v>
      </c>
      <c r="T50" s="19"/>
    </row>
    <row r="51" customFormat="false" ht="21.75" hidden="false" customHeight="true" outlineLevel="0" collapsed="false">
      <c r="B51" s="3" t="n">
        <v>47</v>
      </c>
      <c r="C51" s="4" t="s">
        <v>9</v>
      </c>
      <c r="D51" s="3" t="s">
        <v>81</v>
      </c>
      <c r="E51" s="3" t="s">
        <v>46</v>
      </c>
      <c r="F51" s="3" t="s">
        <v>47</v>
      </c>
      <c r="G51" s="3" t="s">
        <v>48</v>
      </c>
      <c r="H51" s="3" t="s">
        <v>82</v>
      </c>
      <c r="I51" s="5" t="n">
        <v>5182920</v>
      </c>
      <c r="J51" s="16"/>
      <c r="K51" s="17" t="n">
        <v>0</v>
      </c>
      <c r="L51" s="17" t="n">
        <f aca="false">J51-K51</f>
        <v>0</v>
      </c>
      <c r="M51" s="18"/>
      <c r="N51" s="18"/>
      <c r="O51" s="18"/>
      <c r="P51" s="16"/>
      <c r="Q51" s="17" t="n">
        <v>0</v>
      </c>
      <c r="R51" s="17" t="n">
        <f aca="false">P51-Q51</f>
        <v>0</v>
      </c>
      <c r="S51" s="17" t="n">
        <f aca="false">J51-P51</f>
        <v>0</v>
      </c>
      <c r="T51" s="19"/>
    </row>
    <row r="52" customFormat="false" ht="21.75" hidden="false" customHeight="true" outlineLevel="0" collapsed="false">
      <c r="B52" s="6" t="n">
        <v>48</v>
      </c>
      <c r="C52" s="4" t="s">
        <v>9</v>
      </c>
      <c r="D52" s="6" t="s">
        <v>81</v>
      </c>
      <c r="E52" s="6" t="s">
        <v>46</v>
      </c>
      <c r="F52" s="6" t="s">
        <v>47</v>
      </c>
      <c r="G52" s="6"/>
      <c r="H52" s="6" t="s">
        <v>83</v>
      </c>
      <c r="I52" s="7" t="n">
        <v>152818</v>
      </c>
      <c r="J52" s="16"/>
      <c r="K52" s="20" t="n">
        <v>0</v>
      </c>
      <c r="L52" s="20" t="n">
        <f aca="false">J52-K52</f>
        <v>0</v>
      </c>
      <c r="M52" s="18"/>
      <c r="N52" s="18"/>
      <c r="O52" s="18"/>
      <c r="P52" s="16"/>
      <c r="Q52" s="20" t="n">
        <v>0</v>
      </c>
      <c r="R52" s="20" t="n">
        <f aca="false">P52-Q52</f>
        <v>0</v>
      </c>
      <c r="S52" s="20" t="n">
        <f aca="false">J52-P52</f>
        <v>0</v>
      </c>
      <c r="T52" s="19"/>
    </row>
    <row r="53" customFormat="false" ht="21.75" hidden="false" customHeight="true" outlineLevel="0" collapsed="false">
      <c r="B53" s="3" t="n">
        <v>49</v>
      </c>
      <c r="C53" s="4" t="s">
        <v>9</v>
      </c>
      <c r="D53" s="3" t="s">
        <v>81</v>
      </c>
      <c r="E53" s="3" t="s">
        <v>46</v>
      </c>
      <c r="F53" s="3" t="s">
        <v>47</v>
      </c>
      <c r="G53" s="3"/>
      <c r="H53" s="3" t="s">
        <v>84</v>
      </c>
      <c r="I53" s="5" t="n">
        <v>1418000</v>
      </c>
      <c r="J53" s="16"/>
      <c r="K53" s="17" t="n">
        <v>0</v>
      </c>
      <c r="L53" s="17" t="n">
        <f aca="false">J53-K53</f>
        <v>0</v>
      </c>
      <c r="M53" s="18"/>
      <c r="N53" s="18"/>
      <c r="O53" s="18"/>
      <c r="P53" s="16"/>
      <c r="Q53" s="17" t="n">
        <v>0</v>
      </c>
      <c r="R53" s="17" t="n">
        <f aca="false">P53-Q53</f>
        <v>0</v>
      </c>
      <c r="S53" s="17" t="n">
        <f aca="false">J53-P53</f>
        <v>0</v>
      </c>
      <c r="T53" s="19"/>
    </row>
    <row r="54" customFormat="false" ht="21.75" hidden="false" customHeight="true" outlineLevel="0" collapsed="false">
      <c r="B54" s="6" t="n">
        <v>50</v>
      </c>
      <c r="C54" s="4" t="s">
        <v>9</v>
      </c>
      <c r="D54" s="6" t="s">
        <v>81</v>
      </c>
      <c r="E54" s="6" t="s">
        <v>46</v>
      </c>
      <c r="F54" s="6" t="s">
        <v>47</v>
      </c>
      <c r="G54" s="6" t="s">
        <v>62</v>
      </c>
      <c r="H54" s="6" t="s">
        <v>85</v>
      </c>
      <c r="I54" s="7" t="n">
        <v>800000</v>
      </c>
      <c r="J54" s="16"/>
      <c r="K54" s="20" t="n">
        <v>0</v>
      </c>
      <c r="L54" s="20" t="n">
        <f aca="false">J54-K54</f>
        <v>0</v>
      </c>
      <c r="M54" s="18"/>
      <c r="N54" s="18"/>
      <c r="O54" s="18"/>
      <c r="P54" s="16"/>
      <c r="Q54" s="20" t="n">
        <v>0</v>
      </c>
      <c r="R54" s="20" t="n">
        <f aca="false">P54-Q54</f>
        <v>0</v>
      </c>
      <c r="S54" s="20" t="n">
        <f aca="false">J54-P54</f>
        <v>0</v>
      </c>
      <c r="T54" s="19"/>
    </row>
    <row r="55" customFormat="false" ht="21.75" hidden="false" customHeight="true" outlineLevel="0" collapsed="false">
      <c r="B55" s="3" t="n">
        <v>51</v>
      </c>
      <c r="C55" s="4" t="s">
        <v>9</v>
      </c>
      <c r="D55" s="3" t="s">
        <v>81</v>
      </c>
      <c r="E55" s="3" t="s">
        <v>15</v>
      </c>
      <c r="F55" s="3" t="s">
        <v>16</v>
      </c>
      <c r="G55" s="3" t="s">
        <v>44</v>
      </c>
      <c r="H55" s="3" t="s">
        <v>44</v>
      </c>
      <c r="I55" s="5" t="n">
        <v>3700000</v>
      </c>
      <c r="J55" s="16"/>
      <c r="K55" s="17" t="n">
        <v>0</v>
      </c>
      <c r="L55" s="17" t="n">
        <f aca="false">J55-K55</f>
        <v>0</v>
      </c>
      <c r="M55" s="18"/>
      <c r="N55" s="18"/>
      <c r="O55" s="18"/>
      <c r="P55" s="16"/>
      <c r="Q55" s="17" t="n">
        <v>0</v>
      </c>
      <c r="R55" s="17" t="n">
        <f aca="false">P55-Q55</f>
        <v>0</v>
      </c>
      <c r="S55" s="17" t="n">
        <f aca="false">J55-P55</f>
        <v>0</v>
      </c>
      <c r="T55" s="19"/>
    </row>
    <row r="56" customFormat="false" ht="21.75" hidden="false" customHeight="true" outlineLevel="0" collapsed="false">
      <c r="B56" s="6" t="n">
        <v>52</v>
      </c>
      <c r="C56" s="4" t="s">
        <v>9</v>
      </c>
      <c r="D56" s="6" t="s">
        <v>81</v>
      </c>
      <c r="E56" s="6" t="s">
        <v>21</v>
      </c>
      <c r="F56" s="6" t="s">
        <v>22</v>
      </c>
      <c r="G56" s="6" t="s">
        <v>23</v>
      </c>
      <c r="H56" s="6" t="s">
        <v>86</v>
      </c>
      <c r="I56" s="7" t="n">
        <v>705000</v>
      </c>
      <c r="J56" s="16"/>
      <c r="K56" s="20" t="n">
        <v>0</v>
      </c>
      <c r="L56" s="20" t="n">
        <f aca="false">J56-K56</f>
        <v>0</v>
      </c>
      <c r="M56" s="18"/>
      <c r="N56" s="18"/>
      <c r="O56" s="18"/>
      <c r="P56" s="16"/>
      <c r="Q56" s="20" t="n">
        <v>0</v>
      </c>
      <c r="R56" s="20" t="n">
        <f aca="false">P56-Q56</f>
        <v>0</v>
      </c>
      <c r="S56" s="20" t="n">
        <f aca="false">J56-P56</f>
        <v>0</v>
      </c>
      <c r="T56" s="19"/>
    </row>
    <row r="57" customFormat="false" ht="21.75" hidden="false" customHeight="true" outlineLevel="0" collapsed="false">
      <c r="B57" s="3" t="n">
        <v>53</v>
      </c>
      <c r="C57" s="4" t="s">
        <v>9</v>
      </c>
      <c r="D57" s="3" t="s">
        <v>81</v>
      </c>
      <c r="E57" s="3" t="s">
        <v>21</v>
      </c>
      <c r="F57" s="3" t="s">
        <v>22</v>
      </c>
      <c r="G57" s="3" t="s">
        <v>57</v>
      </c>
      <c r="H57" s="3" t="s">
        <v>87</v>
      </c>
      <c r="I57" s="5" t="n">
        <v>372000</v>
      </c>
      <c r="J57" s="16"/>
      <c r="K57" s="17" t="n">
        <v>0</v>
      </c>
      <c r="L57" s="17" t="n">
        <f aca="false">J57-K57</f>
        <v>0</v>
      </c>
      <c r="M57" s="18"/>
      <c r="N57" s="18"/>
      <c r="O57" s="18"/>
      <c r="P57" s="16"/>
      <c r="Q57" s="17" t="n">
        <v>0</v>
      </c>
      <c r="R57" s="17" t="n">
        <f aca="false">P57-Q57</f>
        <v>0</v>
      </c>
      <c r="S57" s="17" t="n">
        <f aca="false">J57-P57</f>
        <v>0</v>
      </c>
      <c r="T57" s="19"/>
    </row>
    <row r="58" customFormat="false" ht="21.75" hidden="false" customHeight="true" outlineLevel="0" collapsed="false">
      <c r="B58" s="6" t="n">
        <v>54</v>
      </c>
      <c r="C58" s="8" t="s">
        <v>88</v>
      </c>
      <c r="D58" s="6" t="s">
        <v>89</v>
      </c>
      <c r="E58" s="6" t="s">
        <v>11</v>
      </c>
      <c r="F58" s="6" t="s">
        <v>12</v>
      </c>
      <c r="G58" s="6" t="s">
        <v>13</v>
      </c>
      <c r="H58" s="6" t="s">
        <v>90</v>
      </c>
      <c r="I58" s="7" t="n">
        <v>10000000</v>
      </c>
      <c r="J58" s="16"/>
      <c r="K58" s="20" t="n">
        <v>0</v>
      </c>
      <c r="L58" s="20" t="n">
        <f aca="false">J58-K58</f>
        <v>0</v>
      </c>
      <c r="M58" s="18"/>
      <c r="N58" s="18"/>
      <c r="O58" s="18"/>
      <c r="P58" s="16"/>
      <c r="Q58" s="20" t="n">
        <v>0</v>
      </c>
      <c r="R58" s="20" t="n">
        <f aca="false">P58-Q58</f>
        <v>0</v>
      </c>
      <c r="S58" s="20" t="n">
        <f aca="false">J58-P58</f>
        <v>0</v>
      </c>
      <c r="T58" s="19"/>
    </row>
    <row r="59" customFormat="false" ht="21.75" hidden="false" customHeight="true" outlineLevel="0" collapsed="false">
      <c r="B59" s="3" t="n">
        <v>55</v>
      </c>
      <c r="C59" s="8" t="s">
        <v>88</v>
      </c>
      <c r="D59" s="3" t="s">
        <v>89</v>
      </c>
      <c r="E59" s="3" t="s">
        <v>15</v>
      </c>
      <c r="F59" s="3" t="s">
        <v>16</v>
      </c>
      <c r="G59" s="3" t="s">
        <v>17</v>
      </c>
      <c r="H59" s="3" t="s">
        <v>91</v>
      </c>
      <c r="I59" s="5" t="n">
        <v>2000000</v>
      </c>
      <c r="J59" s="16"/>
      <c r="K59" s="17" t="n">
        <v>0</v>
      </c>
      <c r="L59" s="17" t="n">
        <f aca="false">J59-K59</f>
        <v>0</v>
      </c>
      <c r="M59" s="18"/>
      <c r="N59" s="18"/>
      <c r="O59" s="18"/>
      <c r="P59" s="16"/>
      <c r="Q59" s="17" t="n">
        <v>0</v>
      </c>
      <c r="R59" s="17" t="n">
        <f aca="false">P59-Q59</f>
        <v>0</v>
      </c>
      <c r="S59" s="17" t="n">
        <f aca="false">J59-P59</f>
        <v>0</v>
      </c>
      <c r="T59" s="19"/>
    </row>
    <row r="60" customFormat="false" ht="21.75" hidden="false" customHeight="true" outlineLevel="0" collapsed="false">
      <c r="B60" s="6" t="n">
        <v>56</v>
      </c>
      <c r="C60" s="8" t="s">
        <v>88</v>
      </c>
      <c r="D60" s="6" t="s">
        <v>89</v>
      </c>
      <c r="E60" s="6" t="s">
        <v>21</v>
      </c>
      <c r="F60" s="6" t="s">
        <v>22</v>
      </c>
      <c r="G60" s="6" t="s">
        <v>30</v>
      </c>
      <c r="H60" s="6" t="s">
        <v>92</v>
      </c>
      <c r="I60" s="7" t="n">
        <v>300000</v>
      </c>
      <c r="J60" s="16"/>
      <c r="K60" s="20" t="n">
        <v>0</v>
      </c>
      <c r="L60" s="20" t="n">
        <f aca="false">J60-K60</f>
        <v>0</v>
      </c>
      <c r="M60" s="18"/>
      <c r="N60" s="18"/>
      <c r="O60" s="18"/>
      <c r="P60" s="16"/>
      <c r="Q60" s="20" t="n">
        <v>0</v>
      </c>
      <c r="R60" s="20" t="n">
        <f aca="false">P60-Q60</f>
        <v>0</v>
      </c>
      <c r="S60" s="20" t="n">
        <f aca="false">J60-P60</f>
        <v>0</v>
      </c>
      <c r="T60" s="19"/>
    </row>
    <row r="61" customFormat="false" ht="21.75" hidden="false" customHeight="true" outlineLevel="0" collapsed="false">
      <c r="B61" s="3" t="n">
        <v>57</v>
      </c>
      <c r="C61" s="8" t="s">
        <v>88</v>
      </c>
      <c r="D61" s="3" t="s">
        <v>89</v>
      </c>
      <c r="E61" s="3" t="s">
        <v>46</v>
      </c>
      <c r="F61" s="3" t="s">
        <v>47</v>
      </c>
      <c r="G61" s="3" t="s">
        <v>62</v>
      </c>
      <c r="H61" s="3" t="s">
        <v>93</v>
      </c>
      <c r="I61" s="5" t="n">
        <v>100000</v>
      </c>
      <c r="J61" s="16"/>
      <c r="K61" s="17" t="n">
        <v>0</v>
      </c>
      <c r="L61" s="17" t="n">
        <f aca="false">J61-K61</f>
        <v>0</v>
      </c>
      <c r="M61" s="18"/>
      <c r="N61" s="18"/>
      <c r="O61" s="18"/>
      <c r="P61" s="16"/>
      <c r="Q61" s="17" t="n">
        <v>0</v>
      </c>
      <c r="R61" s="17" t="n">
        <f aca="false">P61-Q61</f>
        <v>0</v>
      </c>
      <c r="S61" s="17" t="n">
        <f aca="false">J61-P61</f>
        <v>0</v>
      </c>
      <c r="T61" s="19"/>
    </row>
    <row r="62" customFormat="false" ht="21.75" hidden="false" customHeight="true" outlineLevel="0" collapsed="false">
      <c r="B62" s="6" t="n">
        <v>58</v>
      </c>
      <c r="C62" s="8" t="s">
        <v>88</v>
      </c>
      <c r="D62" s="6" t="s">
        <v>94</v>
      </c>
      <c r="E62" s="6" t="s">
        <v>11</v>
      </c>
      <c r="F62" s="6" t="s">
        <v>12</v>
      </c>
      <c r="G62" s="6" t="s">
        <v>13</v>
      </c>
      <c r="H62" s="6" t="s">
        <v>95</v>
      </c>
      <c r="I62" s="7" t="n">
        <v>3000000</v>
      </c>
      <c r="J62" s="16"/>
      <c r="K62" s="20" t="n">
        <v>0</v>
      </c>
      <c r="L62" s="20" t="n">
        <f aca="false">J62-K62</f>
        <v>0</v>
      </c>
      <c r="M62" s="18"/>
      <c r="N62" s="18"/>
      <c r="O62" s="18"/>
      <c r="P62" s="16"/>
      <c r="Q62" s="20" t="n">
        <v>0</v>
      </c>
      <c r="R62" s="20" t="n">
        <f aca="false">P62-Q62</f>
        <v>0</v>
      </c>
      <c r="S62" s="20" t="n">
        <f aca="false">J62-P62</f>
        <v>0</v>
      </c>
      <c r="T62" s="19"/>
    </row>
    <row r="63" customFormat="false" ht="21.75" hidden="false" customHeight="true" outlineLevel="0" collapsed="false">
      <c r="B63" s="3" t="n">
        <v>59</v>
      </c>
      <c r="C63" s="8" t="s">
        <v>88</v>
      </c>
      <c r="D63" s="3" t="s">
        <v>94</v>
      </c>
      <c r="E63" s="3" t="s">
        <v>15</v>
      </c>
      <c r="F63" s="3" t="s">
        <v>16</v>
      </c>
      <c r="G63" s="3" t="s">
        <v>17</v>
      </c>
      <c r="H63" s="3" t="s">
        <v>96</v>
      </c>
      <c r="I63" s="5" t="n">
        <v>5000000</v>
      </c>
      <c r="J63" s="16"/>
      <c r="K63" s="17" t="n">
        <v>0</v>
      </c>
      <c r="L63" s="17" t="n">
        <f aca="false">J63-K63</f>
        <v>0</v>
      </c>
      <c r="M63" s="18"/>
      <c r="N63" s="18"/>
      <c r="O63" s="18"/>
      <c r="P63" s="16"/>
      <c r="Q63" s="17" t="n">
        <v>0</v>
      </c>
      <c r="R63" s="17" t="n">
        <f aca="false">P63-Q63</f>
        <v>0</v>
      </c>
      <c r="S63" s="17" t="n">
        <f aca="false">J63-P63</f>
        <v>0</v>
      </c>
      <c r="T63" s="19"/>
    </row>
    <row r="64" customFormat="false" ht="21.75" hidden="false" customHeight="true" outlineLevel="0" collapsed="false">
      <c r="B64" s="6" t="n">
        <v>60</v>
      </c>
      <c r="C64" s="8" t="s">
        <v>88</v>
      </c>
      <c r="D64" s="6" t="s">
        <v>97</v>
      </c>
      <c r="E64" s="6" t="s">
        <v>11</v>
      </c>
      <c r="F64" s="6" t="s">
        <v>12</v>
      </c>
      <c r="G64" s="6" t="s">
        <v>13</v>
      </c>
      <c r="H64" s="6" t="s">
        <v>98</v>
      </c>
      <c r="I64" s="7" t="n">
        <v>3000000</v>
      </c>
      <c r="J64" s="16"/>
      <c r="K64" s="20" t="n">
        <v>0</v>
      </c>
      <c r="L64" s="20" t="n">
        <f aca="false">J64-K64</f>
        <v>0</v>
      </c>
      <c r="M64" s="18"/>
      <c r="N64" s="18"/>
      <c r="O64" s="18"/>
      <c r="P64" s="16"/>
      <c r="Q64" s="20" t="n">
        <v>0</v>
      </c>
      <c r="R64" s="20" t="n">
        <f aca="false">P64-Q64</f>
        <v>0</v>
      </c>
      <c r="S64" s="20" t="n">
        <f aca="false">J64-P64</f>
        <v>0</v>
      </c>
      <c r="T64" s="19"/>
    </row>
    <row r="65" customFormat="false" ht="21.75" hidden="false" customHeight="true" outlineLevel="0" collapsed="false">
      <c r="B65" s="3" t="n">
        <v>61</v>
      </c>
      <c r="C65" s="8" t="s">
        <v>88</v>
      </c>
      <c r="D65" s="3" t="s">
        <v>97</v>
      </c>
      <c r="E65" s="3" t="s">
        <v>15</v>
      </c>
      <c r="F65" s="3" t="s">
        <v>16</v>
      </c>
      <c r="G65" s="3" t="s">
        <v>17</v>
      </c>
      <c r="H65" s="3" t="s">
        <v>99</v>
      </c>
      <c r="I65" s="5" t="n">
        <v>3000000</v>
      </c>
      <c r="J65" s="16"/>
      <c r="K65" s="17" t="n">
        <v>0</v>
      </c>
      <c r="L65" s="17" t="n">
        <f aca="false">J65-K65</f>
        <v>0</v>
      </c>
      <c r="M65" s="18"/>
      <c r="N65" s="18"/>
      <c r="O65" s="18"/>
      <c r="P65" s="16"/>
      <c r="Q65" s="17" t="n">
        <v>0</v>
      </c>
      <c r="R65" s="17" t="n">
        <f aca="false">P65-Q65</f>
        <v>0</v>
      </c>
      <c r="S65" s="17" t="n">
        <f aca="false">J65-P65</f>
        <v>0</v>
      </c>
      <c r="T65" s="19"/>
    </row>
    <row r="66" customFormat="false" ht="21.75" hidden="false" customHeight="true" outlineLevel="0" collapsed="false">
      <c r="B66" s="6" t="n">
        <v>62</v>
      </c>
      <c r="C66" s="8" t="s">
        <v>88</v>
      </c>
      <c r="D66" s="6" t="s">
        <v>100</v>
      </c>
      <c r="E66" s="6" t="s">
        <v>11</v>
      </c>
      <c r="F66" s="6" t="s">
        <v>12</v>
      </c>
      <c r="G66" s="6" t="s">
        <v>13</v>
      </c>
      <c r="H66" s="6" t="s">
        <v>101</v>
      </c>
      <c r="I66" s="7" t="n">
        <v>6000000</v>
      </c>
      <c r="J66" s="16"/>
      <c r="K66" s="20" t="n">
        <v>0</v>
      </c>
      <c r="L66" s="20" t="n">
        <f aca="false">J66-K66</f>
        <v>0</v>
      </c>
      <c r="M66" s="18"/>
      <c r="N66" s="18"/>
      <c r="O66" s="18"/>
      <c r="P66" s="16"/>
      <c r="Q66" s="20" t="n">
        <v>0</v>
      </c>
      <c r="R66" s="20" t="n">
        <f aca="false">P66-Q66</f>
        <v>0</v>
      </c>
      <c r="S66" s="20" t="n">
        <f aca="false">J66-P66</f>
        <v>0</v>
      </c>
      <c r="T66" s="19"/>
    </row>
    <row r="67" customFormat="false" ht="21.75" hidden="false" customHeight="true" outlineLevel="0" collapsed="false">
      <c r="B67" s="3" t="n">
        <v>63</v>
      </c>
      <c r="C67" s="8" t="s">
        <v>88</v>
      </c>
      <c r="D67" s="3" t="s">
        <v>100</v>
      </c>
      <c r="E67" s="3" t="s">
        <v>15</v>
      </c>
      <c r="F67" s="3" t="s">
        <v>16</v>
      </c>
      <c r="G67" s="3" t="s">
        <v>17</v>
      </c>
      <c r="H67" s="3" t="s">
        <v>102</v>
      </c>
      <c r="I67" s="5" t="n">
        <v>6000000</v>
      </c>
      <c r="J67" s="16"/>
      <c r="K67" s="17" t="n">
        <v>0</v>
      </c>
      <c r="L67" s="17" t="n">
        <f aca="false">J67-K67</f>
        <v>0</v>
      </c>
      <c r="M67" s="18"/>
      <c r="N67" s="18"/>
      <c r="O67" s="18"/>
      <c r="P67" s="16"/>
      <c r="Q67" s="17" t="n">
        <v>0</v>
      </c>
      <c r="R67" s="17" t="n">
        <f aca="false">P67-Q67</f>
        <v>0</v>
      </c>
      <c r="S67" s="17" t="n">
        <f aca="false">J67-P67</f>
        <v>0</v>
      </c>
      <c r="T67" s="19"/>
    </row>
    <row r="68" customFormat="false" ht="21.75" hidden="false" customHeight="true" outlineLevel="0" collapsed="false">
      <c r="B68" s="6" t="n">
        <v>64</v>
      </c>
      <c r="C68" s="8" t="s">
        <v>88</v>
      </c>
      <c r="D68" s="6" t="s">
        <v>103</v>
      </c>
      <c r="E68" s="6" t="s">
        <v>11</v>
      </c>
      <c r="F68" s="6" t="s">
        <v>12</v>
      </c>
      <c r="G68" s="6" t="s">
        <v>13</v>
      </c>
      <c r="H68" s="6" t="s">
        <v>104</v>
      </c>
      <c r="I68" s="7" t="n">
        <v>3000000</v>
      </c>
      <c r="J68" s="16"/>
      <c r="K68" s="20" t="n">
        <v>0</v>
      </c>
      <c r="L68" s="20" t="n">
        <f aca="false">J68-K68</f>
        <v>0</v>
      </c>
      <c r="M68" s="18"/>
      <c r="N68" s="18"/>
      <c r="O68" s="18"/>
      <c r="P68" s="16"/>
      <c r="Q68" s="20" t="n">
        <v>0</v>
      </c>
      <c r="R68" s="20" t="n">
        <f aca="false">P68-Q68</f>
        <v>0</v>
      </c>
      <c r="S68" s="20" t="n">
        <f aca="false">J68-P68</f>
        <v>0</v>
      </c>
      <c r="T68" s="19"/>
    </row>
    <row r="69" customFormat="false" ht="21.75" hidden="false" customHeight="true" outlineLevel="0" collapsed="false">
      <c r="B69" s="3" t="n">
        <v>65</v>
      </c>
      <c r="C69" s="8" t="s">
        <v>88</v>
      </c>
      <c r="D69" s="3" t="s">
        <v>105</v>
      </c>
      <c r="E69" s="3" t="s">
        <v>11</v>
      </c>
      <c r="F69" s="3" t="s">
        <v>12</v>
      </c>
      <c r="G69" s="3" t="s">
        <v>13</v>
      </c>
      <c r="H69" s="3" t="s">
        <v>106</v>
      </c>
      <c r="I69" s="5" t="n">
        <v>1000000</v>
      </c>
      <c r="J69" s="16"/>
      <c r="K69" s="17" t="n">
        <v>0</v>
      </c>
      <c r="L69" s="17" t="n">
        <f aca="false">J69-K69</f>
        <v>0</v>
      </c>
      <c r="M69" s="18"/>
      <c r="N69" s="18"/>
      <c r="O69" s="18"/>
      <c r="P69" s="16"/>
      <c r="Q69" s="17" t="n">
        <v>0</v>
      </c>
      <c r="R69" s="17" t="n">
        <f aca="false">P69-Q69</f>
        <v>0</v>
      </c>
      <c r="S69" s="17" t="n">
        <f aca="false">J69-P69</f>
        <v>0</v>
      </c>
      <c r="T69" s="19"/>
    </row>
    <row r="70" customFormat="false" ht="21.75" hidden="false" customHeight="true" outlineLevel="0" collapsed="false">
      <c r="B70" s="6" t="n">
        <v>66</v>
      </c>
      <c r="C70" s="8" t="s">
        <v>88</v>
      </c>
      <c r="D70" s="6" t="s">
        <v>107</v>
      </c>
      <c r="E70" s="6" t="s">
        <v>11</v>
      </c>
      <c r="F70" s="6" t="s">
        <v>12</v>
      </c>
      <c r="G70" s="6" t="s">
        <v>13</v>
      </c>
      <c r="H70" s="6" t="s">
        <v>108</v>
      </c>
      <c r="I70" s="7" t="n">
        <v>1000000</v>
      </c>
      <c r="J70" s="16"/>
      <c r="K70" s="20" t="n">
        <v>0</v>
      </c>
      <c r="L70" s="20" t="n">
        <f aca="false">J70-K70</f>
        <v>0</v>
      </c>
      <c r="M70" s="18"/>
      <c r="N70" s="18"/>
      <c r="O70" s="18"/>
      <c r="P70" s="16"/>
      <c r="Q70" s="20" t="n">
        <v>0</v>
      </c>
      <c r="R70" s="20" t="n">
        <f aca="false">P70-Q70</f>
        <v>0</v>
      </c>
      <c r="S70" s="20" t="n">
        <f aca="false">J70-P70</f>
        <v>0</v>
      </c>
      <c r="T70" s="19"/>
    </row>
    <row r="71" customFormat="false" ht="21.75" hidden="false" customHeight="true" outlineLevel="0" collapsed="false">
      <c r="B71" s="3" t="n">
        <v>67</v>
      </c>
      <c r="C71" s="8" t="s">
        <v>88</v>
      </c>
      <c r="D71" s="3" t="s">
        <v>109</v>
      </c>
      <c r="E71" s="3" t="s">
        <v>11</v>
      </c>
      <c r="F71" s="3" t="s">
        <v>12</v>
      </c>
      <c r="G71" s="3" t="s">
        <v>13</v>
      </c>
      <c r="H71" s="3" t="s">
        <v>110</v>
      </c>
      <c r="I71" s="5" t="n">
        <v>6600000</v>
      </c>
      <c r="J71" s="16"/>
      <c r="K71" s="17" t="n">
        <v>0</v>
      </c>
      <c r="L71" s="17" t="n">
        <f aca="false">J71-K71</f>
        <v>0</v>
      </c>
      <c r="M71" s="18"/>
      <c r="N71" s="18"/>
      <c r="O71" s="18"/>
      <c r="P71" s="16"/>
      <c r="Q71" s="17" t="n">
        <v>0</v>
      </c>
      <c r="R71" s="17" t="n">
        <f aca="false">P71-Q71</f>
        <v>0</v>
      </c>
      <c r="S71" s="17" t="n">
        <f aca="false">J71-P71</f>
        <v>0</v>
      </c>
      <c r="T71" s="19"/>
    </row>
    <row r="72" customFormat="false" ht="21.75" hidden="false" customHeight="true" outlineLevel="0" collapsed="false">
      <c r="B72" s="6" t="n">
        <v>68</v>
      </c>
      <c r="C72" s="9" t="s">
        <v>111</v>
      </c>
      <c r="D72" s="6" t="s">
        <v>112</v>
      </c>
      <c r="E72" s="6" t="s">
        <v>11</v>
      </c>
      <c r="F72" s="6" t="s">
        <v>12</v>
      </c>
      <c r="G72" s="6" t="s">
        <v>13</v>
      </c>
      <c r="H72" s="6" t="s">
        <v>113</v>
      </c>
      <c r="I72" s="7" t="n">
        <v>1805475</v>
      </c>
      <c r="J72" s="16"/>
      <c r="K72" s="20" t="n">
        <v>0</v>
      </c>
      <c r="L72" s="20" t="n">
        <f aca="false">J72-K72</f>
        <v>0</v>
      </c>
      <c r="M72" s="18"/>
      <c r="N72" s="18"/>
      <c r="O72" s="18"/>
      <c r="P72" s="16"/>
      <c r="Q72" s="20" t="n">
        <v>0</v>
      </c>
      <c r="R72" s="20" t="n">
        <f aca="false">P72-Q72</f>
        <v>0</v>
      </c>
      <c r="S72" s="20" t="n">
        <f aca="false">J72-P72</f>
        <v>0</v>
      </c>
      <c r="T72" s="19"/>
    </row>
    <row r="73" customFormat="false" ht="21.75" hidden="false" customHeight="true" outlineLevel="0" collapsed="false">
      <c r="B73" s="3" t="n">
        <v>69</v>
      </c>
      <c r="C73" s="9" t="s">
        <v>111</v>
      </c>
      <c r="D73" s="3" t="s">
        <v>112</v>
      </c>
      <c r="E73" s="3" t="s">
        <v>11</v>
      </c>
      <c r="F73" s="3" t="s">
        <v>12</v>
      </c>
      <c r="G73" s="3" t="s">
        <v>13</v>
      </c>
      <c r="H73" s="3" t="s">
        <v>114</v>
      </c>
      <c r="I73" s="5" t="n">
        <v>2587200</v>
      </c>
      <c r="J73" s="16"/>
      <c r="K73" s="17" t="n">
        <v>0</v>
      </c>
      <c r="L73" s="17" t="n">
        <f aca="false">J73-K73</f>
        <v>0</v>
      </c>
      <c r="M73" s="18"/>
      <c r="N73" s="18"/>
      <c r="O73" s="18"/>
      <c r="P73" s="16"/>
      <c r="Q73" s="17" t="n">
        <v>0</v>
      </c>
      <c r="R73" s="17" t="n">
        <f aca="false">P73-Q73</f>
        <v>0</v>
      </c>
      <c r="S73" s="17" t="n">
        <f aca="false">J73-P73</f>
        <v>0</v>
      </c>
      <c r="T73" s="19"/>
    </row>
    <row r="74" customFormat="false" ht="21.75" hidden="false" customHeight="true" outlineLevel="0" collapsed="false">
      <c r="B74" s="6" t="n">
        <v>70</v>
      </c>
      <c r="C74" s="9" t="s">
        <v>111</v>
      </c>
      <c r="D74" s="6" t="s">
        <v>112</v>
      </c>
      <c r="E74" s="6" t="s">
        <v>15</v>
      </c>
      <c r="F74" s="6" t="s">
        <v>16</v>
      </c>
      <c r="G74" s="6" t="s">
        <v>17</v>
      </c>
      <c r="H74" s="6" t="s">
        <v>44</v>
      </c>
      <c r="I74" s="7" t="n">
        <v>3500000</v>
      </c>
      <c r="J74" s="16"/>
      <c r="K74" s="20" t="n">
        <v>0</v>
      </c>
      <c r="L74" s="20" t="n">
        <f aca="false">J74-K74</f>
        <v>0</v>
      </c>
      <c r="M74" s="18"/>
      <c r="N74" s="18"/>
      <c r="O74" s="18"/>
      <c r="P74" s="16"/>
      <c r="Q74" s="20" t="n">
        <v>0</v>
      </c>
      <c r="R74" s="20" t="n">
        <f aca="false">P74-Q74</f>
        <v>0</v>
      </c>
      <c r="S74" s="20" t="n">
        <f aca="false">J74-P74</f>
        <v>0</v>
      </c>
      <c r="T74" s="19"/>
    </row>
    <row r="75" customFormat="false" ht="21.75" hidden="false" customHeight="true" outlineLevel="0" collapsed="false">
      <c r="B75" s="3" t="n">
        <v>71</v>
      </c>
      <c r="C75" s="9" t="s">
        <v>111</v>
      </c>
      <c r="D75" s="3" t="s">
        <v>112</v>
      </c>
      <c r="E75" s="3" t="s">
        <v>21</v>
      </c>
      <c r="F75" s="3" t="s">
        <v>22</v>
      </c>
      <c r="G75" s="3" t="s">
        <v>115</v>
      </c>
      <c r="H75" s="3" t="s">
        <v>116</v>
      </c>
      <c r="I75" s="5" t="n">
        <v>870000</v>
      </c>
      <c r="J75" s="16"/>
      <c r="K75" s="17" t="n">
        <v>0</v>
      </c>
      <c r="L75" s="17" t="n">
        <f aca="false">J75-K75</f>
        <v>0</v>
      </c>
      <c r="M75" s="18"/>
      <c r="N75" s="18"/>
      <c r="O75" s="18"/>
      <c r="P75" s="16"/>
      <c r="Q75" s="17" t="n">
        <v>0</v>
      </c>
      <c r="R75" s="17" t="n">
        <f aca="false">P75-Q75</f>
        <v>0</v>
      </c>
      <c r="S75" s="17" t="n">
        <f aca="false">J75-P75</f>
        <v>0</v>
      </c>
      <c r="T75" s="19"/>
    </row>
    <row r="76" customFormat="false" ht="21.75" hidden="false" customHeight="true" outlineLevel="0" collapsed="false">
      <c r="B76" s="6" t="n">
        <v>72</v>
      </c>
      <c r="C76" s="9" t="s">
        <v>111</v>
      </c>
      <c r="D76" s="6" t="s">
        <v>112</v>
      </c>
      <c r="E76" s="6" t="s">
        <v>11</v>
      </c>
      <c r="F76" s="6" t="s">
        <v>12</v>
      </c>
      <c r="G76" s="6" t="s">
        <v>117</v>
      </c>
      <c r="H76" s="6" t="s">
        <v>118</v>
      </c>
      <c r="I76" s="7" t="n">
        <v>500000</v>
      </c>
      <c r="J76" s="16"/>
      <c r="K76" s="20" t="n">
        <v>0</v>
      </c>
      <c r="L76" s="20" t="n">
        <f aca="false">J76-K76</f>
        <v>0</v>
      </c>
      <c r="M76" s="18"/>
      <c r="N76" s="18"/>
      <c r="O76" s="18"/>
      <c r="P76" s="16"/>
      <c r="Q76" s="20" t="n">
        <v>0</v>
      </c>
      <c r="R76" s="20" t="n">
        <f aca="false">P76-Q76</f>
        <v>0</v>
      </c>
      <c r="S76" s="20" t="n">
        <f aca="false">J76-P76</f>
        <v>0</v>
      </c>
      <c r="T76" s="19"/>
    </row>
    <row r="77" customFormat="false" ht="25.5" hidden="false" customHeight="true" outlineLevel="0" collapsed="false">
      <c r="B77" s="10" t="s">
        <v>119</v>
      </c>
      <c r="C77" s="10"/>
      <c r="D77" s="10"/>
      <c r="E77" s="10"/>
      <c r="F77" s="10"/>
      <c r="G77" s="10"/>
      <c r="H77" s="10"/>
      <c r="I77" s="11" t="n">
        <f aca="false">SUM(I5:I76)</f>
        <v>130262675</v>
      </c>
      <c r="J77" s="23" t="n">
        <f aca="false">IFERROR(SUMPRODUCT(J5:J76,I5:I76)/I77,0)</f>
        <v>0</v>
      </c>
      <c r="K77" s="23" t="n">
        <f aca="false">IFERROR(SUMPRODUCT(K5:K76,I5:I76)/I77,0)</f>
        <v>0</v>
      </c>
      <c r="L77" s="23" t="n">
        <f aca="false">J77-K77</f>
        <v>0</v>
      </c>
      <c r="M77" s="11" t="n">
        <f aca="false">SUM(M5:M76)</f>
        <v>0</v>
      </c>
      <c r="N77" s="11" t="n">
        <f aca="false">SUM(N5:N76)</f>
        <v>0</v>
      </c>
      <c r="O77" s="11" t="n">
        <f aca="false">SUM(O5:O76)</f>
        <v>0</v>
      </c>
      <c r="P77" s="23" t="n">
        <f aca="false">IFERROR(SUMPRODUCT(P5:P76,I5:I76)/I77,0)</f>
        <v>0</v>
      </c>
      <c r="Q77" s="23" t="n">
        <f aca="false">IFERROR(SUMPRODUCT(Q5:Q76,I5:I76)/I77,0)</f>
        <v>0</v>
      </c>
      <c r="R77" s="23" t="n">
        <f aca="false">P77-Q77</f>
        <v>0</v>
      </c>
      <c r="S77" s="23" t="n">
        <f aca="false">J77-P77</f>
        <v>0</v>
      </c>
      <c r="T77" s="10"/>
    </row>
  </sheetData>
  <sheetProtection sheet="true" password="cbbe"/>
  <mergeCells count="2">
    <mergeCell ref="B2:T2"/>
    <mergeCell ref="C3:D3"/>
  </mergeCells>
  <conditionalFormatting sqref="L5:L76">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R5:R76">
    <cfRule type="cellIs" priority="4" operator="greaterThan" aboveAverage="0" equalAverage="0" bottom="0" percent="0" rank="0" text="" dxfId="0">
      <formula>0</formula>
    </cfRule>
    <cfRule type="cellIs" priority="5" operator="lessThan" aboveAverage="0" equalAverage="0" bottom="0" percent="0" rank="0" text="" dxfId="1">
      <formula>0</formula>
    </cfRule>
  </conditionalFormatting>
  <conditionalFormatting sqref="S5:S76">
    <cfRule type="cellIs" priority="6" operator="greaterThan" aboveAverage="0" equalAverage="0" bottom="0" percent="0" rank="0" text="" dxfId="0">
      <formula>0.05</formula>
    </cfRule>
    <cfRule type="cellIs" priority="7" operator="lessThan" aboveAverage="0" equalAverage="0" bottom="0" percent="0" rank="0" text="" dxfId="1">
      <formula>-0.05</formula>
    </cfRule>
    <cfRule type="cellIs" priority="8" operator="between" aboveAverage="0" equalAverage="0" bottom="0" percent="0" rank="0" text="" dxfId="2">
      <formula>-0.05</formula>
      <formula>0.05</formula>
    </cfRule>
  </conditionalFormatting>
  <conditionalFormatting sqref="J5:J76">
    <cfRule type="dataBar" priority="9">
      <dataBar showValue="1" minLength="10" maxLength="90">
        <cfvo type="num" val="0"/>
        <cfvo type="num" val="1"/>
        <color rgb="FF1B7D46"/>
      </dataBar>
      <extLst>
        <ext xmlns:x14="http://schemas.microsoft.com/office/spreadsheetml/2009/9/main" uri="{B025F937-C7B1-47D3-B67F-A62EFF666E3E}">
          <x14:id>{7022D330-28ED-4512-86C8-E66C35FD4E45}</x14:id>
        </ext>
      </extLst>
    </cfRule>
  </conditionalFormatting>
  <conditionalFormatting sqref="P5:P76">
    <cfRule type="dataBar" priority="10">
      <dataBar showValue="1" minLength="10" maxLength="90">
        <cfvo type="num" val="0"/>
        <cfvo type="num" val="1"/>
        <color rgb="FFD4820A"/>
      </dataBar>
      <extLst>
        <ext xmlns:x14="http://schemas.microsoft.com/office/spreadsheetml/2009/9/main" uri="{B025F937-C7B1-47D3-B67F-A62EFF666E3E}">
          <x14:id>{ED9110AA-25D1-4D83-AF57-6D54CCBF868E}</x14:id>
        </ext>
      </extLst>
    </cfRule>
  </conditionalFormatting>
  <dataValidations count="1">
    <dataValidation allowBlank="true" error="Veuillez entrer un pourcentage entre 0% et 100%" errorStyle="stop" errorTitle="Valeur invalide" operator="between" prompt="Entrez le pourcentage (ex: 0.25 pour 25%)" promptTitle="Avancement %" showDropDown="false" showErrorMessage="false" showInputMessage="false" sqref="J5:J76 P5:P76"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7022D330-28ED-4512-86C8-E66C35FD4E45}">
            <x14:dataBar minLength="10" maxLength="90" axisPosition="none" gradient="true">
              <x14:cfvo type="num">
                <xm:f>0</xm:f>
              </x14:cfvo>
              <x14:cfvo type="num">
                <xm:f>1</xm:f>
              </x14:cfvo>
              <x14:negativeFillColor rgb="FF1B7D46"/>
              <x14:axisColor rgb="FF000000"/>
            </x14:dataBar>
          </x14:cfRule>
          <xm:sqref>J5:J76</xm:sqref>
        </x14:conditionalFormatting>
        <x14:conditionalFormatting xmlns:xm="http://schemas.microsoft.com/office/excel/2006/main">
          <x14:cfRule type="dataBar" id="{ED9110AA-25D1-4D83-AF57-6D54CCBF868E}">
            <x14:dataBar minLength="10" maxLength="90" axisPosition="none" gradient="true">
              <x14:cfvo type="num">
                <xm:f>0</xm:f>
              </x14:cfvo>
              <x14:cfvo type="num">
                <xm:f>1</xm:f>
              </x14:cfvo>
              <x14:negativeFillColor rgb="FFD4820A"/>
              <x14:axisColor rgb="FF000000"/>
            </x14:dataBar>
          </x14:cfRule>
          <xm:sqref>P5:P76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16"/>
    <col collapsed="false" customWidth="true" hidden="false" outlineLevel="0" max="4" min="4" style="0" width="20"/>
    <col collapsed="false" customWidth="true" hidden="false" outlineLevel="0" max="5" min="5" style="0" width="10"/>
    <col collapsed="false" customWidth="true" hidden="false" outlineLevel="0" max="6" min="6" style="0" width="36"/>
    <col collapsed="false" customWidth="true" hidden="false" outlineLevel="0" max="7" min="7" style="0" width="32"/>
    <col collapsed="false" customWidth="true" hidden="false" outlineLevel="0" max="8" min="8" style="0" width="36"/>
    <col collapsed="false" customWidth="true" hidden="false" outlineLevel="0" max="9" min="9" style="0" width="16"/>
    <col collapsed="false" customWidth="true" hidden="false" outlineLevel="0" max="12" min="10" style="0" width="14"/>
    <col collapsed="false" customWidth="true" hidden="false" outlineLevel="0" max="15" min="13" style="0" width="18"/>
    <col collapsed="false" customWidth="true" hidden="false" outlineLevel="0" max="19" min="16" style="0" width="14"/>
    <col collapsed="false" customWidth="true" hidden="false" outlineLevel="0" max="20" min="20" style="0" width="28"/>
  </cols>
  <sheetData>
    <row r="1" customFormat="false" ht="15" hidden="false" customHeight="true" outlineLevel="0" collapsed="false"/>
    <row r="2" customFormat="false" ht="31.5" hidden="false" customHeight="true" outlineLevel="0" collapsed="false">
      <c r="B2" s="1" t="s">
        <v>150</v>
      </c>
      <c r="C2" s="1"/>
      <c r="D2" s="1"/>
      <c r="E2" s="1"/>
      <c r="F2" s="1"/>
      <c r="G2" s="1"/>
      <c r="H2" s="1"/>
      <c r="I2" s="1"/>
      <c r="J2" s="1"/>
      <c r="K2" s="1"/>
      <c r="L2" s="1"/>
      <c r="M2" s="1"/>
      <c r="N2" s="1"/>
      <c r="O2" s="1"/>
      <c r="P2" s="1"/>
      <c r="Q2" s="1"/>
      <c r="R2" s="1"/>
      <c r="S2" s="1"/>
      <c r="T2" s="1"/>
    </row>
    <row r="3" customFormat="false" ht="7.5" hidden="false" customHeight="true" outlineLevel="0" collapsed="false">
      <c r="B3" s="14" t="s">
        <v>138</v>
      </c>
      <c r="C3" s="15"/>
      <c r="D3" s="15"/>
    </row>
    <row r="4" customFormat="false" ht="27.75" hidden="false" customHeight="true" outlineLevel="0" collapsed="false">
      <c r="B4" s="2" t="s">
        <v>1</v>
      </c>
      <c r="C4" s="2" t="s">
        <v>2</v>
      </c>
      <c r="D4" s="2" t="s">
        <v>3</v>
      </c>
      <c r="E4" s="2" t="s">
        <v>4</v>
      </c>
      <c r="F4" s="2" t="s">
        <v>5</v>
      </c>
      <c r="G4" s="2" t="s">
        <v>6</v>
      </c>
      <c r="H4" s="2" t="s">
        <v>7</v>
      </c>
      <c r="I4" s="2" t="s">
        <v>8</v>
      </c>
      <c r="J4" s="2" t="s">
        <v>139</v>
      </c>
      <c r="K4" s="2" t="s">
        <v>140</v>
      </c>
      <c r="L4" s="2" t="s">
        <v>141</v>
      </c>
      <c r="M4" s="2" t="s">
        <v>142</v>
      </c>
      <c r="N4" s="2" t="s">
        <v>143</v>
      </c>
      <c r="O4" s="2" t="s">
        <v>144</v>
      </c>
      <c r="P4" s="2" t="s">
        <v>145</v>
      </c>
      <c r="Q4" s="2" t="s">
        <v>146</v>
      </c>
      <c r="R4" s="2" t="s">
        <v>147</v>
      </c>
      <c r="S4" s="2" t="s">
        <v>148</v>
      </c>
      <c r="T4" s="2" t="s">
        <v>149</v>
      </c>
    </row>
    <row r="5" customFormat="false" ht="21.75" hidden="false" customHeight="true" outlineLevel="0" collapsed="false">
      <c r="B5" s="3" t="n">
        <v>1</v>
      </c>
      <c r="C5" s="4" t="s">
        <v>9</v>
      </c>
      <c r="D5" s="3" t="s">
        <v>10</v>
      </c>
      <c r="E5" s="3" t="s">
        <v>11</v>
      </c>
      <c r="F5" s="3" t="s">
        <v>12</v>
      </c>
      <c r="G5" s="3" t="s">
        <v>13</v>
      </c>
      <c r="H5" s="3" t="s">
        <v>14</v>
      </c>
      <c r="I5" s="5" t="n">
        <v>2091568</v>
      </c>
      <c r="J5" s="16"/>
      <c r="K5" s="24" t="n">
        <f aca="false">S01!J5</f>
        <v>0</v>
      </c>
      <c r="L5" s="17" t="n">
        <f aca="false">J5-K5</f>
        <v>0</v>
      </c>
      <c r="M5" s="18"/>
      <c r="N5" s="18"/>
      <c r="O5" s="18"/>
      <c r="P5" s="16"/>
      <c r="Q5" s="24" t="n">
        <f aca="false">S01!P5</f>
        <v>0</v>
      </c>
      <c r="R5" s="17" t="n">
        <f aca="false">P5-Q5</f>
        <v>0</v>
      </c>
      <c r="S5" s="17" t="n">
        <f aca="false">J5-P5</f>
        <v>0</v>
      </c>
      <c r="T5" s="19"/>
    </row>
    <row r="6" customFormat="false" ht="21.75" hidden="false" customHeight="true" outlineLevel="0" collapsed="false">
      <c r="B6" s="6" t="n">
        <v>2</v>
      </c>
      <c r="C6" s="4" t="s">
        <v>9</v>
      </c>
      <c r="D6" s="6" t="s">
        <v>10</v>
      </c>
      <c r="E6" s="6" t="s">
        <v>15</v>
      </c>
      <c r="F6" s="6" t="s">
        <v>16</v>
      </c>
      <c r="G6" s="6" t="s">
        <v>17</v>
      </c>
      <c r="H6" s="6" t="s">
        <v>18</v>
      </c>
      <c r="I6" s="7" t="n">
        <v>78000</v>
      </c>
      <c r="J6" s="16"/>
      <c r="K6" s="25" t="n">
        <f aca="false">S01!J6</f>
        <v>0</v>
      </c>
      <c r="L6" s="20" t="n">
        <f aca="false">J6-K6</f>
        <v>0</v>
      </c>
      <c r="M6" s="18"/>
      <c r="N6" s="18"/>
      <c r="O6" s="18"/>
      <c r="P6" s="16"/>
      <c r="Q6" s="25" t="n">
        <f aca="false">S01!P6</f>
        <v>0</v>
      </c>
      <c r="R6" s="20" t="n">
        <f aca="false">P6-Q6</f>
        <v>0</v>
      </c>
      <c r="S6" s="20" t="n">
        <f aca="false">J6-P6</f>
        <v>0</v>
      </c>
      <c r="T6" s="19"/>
    </row>
    <row r="7" customFormat="false" ht="21.75" hidden="false" customHeight="true" outlineLevel="0" collapsed="false">
      <c r="B7" s="3" t="n">
        <v>3</v>
      </c>
      <c r="C7" s="4" t="s">
        <v>9</v>
      </c>
      <c r="D7" s="3" t="s">
        <v>10</v>
      </c>
      <c r="E7" s="3" t="s">
        <v>11</v>
      </c>
      <c r="F7" s="3" t="s">
        <v>12</v>
      </c>
      <c r="G7" s="3" t="s">
        <v>19</v>
      </c>
      <c r="H7" s="3" t="s">
        <v>20</v>
      </c>
      <c r="I7" s="5" t="n">
        <v>126000</v>
      </c>
      <c r="J7" s="16"/>
      <c r="K7" s="24" t="n">
        <f aca="false">S01!J7</f>
        <v>0</v>
      </c>
      <c r="L7" s="17" t="n">
        <f aca="false">J7-K7</f>
        <v>0</v>
      </c>
      <c r="M7" s="18"/>
      <c r="N7" s="18"/>
      <c r="O7" s="18"/>
      <c r="P7" s="16"/>
      <c r="Q7" s="24" t="n">
        <f aca="false">S01!P7</f>
        <v>0</v>
      </c>
      <c r="R7" s="17" t="n">
        <f aca="false">P7-Q7</f>
        <v>0</v>
      </c>
      <c r="S7" s="17" t="n">
        <f aca="false">J7-P7</f>
        <v>0</v>
      </c>
      <c r="T7" s="19"/>
    </row>
    <row r="8" customFormat="false" ht="21.75" hidden="false" customHeight="true" outlineLevel="0" collapsed="false">
      <c r="B8" s="6" t="n">
        <v>4</v>
      </c>
      <c r="C8" s="4" t="s">
        <v>9</v>
      </c>
      <c r="D8" s="6" t="s">
        <v>10</v>
      </c>
      <c r="E8" s="6" t="s">
        <v>21</v>
      </c>
      <c r="F8" s="6" t="s">
        <v>22</v>
      </c>
      <c r="G8" s="6" t="s">
        <v>23</v>
      </c>
      <c r="H8" s="6" t="s">
        <v>24</v>
      </c>
      <c r="I8" s="7" t="n">
        <v>165500</v>
      </c>
      <c r="J8" s="16"/>
      <c r="K8" s="25" t="n">
        <f aca="false">S01!J8</f>
        <v>0</v>
      </c>
      <c r="L8" s="20" t="n">
        <f aca="false">J8-K8</f>
        <v>0</v>
      </c>
      <c r="M8" s="18"/>
      <c r="N8" s="18"/>
      <c r="O8" s="18"/>
      <c r="P8" s="16"/>
      <c r="Q8" s="25" t="n">
        <f aca="false">S01!P8</f>
        <v>0</v>
      </c>
      <c r="R8" s="20" t="n">
        <f aca="false">P8-Q8</f>
        <v>0</v>
      </c>
      <c r="S8" s="20" t="n">
        <f aca="false">J8-P8</f>
        <v>0</v>
      </c>
      <c r="T8" s="19"/>
    </row>
    <row r="9" customFormat="false" ht="21.75" hidden="false" customHeight="true" outlineLevel="0" collapsed="false">
      <c r="B9" s="3" t="n">
        <v>5</v>
      </c>
      <c r="C9" s="4" t="s">
        <v>9</v>
      </c>
      <c r="D9" s="3" t="s">
        <v>25</v>
      </c>
      <c r="E9" s="3" t="s">
        <v>11</v>
      </c>
      <c r="F9" s="3" t="s">
        <v>12</v>
      </c>
      <c r="G9" s="3" t="s">
        <v>13</v>
      </c>
      <c r="H9" s="3" t="s">
        <v>26</v>
      </c>
      <c r="I9" s="5" t="n">
        <v>1000000</v>
      </c>
      <c r="J9" s="16"/>
      <c r="K9" s="24" t="n">
        <f aca="false">S01!J9</f>
        <v>0</v>
      </c>
      <c r="L9" s="17" t="n">
        <f aca="false">J9-K9</f>
        <v>0</v>
      </c>
      <c r="M9" s="18"/>
      <c r="N9" s="18"/>
      <c r="O9" s="18"/>
      <c r="P9" s="16"/>
      <c r="Q9" s="24" t="n">
        <f aca="false">S01!P9</f>
        <v>0</v>
      </c>
      <c r="R9" s="17" t="n">
        <f aca="false">P9-Q9</f>
        <v>0</v>
      </c>
      <c r="S9" s="17" t="n">
        <f aca="false">J9-P9</f>
        <v>0</v>
      </c>
      <c r="T9" s="19"/>
    </row>
    <row r="10" customFormat="false" ht="21.75" hidden="false" customHeight="true" outlineLevel="0" collapsed="false">
      <c r="B10" s="6" t="n">
        <v>6</v>
      </c>
      <c r="C10" s="4" t="s">
        <v>9</v>
      </c>
      <c r="D10" s="6" t="s">
        <v>25</v>
      </c>
      <c r="E10" s="6" t="s">
        <v>11</v>
      </c>
      <c r="F10" s="6" t="s">
        <v>12</v>
      </c>
      <c r="G10" s="6"/>
      <c r="H10" s="6" t="s">
        <v>27</v>
      </c>
      <c r="I10" s="7" t="n">
        <v>846731</v>
      </c>
      <c r="J10" s="16"/>
      <c r="K10" s="25" t="n">
        <f aca="false">S01!J10</f>
        <v>0</v>
      </c>
      <c r="L10" s="20" t="n">
        <f aca="false">J10-K10</f>
        <v>0</v>
      </c>
      <c r="M10" s="18"/>
      <c r="N10" s="18"/>
      <c r="O10" s="18"/>
      <c r="P10" s="16"/>
      <c r="Q10" s="25" t="n">
        <f aca="false">S01!P10</f>
        <v>0</v>
      </c>
      <c r="R10" s="20" t="n">
        <f aca="false">P10-Q10</f>
        <v>0</v>
      </c>
      <c r="S10" s="20" t="n">
        <f aca="false">J10-P10</f>
        <v>0</v>
      </c>
      <c r="T10" s="19"/>
    </row>
    <row r="11" customFormat="false" ht="21.75" hidden="false" customHeight="true" outlineLevel="0" collapsed="false">
      <c r="B11" s="3" t="n">
        <v>7</v>
      </c>
      <c r="C11" s="4" t="s">
        <v>9</v>
      </c>
      <c r="D11" s="3" t="s">
        <v>25</v>
      </c>
      <c r="E11" s="3" t="s">
        <v>11</v>
      </c>
      <c r="F11" s="3" t="s">
        <v>12</v>
      </c>
      <c r="G11" s="3" t="s">
        <v>19</v>
      </c>
      <c r="H11" s="3" t="s">
        <v>28</v>
      </c>
      <c r="I11" s="5" t="n">
        <v>200000</v>
      </c>
      <c r="J11" s="16"/>
      <c r="K11" s="24" t="n">
        <f aca="false">S01!J11</f>
        <v>0</v>
      </c>
      <c r="L11" s="17" t="n">
        <f aca="false">J11-K11</f>
        <v>0</v>
      </c>
      <c r="M11" s="18"/>
      <c r="N11" s="18"/>
      <c r="O11" s="18"/>
      <c r="P11" s="16"/>
      <c r="Q11" s="24" t="n">
        <f aca="false">S01!P11</f>
        <v>0</v>
      </c>
      <c r="R11" s="17" t="n">
        <f aca="false">P11-Q11</f>
        <v>0</v>
      </c>
      <c r="S11" s="17" t="n">
        <f aca="false">J11-P11</f>
        <v>0</v>
      </c>
      <c r="T11" s="19"/>
    </row>
    <row r="12" customFormat="false" ht="21.75" hidden="false" customHeight="true" outlineLevel="0" collapsed="false">
      <c r="B12" s="6" t="n">
        <v>8</v>
      </c>
      <c r="C12" s="4" t="s">
        <v>9</v>
      </c>
      <c r="D12" s="6" t="s">
        <v>25</v>
      </c>
      <c r="E12" s="6" t="s">
        <v>21</v>
      </c>
      <c r="F12" s="6" t="s">
        <v>22</v>
      </c>
      <c r="G12" s="6" t="s">
        <v>23</v>
      </c>
      <c r="H12" s="6" t="s">
        <v>29</v>
      </c>
      <c r="I12" s="7" t="n">
        <v>141900</v>
      </c>
      <c r="J12" s="16"/>
      <c r="K12" s="25" t="n">
        <f aca="false">S01!J12</f>
        <v>0</v>
      </c>
      <c r="L12" s="20" t="n">
        <f aca="false">J12-K12</f>
        <v>0</v>
      </c>
      <c r="M12" s="18"/>
      <c r="N12" s="18"/>
      <c r="O12" s="18"/>
      <c r="P12" s="16"/>
      <c r="Q12" s="25" t="n">
        <f aca="false">S01!P12</f>
        <v>0</v>
      </c>
      <c r="R12" s="20" t="n">
        <f aca="false">P12-Q12</f>
        <v>0</v>
      </c>
      <c r="S12" s="20" t="n">
        <f aca="false">J12-P12</f>
        <v>0</v>
      </c>
      <c r="T12" s="19"/>
    </row>
    <row r="13" customFormat="false" ht="21.75" hidden="false" customHeight="true" outlineLevel="0" collapsed="false">
      <c r="B13" s="3" t="n">
        <v>9</v>
      </c>
      <c r="C13" s="4" t="s">
        <v>9</v>
      </c>
      <c r="D13" s="3" t="s">
        <v>25</v>
      </c>
      <c r="E13" s="3" t="s">
        <v>21</v>
      </c>
      <c r="F13" s="3" t="s">
        <v>22</v>
      </c>
      <c r="G13" s="3" t="s">
        <v>30</v>
      </c>
      <c r="H13" s="3" t="s">
        <v>31</v>
      </c>
      <c r="I13" s="5" t="n">
        <v>26700</v>
      </c>
      <c r="J13" s="16"/>
      <c r="K13" s="24" t="n">
        <f aca="false">S01!J13</f>
        <v>0</v>
      </c>
      <c r="L13" s="17" t="n">
        <f aca="false">J13-K13</f>
        <v>0</v>
      </c>
      <c r="M13" s="18"/>
      <c r="N13" s="18"/>
      <c r="O13" s="18"/>
      <c r="P13" s="16"/>
      <c r="Q13" s="24" t="n">
        <f aca="false">S01!P13</f>
        <v>0</v>
      </c>
      <c r="R13" s="17" t="n">
        <f aca="false">P13-Q13</f>
        <v>0</v>
      </c>
      <c r="S13" s="17" t="n">
        <f aca="false">J13-P13</f>
        <v>0</v>
      </c>
      <c r="T13" s="19"/>
    </row>
    <row r="14" customFormat="false" ht="21.75" hidden="false" customHeight="true" outlineLevel="0" collapsed="false">
      <c r="B14" s="6" t="n">
        <v>10</v>
      </c>
      <c r="C14" s="4" t="s">
        <v>9</v>
      </c>
      <c r="D14" s="6" t="s">
        <v>25</v>
      </c>
      <c r="E14" s="6" t="s">
        <v>21</v>
      </c>
      <c r="F14" s="6" t="s">
        <v>22</v>
      </c>
      <c r="G14" s="6" t="s">
        <v>32</v>
      </c>
      <c r="H14" s="6" t="s">
        <v>33</v>
      </c>
      <c r="I14" s="7" t="n">
        <v>480000</v>
      </c>
      <c r="J14" s="16"/>
      <c r="K14" s="25" t="n">
        <f aca="false">S01!J14</f>
        <v>0</v>
      </c>
      <c r="L14" s="20" t="n">
        <f aca="false">J14-K14</f>
        <v>0</v>
      </c>
      <c r="M14" s="18"/>
      <c r="N14" s="18"/>
      <c r="O14" s="18"/>
      <c r="P14" s="16"/>
      <c r="Q14" s="25" t="n">
        <f aca="false">S01!P14</f>
        <v>0</v>
      </c>
      <c r="R14" s="20" t="n">
        <f aca="false">P14-Q14</f>
        <v>0</v>
      </c>
      <c r="S14" s="20" t="n">
        <f aca="false">J14-P14</f>
        <v>0</v>
      </c>
      <c r="T14" s="19"/>
    </row>
    <row r="15" customFormat="false" ht="21.75" hidden="false" customHeight="true" outlineLevel="0" collapsed="false">
      <c r="B15" s="3" t="n">
        <v>11</v>
      </c>
      <c r="C15" s="4" t="s">
        <v>9</v>
      </c>
      <c r="D15" s="3" t="s">
        <v>25</v>
      </c>
      <c r="E15" s="3" t="s">
        <v>21</v>
      </c>
      <c r="F15" s="3" t="s">
        <v>22</v>
      </c>
      <c r="G15" s="3" t="s">
        <v>34</v>
      </c>
      <c r="H15" s="3" t="s">
        <v>35</v>
      </c>
      <c r="I15" s="5" t="n">
        <v>300000</v>
      </c>
      <c r="J15" s="16"/>
      <c r="K15" s="24" t="n">
        <f aca="false">S01!J15</f>
        <v>0</v>
      </c>
      <c r="L15" s="17" t="n">
        <f aca="false">J15-K15</f>
        <v>0</v>
      </c>
      <c r="M15" s="18"/>
      <c r="N15" s="18"/>
      <c r="O15" s="18"/>
      <c r="P15" s="16"/>
      <c r="Q15" s="24" t="n">
        <f aca="false">S01!P15</f>
        <v>0</v>
      </c>
      <c r="R15" s="17" t="n">
        <f aca="false">P15-Q15</f>
        <v>0</v>
      </c>
      <c r="S15" s="17" t="n">
        <f aca="false">J15-P15</f>
        <v>0</v>
      </c>
      <c r="T15" s="19"/>
    </row>
    <row r="16" customFormat="false" ht="21.75" hidden="false" customHeight="true" outlineLevel="0" collapsed="false">
      <c r="B16" s="6" t="n">
        <v>12</v>
      </c>
      <c r="C16" s="4" t="s">
        <v>9</v>
      </c>
      <c r="D16" s="6" t="s">
        <v>36</v>
      </c>
      <c r="E16" s="6" t="s">
        <v>11</v>
      </c>
      <c r="F16" s="6" t="s">
        <v>12</v>
      </c>
      <c r="G16" s="6" t="s">
        <v>13</v>
      </c>
      <c r="H16" s="6" t="s">
        <v>37</v>
      </c>
      <c r="I16" s="7" t="n">
        <v>1000000</v>
      </c>
      <c r="J16" s="16"/>
      <c r="K16" s="25" t="n">
        <f aca="false">S01!J16</f>
        <v>0</v>
      </c>
      <c r="L16" s="20" t="n">
        <f aca="false">J16-K16</f>
        <v>0</v>
      </c>
      <c r="M16" s="18"/>
      <c r="N16" s="18"/>
      <c r="O16" s="18"/>
      <c r="P16" s="16"/>
      <c r="Q16" s="25" t="n">
        <f aca="false">S01!P16</f>
        <v>0</v>
      </c>
      <c r="R16" s="20" t="n">
        <f aca="false">P16-Q16</f>
        <v>0</v>
      </c>
      <c r="S16" s="20" t="n">
        <f aca="false">J16-P16</f>
        <v>0</v>
      </c>
      <c r="T16" s="19"/>
    </row>
    <row r="17" customFormat="false" ht="21.75" hidden="false" customHeight="true" outlineLevel="0" collapsed="false">
      <c r="B17" s="3" t="n">
        <v>13</v>
      </c>
      <c r="C17" s="4" t="s">
        <v>9</v>
      </c>
      <c r="D17" s="3" t="s">
        <v>36</v>
      </c>
      <c r="E17" s="3" t="s">
        <v>11</v>
      </c>
      <c r="F17" s="3" t="s">
        <v>12</v>
      </c>
      <c r="G17" s="3" t="s">
        <v>38</v>
      </c>
      <c r="H17" s="3" t="s">
        <v>39</v>
      </c>
      <c r="I17" s="5" t="n">
        <v>739200</v>
      </c>
      <c r="J17" s="16"/>
      <c r="K17" s="24" t="n">
        <f aca="false">S01!J17</f>
        <v>0</v>
      </c>
      <c r="L17" s="17" t="n">
        <f aca="false">J17-K17</f>
        <v>0</v>
      </c>
      <c r="M17" s="18"/>
      <c r="N17" s="18"/>
      <c r="O17" s="18"/>
      <c r="P17" s="16"/>
      <c r="Q17" s="24" t="n">
        <f aca="false">S01!P17</f>
        <v>0</v>
      </c>
      <c r="R17" s="17" t="n">
        <f aca="false">P17-Q17</f>
        <v>0</v>
      </c>
      <c r="S17" s="17" t="n">
        <f aca="false">J17-P17</f>
        <v>0</v>
      </c>
      <c r="T17" s="19"/>
    </row>
    <row r="18" customFormat="false" ht="21.75" hidden="false" customHeight="true" outlineLevel="0" collapsed="false">
      <c r="B18" s="6" t="n">
        <v>14</v>
      </c>
      <c r="C18" s="4" t="s">
        <v>9</v>
      </c>
      <c r="D18" s="6" t="s">
        <v>40</v>
      </c>
      <c r="E18" s="6" t="s">
        <v>11</v>
      </c>
      <c r="F18" s="6" t="s">
        <v>12</v>
      </c>
      <c r="G18" s="6" t="s">
        <v>38</v>
      </c>
      <c r="H18" s="6" t="s">
        <v>41</v>
      </c>
      <c r="I18" s="7" t="n">
        <v>1276800</v>
      </c>
      <c r="J18" s="16"/>
      <c r="K18" s="25" t="n">
        <f aca="false">S01!J18</f>
        <v>0</v>
      </c>
      <c r="L18" s="20" t="n">
        <f aca="false">J18-K18</f>
        <v>0</v>
      </c>
      <c r="M18" s="18"/>
      <c r="N18" s="18"/>
      <c r="O18" s="18"/>
      <c r="P18" s="16"/>
      <c r="Q18" s="25" t="n">
        <f aca="false">S01!P18</f>
        <v>0</v>
      </c>
      <c r="R18" s="20" t="n">
        <f aca="false">P18-Q18</f>
        <v>0</v>
      </c>
      <c r="S18" s="20" t="n">
        <f aca="false">J18-P18</f>
        <v>0</v>
      </c>
      <c r="T18" s="19"/>
    </row>
    <row r="19" customFormat="false" ht="21.75" hidden="false" customHeight="true" outlineLevel="0" collapsed="false">
      <c r="B19" s="3" t="n">
        <v>15</v>
      </c>
      <c r="C19" s="4" t="s">
        <v>9</v>
      </c>
      <c r="D19" s="3" t="s">
        <v>42</v>
      </c>
      <c r="E19" s="3" t="s">
        <v>11</v>
      </c>
      <c r="F19" s="3" t="s">
        <v>12</v>
      </c>
      <c r="G19" s="3" t="s">
        <v>13</v>
      </c>
      <c r="H19" s="3" t="s">
        <v>43</v>
      </c>
      <c r="I19" s="5" t="n">
        <v>5796360</v>
      </c>
      <c r="J19" s="16"/>
      <c r="K19" s="24" t="n">
        <f aca="false">S01!J19</f>
        <v>0</v>
      </c>
      <c r="L19" s="17" t="n">
        <f aca="false">J19-K19</f>
        <v>0</v>
      </c>
      <c r="M19" s="18"/>
      <c r="N19" s="18"/>
      <c r="O19" s="18"/>
      <c r="P19" s="16"/>
      <c r="Q19" s="24" t="n">
        <f aca="false">S01!P19</f>
        <v>0</v>
      </c>
      <c r="R19" s="17" t="n">
        <f aca="false">P19-Q19</f>
        <v>0</v>
      </c>
      <c r="S19" s="17" t="n">
        <f aca="false">J19-P19</f>
        <v>0</v>
      </c>
      <c r="T19" s="19"/>
    </row>
    <row r="20" customFormat="false" ht="21.75" hidden="false" customHeight="true" outlineLevel="0" collapsed="false">
      <c r="B20" s="6" t="n">
        <v>16</v>
      </c>
      <c r="C20" s="4" t="s">
        <v>9</v>
      </c>
      <c r="D20" s="6" t="s">
        <v>42</v>
      </c>
      <c r="E20" s="6" t="s">
        <v>15</v>
      </c>
      <c r="F20" s="6" t="s">
        <v>16</v>
      </c>
      <c r="G20" s="6" t="s">
        <v>44</v>
      </c>
      <c r="H20" s="6" t="s">
        <v>44</v>
      </c>
      <c r="I20" s="7" t="n">
        <v>340000</v>
      </c>
      <c r="J20" s="16"/>
      <c r="K20" s="25" t="n">
        <f aca="false">S01!J20</f>
        <v>0</v>
      </c>
      <c r="L20" s="20" t="n">
        <f aca="false">J20-K20</f>
        <v>0</v>
      </c>
      <c r="M20" s="18"/>
      <c r="N20" s="18"/>
      <c r="O20" s="18"/>
      <c r="P20" s="16"/>
      <c r="Q20" s="25" t="n">
        <f aca="false">S01!P20</f>
        <v>0</v>
      </c>
      <c r="R20" s="20" t="n">
        <f aca="false">P20-Q20</f>
        <v>0</v>
      </c>
      <c r="S20" s="20" t="n">
        <f aca="false">J20-P20</f>
        <v>0</v>
      </c>
      <c r="T20" s="19"/>
    </row>
    <row r="21" customFormat="false" ht="21.75" hidden="false" customHeight="true" outlineLevel="0" collapsed="false">
      <c r="B21" s="3" t="n">
        <v>17</v>
      </c>
      <c r="C21" s="4" t="s">
        <v>9</v>
      </c>
      <c r="D21" s="3" t="s">
        <v>45</v>
      </c>
      <c r="E21" s="3" t="s">
        <v>46</v>
      </c>
      <c r="F21" s="3" t="s">
        <v>47</v>
      </c>
      <c r="G21" s="3" t="s">
        <v>48</v>
      </c>
      <c r="H21" s="3" t="s">
        <v>49</v>
      </c>
      <c r="I21" s="5" t="n">
        <v>397934</v>
      </c>
      <c r="J21" s="16"/>
      <c r="K21" s="24" t="n">
        <f aca="false">S01!J21</f>
        <v>0</v>
      </c>
      <c r="L21" s="17" t="n">
        <f aca="false">J21-K21</f>
        <v>0</v>
      </c>
      <c r="M21" s="18"/>
      <c r="N21" s="18"/>
      <c r="O21" s="18"/>
      <c r="P21" s="16"/>
      <c r="Q21" s="24" t="n">
        <f aca="false">S01!P21</f>
        <v>0</v>
      </c>
      <c r="R21" s="17" t="n">
        <f aca="false">P21-Q21</f>
        <v>0</v>
      </c>
      <c r="S21" s="17" t="n">
        <f aca="false">J21-P21</f>
        <v>0</v>
      </c>
      <c r="T21" s="19"/>
    </row>
    <row r="22" customFormat="false" ht="21.75" hidden="false" customHeight="true" outlineLevel="0" collapsed="false">
      <c r="B22" s="6" t="n">
        <v>18</v>
      </c>
      <c r="C22" s="4" t="s">
        <v>9</v>
      </c>
      <c r="D22" s="6" t="s">
        <v>45</v>
      </c>
      <c r="E22" s="6" t="s">
        <v>46</v>
      </c>
      <c r="F22" s="6" t="s">
        <v>47</v>
      </c>
      <c r="G22" s="6"/>
      <c r="H22" s="6" t="s">
        <v>50</v>
      </c>
      <c r="I22" s="7" t="n">
        <v>207575</v>
      </c>
      <c r="J22" s="16"/>
      <c r="K22" s="25" t="n">
        <f aca="false">S01!J22</f>
        <v>0</v>
      </c>
      <c r="L22" s="20" t="n">
        <f aca="false">J22-K22</f>
        <v>0</v>
      </c>
      <c r="M22" s="18"/>
      <c r="N22" s="18"/>
      <c r="O22" s="18"/>
      <c r="P22" s="16"/>
      <c r="Q22" s="25" t="n">
        <f aca="false">S01!P22</f>
        <v>0</v>
      </c>
      <c r="R22" s="20" t="n">
        <f aca="false">P22-Q22</f>
        <v>0</v>
      </c>
      <c r="S22" s="20" t="n">
        <f aca="false">J22-P22</f>
        <v>0</v>
      </c>
      <c r="T22" s="19"/>
    </row>
    <row r="23" customFormat="false" ht="21.75" hidden="false" customHeight="true" outlineLevel="0" collapsed="false">
      <c r="B23" s="3" t="n">
        <v>19</v>
      </c>
      <c r="C23" s="4" t="s">
        <v>9</v>
      </c>
      <c r="D23" s="3" t="s">
        <v>45</v>
      </c>
      <c r="E23" s="3" t="s">
        <v>15</v>
      </c>
      <c r="F23" s="3" t="s">
        <v>16</v>
      </c>
      <c r="G23" s="3" t="s">
        <v>44</v>
      </c>
      <c r="H23" s="3" t="s">
        <v>44</v>
      </c>
      <c r="I23" s="5" t="n">
        <v>2200000</v>
      </c>
      <c r="J23" s="16"/>
      <c r="K23" s="24" t="n">
        <f aca="false">S01!J23</f>
        <v>0</v>
      </c>
      <c r="L23" s="17" t="n">
        <f aca="false">J23-K23</f>
        <v>0</v>
      </c>
      <c r="M23" s="18"/>
      <c r="N23" s="18"/>
      <c r="O23" s="18"/>
      <c r="P23" s="16"/>
      <c r="Q23" s="24" t="n">
        <f aca="false">S01!P23</f>
        <v>0</v>
      </c>
      <c r="R23" s="17" t="n">
        <f aca="false">P23-Q23</f>
        <v>0</v>
      </c>
      <c r="S23" s="17" t="n">
        <f aca="false">J23-P23</f>
        <v>0</v>
      </c>
      <c r="T23" s="19"/>
    </row>
    <row r="24" customFormat="false" ht="21.75" hidden="false" customHeight="true" outlineLevel="0" collapsed="false">
      <c r="B24" s="6" t="n">
        <v>20</v>
      </c>
      <c r="C24" s="4" t="s">
        <v>9</v>
      </c>
      <c r="D24" s="6" t="s">
        <v>45</v>
      </c>
      <c r="E24" s="6" t="s">
        <v>11</v>
      </c>
      <c r="F24" s="6" t="s">
        <v>12</v>
      </c>
      <c r="G24" s="6" t="s">
        <v>19</v>
      </c>
      <c r="H24" s="6" t="s">
        <v>51</v>
      </c>
      <c r="I24" s="7" t="n">
        <v>300000</v>
      </c>
      <c r="J24" s="16"/>
      <c r="K24" s="25" t="n">
        <f aca="false">S01!J24</f>
        <v>0</v>
      </c>
      <c r="L24" s="20" t="n">
        <f aca="false">J24-K24</f>
        <v>0</v>
      </c>
      <c r="M24" s="18"/>
      <c r="N24" s="18"/>
      <c r="O24" s="18"/>
      <c r="P24" s="16"/>
      <c r="Q24" s="25" t="n">
        <f aca="false">S01!P24</f>
        <v>0</v>
      </c>
      <c r="R24" s="20" t="n">
        <f aca="false">P24-Q24</f>
        <v>0</v>
      </c>
      <c r="S24" s="20" t="n">
        <f aca="false">J24-P24</f>
        <v>0</v>
      </c>
      <c r="T24" s="19"/>
    </row>
    <row r="25" customFormat="false" ht="21.75" hidden="false" customHeight="true" outlineLevel="0" collapsed="false">
      <c r="B25" s="3" t="n">
        <v>21</v>
      </c>
      <c r="C25" s="4" t="s">
        <v>9</v>
      </c>
      <c r="D25" s="3" t="s">
        <v>45</v>
      </c>
      <c r="E25" s="3" t="s">
        <v>21</v>
      </c>
      <c r="F25" s="3" t="s">
        <v>22</v>
      </c>
      <c r="G25" s="3" t="s">
        <v>23</v>
      </c>
      <c r="H25" s="3" t="s">
        <v>52</v>
      </c>
      <c r="I25" s="5" t="n">
        <v>250000</v>
      </c>
      <c r="J25" s="16"/>
      <c r="K25" s="24" t="n">
        <f aca="false">S01!J25</f>
        <v>0</v>
      </c>
      <c r="L25" s="17" t="n">
        <f aca="false">J25-K25</f>
        <v>0</v>
      </c>
      <c r="M25" s="18"/>
      <c r="N25" s="18"/>
      <c r="O25" s="18"/>
      <c r="P25" s="16"/>
      <c r="Q25" s="24" t="n">
        <f aca="false">S01!P25</f>
        <v>0</v>
      </c>
      <c r="R25" s="17" t="n">
        <f aca="false">P25-Q25</f>
        <v>0</v>
      </c>
      <c r="S25" s="17" t="n">
        <f aca="false">J25-P25</f>
        <v>0</v>
      </c>
      <c r="T25" s="19"/>
    </row>
    <row r="26" customFormat="false" ht="21.75" hidden="false" customHeight="true" outlineLevel="0" collapsed="false">
      <c r="B26" s="6" t="n">
        <v>22</v>
      </c>
      <c r="C26" s="4" t="s">
        <v>9</v>
      </c>
      <c r="D26" s="6" t="s">
        <v>45</v>
      </c>
      <c r="E26" s="6" t="s">
        <v>21</v>
      </c>
      <c r="F26" s="6" t="s">
        <v>22</v>
      </c>
      <c r="G26" s="6" t="s">
        <v>53</v>
      </c>
      <c r="H26" s="6" t="s">
        <v>54</v>
      </c>
      <c r="I26" s="7" t="n">
        <v>25000</v>
      </c>
      <c r="J26" s="16"/>
      <c r="K26" s="25" t="n">
        <f aca="false">S01!J26</f>
        <v>0</v>
      </c>
      <c r="L26" s="20" t="n">
        <f aca="false">J26-K26</f>
        <v>0</v>
      </c>
      <c r="M26" s="18"/>
      <c r="N26" s="18"/>
      <c r="O26" s="18"/>
      <c r="P26" s="16"/>
      <c r="Q26" s="25" t="n">
        <f aca="false">S01!P26</f>
        <v>0</v>
      </c>
      <c r="R26" s="20" t="n">
        <f aca="false">P26-Q26</f>
        <v>0</v>
      </c>
      <c r="S26" s="20" t="n">
        <f aca="false">J26-P26</f>
        <v>0</v>
      </c>
      <c r="T26" s="19"/>
    </row>
    <row r="27" customFormat="false" ht="21.75" hidden="false" customHeight="true" outlineLevel="0" collapsed="false">
      <c r="B27" s="3" t="n">
        <v>23</v>
      </c>
      <c r="C27" s="4" t="s">
        <v>9</v>
      </c>
      <c r="D27" s="3" t="s">
        <v>45</v>
      </c>
      <c r="E27" s="3" t="s">
        <v>21</v>
      </c>
      <c r="F27" s="3" t="s">
        <v>22</v>
      </c>
      <c r="G27" s="3" t="s">
        <v>30</v>
      </c>
      <c r="H27" s="3" t="s">
        <v>55</v>
      </c>
      <c r="I27" s="5" t="n">
        <v>38000</v>
      </c>
      <c r="J27" s="16"/>
      <c r="K27" s="24" t="n">
        <f aca="false">S01!J27</f>
        <v>0</v>
      </c>
      <c r="L27" s="17" t="n">
        <f aca="false">J27-K27</f>
        <v>0</v>
      </c>
      <c r="M27" s="18"/>
      <c r="N27" s="18"/>
      <c r="O27" s="18"/>
      <c r="P27" s="16"/>
      <c r="Q27" s="24" t="n">
        <f aca="false">S01!P27</f>
        <v>0</v>
      </c>
      <c r="R27" s="17" t="n">
        <f aca="false">P27-Q27</f>
        <v>0</v>
      </c>
      <c r="S27" s="17" t="n">
        <f aca="false">J27-P27</f>
        <v>0</v>
      </c>
      <c r="T27" s="19"/>
    </row>
    <row r="28" customFormat="false" ht="21.75" hidden="false" customHeight="true" outlineLevel="0" collapsed="false">
      <c r="B28" s="6" t="n">
        <v>24</v>
      </c>
      <c r="C28" s="4" t="s">
        <v>9</v>
      </c>
      <c r="D28" s="6" t="s">
        <v>45</v>
      </c>
      <c r="E28" s="6" t="s">
        <v>21</v>
      </c>
      <c r="F28" s="6" t="s">
        <v>22</v>
      </c>
      <c r="G28" s="6" t="s">
        <v>32</v>
      </c>
      <c r="H28" s="6" t="s">
        <v>56</v>
      </c>
      <c r="I28" s="7" t="n">
        <v>10560000</v>
      </c>
      <c r="J28" s="16"/>
      <c r="K28" s="25" t="n">
        <f aca="false">S01!J28</f>
        <v>0</v>
      </c>
      <c r="L28" s="20" t="n">
        <f aca="false">J28-K28</f>
        <v>0</v>
      </c>
      <c r="M28" s="18"/>
      <c r="N28" s="18"/>
      <c r="O28" s="18"/>
      <c r="P28" s="16"/>
      <c r="Q28" s="25" t="n">
        <f aca="false">S01!P28</f>
        <v>0</v>
      </c>
      <c r="R28" s="20" t="n">
        <f aca="false">P28-Q28</f>
        <v>0</v>
      </c>
      <c r="S28" s="20" t="n">
        <f aca="false">J28-P28</f>
        <v>0</v>
      </c>
      <c r="T28" s="19"/>
    </row>
    <row r="29" customFormat="false" ht="21.75" hidden="false" customHeight="true" outlineLevel="0" collapsed="false">
      <c r="B29" s="3" t="n">
        <v>25</v>
      </c>
      <c r="C29" s="4" t="s">
        <v>9</v>
      </c>
      <c r="D29" s="3" t="s">
        <v>45</v>
      </c>
      <c r="E29" s="3" t="s">
        <v>21</v>
      </c>
      <c r="F29" s="3" t="s">
        <v>22</v>
      </c>
      <c r="G29" s="3" t="s">
        <v>57</v>
      </c>
      <c r="H29" s="3" t="s">
        <v>58</v>
      </c>
      <c r="I29" s="5" t="n">
        <v>144000</v>
      </c>
      <c r="J29" s="16"/>
      <c r="K29" s="24" t="n">
        <f aca="false">S01!J29</f>
        <v>0</v>
      </c>
      <c r="L29" s="17" t="n">
        <f aca="false">J29-K29</f>
        <v>0</v>
      </c>
      <c r="M29" s="18"/>
      <c r="N29" s="18"/>
      <c r="O29" s="18"/>
      <c r="P29" s="16"/>
      <c r="Q29" s="24" t="n">
        <f aca="false">S01!P29</f>
        <v>0</v>
      </c>
      <c r="R29" s="17" t="n">
        <f aca="false">P29-Q29</f>
        <v>0</v>
      </c>
      <c r="S29" s="17" t="n">
        <f aca="false">J29-P29</f>
        <v>0</v>
      </c>
      <c r="T29" s="19"/>
    </row>
    <row r="30" customFormat="false" ht="21.75" hidden="false" customHeight="true" outlineLevel="0" collapsed="false">
      <c r="B30" s="6" t="n">
        <v>26</v>
      </c>
      <c r="C30" s="4" t="s">
        <v>9</v>
      </c>
      <c r="D30" s="6" t="s">
        <v>45</v>
      </c>
      <c r="E30" s="6" t="s">
        <v>21</v>
      </c>
      <c r="F30" s="6" t="s">
        <v>22</v>
      </c>
      <c r="G30" s="6" t="s">
        <v>34</v>
      </c>
      <c r="H30" s="6" t="s">
        <v>59</v>
      </c>
      <c r="I30" s="7" t="n">
        <v>800000</v>
      </c>
      <c r="J30" s="16"/>
      <c r="K30" s="25" t="n">
        <f aca="false">S01!J30</f>
        <v>0</v>
      </c>
      <c r="L30" s="20" t="n">
        <f aca="false">J30-K30</f>
        <v>0</v>
      </c>
      <c r="M30" s="18"/>
      <c r="N30" s="18"/>
      <c r="O30" s="18"/>
      <c r="P30" s="16"/>
      <c r="Q30" s="25" t="n">
        <f aca="false">S01!P30</f>
        <v>0</v>
      </c>
      <c r="R30" s="20" t="n">
        <f aca="false">P30-Q30</f>
        <v>0</v>
      </c>
      <c r="S30" s="20" t="n">
        <f aca="false">J30-P30</f>
        <v>0</v>
      </c>
      <c r="T30" s="19"/>
    </row>
    <row r="31" customFormat="false" ht="21.75" hidden="false" customHeight="true" outlineLevel="0" collapsed="false">
      <c r="B31" s="3" t="n">
        <v>27</v>
      </c>
      <c r="C31" s="4" t="s">
        <v>9</v>
      </c>
      <c r="D31" s="3" t="s">
        <v>60</v>
      </c>
      <c r="E31" s="3" t="s">
        <v>11</v>
      </c>
      <c r="F31" s="3" t="s">
        <v>12</v>
      </c>
      <c r="G31" s="3" t="s">
        <v>13</v>
      </c>
      <c r="H31" s="3" t="s">
        <v>61</v>
      </c>
      <c r="I31" s="5" t="n">
        <v>1733306</v>
      </c>
      <c r="J31" s="16"/>
      <c r="K31" s="24" t="n">
        <f aca="false">S01!J31</f>
        <v>0</v>
      </c>
      <c r="L31" s="17" t="n">
        <f aca="false">J31-K31</f>
        <v>0</v>
      </c>
      <c r="M31" s="18"/>
      <c r="N31" s="18"/>
      <c r="O31" s="18"/>
      <c r="P31" s="16"/>
      <c r="Q31" s="24" t="n">
        <f aca="false">S01!P31</f>
        <v>0</v>
      </c>
      <c r="R31" s="17" t="n">
        <f aca="false">P31-Q31</f>
        <v>0</v>
      </c>
      <c r="S31" s="17" t="n">
        <f aca="false">J31-P31</f>
        <v>0</v>
      </c>
      <c r="T31" s="19"/>
    </row>
    <row r="32" customFormat="false" ht="21.75" hidden="false" customHeight="true" outlineLevel="0" collapsed="false">
      <c r="B32" s="6" t="n">
        <v>28</v>
      </c>
      <c r="C32" s="4" t="s">
        <v>9</v>
      </c>
      <c r="D32" s="6" t="s">
        <v>60</v>
      </c>
      <c r="E32" s="6" t="s">
        <v>15</v>
      </c>
      <c r="F32" s="6" t="s">
        <v>16</v>
      </c>
      <c r="G32" s="6" t="s">
        <v>44</v>
      </c>
      <c r="H32" s="6" t="s">
        <v>44</v>
      </c>
      <c r="I32" s="7" t="n">
        <v>670000</v>
      </c>
      <c r="J32" s="16"/>
      <c r="K32" s="25" t="n">
        <f aca="false">S01!J32</f>
        <v>0</v>
      </c>
      <c r="L32" s="20" t="n">
        <f aca="false">J32-K32</f>
        <v>0</v>
      </c>
      <c r="M32" s="18"/>
      <c r="N32" s="18"/>
      <c r="O32" s="18"/>
      <c r="P32" s="16"/>
      <c r="Q32" s="25" t="n">
        <f aca="false">S01!P32</f>
        <v>0</v>
      </c>
      <c r="R32" s="20" t="n">
        <f aca="false">P32-Q32</f>
        <v>0</v>
      </c>
      <c r="S32" s="20" t="n">
        <f aca="false">J32-P32</f>
        <v>0</v>
      </c>
      <c r="T32" s="19"/>
    </row>
    <row r="33" customFormat="false" ht="21.75" hidden="false" customHeight="true" outlineLevel="0" collapsed="false">
      <c r="B33" s="3" t="n">
        <v>29</v>
      </c>
      <c r="C33" s="4" t="s">
        <v>9</v>
      </c>
      <c r="D33" s="3" t="s">
        <v>60</v>
      </c>
      <c r="E33" s="3" t="s">
        <v>46</v>
      </c>
      <c r="F33" s="3" t="s">
        <v>47</v>
      </c>
      <c r="G33" s="3" t="s">
        <v>62</v>
      </c>
      <c r="H33" s="3" t="s">
        <v>63</v>
      </c>
      <c r="I33" s="5" t="n">
        <v>2500000</v>
      </c>
      <c r="J33" s="16"/>
      <c r="K33" s="24" t="n">
        <f aca="false">S01!J33</f>
        <v>0</v>
      </c>
      <c r="L33" s="17" t="n">
        <f aca="false">J33-K33</f>
        <v>0</v>
      </c>
      <c r="M33" s="18"/>
      <c r="N33" s="18"/>
      <c r="O33" s="18"/>
      <c r="P33" s="16"/>
      <c r="Q33" s="24" t="n">
        <f aca="false">S01!P33</f>
        <v>0</v>
      </c>
      <c r="R33" s="17" t="n">
        <f aca="false">P33-Q33</f>
        <v>0</v>
      </c>
      <c r="S33" s="17" t="n">
        <f aca="false">J33-P33</f>
        <v>0</v>
      </c>
      <c r="T33" s="19"/>
    </row>
    <row r="34" customFormat="false" ht="21.75" hidden="false" customHeight="true" outlineLevel="0" collapsed="false">
      <c r="B34" s="6" t="n">
        <v>30</v>
      </c>
      <c r="C34" s="4" t="s">
        <v>9</v>
      </c>
      <c r="D34" s="6" t="s">
        <v>60</v>
      </c>
      <c r="E34" s="6" t="s">
        <v>11</v>
      </c>
      <c r="F34" s="6" t="s">
        <v>12</v>
      </c>
      <c r="G34" s="6" t="s">
        <v>19</v>
      </c>
      <c r="H34" s="6" t="s">
        <v>64</v>
      </c>
      <c r="I34" s="7" t="n">
        <v>800000</v>
      </c>
      <c r="J34" s="16"/>
      <c r="K34" s="25" t="n">
        <f aca="false">S01!J34</f>
        <v>0</v>
      </c>
      <c r="L34" s="20" t="n">
        <f aca="false">J34-K34</f>
        <v>0</v>
      </c>
      <c r="M34" s="18"/>
      <c r="N34" s="18"/>
      <c r="O34" s="18"/>
      <c r="P34" s="16"/>
      <c r="Q34" s="25" t="n">
        <f aca="false">S01!P34</f>
        <v>0</v>
      </c>
      <c r="R34" s="20" t="n">
        <f aca="false">P34-Q34</f>
        <v>0</v>
      </c>
      <c r="S34" s="20" t="n">
        <f aca="false">J34-P34</f>
        <v>0</v>
      </c>
      <c r="T34" s="19"/>
    </row>
    <row r="35" customFormat="false" ht="21.75" hidden="false" customHeight="true" outlineLevel="0" collapsed="false">
      <c r="B35" s="3" t="n">
        <v>31</v>
      </c>
      <c r="C35" s="4" t="s">
        <v>9</v>
      </c>
      <c r="D35" s="3" t="s">
        <v>60</v>
      </c>
      <c r="E35" s="3" t="s">
        <v>21</v>
      </c>
      <c r="F35" s="3" t="s">
        <v>22</v>
      </c>
      <c r="G35" s="3" t="s">
        <v>23</v>
      </c>
      <c r="H35" s="3" t="s">
        <v>65</v>
      </c>
      <c r="I35" s="5" t="n">
        <v>195000</v>
      </c>
      <c r="J35" s="16"/>
      <c r="K35" s="24" t="n">
        <f aca="false">S01!J35</f>
        <v>0</v>
      </c>
      <c r="L35" s="17" t="n">
        <f aca="false">J35-K35</f>
        <v>0</v>
      </c>
      <c r="M35" s="18"/>
      <c r="N35" s="18"/>
      <c r="O35" s="18"/>
      <c r="P35" s="16"/>
      <c r="Q35" s="24" t="n">
        <f aca="false">S01!P35</f>
        <v>0</v>
      </c>
      <c r="R35" s="17" t="n">
        <f aca="false">P35-Q35</f>
        <v>0</v>
      </c>
      <c r="S35" s="17" t="n">
        <f aca="false">J35-P35</f>
        <v>0</v>
      </c>
      <c r="T35" s="19"/>
    </row>
    <row r="36" customFormat="false" ht="21.75" hidden="false" customHeight="true" outlineLevel="0" collapsed="false">
      <c r="B36" s="6" t="n">
        <v>32</v>
      </c>
      <c r="C36" s="4" t="s">
        <v>9</v>
      </c>
      <c r="D36" s="6" t="s">
        <v>60</v>
      </c>
      <c r="E36" s="6" t="s">
        <v>21</v>
      </c>
      <c r="F36" s="6" t="s">
        <v>22</v>
      </c>
      <c r="G36" s="6" t="s">
        <v>53</v>
      </c>
      <c r="H36" s="6" t="s">
        <v>66</v>
      </c>
      <c r="I36" s="7" t="n">
        <v>50000</v>
      </c>
      <c r="J36" s="16"/>
      <c r="K36" s="25" t="n">
        <f aca="false">S01!J36</f>
        <v>0</v>
      </c>
      <c r="L36" s="20" t="n">
        <f aca="false">J36-K36</f>
        <v>0</v>
      </c>
      <c r="M36" s="18"/>
      <c r="N36" s="18"/>
      <c r="O36" s="18"/>
      <c r="P36" s="16"/>
      <c r="Q36" s="25" t="n">
        <f aca="false">S01!P36</f>
        <v>0</v>
      </c>
      <c r="R36" s="20" t="n">
        <f aca="false">P36-Q36</f>
        <v>0</v>
      </c>
      <c r="S36" s="20" t="n">
        <f aca="false">J36-P36</f>
        <v>0</v>
      </c>
      <c r="T36" s="19"/>
    </row>
    <row r="37" customFormat="false" ht="21.75" hidden="false" customHeight="true" outlineLevel="0" collapsed="false">
      <c r="B37" s="3" t="n">
        <v>33</v>
      </c>
      <c r="C37" s="4" t="s">
        <v>9</v>
      </c>
      <c r="D37" s="3" t="s">
        <v>60</v>
      </c>
      <c r="E37" s="3" t="s">
        <v>21</v>
      </c>
      <c r="F37" s="3" t="s">
        <v>22</v>
      </c>
      <c r="G37" s="3" t="s">
        <v>30</v>
      </c>
      <c r="H37" s="3" t="s">
        <v>67</v>
      </c>
      <c r="I37" s="5" t="n">
        <v>245000</v>
      </c>
      <c r="J37" s="16"/>
      <c r="K37" s="24" t="n">
        <f aca="false">S01!J37</f>
        <v>0</v>
      </c>
      <c r="L37" s="17" t="n">
        <f aca="false">J37-K37</f>
        <v>0</v>
      </c>
      <c r="M37" s="18"/>
      <c r="N37" s="18"/>
      <c r="O37" s="18"/>
      <c r="P37" s="16"/>
      <c r="Q37" s="24" t="n">
        <f aca="false">S01!P37</f>
        <v>0</v>
      </c>
      <c r="R37" s="17" t="n">
        <f aca="false">P37-Q37</f>
        <v>0</v>
      </c>
      <c r="S37" s="17" t="n">
        <f aca="false">J37-P37</f>
        <v>0</v>
      </c>
      <c r="T37" s="19"/>
    </row>
    <row r="38" customFormat="false" ht="21.75" hidden="false" customHeight="true" outlineLevel="0" collapsed="false">
      <c r="B38" s="6" t="n">
        <v>34</v>
      </c>
      <c r="C38" s="4" t="s">
        <v>9</v>
      </c>
      <c r="D38" s="6" t="s">
        <v>60</v>
      </c>
      <c r="E38" s="6" t="s">
        <v>21</v>
      </c>
      <c r="F38" s="6" t="s">
        <v>22</v>
      </c>
      <c r="G38" s="6" t="s">
        <v>34</v>
      </c>
      <c r="H38" s="6" t="s">
        <v>68</v>
      </c>
      <c r="I38" s="7" t="n">
        <v>1000000</v>
      </c>
      <c r="J38" s="16"/>
      <c r="K38" s="25" t="n">
        <f aca="false">S01!J38</f>
        <v>0</v>
      </c>
      <c r="L38" s="20" t="n">
        <f aca="false">J38-K38</f>
        <v>0</v>
      </c>
      <c r="M38" s="18"/>
      <c r="N38" s="18"/>
      <c r="O38" s="18"/>
      <c r="P38" s="16"/>
      <c r="Q38" s="25" t="n">
        <f aca="false">S01!P38</f>
        <v>0</v>
      </c>
      <c r="R38" s="20" t="n">
        <f aca="false">P38-Q38</f>
        <v>0</v>
      </c>
      <c r="S38" s="20" t="n">
        <f aca="false">J38-P38</f>
        <v>0</v>
      </c>
      <c r="T38" s="19"/>
    </row>
    <row r="39" customFormat="false" ht="21.75" hidden="false" customHeight="true" outlineLevel="0" collapsed="false">
      <c r="B39" s="3" t="n">
        <v>35</v>
      </c>
      <c r="C39" s="4" t="s">
        <v>9</v>
      </c>
      <c r="D39" s="3" t="s">
        <v>69</v>
      </c>
      <c r="E39" s="3" t="s">
        <v>11</v>
      </c>
      <c r="F39" s="3" t="s">
        <v>12</v>
      </c>
      <c r="G39" s="3" t="s">
        <v>13</v>
      </c>
      <c r="H39" s="3" t="s">
        <v>70</v>
      </c>
      <c r="I39" s="5" t="n">
        <v>5024032</v>
      </c>
      <c r="J39" s="16"/>
      <c r="K39" s="24" t="n">
        <f aca="false">S01!J39</f>
        <v>0</v>
      </c>
      <c r="L39" s="17" t="n">
        <f aca="false">J39-K39</f>
        <v>0</v>
      </c>
      <c r="M39" s="18"/>
      <c r="N39" s="18"/>
      <c r="O39" s="18"/>
      <c r="P39" s="16"/>
      <c r="Q39" s="24" t="n">
        <f aca="false">S01!P39</f>
        <v>0</v>
      </c>
      <c r="R39" s="17" t="n">
        <f aca="false">P39-Q39</f>
        <v>0</v>
      </c>
      <c r="S39" s="17" t="n">
        <f aca="false">J39-P39</f>
        <v>0</v>
      </c>
      <c r="T39" s="19"/>
    </row>
    <row r="40" customFormat="false" ht="21.75" hidden="false" customHeight="true" outlineLevel="0" collapsed="false">
      <c r="B40" s="6" t="n">
        <v>36</v>
      </c>
      <c r="C40" s="4" t="s">
        <v>9</v>
      </c>
      <c r="D40" s="6" t="s">
        <v>69</v>
      </c>
      <c r="E40" s="6" t="s">
        <v>15</v>
      </c>
      <c r="F40" s="6" t="s">
        <v>16</v>
      </c>
      <c r="G40" s="6" t="s">
        <v>44</v>
      </c>
      <c r="H40" s="6" t="s">
        <v>44</v>
      </c>
      <c r="I40" s="7" t="n">
        <v>400000</v>
      </c>
      <c r="J40" s="16"/>
      <c r="K40" s="25" t="n">
        <f aca="false">S01!J40</f>
        <v>0</v>
      </c>
      <c r="L40" s="20" t="n">
        <f aca="false">J40-K40</f>
        <v>0</v>
      </c>
      <c r="M40" s="18"/>
      <c r="N40" s="18"/>
      <c r="O40" s="18"/>
      <c r="P40" s="16"/>
      <c r="Q40" s="25" t="n">
        <f aca="false">S01!P40</f>
        <v>0</v>
      </c>
      <c r="R40" s="20" t="n">
        <f aca="false">P40-Q40</f>
        <v>0</v>
      </c>
      <c r="S40" s="20" t="n">
        <f aca="false">J40-P40</f>
        <v>0</v>
      </c>
      <c r="T40" s="19"/>
    </row>
    <row r="41" customFormat="false" ht="21.75" hidden="false" customHeight="true" outlineLevel="0" collapsed="false">
      <c r="B41" s="3" t="n">
        <v>37</v>
      </c>
      <c r="C41" s="4" t="s">
        <v>9</v>
      </c>
      <c r="D41" s="3" t="s">
        <v>71</v>
      </c>
      <c r="E41" s="3" t="s">
        <v>11</v>
      </c>
      <c r="F41" s="3" t="s">
        <v>12</v>
      </c>
      <c r="G41" s="3" t="s">
        <v>13</v>
      </c>
      <c r="H41" s="3" t="s">
        <v>72</v>
      </c>
      <c r="I41" s="5" t="n">
        <v>6000000</v>
      </c>
      <c r="J41" s="16"/>
      <c r="K41" s="24" t="n">
        <f aca="false">S01!J41</f>
        <v>0</v>
      </c>
      <c r="L41" s="17" t="n">
        <f aca="false">J41-K41</f>
        <v>0</v>
      </c>
      <c r="M41" s="18"/>
      <c r="N41" s="18"/>
      <c r="O41" s="18"/>
      <c r="P41" s="16"/>
      <c r="Q41" s="24" t="n">
        <f aca="false">S01!P41</f>
        <v>0</v>
      </c>
      <c r="R41" s="17" t="n">
        <f aca="false">P41-Q41</f>
        <v>0</v>
      </c>
      <c r="S41" s="17" t="n">
        <f aca="false">J41-P41</f>
        <v>0</v>
      </c>
      <c r="T41" s="19"/>
    </row>
    <row r="42" customFormat="false" ht="21.75" hidden="false" customHeight="true" outlineLevel="0" collapsed="false">
      <c r="B42" s="6" t="n">
        <v>38</v>
      </c>
      <c r="C42" s="4" t="s">
        <v>9</v>
      </c>
      <c r="D42" s="6" t="s">
        <v>71</v>
      </c>
      <c r="E42" s="6" t="s">
        <v>46</v>
      </c>
      <c r="F42" s="6" t="s">
        <v>47</v>
      </c>
      <c r="G42" s="6" t="s">
        <v>48</v>
      </c>
      <c r="H42" s="6" t="s">
        <v>73</v>
      </c>
      <c r="I42" s="7" t="n">
        <v>232266</v>
      </c>
      <c r="J42" s="16"/>
      <c r="K42" s="25" t="n">
        <f aca="false">S01!J42</f>
        <v>0</v>
      </c>
      <c r="L42" s="20" t="n">
        <f aca="false">J42-K42</f>
        <v>0</v>
      </c>
      <c r="M42" s="18"/>
      <c r="N42" s="18"/>
      <c r="O42" s="18"/>
      <c r="P42" s="16"/>
      <c r="Q42" s="25" t="n">
        <f aca="false">S01!P42</f>
        <v>0</v>
      </c>
      <c r="R42" s="20" t="n">
        <f aca="false">P42-Q42</f>
        <v>0</v>
      </c>
      <c r="S42" s="20" t="n">
        <f aca="false">J42-P42</f>
        <v>0</v>
      </c>
      <c r="T42" s="19"/>
    </row>
    <row r="43" customFormat="false" ht="21.75" hidden="false" customHeight="true" outlineLevel="0" collapsed="false">
      <c r="B43" s="3" t="n">
        <v>39</v>
      </c>
      <c r="C43" s="4" t="s">
        <v>9</v>
      </c>
      <c r="D43" s="3" t="s">
        <v>71</v>
      </c>
      <c r="E43" s="3" t="s">
        <v>46</v>
      </c>
      <c r="F43" s="3" t="s">
        <v>47</v>
      </c>
      <c r="G43" s="3"/>
      <c r="H43" s="3" t="s">
        <v>74</v>
      </c>
      <c r="I43" s="5" t="n">
        <v>1055025</v>
      </c>
      <c r="J43" s="16"/>
      <c r="K43" s="24" t="n">
        <f aca="false">S01!J43</f>
        <v>0</v>
      </c>
      <c r="L43" s="17" t="n">
        <f aca="false">J43-K43</f>
        <v>0</v>
      </c>
      <c r="M43" s="18"/>
      <c r="N43" s="18"/>
      <c r="O43" s="18"/>
      <c r="P43" s="16"/>
      <c r="Q43" s="24" t="n">
        <f aca="false">S01!P43</f>
        <v>0</v>
      </c>
      <c r="R43" s="17" t="n">
        <f aca="false">P43-Q43</f>
        <v>0</v>
      </c>
      <c r="S43" s="17" t="n">
        <f aca="false">J43-P43</f>
        <v>0</v>
      </c>
      <c r="T43" s="19"/>
    </row>
    <row r="44" customFormat="false" ht="21.75" hidden="false" customHeight="true" outlineLevel="0" collapsed="false">
      <c r="B44" s="6" t="n">
        <v>40</v>
      </c>
      <c r="C44" s="4" t="s">
        <v>9</v>
      </c>
      <c r="D44" s="6" t="s">
        <v>71</v>
      </c>
      <c r="E44" s="6" t="s">
        <v>46</v>
      </c>
      <c r="F44" s="6" t="s">
        <v>47</v>
      </c>
      <c r="G44" s="6"/>
      <c r="H44" s="6" t="s">
        <v>75</v>
      </c>
      <c r="I44" s="7" t="n">
        <v>1004535</v>
      </c>
      <c r="J44" s="16"/>
      <c r="K44" s="25" t="n">
        <f aca="false">S01!J44</f>
        <v>0</v>
      </c>
      <c r="L44" s="20" t="n">
        <f aca="false">J44-K44</f>
        <v>0</v>
      </c>
      <c r="M44" s="18"/>
      <c r="N44" s="18"/>
      <c r="O44" s="18"/>
      <c r="P44" s="16"/>
      <c r="Q44" s="25" t="n">
        <f aca="false">S01!P44</f>
        <v>0</v>
      </c>
      <c r="R44" s="20" t="n">
        <f aca="false">P44-Q44</f>
        <v>0</v>
      </c>
      <c r="S44" s="20" t="n">
        <f aca="false">J44-P44</f>
        <v>0</v>
      </c>
      <c r="T44" s="19"/>
    </row>
    <row r="45" customFormat="false" ht="21.75" hidden="false" customHeight="true" outlineLevel="0" collapsed="false">
      <c r="B45" s="3" t="n">
        <v>41</v>
      </c>
      <c r="C45" s="4" t="s">
        <v>9</v>
      </c>
      <c r="D45" s="3" t="s">
        <v>71</v>
      </c>
      <c r="E45" s="3" t="s">
        <v>46</v>
      </c>
      <c r="F45" s="3" t="s">
        <v>47</v>
      </c>
      <c r="G45" s="3"/>
      <c r="H45" s="3" t="s">
        <v>76</v>
      </c>
      <c r="I45" s="5" t="n">
        <v>793830</v>
      </c>
      <c r="J45" s="16"/>
      <c r="K45" s="24" t="n">
        <f aca="false">S01!J45</f>
        <v>0</v>
      </c>
      <c r="L45" s="17" t="n">
        <f aca="false">J45-K45</f>
        <v>0</v>
      </c>
      <c r="M45" s="18"/>
      <c r="N45" s="18"/>
      <c r="O45" s="18"/>
      <c r="P45" s="16"/>
      <c r="Q45" s="24" t="n">
        <f aca="false">S01!P45</f>
        <v>0</v>
      </c>
      <c r="R45" s="17" t="n">
        <f aca="false">P45-Q45</f>
        <v>0</v>
      </c>
      <c r="S45" s="17" t="n">
        <f aca="false">J45-P45</f>
        <v>0</v>
      </c>
      <c r="T45" s="19"/>
    </row>
    <row r="46" customFormat="false" ht="21.75" hidden="false" customHeight="true" outlineLevel="0" collapsed="false">
      <c r="B46" s="6" t="n">
        <v>42</v>
      </c>
      <c r="C46" s="4" t="s">
        <v>9</v>
      </c>
      <c r="D46" s="6" t="s">
        <v>71</v>
      </c>
      <c r="E46" s="6" t="s">
        <v>15</v>
      </c>
      <c r="F46" s="6" t="s">
        <v>16</v>
      </c>
      <c r="G46" s="6" t="s">
        <v>44</v>
      </c>
      <c r="H46" s="6" t="s">
        <v>44</v>
      </c>
      <c r="I46" s="7" t="n">
        <v>2000000</v>
      </c>
      <c r="J46" s="16"/>
      <c r="K46" s="25" t="n">
        <f aca="false">S01!J46</f>
        <v>0</v>
      </c>
      <c r="L46" s="20" t="n">
        <f aca="false">J46-K46</f>
        <v>0</v>
      </c>
      <c r="M46" s="18"/>
      <c r="N46" s="18"/>
      <c r="O46" s="18"/>
      <c r="P46" s="16"/>
      <c r="Q46" s="25" t="n">
        <f aca="false">S01!P46</f>
        <v>0</v>
      </c>
      <c r="R46" s="20" t="n">
        <f aca="false">P46-Q46</f>
        <v>0</v>
      </c>
      <c r="S46" s="20" t="n">
        <f aca="false">J46-P46</f>
        <v>0</v>
      </c>
      <c r="T46" s="19"/>
    </row>
    <row r="47" customFormat="false" ht="21.75" hidden="false" customHeight="true" outlineLevel="0" collapsed="false">
      <c r="B47" s="3" t="n">
        <v>43</v>
      </c>
      <c r="C47" s="4" t="s">
        <v>9</v>
      </c>
      <c r="D47" s="3" t="s">
        <v>71</v>
      </c>
      <c r="E47" s="3" t="s">
        <v>11</v>
      </c>
      <c r="F47" s="3" t="s">
        <v>12</v>
      </c>
      <c r="G47" s="3" t="s">
        <v>19</v>
      </c>
      <c r="H47" s="3" t="s">
        <v>77</v>
      </c>
      <c r="I47" s="5" t="n">
        <v>200000</v>
      </c>
      <c r="J47" s="16"/>
      <c r="K47" s="24" t="n">
        <f aca="false">S01!J47</f>
        <v>0</v>
      </c>
      <c r="L47" s="17" t="n">
        <f aca="false">J47-K47</f>
        <v>0</v>
      </c>
      <c r="M47" s="18"/>
      <c r="N47" s="18"/>
      <c r="O47" s="18"/>
      <c r="P47" s="16"/>
      <c r="Q47" s="24" t="n">
        <f aca="false">S01!P47</f>
        <v>0</v>
      </c>
      <c r="R47" s="17" t="n">
        <f aca="false">P47-Q47</f>
        <v>0</v>
      </c>
      <c r="S47" s="17" t="n">
        <f aca="false">J47-P47</f>
        <v>0</v>
      </c>
      <c r="T47" s="19"/>
    </row>
    <row r="48" customFormat="false" ht="21.75" hidden="false" customHeight="true" outlineLevel="0" collapsed="false">
      <c r="B48" s="6" t="n">
        <v>44</v>
      </c>
      <c r="C48" s="4" t="s">
        <v>9</v>
      </c>
      <c r="D48" s="6" t="s">
        <v>71</v>
      </c>
      <c r="E48" s="6" t="s">
        <v>21</v>
      </c>
      <c r="F48" s="6" t="s">
        <v>22</v>
      </c>
      <c r="G48" s="6" t="s">
        <v>23</v>
      </c>
      <c r="H48" s="6" t="s">
        <v>78</v>
      </c>
      <c r="I48" s="7" t="n">
        <v>580000</v>
      </c>
      <c r="J48" s="16"/>
      <c r="K48" s="25" t="n">
        <f aca="false">S01!J48</f>
        <v>0</v>
      </c>
      <c r="L48" s="20" t="n">
        <f aca="false">J48-K48</f>
        <v>0</v>
      </c>
      <c r="M48" s="18"/>
      <c r="N48" s="18"/>
      <c r="O48" s="18"/>
      <c r="P48" s="16"/>
      <c r="Q48" s="25" t="n">
        <f aca="false">S01!P48</f>
        <v>0</v>
      </c>
      <c r="R48" s="20" t="n">
        <f aca="false">P48-Q48</f>
        <v>0</v>
      </c>
      <c r="S48" s="20" t="n">
        <f aca="false">J48-P48</f>
        <v>0</v>
      </c>
      <c r="T48" s="19"/>
    </row>
    <row r="49" customFormat="false" ht="21.75" hidden="false" customHeight="true" outlineLevel="0" collapsed="false">
      <c r="B49" s="3" t="n">
        <v>45</v>
      </c>
      <c r="C49" s="4" t="s">
        <v>9</v>
      </c>
      <c r="D49" s="3" t="s">
        <v>71</v>
      </c>
      <c r="E49" s="3" t="s">
        <v>21</v>
      </c>
      <c r="F49" s="3" t="s">
        <v>22</v>
      </c>
      <c r="G49" s="3" t="s">
        <v>32</v>
      </c>
      <c r="H49" s="3" t="s">
        <v>79</v>
      </c>
      <c r="I49" s="5" t="n">
        <v>4000000</v>
      </c>
      <c r="J49" s="16"/>
      <c r="K49" s="24" t="n">
        <f aca="false">S01!J49</f>
        <v>0</v>
      </c>
      <c r="L49" s="17" t="n">
        <f aca="false">J49-K49</f>
        <v>0</v>
      </c>
      <c r="M49" s="18"/>
      <c r="N49" s="18"/>
      <c r="O49" s="18"/>
      <c r="P49" s="16"/>
      <c r="Q49" s="24" t="n">
        <f aca="false">S01!P49</f>
        <v>0</v>
      </c>
      <c r="R49" s="17" t="n">
        <f aca="false">P49-Q49</f>
        <v>0</v>
      </c>
      <c r="S49" s="17" t="n">
        <f aca="false">J49-P49</f>
        <v>0</v>
      </c>
      <c r="T49" s="19"/>
    </row>
    <row r="50" customFormat="false" ht="21.75" hidden="false" customHeight="true" outlineLevel="0" collapsed="false">
      <c r="B50" s="6" t="n">
        <v>46</v>
      </c>
      <c r="C50" s="4" t="s">
        <v>9</v>
      </c>
      <c r="D50" s="6" t="s">
        <v>80</v>
      </c>
      <c r="E50" s="6" t="s">
        <v>15</v>
      </c>
      <c r="F50" s="6" t="s">
        <v>16</v>
      </c>
      <c r="G50" s="6" t="s">
        <v>44</v>
      </c>
      <c r="H50" s="6" t="s">
        <v>44</v>
      </c>
      <c r="I50" s="7" t="n">
        <v>655000</v>
      </c>
      <c r="J50" s="16"/>
      <c r="K50" s="25" t="n">
        <f aca="false">S01!J50</f>
        <v>0</v>
      </c>
      <c r="L50" s="20" t="n">
        <f aca="false">J50-K50</f>
        <v>0</v>
      </c>
      <c r="M50" s="18"/>
      <c r="N50" s="18"/>
      <c r="O50" s="18"/>
      <c r="P50" s="16"/>
      <c r="Q50" s="25" t="n">
        <f aca="false">S01!P50</f>
        <v>0</v>
      </c>
      <c r="R50" s="20" t="n">
        <f aca="false">P50-Q50</f>
        <v>0</v>
      </c>
      <c r="S50" s="20" t="n">
        <f aca="false">J50-P50</f>
        <v>0</v>
      </c>
      <c r="T50" s="19"/>
    </row>
    <row r="51" customFormat="false" ht="21.75" hidden="false" customHeight="true" outlineLevel="0" collapsed="false">
      <c r="B51" s="3" t="n">
        <v>47</v>
      </c>
      <c r="C51" s="4" t="s">
        <v>9</v>
      </c>
      <c r="D51" s="3" t="s">
        <v>81</v>
      </c>
      <c r="E51" s="3" t="s">
        <v>46</v>
      </c>
      <c r="F51" s="3" t="s">
        <v>47</v>
      </c>
      <c r="G51" s="3" t="s">
        <v>48</v>
      </c>
      <c r="H51" s="3" t="s">
        <v>82</v>
      </c>
      <c r="I51" s="5" t="n">
        <v>5182920</v>
      </c>
      <c r="J51" s="16"/>
      <c r="K51" s="24" t="n">
        <f aca="false">S01!J51</f>
        <v>0</v>
      </c>
      <c r="L51" s="17" t="n">
        <f aca="false">J51-K51</f>
        <v>0</v>
      </c>
      <c r="M51" s="18"/>
      <c r="N51" s="18"/>
      <c r="O51" s="18"/>
      <c r="P51" s="16"/>
      <c r="Q51" s="24" t="n">
        <f aca="false">S01!P51</f>
        <v>0</v>
      </c>
      <c r="R51" s="17" t="n">
        <f aca="false">P51-Q51</f>
        <v>0</v>
      </c>
      <c r="S51" s="17" t="n">
        <f aca="false">J51-P51</f>
        <v>0</v>
      </c>
      <c r="T51" s="19"/>
    </row>
    <row r="52" customFormat="false" ht="21.75" hidden="false" customHeight="true" outlineLevel="0" collapsed="false">
      <c r="B52" s="6" t="n">
        <v>48</v>
      </c>
      <c r="C52" s="4" t="s">
        <v>9</v>
      </c>
      <c r="D52" s="6" t="s">
        <v>81</v>
      </c>
      <c r="E52" s="6" t="s">
        <v>46</v>
      </c>
      <c r="F52" s="6" t="s">
        <v>47</v>
      </c>
      <c r="G52" s="6"/>
      <c r="H52" s="6" t="s">
        <v>83</v>
      </c>
      <c r="I52" s="7" t="n">
        <v>152818</v>
      </c>
      <c r="J52" s="16"/>
      <c r="K52" s="25" t="n">
        <f aca="false">S01!J52</f>
        <v>0</v>
      </c>
      <c r="L52" s="20" t="n">
        <f aca="false">J52-K52</f>
        <v>0</v>
      </c>
      <c r="M52" s="18"/>
      <c r="N52" s="18"/>
      <c r="O52" s="18"/>
      <c r="P52" s="16"/>
      <c r="Q52" s="25" t="n">
        <f aca="false">S01!P52</f>
        <v>0</v>
      </c>
      <c r="R52" s="20" t="n">
        <f aca="false">P52-Q52</f>
        <v>0</v>
      </c>
      <c r="S52" s="20" t="n">
        <f aca="false">J52-P52</f>
        <v>0</v>
      </c>
      <c r="T52" s="19"/>
    </row>
    <row r="53" customFormat="false" ht="21.75" hidden="false" customHeight="true" outlineLevel="0" collapsed="false">
      <c r="B53" s="3" t="n">
        <v>49</v>
      </c>
      <c r="C53" s="4" t="s">
        <v>9</v>
      </c>
      <c r="D53" s="3" t="s">
        <v>81</v>
      </c>
      <c r="E53" s="3" t="s">
        <v>46</v>
      </c>
      <c r="F53" s="3" t="s">
        <v>47</v>
      </c>
      <c r="G53" s="3"/>
      <c r="H53" s="3" t="s">
        <v>84</v>
      </c>
      <c r="I53" s="5" t="n">
        <v>1418000</v>
      </c>
      <c r="J53" s="16"/>
      <c r="K53" s="24" t="n">
        <f aca="false">S01!J53</f>
        <v>0</v>
      </c>
      <c r="L53" s="17" t="n">
        <f aca="false">J53-K53</f>
        <v>0</v>
      </c>
      <c r="M53" s="18"/>
      <c r="N53" s="18"/>
      <c r="O53" s="18"/>
      <c r="P53" s="16"/>
      <c r="Q53" s="24" t="n">
        <f aca="false">S01!P53</f>
        <v>0</v>
      </c>
      <c r="R53" s="17" t="n">
        <f aca="false">P53-Q53</f>
        <v>0</v>
      </c>
      <c r="S53" s="17" t="n">
        <f aca="false">J53-P53</f>
        <v>0</v>
      </c>
      <c r="T53" s="19"/>
    </row>
    <row r="54" customFormat="false" ht="21.75" hidden="false" customHeight="true" outlineLevel="0" collapsed="false">
      <c r="B54" s="6" t="n">
        <v>50</v>
      </c>
      <c r="C54" s="4" t="s">
        <v>9</v>
      </c>
      <c r="D54" s="6" t="s">
        <v>81</v>
      </c>
      <c r="E54" s="6" t="s">
        <v>46</v>
      </c>
      <c r="F54" s="6" t="s">
        <v>47</v>
      </c>
      <c r="G54" s="6" t="s">
        <v>62</v>
      </c>
      <c r="H54" s="6" t="s">
        <v>85</v>
      </c>
      <c r="I54" s="7" t="n">
        <v>800000</v>
      </c>
      <c r="J54" s="16"/>
      <c r="K54" s="25" t="n">
        <f aca="false">S01!J54</f>
        <v>0</v>
      </c>
      <c r="L54" s="20" t="n">
        <f aca="false">J54-K54</f>
        <v>0</v>
      </c>
      <c r="M54" s="18"/>
      <c r="N54" s="18"/>
      <c r="O54" s="18"/>
      <c r="P54" s="16"/>
      <c r="Q54" s="25" t="n">
        <f aca="false">S01!P54</f>
        <v>0</v>
      </c>
      <c r="R54" s="20" t="n">
        <f aca="false">P54-Q54</f>
        <v>0</v>
      </c>
      <c r="S54" s="20" t="n">
        <f aca="false">J54-P54</f>
        <v>0</v>
      </c>
      <c r="T54" s="19"/>
    </row>
    <row r="55" customFormat="false" ht="21.75" hidden="false" customHeight="true" outlineLevel="0" collapsed="false">
      <c r="B55" s="3" t="n">
        <v>51</v>
      </c>
      <c r="C55" s="4" t="s">
        <v>9</v>
      </c>
      <c r="D55" s="3" t="s">
        <v>81</v>
      </c>
      <c r="E55" s="3" t="s">
        <v>15</v>
      </c>
      <c r="F55" s="3" t="s">
        <v>16</v>
      </c>
      <c r="G55" s="3" t="s">
        <v>44</v>
      </c>
      <c r="H55" s="3" t="s">
        <v>44</v>
      </c>
      <c r="I55" s="5" t="n">
        <v>3700000</v>
      </c>
      <c r="J55" s="16"/>
      <c r="K55" s="24" t="n">
        <f aca="false">S01!J55</f>
        <v>0</v>
      </c>
      <c r="L55" s="17" t="n">
        <f aca="false">J55-K55</f>
        <v>0</v>
      </c>
      <c r="M55" s="18"/>
      <c r="N55" s="18"/>
      <c r="O55" s="18"/>
      <c r="P55" s="16"/>
      <c r="Q55" s="24" t="n">
        <f aca="false">S01!P55</f>
        <v>0</v>
      </c>
      <c r="R55" s="17" t="n">
        <f aca="false">P55-Q55</f>
        <v>0</v>
      </c>
      <c r="S55" s="17" t="n">
        <f aca="false">J55-P55</f>
        <v>0</v>
      </c>
      <c r="T55" s="19"/>
    </row>
    <row r="56" customFormat="false" ht="21.75" hidden="false" customHeight="true" outlineLevel="0" collapsed="false">
      <c r="B56" s="6" t="n">
        <v>52</v>
      </c>
      <c r="C56" s="4" t="s">
        <v>9</v>
      </c>
      <c r="D56" s="6" t="s">
        <v>81</v>
      </c>
      <c r="E56" s="6" t="s">
        <v>21</v>
      </c>
      <c r="F56" s="6" t="s">
        <v>22</v>
      </c>
      <c r="G56" s="6" t="s">
        <v>23</v>
      </c>
      <c r="H56" s="6" t="s">
        <v>86</v>
      </c>
      <c r="I56" s="7" t="n">
        <v>705000</v>
      </c>
      <c r="J56" s="16"/>
      <c r="K56" s="25" t="n">
        <f aca="false">S01!J56</f>
        <v>0</v>
      </c>
      <c r="L56" s="20" t="n">
        <f aca="false">J56-K56</f>
        <v>0</v>
      </c>
      <c r="M56" s="18"/>
      <c r="N56" s="18"/>
      <c r="O56" s="18"/>
      <c r="P56" s="16"/>
      <c r="Q56" s="25" t="n">
        <f aca="false">S01!P56</f>
        <v>0</v>
      </c>
      <c r="R56" s="20" t="n">
        <f aca="false">P56-Q56</f>
        <v>0</v>
      </c>
      <c r="S56" s="20" t="n">
        <f aca="false">J56-P56</f>
        <v>0</v>
      </c>
      <c r="T56" s="19"/>
    </row>
    <row r="57" customFormat="false" ht="21.75" hidden="false" customHeight="true" outlineLevel="0" collapsed="false">
      <c r="B57" s="3" t="n">
        <v>53</v>
      </c>
      <c r="C57" s="4" t="s">
        <v>9</v>
      </c>
      <c r="D57" s="3" t="s">
        <v>81</v>
      </c>
      <c r="E57" s="3" t="s">
        <v>21</v>
      </c>
      <c r="F57" s="3" t="s">
        <v>22</v>
      </c>
      <c r="G57" s="3" t="s">
        <v>57</v>
      </c>
      <c r="H57" s="3" t="s">
        <v>87</v>
      </c>
      <c r="I57" s="5" t="n">
        <v>372000</v>
      </c>
      <c r="J57" s="16"/>
      <c r="K57" s="24" t="n">
        <f aca="false">S01!J57</f>
        <v>0</v>
      </c>
      <c r="L57" s="17" t="n">
        <f aca="false">J57-K57</f>
        <v>0</v>
      </c>
      <c r="M57" s="18"/>
      <c r="N57" s="18"/>
      <c r="O57" s="18"/>
      <c r="P57" s="16"/>
      <c r="Q57" s="24" t="n">
        <f aca="false">S01!P57</f>
        <v>0</v>
      </c>
      <c r="R57" s="17" t="n">
        <f aca="false">P57-Q57</f>
        <v>0</v>
      </c>
      <c r="S57" s="17" t="n">
        <f aca="false">J57-P57</f>
        <v>0</v>
      </c>
      <c r="T57" s="19"/>
    </row>
    <row r="58" customFormat="false" ht="21.75" hidden="false" customHeight="true" outlineLevel="0" collapsed="false">
      <c r="B58" s="6" t="n">
        <v>54</v>
      </c>
      <c r="C58" s="8" t="s">
        <v>88</v>
      </c>
      <c r="D58" s="6" t="s">
        <v>89</v>
      </c>
      <c r="E58" s="6" t="s">
        <v>11</v>
      </c>
      <c r="F58" s="6" t="s">
        <v>12</v>
      </c>
      <c r="G58" s="6" t="s">
        <v>13</v>
      </c>
      <c r="H58" s="6" t="s">
        <v>90</v>
      </c>
      <c r="I58" s="7" t="n">
        <v>10000000</v>
      </c>
      <c r="J58" s="16"/>
      <c r="K58" s="25" t="n">
        <f aca="false">S01!J58</f>
        <v>0</v>
      </c>
      <c r="L58" s="20" t="n">
        <f aca="false">J58-K58</f>
        <v>0</v>
      </c>
      <c r="M58" s="18"/>
      <c r="N58" s="18"/>
      <c r="O58" s="18"/>
      <c r="P58" s="16"/>
      <c r="Q58" s="25" t="n">
        <f aca="false">S01!P58</f>
        <v>0</v>
      </c>
      <c r="R58" s="20" t="n">
        <f aca="false">P58-Q58</f>
        <v>0</v>
      </c>
      <c r="S58" s="20" t="n">
        <f aca="false">J58-P58</f>
        <v>0</v>
      </c>
      <c r="T58" s="19"/>
    </row>
    <row r="59" customFormat="false" ht="21.75" hidden="false" customHeight="true" outlineLevel="0" collapsed="false">
      <c r="B59" s="3" t="n">
        <v>55</v>
      </c>
      <c r="C59" s="8" t="s">
        <v>88</v>
      </c>
      <c r="D59" s="3" t="s">
        <v>89</v>
      </c>
      <c r="E59" s="3" t="s">
        <v>15</v>
      </c>
      <c r="F59" s="3" t="s">
        <v>16</v>
      </c>
      <c r="G59" s="3" t="s">
        <v>17</v>
      </c>
      <c r="H59" s="3" t="s">
        <v>91</v>
      </c>
      <c r="I59" s="5" t="n">
        <v>2000000</v>
      </c>
      <c r="J59" s="16"/>
      <c r="K59" s="24" t="n">
        <f aca="false">S01!J59</f>
        <v>0</v>
      </c>
      <c r="L59" s="17" t="n">
        <f aca="false">J59-K59</f>
        <v>0</v>
      </c>
      <c r="M59" s="18"/>
      <c r="N59" s="18"/>
      <c r="O59" s="18"/>
      <c r="P59" s="16"/>
      <c r="Q59" s="24" t="n">
        <f aca="false">S01!P59</f>
        <v>0</v>
      </c>
      <c r="R59" s="17" t="n">
        <f aca="false">P59-Q59</f>
        <v>0</v>
      </c>
      <c r="S59" s="17" t="n">
        <f aca="false">J59-P59</f>
        <v>0</v>
      </c>
      <c r="T59" s="19"/>
    </row>
    <row r="60" customFormat="false" ht="21.75" hidden="false" customHeight="true" outlineLevel="0" collapsed="false">
      <c r="B60" s="6" t="n">
        <v>56</v>
      </c>
      <c r="C60" s="8" t="s">
        <v>88</v>
      </c>
      <c r="D60" s="6" t="s">
        <v>89</v>
      </c>
      <c r="E60" s="6" t="s">
        <v>21</v>
      </c>
      <c r="F60" s="6" t="s">
        <v>22</v>
      </c>
      <c r="G60" s="6" t="s">
        <v>30</v>
      </c>
      <c r="H60" s="6" t="s">
        <v>92</v>
      </c>
      <c r="I60" s="7" t="n">
        <v>300000</v>
      </c>
      <c r="J60" s="16"/>
      <c r="K60" s="25" t="n">
        <f aca="false">S01!J60</f>
        <v>0</v>
      </c>
      <c r="L60" s="20" t="n">
        <f aca="false">J60-K60</f>
        <v>0</v>
      </c>
      <c r="M60" s="18"/>
      <c r="N60" s="18"/>
      <c r="O60" s="18"/>
      <c r="P60" s="16"/>
      <c r="Q60" s="25" t="n">
        <f aca="false">S01!P60</f>
        <v>0</v>
      </c>
      <c r="R60" s="20" t="n">
        <f aca="false">P60-Q60</f>
        <v>0</v>
      </c>
      <c r="S60" s="20" t="n">
        <f aca="false">J60-P60</f>
        <v>0</v>
      </c>
      <c r="T60" s="19"/>
    </row>
    <row r="61" customFormat="false" ht="21.75" hidden="false" customHeight="true" outlineLevel="0" collapsed="false">
      <c r="B61" s="3" t="n">
        <v>57</v>
      </c>
      <c r="C61" s="8" t="s">
        <v>88</v>
      </c>
      <c r="D61" s="3" t="s">
        <v>89</v>
      </c>
      <c r="E61" s="3" t="s">
        <v>46</v>
      </c>
      <c r="F61" s="3" t="s">
        <v>47</v>
      </c>
      <c r="G61" s="3" t="s">
        <v>62</v>
      </c>
      <c r="H61" s="3" t="s">
        <v>93</v>
      </c>
      <c r="I61" s="5" t="n">
        <v>100000</v>
      </c>
      <c r="J61" s="16"/>
      <c r="K61" s="24" t="n">
        <f aca="false">S01!J61</f>
        <v>0</v>
      </c>
      <c r="L61" s="17" t="n">
        <f aca="false">J61-K61</f>
        <v>0</v>
      </c>
      <c r="M61" s="18"/>
      <c r="N61" s="18"/>
      <c r="O61" s="18"/>
      <c r="P61" s="16"/>
      <c r="Q61" s="24" t="n">
        <f aca="false">S01!P61</f>
        <v>0</v>
      </c>
      <c r="R61" s="17" t="n">
        <f aca="false">P61-Q61</f>
        <v>0</v>
      </c>
      <c r="S61" s="17" t="n">
        <f aca="false">J61-P61</f>
        <v>0</v>
      </c>
      <c r="T61" s="19"/>
    </row>
    <row r="62" customFormat="false" ht="21.75" hidden="false" customHeight="true" outlineLevel="0" collapsed="false">
      <c r="B62" s="6" t="n">
        <v>58</v>
      </c>
      <c r="C62" s="8" t="s">
        <v>88</v>
      </c>
      <c r="D62" s="6" t="s">
        <v>94</v>
      </c>
      <c r="E62" s="6" t="s">
        <v>11</v>
      </c>
      <c r="F62" s="6" t="s">
        <v>12</v>
      </c>
      <c r="G62" s="6" t="s">
        <v>13</v>
      </c>
      <c r="H62" s="6" t="s">
        <v>95</v>
      </c>
      <c r="I62" s="7" t="n">
        <v>3000000</v>
      </c>
      <c r="J62" s="16"/>
      <c r="K62" s="25" t="n">
        <f aca="false">S01!J62</f>
        <v>0</v>
      </c>
      <c r="L62" s="20" t="n">
        <f aca="false">J62-K62</f>
        <v>0</v>
      </c>
      <c r="M62" s="18"/>
      <c r="N62" s="18"/>
      <c r="O62" s="18"/>
      <c r="P62" s="16"/>
      <c r="Q62" s="25" t="n">
        <f aca="false">S01!P62</f>
        <v>0</v>
      </c>
      <c r="R62" s="20" t="n">
        <f aca="false">P62-Q62</f>
        <v>0</v>
      </c>
      <c r="S62" s="20" t="n">
        <f aca="false">J62-P62</f>
        <v>0</v>
      </c>
      <c r="T62" s="19"/>
    </row>
    <row r="63" customFormat="false" ht="21.75" hidden="false" customHeight="true" outlineLevel="0" collapsed="false">
      <c r="B63" s="3" t="n">
        <v>59</v>
      </c>
      <c r="C63" s="8" t="s">
        <v>88</v>
      </c>
      <c r="D63" s="3" t="s">
        <v>94</v>
      </c>
      <c r="E63" s="3" t="s">
        <v>15</v>
      </c>
      <c r="F63" s="3" t="s">
        <v>16</v>
      </c>
      <c r="G63" s="3" t="s">
        <v>17</v>
      </c>
      <c r="H63" s="3" t="s">
        <v>96</v>
      </c>
      <c r="I63" s="5" t="n">
        <v>5000000</v>
      </c>
      <c r="J63" s="16"/>
      <c r="K63" s="24" t="n">
        <f aca="false">S01!J63</f>
        <v>0</v>
      </c>
      <c r="L63" s="17" t="n">
        <f aca="false">J63-K63</f>
        <v>0</v>
      </c>
      <c r="M63" s="18"/>
      <c r="N63" s="18"/>
      <c r="O63" s="18"/>
      <c r="P63" s="16"/>
      <c r="Q63" s="24" t="n">
        <f aca="false">S01!P63</f>
        <v>0</v>
      </c>
      <c r="R63" s="17" t="n">
        <f aca="false">P63-Q63</f>
        <v>0</v>
      </c>
      <c r="S63" s="17" t="n">
        <f aca="false">J63-P63</f>
        <v>0</v>
      </c>
      <c r="T63" s="19"/>
    </row>
    <row r="64" customFormat="false" ht="21.75" hidden="false" customHeight="true" outlineLevel="0" collapsed="false">
      <c r="B64" s="6" t="n">
        <v>60</v>
      </c>
      <c r="C64" s="8" t="s">
        <v>88</v>
      </c>
      <c r="D64" s="6" t="s">
        <v>97</v>
      </c>
      <c r="E64" s="6" t="s">
        <v>11</v>
      </c>
      <c r="F64" s="6" t="s">
        <v>12</v>
      </c>
      <c r="G64" s="6" t="s">
        <v>13</v>
      </c>
      <c r="H64" s="6" t="s">
        <v>98</v>
      </c>
      <c r="I64" s="7" t="n">
        <v>3000000</v>
      </c>
      <c r="J64" s="16"/>
      <c r="K64" s="25" t="n">
        <f aca="false">S01!J64</f>
        <v>0</v>
      </c>
      <c r="L64" s="20" t="n">
        <f aca="false">J64-K64</f>
        <v>0</v>
      </c>
      <c r="M64" s="18"/>
      <c r="N64" s="18"/>
      <c r="O64" s="18"/>
      <c r="P64" s="16"/>
      <c r="Q64" s="25" t="n">
        <f aca="false">S01!P64</f>
        <v>0</v>
      </c>
      <c r="R64" s="20" t="n">
        <f aca="false">P64-Q64</f>
        <v>0</v>
      </c>
      <c r="S64" s="20" t="n">
        <f aca="false">J64-P64</f>
        <v>0</v>
      </c>
      <c r="T64" s="19"/>
    </row>
    <row r="65" customFormat="false" ht="21.75" hidden="false" customHeight="true" outlineLevel="0" collapsed="false">
      <c r="B65" s="3" t="n">
        <v>61</v>
      </c>
      <c r="C65" s="8" t="s">
        <v>88</v>
      </c>
      <c r="D65" s="3" t="s">
        <v>97</v>
      </c>
      <c r="E65" s="3" t="s">
        <v>15</v>
      </c>
      <c r="F65" s="3" t="s">
        <v>16</v>
      </c>
      <c r="G65" s="3" t="s">
        <v>17</v>
      </c>
      <c r="H65" s="3" t="s">
        <v>99</v>
      </c>
      <c r="I65" s="5" t="n">
        <v>3000000</v>
      </c>
      <c r="J65" s="16"/>
      <c r="K65" s="24" t="n">
        <f aca="false">S01!J65</f>
        <v>0</v>
      </c>
      <c r="L65" s="17" t="n">
        <f aca="false">J65-K65</f>
        <v>0</v>
      </c>
      <c r="M65" s="18"/>
      <c r="N65" s="18"/>
      <c r="O65" s="18"/>
      <c r="P65" s="16"/>
      <c r="Q65" s="24" t="n">
        <f aca="false">S01!P65</f>
        <v>0</v>
      </c>
      <c r="R65" s="17" t="n">
        <f aca="false">P65-Q65</f>
        <v>0</v>
      </c>
      <c r="S65" s="17" t="n">
        <f aca="false">J65-P65</f>
        <v>0</v>
      </c>
      <c r="T65" s="19"/>
    </row>
    <row r="66" customFormat="false" ht="21.75" hidden="false" customHeight="true" outlineLevel="0" collapsed="false">
      <c r="B66" s="6" t="n">
        <v>62</v>
      </c>
      <c r="C66" s="8" t="s">
        <v>88</v>
      </c>
      <c r="D66" s="6" t="s">
        <v>100</v>
      </c>
      <c r="E66" s="6" t="s">
        <v>11</v>
      </c>
      <c r="F66" s="6" t="s">
        <v>12</v>
      </c>
      <c r="G66" s="6" t="s">
        <v>13</v>
      </c>
      <c r="H66" s="6" t="s">
        <v>101</v>
      </c>
      <c r="I66" s="7" t="n">
        <v>6000000</v>
      </c>
      <c r="J66" s="16"/>
      <c r="K66" s="25" t="n">
        <f aca="false">S01!J66</f>
        <v>0</v>
      </c>
      <c r="L66" s="20" t="n">
        <f aca="false">J66-K66</f>
        <v>0</v>
      </c>
      <c r="M66" s="18"/>
      <c r="N66" s="18"/>
      <c r="O66" s="18"/>
      <c r="P66" s="16"/>
      <c r="Q66" s="25" t="n">
        <f aca="false">S01!P66</f>
        <v>0</v>
      </c>
      <c r="R66" s="20" t="n">
        <f aca="false">P66-Q66</f>
        <v>0</v>
      </c>
      <c r="S66" s="20" t="n">
        <f aca="false">J66-P66</f>
        <v>0</v>
      </c>
      <c r="T66" s="19"/>
    </row>
    <row r="67" customFormat="false" ht="21.75" hidden="false" customHeight="true" outlineLevel="0" collapsed="false">
      <c r="B67" s="3" t="n">
        <v>63</v>
      </c>
      <c r="C67" s="8" t="s">
        <v>88</v>
      </c>
      <c r="D67" s="3" t="s">
        <v>100</v>
      </c>
      <c r="E67" s="3" t="s">
        <v>15</v>
      </c>
      <c r="F67" s="3" t="s">
        <v>16</v>
      </c>
      <c r="G67" s="3" t="s">
        <v>17</v>
      </c>
      <c r="H67" s="3" t="s">
        <v>102</v>
      </c>
      <c r="I67" s="5" t="n">
        <v>6000000</v>
      </c>
      <c r="J67" s="16"/>
      <c r="K67" s="24" t="n">
        <f aca="false">S01!J67</f>
        <v>0</v>
      </c>
      <c r="L67" s="17" t="n">
        <f aca="false">J67-K67</f>
        <v>0</v>
      </c>
      <c r="M67" s="18"/>
      <c r="N67" s="18"/>
      <c r="O67" s="18"/>
      <c r="P67" s="16"/>
      <c r="Q67" s="24" t="n">
        <f aca="false">S01!P67</f>
        <v>0</v>
      </c>
      <c r="R67" s="17" t="n">
        <f aca="false">P67-Q67</f>
        <v>0</v>
      </c>
      <c r="S67" s="17" t="n">
        <f aca="false">J67-P67</f>
        <v>0</v>
      </c>
      <c r="T67" s="19"/>
    </row>
    <row r="68" customFormat="false" ht="21.75" hidden="false" customHeight="true" outlineLevel="0" collapsed="false">
      <c r="B68" s="6" t="n">
        <v>64</v>
      </c>
      <c r="C68" s="8" t="s">
        <v>88</v>
      </c>
      <c r="D68" s="6" t="s">
        <v>103</v>
      </c>
      <c r="E68" s="6" t="s">
        <v>11</v>
      </c>
      <c r="F68" s="6" t="s">
        <v>12</v>
      </c>
      <c r="G68" s="6" t="s">
        <v>13</v>
      </c>
      <c r="H68" s="6" t="s">
        <v>104</v>
      </c>
      <c r="I68" s="7" t="n">
        <v>3000000</v>
      </c>
      <c r="J68" s="16"/>
      <c r="K68" s="25" t="n">
        <f aca="false">S01!J68</f>
        <v>0</v>
      </c>
      <c r="L68" s="20" t="n">
        <f aca="false">J68-K68</f>
        <v>0</v>
      </c>
      <c r="M68" s="18"/>
      <c r="N68" s="18"/>
      <c r="O68" s="18"/>
      <c r="P68" s="16"/>
      <c r="Q68" s="25" t="n">
        <f aca="false">S01!P68</f>
        <v>0</v>
      </c>
      <c r="R68" s="20" t="n">
        <f aca="false">P68-Q68</f>
        <v>0</v>
      </c>
      <c r="S68" s="20" t="n">
        <f aca="false">J68-P68</f>
        <v>0</v>
      </c>
      <c r="T68" s="19"/>
    </row>
    <row r="69" customFormat="false" ht="21.75" hidden="false" customHeight="true" outlineLevel="0" collapsed="false">
      <c r="B69" s="3" t="n">
        <v>65</v>
      </c>
      <c r="C69" s="8" t="s">
        <v>88</v>
      </c>
      <c r="D69" s="3" t="s">
        <v>105</v>
      </c>
      <c r="E69" s="3" t="s">
        <v>11</v>
      </c>
      <c r="F69" s="3" t="s">
        <v>12</v>
      </c>
      <c r="G69" s="3" t="s">
        <v>13</v>
      </c>
      <c r="H69" s="3" t="s">
        <v>106</v>
      </c>
      <c r="I69" s="5" t="n">
        <v>1000000</v>
      </c>
      <c r="J69" s="16"/>
      <c r="K69" s="24" t="n">
        <f aca="false">S01!J69</f>
        <v>0</v>
      </c>
      <c r="L69" s="17" t="n">
        <f aca="false">J69-K69</f>
        <v>0</v>
      </c>
      <c r="M69" s="18"/>
      <c r="N69" s="18"/>
      <c r="O69" s="18"/>
      <c r="P69" s="16"/>
      <c r="Q69" s="24" t="n">
        <f aca="false">S01!P69</f>
        <v>0</v>
      </c>
      <c r="R69" s="17" t="n">
        <f aca="false">P69-Q69</f>
        <v>0</v>
      </c>
      <c r="S69" s="17" t="n">
        <f aca="false">J69-P69</f>
        <v>0</v>
      </c>
      <c r="T69" s="19"/>
    </row>
    <row r="70" customFormat="false" ht="21.75" hidden="false" customHeight="true" outlineLevel="0" collapsed="false">
      <c r="B70" s="6" t="n">
        <v>66</v>
      </c>
      <c r="C70" s="8" t="s">
        <v>88</v>
      </c>
      <c r="D70" s="6" t="s">
        <v>107</v>
      </c>
      <c r="E70" s="6" t="s">
        <v>11</v>
      </c>
      <c r="F70" s="6" t="s">
        <v>12</v>
      </c>
      <c r="G70" s="6" t="s">
        <v>13</v>
      </c>
      <c r="H70" s="6" t="s">
        <v>108</v>
      </c>
      <c r="I70" s="7" t="n">
        <v>1000000</v>
      </c>
      <c r="J70" s="16"/>
      <c r="K70" s="25" t="n">
        <f aca="false">S01!J70</f>
        <v>0</v>
      </c>
      <c r="L70" s="20" t="n">
        <f aca="false">J70-K70</f>
        <v>0</v>
      </c>
      <c r="M70" s="18"/>
      <c r="N70" s="18"/>
      <c r="O70" s="18"/>
      <c r="P70" s="16"/>
      <c r="Q70" s="25" t="n">
        <f aca="false">S01!P70</f>
        <v>0</v>
      </c>
      <c r="R70" s="20" t="n">
        <f aca="false">P70-Q70</f>
        <v>0</v>
      </c>
      <c r="S70" s="20" t="n">
        <f aca="false">J70-P70</f>
        <v>0</v>
      </c>
      <c r="T70" s="19"/>
    </row>
    <row r="71" customFormat="false" ht="21.75" hidden="false" customHeight="true" outlineLevel="0" collapsed="false">
      <c r="B71" s="3" t="n">
        <v>67</v>
      </c>
      <c r="C71" s="8" t="s">
        <v>88</v>
      </c>
      <c r="D71" s="3" t="s">
        <v>109</v>
      </c>
      <c r="E71" s="3" t="s">
        <v>11</v>
      </c>
      <c r="F71" s="3" t="s">
        <v>12</v>
      </c>
      <c r="G71" s="3" t="s">
        <v>13</v>
      </c>
      <c r="H71" s="3" t="s">
        <v>110</v>
      </c>
      <c r="I71" s="5" t="n">
        <v>6600000</v>
      </c>
      <c r="J71" s="16"/>
      <c r="K71" s="24" t="n">
        <f aca="false">S01!J71</f>
        <v>0</v>
      </c>
      <c r="L71" s="17" t="n">
        <f aca="false">J71-K71</f>
        <v>0</v>
      </c>
      <c r="M71" s="18"/>
      <c r="N71" s="18"/>
      <c r="O71" s="18"/>
      <c r="P71" s="16"/>
      <c r="Q71" s="24" t="n">
        <f aca="false">S01!P71</f>
        <v>0</v>
      </c>
      <c r="R71" s="17" t="n">
        <f aca="false">P71-Q71</f>
        <v>0</v>
      </c>
      <c r="S71" s="17" t="n">
        <f aca="false">J71-P71</f>
        <v>0</v>
      </c>
      <c r="T71" s="19"/>
    </row>
    <row r="72" customFormat="false" ht="21.75" hidden="false" customHeight="true" outlineLevel="0" collapsed="false">
      <c r="B72" s="6" t="n">
        <v>68</v>
      </c>
      <c r="C72" s="9" t="s">
        <v>111</v>
      </c>
      <c r="D72" s="6" t="s">
        <v>112</v>
      </c>
      <c r="E72" s="6" t="s">
        <v>11</v>
      </c>
      <c r="F72" s="6" t="s">
        <v>12</v>
      </c>
      <c r="G72" s="6" t="s">
        <v>13</v>
      </c>
      <c r="H72" s="6" t="s">
        <v>113</v>
      </c>
      <c r="I72" s="7" t="n">
        <v>1805475</v>
      </c>
      <c r="J72" s="16"/>
      <c r="K72" s="25" t="n">
        <f aca="false">S01!J72</f>
        <v>0</v>
      </c>
      <c r="L72" s="20" t="n">
        <f aca="false">J72-K72</f>
        <v>0</v>
      </c>
      <c r="M72" s="18"/>
      <c r="N72" s="18"/>
      <c r="O72" s="18"/>
      <c r="P72" s="16"/>
      <c r="Q72" s="25" t="n">
        <f aca="false">S01!P72</f>
        <v>0</v>
      </c>
      <c r="R72" s="20" t="n">
        <f aca="false">P72-Q72</f>
        <v>0</v>
      </c>
      <c r="S72" s="20" t="n">
        <f aca="false">J72-P72</f>
        <v>0</v>
      </c>
      <c r="T72" s="19"/>
    </row>
    <row r="73" customFormat="false" ht="21.75" hidden="false" customHeight="true" outlineLevel="0" collapsed="false">
      <c r="B73" s="3" t="n">
        <v>69</v>
      </c>
      <c r="C73" s="9" t="s">
        <v>111</v>
      </c>
      <c r="D73" s="3" t="s">
        <v>112</v>
      </c>
      <c r="E73" s="3" t="s">
        <v>11</v>
      </c>
      <c r="F73" s="3" t="s">
        <v>12</v>
      </c>
      <c r="G73" s="3" t="s">
        <v>13</v>
      </c>
      <c r="H73" s="3" t="s">
        <v>114</v>
      </c>
      <c r="I73" s="5" t="n">
        <v>2587200</v>
      </c>
      <c r="J73" s="16"/>
      <c r="K73" s="24" t="n">
        <f aca="false">S01!J73</f>
        <v>0</v>
      </c>
      <c r="L73" s="17" t="n">
        <f aca="false">J73-K73</f>
        <v>0</v>
      </c>
      <c r="M73" s="18"/>
      <c r="N73" s="18"/>
      <c r="O73" s="18"/>
      <c r="P73" s="16"/>
      <c r="Q73" s="24" t="n">
        <f aca="false">S01!P73</f>
        <v>0</v>
      </c>
      <c r="R73" s="17" t="n">
        <f aca="false">P73-Q73</f>
        <v>0</v>
      </c>
      <c r="S73" s="17" t="n">
        <f aca="false">J73-P73</f>
        <v>0</v>
      </c>
      <c r="T73" s="19"/>
    </row>
    <row r="74" customFormat="false" ht="21.75" hidden="false" customHeight="true" outlineLevel="0" collapsed="false">
      <c r="B74" s="6" t="n">
        <v>70</v>
      </c>
      <c r="C74" s="9" t="s">
        <v>111</v>
      </c>
      <c r="D74" s="6" t="s">
        <v>112</v>
      </c>
      <c r="E74" s="6" t="s">
        <v>15</v>
      </c>
      <c r="F74" s="6" t="s">
        <v>16</v>
      </c>
      <c r="G74" s="6" t="s">
        <v>17</v>
      </c>
      <c r="H74" s="6" t="s">
        <v>44</v>
      </c>
      <c r="I74" s="7" t="n">
        <v>3500000</v>
      </c>
      <c r="J74" s="16"/>
      <c r="K74" s="25" t="n">
        <f aca="false">S01!J74</f>
        <v>0</v>
      </c>
      <c r="L74" s="20" t="n">
        <f aca="false">J74-K74</f>
        <v>0</v>
      </c>
      <c r="M74" s="18"/>
      <c r="N74" s="18"/>
      <c r="O74" s="18"/>
      <c r="P74" s="16"/>
      <c r="Q74" s="25" t="n">
        <f aca="false">S01!P74</f>
        <v>0</v>
      </c>
      <c r="R74" s="20" t="n">
        <f aca="false">P74-Q74</f>
        <v>0</v>
      </c>
      <c r="S74" s="20" t="n">
        <f aca="false">J74-P74</f>
        <v>0</v>
      </c>
      <c r="T74" s="19"/>
    </row>
    <row r="75" customFormat="false" ht="21.75" hidden="false" customHeight="true" outlineLevel="0" collapsed="false">
      <c r="B75" s="3" t="n">
        <v>71</v>
      </c>
      <c r="C75" s="9" t="s">
        <v>111</v>
      </c>
      <c r="D75" s="3" t="s">
        <v>112</v>
      </c>
      <c r="E75" s="3" t="s">
        <v>21</v>
      </c>
      <c r="F75" s="3" t="s">
        <v>22</v>
      </c>
      <c r="G75" s="3" t="s">
        <v>115</v>
      </c>
      <c r="H75" s="22" t="s">
        <v>116</v>
      </c>
      <c r="I75" s="5" t="n">
        <v>870000</v>
      </c>
      <c r="J75" s="16"/>
      <c r="K75" s="24" t="n">
        <f aca="false">S01!J75</f>
        <v>0</v>
      </c>
      <c r="L75" s="17" t="n">
        <f aca="false">J75-K75</f>
        <v>0</v>
      </c>
      <c r="M75" s="18"/>
      <c r="N75" s="18"/>
      <c r="O75" s="18"/>
      <c r="P75" s="16"/>
      <c r="Q75" s="24" t="n">
        <f aca="false">S01!P75</f>
        <v>0</v>
      </c>
      <c r="R75" s="17" t="n">
        <f aca="false">P75-Q75</f>
        <v>0</v>
      </c>
      <c r="S75" s="17" t="n">
        <f aca="false">J75-P75</f>
        <v>0</v>
      </c>
      <c r="T75" s="19"/>
    </row>
    <row r="76" customFormat="false" ht="21.75" hidden="false" customHeight="true" outlineLevel="0" collapsed="false">
      <c r="B76" s="6" t="n">
        <v>72</v>
      </c>
      <c r="C76" s="9" t="s">
        <v>111</v>
      </c>
      <c r="D76" s="6" t="s">
        <v>112</v>
      </c>
      <c r="E76" s="6" t="s">
        <v>11</v>
      </c>
      <c r="F76" s="6" t="s">
        <v>12</v>
      </c>
      <c r="G76" s="6" t="s">
        <v>117</v>
      </c>
      <c r="H76" s="6" t="s">
        <v>118</v>
      </c>
      <c r="I76" s="7" t="n">
        <v>500000</v>
      </c>
      <c r="J76" s="16"/>
      <c r="K76" s="25" t="n">
        <f aca="false">S01!J76</f>
        <v>0</v>
      </c>
      <c r="L76" s="20" t="n">
        <f aca="false">J76-K76</f>
        <v>0</v>
      </c>
      <c r="M76" s="18"/>
      <c r="N76" s="18"/>
      <c r="O76" s="18"/>
      <c r="P76" s="16"/>
      <c r="Q76" s="25" t="n">
        <f aca="false">S01!P76</f>
        <v>0</v>
      </c>
      <c r="R76" s="20" t="n">
        <f aca="false">P76-Q76</f>
        <v>0</v>
      </c>
      <c r="S76" s="20" t="n">
        <f aca="false">J76-P76</f>
        <v>0</v>
      </c>
      <c r="T76" s="19"/>
    </row>
    <row r="77" customFormat="false" ht="25.5" hidden="false" customHeight="true" outlineLevel="0" collapsed="false">
      <c r="B77" s="10" t="s">
        <v>119</v>
      </c>
      <c r="C77" s="10"/>
      <c r="D77" s="10"/>
      <c r="E77" s="10"/>
      <c r="F77" s="10"/>
      <c r="G77" s="10"/>
      <c r="H77" s="10"/>
      <c r="I77" s="11" t="n">
        <f aca="false">SUM(I5:I76)</f>
        <v>130262675</v>
      </c>
      <c r="J77" s="23" t="n">
        <f aca="false">IFERROR(SUMPRODUCT(J5:J76,I5:I76)/I77,0)</f>
        <v>0</v>
      </c>
      <c r="K77" s="23" t="n">
        <f aca="false">IFERROR(SUMPRODUCT(K5:K76,I5:I76)/I77,0)</f>
        <v>0</v>
      </c>
      <c r="L77" s="23" t="n">
        <f aca="false">J77-K77</f>
        <v>0</v>
      </c>
      <c r="M77" s="11" t="n">
        <f aca="false">SUM(M5:M76)</f>
        <v>0</v>
      </c>
      <c r="N77" s="11" t="n">
        <f aca="false">SUM(N5:N76)</f>
        <v>0</v>
      </c>
      <c r="O77" s="11" t="n">
        <f aca="false">SUM(O5:O76)</f>
        <v>0</v>
      </c>
      <c r="P77" s="23" t="n">
        <f aca="false">IFERROR(SUMPRODUCT(P5:P76,I5:I76)/I77,0)</f>
        <v>0</v>
      </c>
      <c r="Q77" s="23" t="n">
        <f aca="false">IFERROR(SUMPRODUCT(Q5:Q76,I5:I76)/I77,0)</f>
        <v>0</v>
      </c>
      <c r="R77" s="23" t="n">
        <f aca="false">P77-Q77</f>
        <v>0</v>
      </c>
      <c r="S77" s="23" t="n">
        <f aca="false">J77-P77</f>
        <v>0</v>
      </c>
      <c r="T77" s="10"/>
    </row>
  </sheetData>
  <sheetProtection sheet="true" password="cbbe"/>
  <mergeCells count="2">
    <mergeCell ref="B2:T2"/>
    <mergeCell ref="C3:D3"/>
  </mergeCells>
  <conditionalFormatting sqref="L5:L76">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R5:R76">
    <cfRule type="cellIs" priority="4" operator="greaterThan" aboveAverage="0" equalAverage="0" bottom="0" percent="0" rank="0" text="" dxfId="0">
      <formula>0</formula>
    </cfRule>
    <cfRule type="cellIs" priority="5" operator="lessThan" aboveAverage="0" equalAverage="0" bottom="0" percent="0" rank="0" text="" dxfId="1">
      <formula>0</formula>
    </cfRule>
  </conditionalFormatting>
  <conditionalFormatting sqref="S5:S76">
    <cfRule type="cellIs" priority="6" operator="greaterThan" aboveAverage="0" equalAverage="0" bottom="0" percent="0" rank="0" text="" dxfId="0">
      <formula>0.05</formula>
    </cfRule>
    <cfRule type="cellIs" priority="7" operator="lessThan" aboveAverage="0" equalAverage="0" bottom="0" percent="0" rank="0" text="" dxfId="1">
      <formula>-0.05</formula>
    </cfRule>
    <cfRule type="cellIs" priority="8" operator="between" aboveAverage="0" equalAverage="0" bottom="0" percent="0" rank="0" text="" dxfId="2">
      <formula>-0.05</formula>
      <formula>0.05</formula>
    </cfRule>
  </conditionalFormatting>
  <conditionalFormatting sqref="J5:J76">
    <cfRule type="dataBar" priority="9">
      <dataBar showValue="1" minLength="10" maxLength="90">
        <cfvo type="num" val="0"/>
        <cfvo type="num" val="1"/>
        <color rgb="FF1B7D46"/>
      </dataBar>
      <extLst>
        <ext xmlns:x14="http://schemas.microsoft.com/office/spreadsheetml/2009/9/main" uri="{B025F937-C7B1-47D3-B67F-A62EFF666E3E}">
          <x14:id>{6FFDC49F-6F97-4A67-B654-76309FA4FFD2}</x14:id>
        </ext>
      </extLst>
    </cfRule>
  </conditionalFormatting>
  <conditionalFormatting sqref="P5:P76">
    <cfRule type="dataBar" priority="10">
      <dataBar showValue="1" minLength="10" maxLength="90">
        <cfvo type="num" val="0"/>
        <cfvo type="num" val="1"/>
        <color rgb="FFD4820A"/>
      </dataBar>
      <extLst>
        <ext xmlns:x14="http://schemas.microsoft.com/office/spreadsheetml/2009/9/main" uri="{B025F937-C7B1-47D3-B67F-A62EFF666E3E}">
          <x14:id>{EC80CCD3-2514-40B3-BA80-ACB9138D8874}</x14:id>
        </ext>
      </extLst>
    </cfRule>
  </conditionalFormatting>
  <dataValidations count="1">
    <dataValidation allowBlank="true" error="Veuillez entrer un pourcentage entre 0% et 100%" errorStyle="stop" errorTitle="Valeur invalide" operator="between" prompt="Entrez le pourcentage (ex: 0.25 pour 25%)" promptTitle="Avancement %" showDropDown="false" showErrorMessage="false" showInputMessage="false" sqref="J5:J76 P5:P76"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6FFDC49F-6F97-4A67-B654-76309FA4FFD2}">
            <x14:dataBar minLength="10" maxLength="90" axisPosition="none" gradient="true">
              <x14:cfvo type="num">
                <xm:f>0</xm:f>
              </x14:cfvo>
              <x14:cfvo type="num">
                <xm:f>1</xm:f>
              </x14:cfvo>
              <x14:negativeFillColor rgb="FF1B7D46"/>
              <x14:axisColor rgb="FF000000"/>
            </x14:dataBar>
          </x14:cfRule>
          <xm:sqref>J5:J76</xm:sqref>
        </x14:conditionalFormatting>
        <x14:conditionalFormatting xmlns:xm="http://schemas.microsoft.com/office/excel/2006/main">
          <x14:cfRule type="dataBar" id="{EC80CCD3-2514-40B3-BA80-ACB9138D8874}">
            <x14:dataBar minLength="10" maxLength="90" axisPosition="none" gradient="true">
              <x14:cfvo type="num">
                <xm:f>0</xm:f>
              </x14:cfvo>
              <x14:cfvo type="num">
                <xm:f>1</xm:f>
              </x14:cfvo>
              <x14:negativeFillColor rgb="FFD4820A"/>
              <x14:axisColor rgb="FF000000"/>
            </x14:dataBar>
          </x14:cfRule>
          <xm:sqref>P5:P76</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16"/>
    <col collapsed="false" customWidth="true" hidden="false" outlineLevel="0" max="4" min="4" style="0" width="20"/>
    <col collapsed="false" customWidth="true" hidden="false" outlineLevel="0" max="5" min="5" style="0" width="10"/>
    <col collapsed="false" customWidth="true" hidden="false" outlineLevel="0" max="6" min="6" style="0" width="36"/>
    <col collapsed="false" customWidth="true" hidden="false" outlineLevel="0" max="7" min="7" style="0" width="32"/>
    <col collapsed="false" customWidth="true" hidden="false" outlineLevel="0" max="8" min="8" style="0" width="36"/>
    <col collapsed="false" customWidth="true" hidden="false" outlineLevel="0" max="9" min="9" style="0" width="16"/>
    <col collapsed="false" customWidth="true" hidden="false" outlineLevel="0" max="12" min="10" style="0" width="14"/>
    <col collapsed="false" customWidth="true" hidden="false" outlineLevel="0" max="15" min="13" style="0" width="18"/>
    <col collapsed="false" customWidth="true" hidden="false" outlineLevel="0" max="19" min="16" style="0" width="14"/>
    <col collapsed="false" customWidth="true" hidden="false" outlineLevel="0" max="20" min="20" style="0" width="28"/>
  </cols>
  <sheetData>
    <row r="1" customFormat="false" ht="15" hidden="false" customHeight="true" outlineLevel="0" collapsed="false"/>
    <row r="2" customFormat="false" ht="31.5" hidden="false" customHeight="true" outlineLevel="0" collapsed="false">
      <c r="B2" s="1" t="s">
        <v>151</v>
      </c>
      <c r="C2" s="1"/>
      <c r="D2" s="1"/>
      <c r="E2" s="1"/>
      <c r="F2" s="1"/>
      <c r="G2" s="1"/>
      <c r="H2" s="1"/>
      <c r="I2" s="1"/>
      <c r="J2" s="1"/>
      <c r="K2" s="1"/>
      <c r="L2" s="1"/>
      <c r="M2" s="1"/>
      <c r="N2" s="1"/>
      <c r="O2" s="1"/>
      <c r="P2" s="1"/>
      <c r="Q2" s="1"/>
      <c r="R2" s="1"/>
      <c r="S2" s="1"/>
      <c r="T2" s="1"/>
    </row>
    <row r="3" customFormat="false" ht="7.5" hidden="false" customHeight="true" outlineLevel="0" collapsed="false">
      <c r="B3" s="14" t="s">
        <v>138</v>
      </c>
      <c r="C3" s="15"/>
      <c r="D3" s="15"/>
    </row>
    <row r="4" customFormat="false" ht="27.75" hidden="false" customHeight="true" outlineLevel="0" collapsed="false">
      <c r="B4" s="2" t="s">
        <v>1</v>
      </c>
      <c r="C4" s="2" t="s">
        <v>2</v>
      </c>
      <c r="D4" s="2" t="s">
        <v>3</v>
      </c>
      <c r="E4" s="2" t="s">
        <v>4</v>
      </c>
      <c r="F4" s="2" t="s">
        <v>5</v>
      </c>
      <c r="G4" s="2" t="s">
        <v>6</v>
      </c>
      <c r="H4" s="2" t="s">
        <v>7</v>
      </c>
      <c r="I4" s="2" t="s">
        <v>8</v>
      </c>
      <c r="J4" s="2" t="s">
        <v>139</v>
      </c>
      <c r="K4" s="2" t="s">
        <v>140</v>
      </c>
      <c r="L4" s="2" t="s">
        <v>141</v>
      </c>
      <c r="M4" s="2" t="s">
        <v>142</v>
      </c>
      <c r="N4" s="2" t="s">
        <v>143</v>
      </c>
      <c r="O4" s="2" t="s">
        <v>144</v>
      </c>
      <c r="P4" s="2" t="s">
        <v>145</v>
      </c>
      <c r="Q4" s="2" t="s">
        <v>146</v>
      </c>
      <c r="R4" s="2" t="s">
        <v>147</v>
      </c>
      <c r="S4" s="2" t="s">
        <v>148</v>
      </c>
      <c r="T4" s="2" t="s">
        <v>149</v>
      </c>
    </row>
    <row r="5" customFormat="false" ht="21.75" hidden="false" customHeight="true" outlineLevel="0" collapsed="false">
      <c r="B5" s="3" t="n">
        <v>1</v>
      </c>
      <c r="C5" s="4" t="s">
        <v>9</v>
      </c>
      <c r="D5" s="3" t="s">
        <v>10</v>
      </c>
      <c r="E5" s="3" t="s">
        <v>11</v>
      </c>
      <c r="F5" s="3" t="s">
        <v>12</v>
      </c>
      <c r="G5" s="3" t="s">
        <v>13</v>
      </c>
      <c r="H5" s="3" t="s">
        <v>14</v>
      </c>
      <c r="I5" s="5" t="n">
        <v>2091568</v>
      </c>
      <c r="J5" s="16"/>
      <c r="K5" s="24" t="n">
        <f aca="false">S02!J5</f>
        <v>0</v>
      </c>
      <c r="L5" s="17" t="n">
        <f aca="false">J5-K5</f>
        <v>0</v>
      </c>
      <c r="M5" s="18"/>
      <c r="N5" s="18"/>
      <c r="O5" s="18"/>
      <c r="P5" s="16"/>
      <c r="Q5" s="24" t="n">
        <f aca="false">S02!P5</f>
        <v>0</v>
      </c>
      <c r="R5" s="17" t="n">
        <f aca="false">P5-Q5</f>
        <v>0</v>
      </c>
      <c r="S5" s="17" t="n">
        <f aca="false">J5-P5</f>
        <v>0</v>
      </c>
      <c r="T5" s="19"/>
    </row>
    <row r="6" customFormat="false" ht="21.75" hidden="false" customHeight="true" outlineLevel="0" collapsed="false">
      <c r="B6" s="6" t="n">
        <v>2</v>
      </c>
      <c r="C6" s="4" t="s">
        <v>9</v>
      </c>
      <c r="D6" s="6" t="s">
        <v>10</v>
      </c>
      <c r="E6" s="6" t="s">
        <v>15</v>
      </c>
      <c r="F6" s="6" t="s">
        <v>16</v>
      </c>
      <c r="G6" s="6" t="s">
        <v>17</v>
      </c>
      <c r="H6" s="6" t="s">
        <v>18</v>
      </c>
      <c r="I6" s="7" t="n">
        <v>78000</v>
      </c>
      <c r="J6" s="16"/>
      <c r="K6" s="25" t="n">
        <f aca="false">S02!J6</f>
        <v>0</v>
      </c>
      <c r="L6" s="20" t="n">
        <f aca="false">J6-K6</f>
        <v>0</v>
      </c>
      <c r="M6" s="18"/>
      <c r="N6" s="18"/>
      <c r="O6" s="18"/>
      <c r="P6" s="16"/>
      <c r="Q6" s="25" t="n">
        <f aca="false">S02!P6</f>
        <v>0</v>
      </c>
      <c r="R6" s="20" t="n">
        <f aca="false">P6-Q6</f>
        <v>0</v>
      </c>
      <c r="S6" s="20" t="n">
        <f aca="false">J6-P6</f>
        <v>0</v>
      </c>
      <c r="T6" s="19"/>
    </row>
    <row r="7" customFormat="false" ht="21.75" hidden="false" customHeight="true" outlineLevel="0" collapsed="false">
      <c r="B7" s="3" t="n">
        <v>3</v>
      </c>
      <c r="C7" s="4" t="s">
        <v>9</v>
      </c>
      <c r="D7" s="3" t="s">
        <v>10</v>
      </c>
      <c r="E7" s="3" t="s">
        <v>11</v>
      </c>
      <c r="F7" s="3" t="s">
        <v>12</v>
      </c>
      <c r="G7" s="3" t="s">
        <v>19</v>
      </c>
      <c r="H7" s="3" t="s">
        <v>20</v>
      </c>
      <c r="I7" s="5" t="n">
        <v>126000</v>
      </c>
      <c r="J7" s="16"/>
      <c r="K7" s="24" t="n">
        <f aca="false">S02!J7</f>
        <v>0</v>
      </c>
      <c r="L7" s="17" t="n">
        <f aca="false">J7-K7</f>
        <v>0</v>
      </c>
      <c r="M7" s="18"/>
      <c r="N7" s="18"/>
      <c r="O7" s="18"/>
      <c r="P7" s="16"/>
      <c r="Q7" s="24" t="n">
        <f aca="false">S02!P7</f>
        <v>0</v>
      </c>
      <c r="R7" s="17" t="n">
        <f aca="false">P7-Q7</f>
        <v>0</v>
      </c>
      <c r="S7" s="17" t="n">
        <f aca="false">J7-P7</f>
        <v>0</v>
      </c>
      <c r="T7" s="19"/>
    </row>
    <row r="8" customFormat="false" ht="21.75" hidden="false" customHeight="true" outlineLevel="0" collapsed="false">
      <c r="B8" s="6" t="n">
        <v>4</v>
      </c>
      <c r="C8" s="4" t="s">
        <v>9</v>
      </c>
      <c r="D8" s="6" t="s">
        <v>10</v>
      </c>
      <c r="E8" s="6" t="s">
        <v>21</v>
      </c>
      <c r="F8" s="6" t="s">
        <v>22</v>
      </c>
      <c r="G8" s="6" t="s">
        <v>23</v>
      </c>
      <c r="H8" s="6" t="s">
        <v>24</v>
      </c>
      <c r="I8" s="7" t="n">
        <v>165500</v>
      </c>
      <c r="J8" s="16"/>
      <c r="K8" s="25" t="n">
        <f aca="false">S02!J8</f>
        <v>0</v>
      </c>
      <c r="L8" s="20" t="n">
        <f aca="false">J8-K8</f>
        <v>0</v>
      </c>
      <c r="M8" s="18"/>
      <c r="N8" s="18"/>
      <c r="O8" s="18"/>
      <c r="P8" s="16"/>
      <c r="Q8" s="25" t="n">
        <f aca="false">S02!P8</f>
        <v>0</v>
      </c>
      <c r="R8" s="20" t="n">
        <f aca="false">P8-Q8</f>
        <v>0</v>
      </c>
      <c r="S8" s="20" t="n">
        <f aca="false">J8-P8</f>
        <v>0</v>
      </c>
      <c r="T8" s="19"/>
    </row>
    <row r="9" customFormat="false" ht="21.75" hidden="false" customHeight="true" outlineLevel="0" collapsed="false">
      <c r="B9" s="3" t="n">
        <v>5</v>
      </c>
      <c r="C9" s="4" t="s">
        <v>9</v>
      </c>
      <c r="D9" s="3" t="s">
        <v>25</v>
      </c>
      <c r="E9" s="3" t="s">
        <v>11</v>
      </c>
      <c r="F9" s="3" t="s">
        <v>12</v>
      </c>
      <c r="G9" s="3" t="s">
        <v>13</v>
      </c>
      <c r="H9" s="3" t="s">
        <v>26</v>
      </c>
      <c r="I9" s="5" t="n">
        <v>1000000</v>
      </c>
      <c r="J9" s="16"/>
      <c r="K9" s="24" t="n">
        <f aca="false">S02!J9</f>
        <v>0</v>
      </c>
      <c r="L9" s="17" t="n">
        <f aca="false">J9-K9</f>
        <v>0</v>
      </c>
      <c r="M9" s="18"/>
      <c r="N9" s="18"/>
      <c r="O9" s="18"/>
      <c r="P9" s="16"/>
      <c r="Q9" s="24" t="n">
        <f aca="false">S02!P9</f>
        <v>0</v>
      </c>
      <c r="R9" s="17" t="n">
        <f aca="false">P9-Q9</f>
        <v>0</v>
      </c>
      <c r="S9" s="17" t="n">
        <f aca="false">J9-P9</f>
        <v>0</v>
      </c>
      <c r="T9" s="19"/>
    </row>
    <row r="10" customFormat="false" ht="21.75" hidden="false" customHeight="true" outlineLevel="0" collapsed="false">
      <c r="B10" s="6" t="n">
        <v>6</v>
      </c>
      <c r="C10" s="4" t="s">
        <v>9</v>
      </c>
      <c r="D10" s="6" t="s">
        <v>25</v>
      </c>
      <c r="E10" s="6" t="s">
        <v>11</v>
      </c>
      <c r="F10" s="6" t="s">
        <v>12</v>
      </c>
      <c r="G10" s="6"/>
      <c r="H10" s="6" t="s">
        <v>27</v>
      </c>
      <c r="I10" s="7" t="n">
        <v>846731</v>
      </c>
      <c r="J10" s="16"/>
      <c r="K10" s="25" t="n">
        <f aca="false">S02!J10</f>
        <v>0</v>
      </c>
      <c r="L10" s="20" t="n">
        <f aca="false">J10-K10</f>
        <v>0</v>
      </c>
      <c r="M10" s="18"/>
      <c r="N10" s="18"/>
      <c r="O10" s="18"/>
      <c r="P10" s="16"/>
      <c r="Q10" s="25" t="n">
        <f aca="false">S02!P10</f>
        <v>0</v>
      </c>
      <c r="R10" s="20" t="n">
        <f aca="false">P10-Q10</f>
        <v>0</v>
      </c>
      <c r="S10" s="20" t="n">
        <f aca="false">J10-P10</f>
        <v>0</v>
      </c>
      <c r="T10" s="19"/>
    </row>
    <row r="11" customFormat="false" ht="21.75" hidden="false" customHeight="true" outlineLevel="0" collapsed="false">
      <c r="B11" s="3" t="n">
        <v>7</v>
      </c>
      <c r="C11" s="4" t="s">
        <v>9</v>
      </c>
      <c r="D11" s="3" t="s">
        <v>25</v>
      </c>
      <c r="E11" s="3" t="s">
        <v>11</v>
      </c>
      <c r="F11" s="3" t="s">
        <v>12</v>
      </c>
      <c r="G11" s="3" t="s">
        <v>19</v>
      </c>
      <c r="H11" s="3" t="s">
        <v>28</v>
      </c>
      <c r="I11" s="5" t="n">
        <v>200000</v>
      </c>
      <c r="J11" s="16"/>
      <c r="K11" s="24" t="n">
        <f aca="false">S02!J11</f>
        <v>0</v>
      </c>
      <c r="L11" s="17" t="n">
        <f aca="false">J11-K11</f>
        <v>0</v>
      </c>
      <c r="M11" s="18"/>
      <c r="N11" s="18"/>
      <c r="O11" s="18"/>
      <c r="P11" s="16"/>
      <c r="Q11" s="24" t="n">
        <f aca="false">S02!P11</f>
        <v>0</v>
      </c>
      <c r="R11" s="17" t="n">
        <f aca="false">P11-Q11</f>
        <v>0</v>
      </c>
      <c r="S11" s="17" t="n">
        <f aca="false">J11-P11</f>
        <v>0</v>
      </c>
      <c r="T11" s="19"/>
    </row>
    <row r="12" customFormat="false" ht="21.75" hidden="false" customHeight="true" outlineLevel="0" collapsed="false">
      <c r="B12" s="6" t="n">
        <v>8</v>
      </c>
      <c r="C12" s="4" t="s">
        <v>9</v>
      </c>
      <c r="D12" s="6" t="s">
        <v>25</v>
      </c>
      <c r="E12" s="6" t="s">
        <v>21</v>
      </c>
      <c r="F12" s="6" t="s">
        <v>22</v>
      </c>
      <c r="G12" s="6" t="s">
        <v>23</v>
      </c>
      <c r="H12" s="6" t="s">
        <v>29</v>
      </c>
      <c r="I12" s="7" t="n">
        <v>141900</v>
      </c>
      <c r="J12" s="16"/>
      <c r="K12" s="25" t="n">
        <f aca="false">S02!J12</f>
        <v>0</v>
      </c>
      <c r="L12" s="20" t="n">
        <f aca="false">J12-K12</f>
        <v>0</v>
      </c>
      <c r="M12" s="18"/>
      <c r="N12" s="18"/>
      <c r="O12" s="18"/>
      <c r="P12" s="16"/>
      <c r="Q12" s="25" t="n">
        <f aca="false">S02!P12</f>
        <v>0</v>
      </c>
      <c r="R12" s="20" t="n">
        <f aca="false">P12-Q12</f>
        <v>0</v>
      </c>
      <c r="S12" s="20" t="n">
        <f aca="false">J12-P12</f>
        <v>0</v>
      </c>
      <c r="T12" s="19"/>
    </row>
    <row r="13" customFormat="false" ht="21.75" hidden="false" customHeight="true" outlineLevel="0" collapsed="false">
      <c r="B13" s="3" t="n">
        <v>9</v>
      </c>
      <c r="C13" s="4" t="s">
        <v>9</v>
      </c>
      <c r="D13" s="3" t="s">
        <v>25</v>
      </c>
      <c r="E13" s="3" t="s">
        <v>21</v>
      </c>
      <c r="F13" s="3" t="s">
        <v>22</v>
      </c>
      <c r="G13" s="3" t="s">
        <v>30</v>
      </c>
      <c r="H13" s="22" t="s">
        <v>31</v>
      </c>
      <c r="I13" s="5" t="n">
        <v>26700</v>
      </c>
      <c r="J13" s="16"/>
      <c r="K13" s="24" t="n">
        <f aca="false">S02!J13</f>
        <v>0</v>
      </c>
      <c r="L13" s="17" t="n">
        <f aca="false">J13-K13</f>
        <v>0</v>
      </c>
      <c r="M13" s="18"/>
      <c r="N13" s="18"/>
      <c r="O13" s="18"/>
      <c r="P13" s="16"/>
      <c r="Q13" s="24" t="n">
        <f aca="false">S02!P13</f>
        <v>0</v>
      </c>
      <c r="R13" s="17" t="n">
        <f aca="false">P13-Q13</f>
        <v>0</v>
      </c>
      <c r="S13" s="17" t="n">
        <f aca="false">J13-P13</f>
        <v>0</v>
      </c>
      <c r="T13" s="19"/>
    </row>
    <row r="14" customFormat="false" ht="21.75" hidden="false" customHeight="true" outlineLevel="0" collapsed="false">
      <c r="B14" s="6" t="n">
        <v>10</v>
      </c>
      <c r="C14" s="4" t="s">
        <v>9</v>
      </c>
      <c r="D14" s="6" t="s">
        <v>25</v>
      </c>
      <c r="E14" s="6" t="s">
        <v>21</v>
      </c>
      <c r="F14" s="6" t="s">
        <v>22</v>
      </c>
      <c r="G14" s="6" t="s">
        <v>32</v>
      </c>
      <c r="H14" s="6" t="s">
        <v>33</v>
      </c>
      <c r="I14" s="7" t="n">
        <v>480000</v>
      </c>
      <c r="J14" s="16"/>
      <c r="K14" s="25" t="n">
        <f aca="false">S02!J14</f>
        <v>0</v>
      </c>
      <c r="L14" s="20" t="n">
        <f aca="false">J14-K14</f>
        <v>0</v>
      </c>
      <c r="M14" s="18"/>
      <c r="N14" s="18"/>
      <c r="O14" s="18"/>
      <c r="P14" s="16"/>
      <c r="Q14" s="25" t="n">
        <f aca="false">S02!P14</f>
        <v>0</v>
      </c>
      <c r="R14" s="20" t="n">
        <f aca="false">P14-Q14</f>
        <v>0</v>
      </c>
      <c r="S14" s="20" t="n">
        <f aca="false">J14-P14</f>
        <v>0</v>
      </c>
      <c r="T14" s="19"/>
    </row>
    <row r="15" customFormat="false" ht="21.75" hidden="false" customHeight="true" outlineLevel="0" collapsed="false">
      <c r="B15" s="3" t="n">
        <v>11</v>
      </c>
      <c r="C15" s="4" t="s">
        <v>9</v>
      </c>
      <c r="D15" s="3" t="s">
        <v>25</v>
      </c>
      <c r="E15" s="3" t="s">
        <v>21</v>
      </c>
      <c r="F15" s="3" t="s">
        <v>22</v>
      </c>
      <c r="G15" s="3" t="s">
        <v>34</v>
      </c>
      <c r="H15" s="3" t="s">
        <v>35</v>
      </c>
      <c r="I15" s="5" t="n">
        <v>300000</v>
      </c>
      <c r="J15" s="16"/>
      <c r="K15" s="24" t="n">
        <f aca="false">S02!J15</f>
        <v>0</v>
      </c>
      <c r="L15" s="17" t="n">
        <f aca="false">J15-K15</f>
        <v>0</v>
      </c>
      <c r="M15" s="18"/>
      <c r="N15" s="18"/>
      <c r="O15" s="18"/>
      <c r="P15" s="16"/>
      <c r="Q15" s="24" t="n">
        <f aca="false">S02!P15</f>
        <v>0</v>
      </c>
      <c r="R15" s="17" t="n">
        <f aca="false">P15-Q15</f>
        <v>0</v>
      </c>
      <c r="S15" s="17" t="n">
        <f aca="false">J15-P15</f>
        <v>0</v>
      </c>
      <c r="T15" s="19"/>
    </row>
    <row r="16" customFormat="false" ht="21.75" hidden="false" customHeight="true" outlineLevel="0" collapsed="false">
      <c r="B16" s="6" t="n">
        <v>12</v>
      </c>
      <c r="C16" s="4" t="s">
        <v>9</v>
      </c>
      <c r="D16" s="6" t="s">
        <v>36</v>
      </c>
      <c r="E16" s="6" t="s">
        <v>11</v>
      </c>
      <c r="F16" s="6" t="s">
        <v>12</v>
      </c>
      <c r="G16" s="6" t="s">
        <v>13</v>
      </c>
      <c r="H16" s="6" t="s">
        <v>37</v>
      </c>
      <c r="I16" s="7" t="n">
        <v>1000000</v>
      </c>
      <c r="J16" s="16"/>
      <c r="K16" s="25" t="n">
        <f aca="false">S02!J16</f>
        <v>0</v>
      </c>
      <c r="L16" s="20" t="n">
        <f aca="false">J16-K16</f>
        <v>0</v>
      </c>
      <c r="M16" s="18"/>
      <c r="N16" s="18"/>
      <c r="O16" s="18"/>
      <c r="P16" s="16"/>
      <c r="Q16" s="25" t="n">
        <f aca="false">S02!P16</f>
        <v>0</v>
      </c>
      <c r="R16" s="20" t="n">
        <f aca="false">P16-Q16</f>
        <v>0</v>
      </c>
      <c r="S16" s="20" t="n">
        <f aca="false">J16-P16</f>
        <v>0</v>
      </c>
      <c r="T16" s="19"/>
    </row>
    <row r="17" customFormat="false" ht="21.75" hidden="false" customHeight="true" outlineLevel="0" collapsed="false">
      <c r="B17" s="3" t="n">
        <v>13</v>
      </c>
      <c r="C17" s="4" t="s">
        <v>9</v>
      </c>
      <c r="D17" s="3" t="s">
        <v>36</v>
      </c>
      <c r="E17" s="3" t="s">
        <v>11</v>
      </c>
      <c r="F17" s="3" t="s">
        <v>12</v>
      </c>
      <c r="G17" s="3" t="s">
        <v>38</v>
      </c>
      <c r="H17" s="3" t="s">
        <v>39</v>
      </c>
      <c r="I17" s="5" t="n">
        <v>739200</v>
      </c>
      <c r="J17" s="16"/>
      <c r="K17" s="24" t="n">
        <f aca="false">S02!J17</f>
        <v>0</v>
      </c>
      <c r="L17" s="17" t="n">
        <f aca="false">J17-K17</f>
        <v>0</v>
      </c>
      <c r="M17" s="18"/>
      <c r="N17" s="18"/>
      <c r="O17" s="18"/>
      <c r="P17" s="16"/>
      <c r="Q17" s="24" t="n">
        <f aca="false">S02!P17</f>
        <v>0</v>
      </c>
      <c r="R17" s="17" t="n">
        <f aca="false">P17-Q17</f>
        <v>0</v>
      </c>
      <c r="S17" s="17" t="n">
        <f aca="false">J17-P17</f>
        <v>0</v>
      </c>
      <c r="T17" s="19"/>
    </row>
    <row r="18" customFormat="false" ht="21.75" hidden="false" customHeight="true" outlineLevel="0" collapsed="false">
      <c r="B18" s="6" t="n">
        <v>14</v>
      </c>
      <c r="C18" s="4" t="s">
        <v>9</v>
      </c>
      <c r="D18" s="6" t="s">
        <v>40</v>
      </c>
      <c r="E18" s="6" t="s">
        <v>11</v>
      </c>
      <c r="F18" s="6" t="s">
        <v>12</v>
      </c>
      <c r="G18" s="6" t="s">
        <v>38</v>
      </c>
      <c r="H18" s="6" t="s">
        <v>41</v>
      </c>
      <c r="I18" s="7" t="n">
        <v>1276800</v>
      </c>
      <c r="J18" s="16"/>
      <c r="K18" s="25" t="n">
        <f aca="false">S02!J18</f>
        <v>0</v>
      </c>
      <c r="L18" s="20" t="n">
        <f aca="false">J18-K18</f>
        <v>0</v>
      </c>
      <c r="M18" s="18"/>
      <c r="N18" s="18"/>
      <c r="O18" s="18"/>
      <c r="P18" s="16"/>
      <c r="Q18" s="25" t="n">
        <f aca="false">S02!P18</f>
        <v>0</v>
      </c>
      <c r="R18" s="20" t="n">
        <f aca="false">P18-Q18</f>
        <v>0</v>
      </c>
      <c r="S18" s="20" t="n">
        <f aca="false">J18-P18</f>
        <v>0</v>
      </c>
      <c r="T18" s="19"/>
    </row>
    <row r="19" customFormat="false" ht="21.75" hidden="false" customHeight="true" outlineLevel="0" collapsed="false">
      <c r="B19" s="3" t="n">
        <v>15</v>
      </c>
      <c r="C19" s="4" t="s">
        <v>9</v>
      </c>
      <c r="D19" s="3" t="s">
        <v>42</v>
      </c>
      <c r="E19" s="3" t="s">
        <v>11</v>
      </c>
      <c r="F19" s="3" t="s">
        <v>12</v>
      </c>
      <c r="G19" s="3" t="s">
        <v>13</v>
      </c>
      <c r="H19" s="3" t="s">
        <v>43</v>
      </c>
      <c r="I19" s="5" t="n">
        <v>5796360</v>
      </c>
      <c r="J19" s="16"/>
      <c r="K19" s="24" t="n">
        <f aca="false">S02!J19</f>
        <v>0</v>
      </c>
      <c r="L19" s="17" t="n">
        <f aca="false">J19-K19</f>
        <v>0</v>
      </c>
      <c r="M19" s="18"/>
      <c r="N19" s="18"/>
      <c r="O19" s="18"/>
      <c r="P19" s="16"/>
      <c r="Q19" s="24" t="n">
        <f aca="false">S02!P19</f>
        <v>0</v>
      </c>
      <c r="R19" s="17" t="n">
        <f aca="false">P19-Q19</f>
        <v>0</v>
      </c>
      <c r="S19" s="17" t="n">
        <f aca="false">J19-P19</f>
        <v>0</v>
      </c>
      <c r="T19" s="19"/>
    </row>
    <row r="20" customFormat="false" ht="21.75" hidden="false" customHeight="true" outlineLevel="0" collapsed="false">
      <c r="B20" s="6" t="n">
        <v>16</v>
      </c>
      <c r="C20" s="4" t="s">
        <v>9</v>
      </c>
      <c r="D20" s="6" t="s">
        <v>42</v>
      </c>
      <c r="E20" s="6" t="s">
        <v>15</v>
      </c>
      <c r="F20" s="6" t="s">
        <v>16</v>
      </c>
      <c r="G20" s="6" t="s">
        <v>44</v>
      </c>
      <c r="H20" s="6" t="s">
        <v>44</v>
      </c>
      <c r="I20" s="7" t="n">
        <v>340000</v>
      </c>
      <c r="J20" s="16"/>
      <c r="K20" s="25" t="n">
        <f aca="false">S02!J20</f>
        <v>0</v>
      </c>
      <c r="L20" s="20" t="n">
        <f aca="false">J20-K20</f>
        <v>0</v>
      </c>
      <c r="M20" s="18"/>
      <c r="N20" s="18"/>
      <c r="O20" s="18"/>
      <c r="P20" s="16"/>
      <c r="Q20" s="25" t="n">
        <f aca="false">S02!P20</f>
        <v>0</v>
      </c>
      <c r="R20" s="20" t="n">
        <f aca="false">P20-Q20</f>
        <v>0</v>
      </c>
      <c r="S20" s="20" t="n">
        <f aca="false">J20-P20</f>
        <v>0</v>
      </c>
      <c r="T20" s="19"/>
    </row>
    <row r="21" customFormat="false" ht="21.75" hidden="false" customHeight="true" outlineLevel="0" collapsed="false">
      <c r="B21" s="3" t="n">
        <v>17</v>
      </c>
      <c r="C21" s="4" t="s">
        <v>9</v>
      </c>
      <c r="D21" s="3" t="s">
        <v>45</v>
      </c>
      <c r="E21" s="3" t="s">
        <v>46</v>
      </c>
      <c r="F21" s="3" t="s">
        <v>47</v>
      </c>
      <c r="G21" s="3" t="s">
        <v>48</v>
      </c>
      <c r="H21" s="3" t="s">
        <v>49</v>
      </c>
      <c r="I21" s="5" t="n">
        <v>397934</v>
      </c>
      <c r="J21" s="16"/>
      <c r="K21" s="24" t="n">
        <f aca="false">S02!J21</f>
        <v>0</v>
      </c>
      <c r="L21" s="17" t="n">
        <f aca="false">J21-K21</f>
        <v>0</v>
      </c>
      <c r="M21" s="18"/>
      <c r="N21" s="18"/>
      <c r="O21" s="18"/>
      <c r="P21" s="16"/>
      <c r="Q21" s="24" t="n">
        <f aca="false">S02!P21</f>
        <v>0</v>
      </c>
      <c r="R21" s="17" t="n">
        <f aca="false">P21-Q21</f>
        <v>0</v>
      </c>
      <c r="S21" s="17" t="n">
        <f aca="false">J21-P21</f>
        <v>0</v>
      </c>
      <c r="T21" s="19"/>
    </row>
    <row r="22" customFormat="false" ht="21.75" hidden="false" customHeight="true" outlineLevel="0" collapsed="false">
      <c r="B22" s="6" t="n">
        <v>18</v>
      </c>
      <c r="C22" s="4" t="s">
        <v>9</v>
      </c>
      <c r="D22" s="6" t="s">
        <v>45</v>
      </c>
      <c r="E22" s="6" t="s">
        <v>46</v>
      </c>
      <c r="F22" s="6" t="s">
        <v>47</v>
      </c>
      <c r="G22" s="6"/>
      <c r="H22" s="6" t="s">
        <v>50</v>
      </c>
      <c r="I22" s="7" t="n">
        <v>207575</v>
      </c>
      <c r="J22" s="16"/>
      <c r="K22" s="25" t="n">
        <f aca="false">S02!J22</f>
        <v>0</v>
      </c>
      <c r="L22" s="20" t="n">
        <f aca="false">J22-K22</f>
        <v>0</v>
      </c>
      <c r="M22" s="18"/>
      <c r="N22" s="18"/>
      <c r="O22" s="18"/>
      <c r="P22" s="16"/>
      <c r="Q22" s="25" t="n">
        <f aca="false">S02!P22</f>
        <v>0</v>
      </c>
      <c r="R22" s="20" t="n">
        <f aca="false">P22-Q22</f>
        <v>0</v>
      </c>
      <c r="S22" s="20" t="n">
        <f aca="false">J22-P22</f>
        <v>0</v>
      </c>
      <c r="T22" s="19"/>
    </row>
    <row r="23" customFormat="false" ht="21.75" hidden="false" customHeight="true" outlineLevel="0" collapsed="false">
      <c r="B23" s="3" t="n">
        <v>19</v>
      </c>
      <c r="C23" s="4" t="s">
        <v>9</v>
      </c>
      <c r="D23" s="3" t="s">
        <v>45</v>
      </c>
      <c r="E23" s="3" t="s">
        <v>15</v>
      </c>
      <c r="F23" s="3" t="s">
        <v>16</v>
      </c>
      <c r="G23" s="3" t="s">
        <v>44</v>
      </c>
      <c r="H23" s="3" t="s">
        <v>44</v>
      </c>
      <c r="I23" s="5" t="n">
        <v>2200000</v>
      </c>
      <c r="J23" s="16"/>
      <c r="K23" s="24" t="n">
        <f aca="false">S02!J23</f>
        <v>0</v>
      </c>
      <c r="L23" s="17" t="n">
        <f aca="false">J23-K23</f>
        <v>0</v>
      </c>
      <c r="M23" s="18"/>
      <c r="N23" s="18"/>
      <c r="O23" s="18"/>
      <c r="P23" s="16"/>
      <c r="Q23" s="24" t="n">
        <f aca="false">S02!P23</f>
        <v>0</v>
      </c>
      <c r="R23" s="17" t="n">
        <f aca="false">P23-Q23</f>
        <v>0</v>
      </c>
      <c r="S23" s="17" t="n">
        <f aca="false">J23-P23</f>
        <v>0</v>
      </c>
      <c r="T23" s="19"/>
    </row>
    <row r="24" customFormat="false" ht="21.75" hidden="false" customHeight="true" outlineLevel="0" collapsed="false">
      <c r="B24" s="6" t="n">
        <v>20</v>
      </c>
      <c r="C24" s="4" t="s">
        <v>9</v>
      </c>
      <c r="D24" s="6" t="s">
        <v>45</v>
      </c>
      <c r="E24" s="6" t="s">
        <v>11</v>
      </c>
      <c r="F24" s="6" t="s">
        <v>12</v>
      </c>
      <c r="G24" s="6" t="s">
        <v>19</v>
      </c>
      <c r="H24" s="21" t="s">
        <v>51</v>
      </c>
      <c r="I24" s="7" t="n">
        <v>300000</v>
      </c>
      <c r="J24" s="16"/>
      <c r="K24" s="25" t="n">
        <f aca="false">S02!J24</f>
        <v>0</v>
      </c>
      <c r="L24" s="20" t="n">
        <f aca="false">J24-K24</f>
        <v>0</v>
      </c>
      <c r="M24" s="18"/>
      <c r="N24" s="18"/>
      <c r="O24" s="18"/>
      <c r="P24" s="16"/>
      <c r="Q24" s="25" t="n">
        <f aca="false">S02!P24</f>
        <v>0</v>
      </c>
      <c r="R24" s="20" t="n">
        <f aca="false">P24-Q24</f>
        <v>0</v>
      </c>
      <c r="S24" s="20" t="n">
        <f aca="false">J24-P24</f>
        <v>0</v>
      </c>
      <c r="T24" s="19"/>
    </row>
    <row r="25" customFormat="false" ht="21.75" hidden="false" customHeight="true" outlineLevel="0" collapsed="false">
      <c r="B25" s="3" t="n">
        <v>21</v>
      </c>
      <c r="C25" s="4" t="s">
        <v>9</v>
      </c>
      <c r="D25" s="3" t="s">
        <v>45</v>
      </c>
      <c r="E25" s="3" t="s">
        <v>21</v>
      </c>
      <c r="F25" s="3" t="s">
        <v>22</v>
      </c>
      <c r="G25" s="3" t="s">
        <v>23</v>
      </c>
      <c r="H25" s="3" t="s">
        <v>52</v>
      </c>
      <c r="I25" s="5" t="n">
        <v>250000</v>
      </c>
      <c r="J25" s="16"/>
      <c r="K25" s="24" t="n">
        <f aca="false">S02!J25</f>
        <v>0</v>
      </c>
      <c r="L25" s="17" t="n">
        <f aca="false">J25-K25</f>
        <v>0</v>
      </c>
      <c r="M25" s="18"/>
      <c r="N25" s="18"/>
      <c r="O25" s="18"/>
      <c r="P25" s="16"/>
      <c r="Q25" s="24" t="n">
        <f aca="false">S02!P25</f>
        <v>0</v>
      </c>
      <c r="R25" s="17" t="n">
        <f aca="false">P25-Q25</f>
        <v>0</v>
      </c>
      <c r="S25" s="17" t="n">
        <f aca="false">J25-P25</f>
        <v>0</v>
      </c>
      <c r="T25" s="19"/>
    </row>
    <row r="26" customFormat="false" ht="21.75" hidden="false" customHeight="true" outlineLevel="0" collapsed="false">
      <c r="B26" s="6" t="n">
        <v>22</v>
      </c>
      <c r="C26" s="4" t="s">
        <v>9</v>
      </c>
      <c r="D26" s="6" t="s">
        <v>45</v>
      </c>
      <c r="E26" s="6" t="s">
        <v>21</v>
      </c>
      <c r="F26" s="6" t="s">
        <v>22</v>
      </c>
      <c r="G26" s="6" t="s">
        <v>53</v>
      </c>
      <c r="H26" s="6" t="s">
        <v>54</v>
      </c>
      <c r="I26" s="7" t="n">
        <v>25000</v>
      </c>
      <c r="J26" s="16"/>
      <c r="K26" s="25" t="n">
        <f aca="false">S02!J26</f>
        <v>0</v>
      </c>
      <c r="L26" s="20" t="n">
        <f aca="false">J26-K26</f>
        <v>0</v>
      </c>
      <c r="M26" s="18"/>
      <c r="N26" s="18"/>
      <c r="O26" s="18"/>
      <c r="P26" s="16"/>
      <c r="Q26" s="25" t="n">
        <f aca="false">S02!P26</f>
        <v>0</v>
      </c>
      <c r="R26" s="20" t="n">
        <f aca="false">P26-Q26</f>
        <v>0</v>
      </c>
      <c r="S26" s="20" t="n">
        <f aca="false">J26-P26</f>
        <v>0</v>
      </c>
      <c r="T26" s="19"/>
    </row>
    <row r="27" customFormat="false" ht="21.75" hidden="false" customHeight="true" outlineLevel="0" collapsed="false">
      <c r="B27" s="3" t="n">
        <v>23</v>
      </c>
      <c r="C27" s="4" t="s">
        <v>9</v>
      </c>
      <c r="D27" s="3" t="s">
        <v>45</v>
      </c>
      <c r="E27" s="3" t="s">
        <v>21</v>
      </c>
      <c r="F27" s="3" t="s">
        <v>22</v>
      </c>
      <c r="G27" s="3" t="s">
        <v>30</v>
      </c>
      <c r="H27" s="3" t="s">
        <v>55</v>
      </c>
      <c r="I27" s="5" t="n">
        <v>38000</v>
      </c>
      <c r="J27" s="16"/>
      <c r="K27" s="24" t="n">
        <f aca="false">S02!J27</f>
        <v>0</v>
      </c>
      <c r="L27" s="17" t="n">
        <f aca="false">J27-K27</f>
        <v>0</v>
      </c>
      <c r="M27" s="18"/>
      <c r="N27" s="18"/>
      <c r="O27" s="18"/>
      <c r="P27" s="16"/>
      <c r="Q27" s="24" t="n">
        <f aca="false">S02!P27</f>
        <v>0</v>
      </c>
      <c r="R27" s="17" t="n">
        <f aca="false">P27-Q27</f>
        <v>0</v>
      </c>
      <c r="S27" s="17" t="n">
        <f aca="false">J27-P27</f>
        <v>0</v>
      </c>
      <c r="T27" s="19"/>
    </row>
    <row r="28" customFormat="false" ht="21.75" hidden="false" customHeight="true" outlineLevel="0" collapsed="false">
      <c r="B28" s="6" t="n">
        <v>24</v>
      </c>
      <c r="C28" s="4" t="s">
        <v>9</v>
      </c>
      <c r="D28" s="6" t="s">
        <v>45</v>
      </c>
      <c r="E28" s="6" t="s">
        <v>21</v>
      </c>
      <c r="F28" s="6" t="s">
        <v>22</v>
      </c>
      <c r="G28" s="6" t="s">
        <v>32</v>
      </c>
      <c r="H28" s="6" t="s">
        <v>56</v>
      </c>
      <c r="I28" s="7" t="n">
        <v>10560000</v>
      </c>
      <c r="J28" s="16"/>
      <c r="K28" s="25" t="n">
        <f aca="false">S02!J28</f>
        <v>0</v>
      </c>
      <c r="L28" s="20" t="n">
        <f aca="false">J28-K28</f>
        <v>0</v>
      </c>
      <c r="M28" s="18"/>
      <c r="N28" s="18"/>
      <c r="O28" s="18"/>
      <c r="P28" s="16"/>
      <c r="Q28" s="25" t="n">
        <f aca="false">S02!P28</f>
        <v>0</v>
      </c>
      <c r="R28" s="20" t="n">
        <f aca="false">P28-Q28</f>
        <v>0</v>
      </c>
      <c r="S28" s="20" t="n">
        <f aca="false">J28-P28</f>
        <v>0</v>
      </c>
      <c r="T28" s="19"/>
    </row>
    <row r="29" customFormat="false" ht="21.75" hidden="false" customHeight="true" outlineLevel="0" collapsed="false">
      <c r="B29" s="3" t="n">
        <v>25</v>
      </c>
      <c r="C29" s="4" t="s">
        <v>9</v>
      </c>
      <c r="D29" s="3" t="s">
        <v>45</v>
      </c>
      <c r="E29" s="3" t="s">
        <v>21</v>
      </c>
      <c r="F29" s="3" t="s">
        <v>22</v>
      </c>
      <c r="G29" s="3" t="s">
        <v>57</v>
      </c>
      <c r="H29" s="3" t="s">
        <v>58</v>
      </c>
      <c r="I29" s="5" t="n">
        <v>144000</v>
      </c>
      <c r="J29" s="16"/>
      <c r="K29" s="24" t="n">
        <f aca="false">S02!J29</f>
        <v>0</v>
      </c>
      <c r="L29" s="17" t="n">
        <f aca="false">J29-K29</f>
        <v>0</v>
      </c>
      <c r="M29" s="18"/>
      <c r="N29" s="18"/>
      <c r="O29" s="18"/>
      <c r="P29" s="16"/>
      <c r="Q29" s="24" t="n">
        <f aca="false">S02!P29</f>
        <v>0</v>
      </c>
      <c r="R29" s="17" t="n">
        <f aca="false">P29-Q29</f>
        <v>0</v>
      </c>
      <c r="S29" s="17" t="n">
        <f aca="false">J29-P29</f>
        <v>0</v>
      </c>
      <c r="T29" s="19"/>
    </row>
    <row r="30" customFormat="false" ht="21.75" hidden="false" customHeight="true" outlineLevel="0" collapsed="false">
      <c r="B30" s="6" t="n">
        <v>26</v>
      </c>
      <c r="C30" s="4" t="s">
        <v>9</v>
      </c>
      <c r="D30" s="6" t="s">
        <v>45</v>
      </c>
      <c r="E30" s="6" t="s">
        <v>21</v>
      </c>
      <c r="F30" s="6" t="s">
        <v>22</v>
      </c>
      <c r="G30" s="6" t="s">
        <v>34</v>
      </c>
      <c r="H30" s="6" t="s">
        <v>59</v>
      </c>
      <c r="I30" s="7" t="n">
        <v>800000</v>
      </c>
      <c r="J30" s="16"/>
      <c r="K30" s="25" t="n">
        <f aca="false">S02!J30</f>
        <v>0</v>
      </c>
      <c r="L30" s="20" t="n">
        <f aca="false">J30-K30</f>
        <v>0</v>
      </c>
      <c r="M30" s="18"/>
      <c r="N30" s="18"/>
      <c r="O30" s="18"/>
      <c r="P30" s="16"/>
      <c r="Q30" s="25" t="n">
        <f aca="false">S02!P30</f>
        <v>0</v>
      </c>
      <c r="R30" s="20" t="n">
        <f aca="false">P30-Q30</f>
        <v>0</v>
      </c>
      <c r="S30" s="20" t="n">
        <f aca="false">J30-P30</f>
        <v>0</v>
      </c>
      <c r="T30" s="19"/>
    </row>
    <row r="31" customFormat="false" ht="21.75" hidden="false" customHeight="true" outlineLevel="0" collapsed="false">
      <c r="B31" s="3" t="n">
        <v>27</v>
      </c>
      <c r="C31" s="4" t="s">
        <v>9</v>
      </c>
      <c r="D31" s="3" t="s">
        <v>60</v>
      </c>
      <c r="E31" s="3" t="s">
        <v>11</v>
      </c>
      <c r="F31" s="3" t="s">
        <v>12</v>
      </c>
      <c r="G31" s="3" t="s">
        <v>13</v>
      </c>
      <c r="H31" s="3" t="s">
        <v>61</v>
      </c>
      <c r="I31" s="5" t="n">
        <v>1733306</v>
      </c>
      <c r="J31" s="16"/>
      <c r="K31" s="24" t="n">
        <f aca="false">S02!J31</f>
        <v>0</v>
      </c>
      <c r="L31" s="17" t="n">
        <f aca="false">J31-K31</f>
        <v>0</v>
      </c>
      <c r="M31" s="18"/>
      <c r="N31" s="18"/>
      <c r="O31" s="18"/>
      <c r="P31" s="16"/>
      <c r="Q31" s="24" t="n">
        <f aca="false">S02!P31</f>
        <v>0</v>
      </c>
      <c r="R31" s="17" t="n">
        <f aca="false">P31-Q31</f>
        <v>0</v>
      </c>
      <c r="S31" s="17" t="n">
        <f aca="false">J31-P31</f>
        <v>0</v>
      </c>
      <c r="T31" s="19"/>
    </row>
    <row r="32" customFormat="false" ht="21.75" hidden="false" customHeight="true" outlineLevel="0" collapsed="false">
      <c r="B32" s="6" t="n">
        <v>28</v>
      </c>
      <c r="C32" s="4" t="s">
        <v>9</v>
      </c>
      <c r="D32" s="6" t="s">
        <v>60</v>
      </c>
      <c r="E32" s="6" t="s">
        <v>15</v>
      </c>
      <c r="F32" s="6" t="s">
        <v>16</v>
      </c>
      <c r="G32" s="6" t="s">
        <v>44</v>
      </c>
      <c r="H32" s="6" t="s">
        <v>44</v>
      </c>
      <c r="I32" s="7" t="n">
        <v>670000</v>
      </c>
      <c r="J32" s="16"/>
      <c r="K32" s="25" t="n">
        <f aca="false">S02!J32</f>
        <v>0</v>
      </c>
      <c r="L32" s="20" t="n">
        <f aca="false">J32-K32</f>
        <v>0</v>
      </c>
      <c r="M32" s="18"/>
      <c r="N32" s="18"/>
      <c r="O32" s="18"/>
      <c r="P32" s="16"/>
      <c r="Q32" s="25" t="n">
        <f aca="false">S02!P32</f>
        <v>0</v>
      </c>
      <c r="R32" s="20" t="n">
        <f aca="false">P32-Q32</f>
        <v>0</v>
      </c>
      <c r="S32" s="20" t="n">
        <f aca="false">J32-P32</f>
        <v>0</v>
      </c>
      <c r="T32" s="19"/>
    </row>
    <row r="33" customFormat="false" ht="21.75" hidden="false" customHeight="true" outlineLevel="0" collapsed="false">
      <c r="B33" s="3" t="n">
        <v>29</v>
      </c>
      <c r="C33" s="4" t="s">
        <v>9</v>
      </c>
      <c r="D33" s="3" t="s">
        <v>60</v>
      </c>
      <c r="E33" s="3" t="s">
        <v>46</v>
      </c>
      <c r="F33" s="3" t="s">
        <v>47</v>
      </c>
      <c r="G33" s="3" t="s">
        <v>62</v>
      </c>
      <c r="H33" s="3" t="s">
        <v>63</v>
      </c>
      <c r="I33" s="5" t="n">
        <v>2500000</v>
      </c>
      <c r="J33" s="16"/>
      <c r="K33" s="24" t="n">
        <f aca="false">S02!J33</f>
        <v>0</v>
      </c>
      <c r="L33" s="17" t="n">
        <f aca="false">J33-K33</f>
        <v>0</v>
      </c>
      <c r="M33" s="18"/>
      <c r="N33" s="18"/>
      <c r="O33" s="18"/>
      <c r="P33" s="16"/>
      <c r="Q33" s="24" t="n">
        <f aca="false">S02!P33</f>
        <v>0</v>
      </c>
      <c r="R33" s="17" t="n">
        <f aca="false">P33-Q33</f>
        <v>0</v>
      </c>
      <c r="S33" s="17" t="n">
        <f aca="false">J33-P33</f>
        <v>0</v>
      </c>
      <c r="T33" s="19"/>
    </row>
    <row r="34" customFormat="false" ht="21.75" hidden="false" customHeight="true" outlineLevel="0" collapsed="false">
      <c r="B34" s="6" t="n">
        <v>30</v>
      </c>
      <c r="C34" s="4" t="s">
        <v>9</v>
      </c>
      <c r="D34" s="6" t="s">
        <v>60</v>
      </c>
      <c r="E34" s="6" t="s">
        <v>11</v>
      </c>
      <c r="F34" s="6" t="s">
        <v>12</v>
      </c>
      <c r="G34" s="6" t="s">
        <v>19</v>
      </c>
      <c r="H34" s="21" t="s">
        <v>64</v>
      </c>
      <c r="I34" s="7" t="n">
        <v>800000</v>
      </c>
      <c r="J34" s="16"/>
      <c r="K34" s="25" t="n">
        <f aca="false">S02!J34</f>
        <v>0</v>
      </c>
      <c r="L34" s="20" t="n">
        <f aca="false">J34-K34</f>
        <v>0</v>
      </c>
      <c r="M34" s="18"/>
      <c r="N34" s="18"/>
      <c r="O34" s="18"/>
      <c r="P34" s="16"/>
      <c r="Q34" s="25" t="n">
        <f aca="false">S02!P34</f>
        <v>0</v>
      </c>
      <c r="R34" s="20" t="n">
        <f aca="false">P34-Q34</f>
        <v>0</v>
      </c>
      <c r="S34" s="20" t="n">
        <f aca="false">J34-P34</f>
        <v>0</v>
      </c>
      <c r="T34" s="19"/>
    </row>
    <row r="35" customFormat="false" ht="21.75" hidden="false" customHeight="true" outlineLevel="0" collapsed="false">
      <c r="B35" s="3" t="n">
        <v>31</v>
      </c>
      <c r="C35" s="4" t="s">
        <v>9</v>
      </c>
      <c r="D35" s="3" t="s">
        <v>60</v>
      </c>
      <c r="E35" s="3" t="s">
        <v>21</v>
      </c>
      <c r="F35" s="3" t="s">
        <v>22</v>
      </c>
      <c r="G35" s="3" t="s">
        <v>23</v>
      </c>
      <c r="H35" s="3" t="s">
        <v>65</v>
      </c>
      <c r="I35" s="5" t="n">
        <v>195000</v>
      </c>
      <c r="J35" s="16"/>
      <c r="K35" s="24" t="n">
        <f aca="false">S02!J35</f>
        <v>0</v>
      </c>
      <c r="L35" s="17" t="n">
        <f aca="false">J35-K35</f>
        <v>0</v>
      </c>
      <c r="M35" s="18"/>
      <c r="N35" s="18"/>
      <c r="O35" s="18"/>
      <c r="P35" s="16"/>
      <c r="Q35" s="24" t="n">
        <f aca="false">S02!P35</f>
        <v>0</v>
      </c>
      <c r="R35" s="17" t="n">
        <f aca="false">P35-Q35</f>
        <v>0</v>
      </c>
      <c r="S35" s="17" t="n">
        <f aca="false">J35-P35</f>
        <v>0</v>
      </c>
      <c r="T35" s="19"/>
    </row>
    <row r="36" customFormat="false" ht="21.75" hidden="false" customHeight="true" outlineLevel="0" collapsed="false">
      <c r="B36" s="6" t="n">
        <v>32</v>
      </c>
      <c r="C36" s="4" t="s">
        <v>9</v>
      </c>
      <c r="D36" s="6" t="s">
        <v>60</v>
      </c>
      <c r="E36" s="6" t="s">
        <v>21</v>
      </c>
      <c r="F36" s="6" t="s">
        <v>22</v>
      </c>
      <c r="G36" s="6" t="s">
        <v>53</v>
      </c>
      <c r="H36" s="6" t="s">
        <v>66</v>
      </c>
      <c r="I36" s="7" t="n">
        <v>50000</v>
      </c>
      <c r="J36" s="16"/>
      <c r="K36" s="25" t="n">
        <f aca="false">S02!J36</f>
        <v>0</v>
      </c>
      <c r="L36" s="20" t="n">
        <f aca="false">J36-K36</f>
        <v>0</v>
      </c>
      <c r="M36" s="18"/>
      <c r="N36" s="18"/>
      <c r="O36" s="18"/>
      <c r="P36" s="16"/>
      <c r="Q36" s="25" t="n">
        <f aca="false">S02!P36</f>
        <v>0</v>
      </c>
      <c r="R36" s="20" t="n">
        <f aca="false">P36-Q36</f>
        <v>0</v>
      </c>
      <c r="S36" s="20" t="n">
        <f aca="false">J36-P36</f>
        <v>0</v>
      </c>
      <c r="T36" s="19"/>
    </row>
    <row r="37" customFormat="false" ht="21.75" hidden="false" customHeight="true" outlineLevel="0" collapsed="false">
      <c r="B37" s="3" t="n">
        <v>33</v>
      </c>
      <c r="C37" s="4" t="s">
        <v>9</v>
      </c>
      <c r="D37" s="3" t="s">
        <v>60</v>
      </c>
      <c r="E37" s="3" t="s">
        <v>21</v>
      </c>
      <c r="F37" s="3" t="s">
        <v>22</v>
      </c>
      <c r="G37" s="3" t="s">
        <v>30</v>
      </c>
      <c r="H37" s="3" t="s">
        <v>67</v>
      </c>
      <c r="I37" s="5" t="n">
        <v>245000</v>
      </c>
      <c r="J37" s="16"/>
      <c r="K37" s="24" t="n">
        <f aca="false">S02!J37</f>
        <v>0</v>
      </c>
      <c r="L37" s="17" t="n">
        <f aca="false">J37-K37</f>
        <v>0</v>
      </c>
      <c r="M37" s="18"/>
      <c r="N37" s="18"/>
      <c r="O37" s="18"/>
      <c r="P37" s="16"/>
      <c r="Q37" s="24" t="n">
        <f aca="false">S02!P37</f>
        <v>0</v>
      </c>
      <c r="R37" s="17" t="n">
        <f aca="false">P37-Q37</f>
        <v>0</v>
      </c>
      <c r="S37" s="17" t="n">
        <f aca="false">J37-P37</f>
        <v>0</v>
      </c>
      <c r="T37" s="19"/>
    </row>
    <row r="38" customFormat="false" ht="21.75" hidden="false" customHeight="true" outlineLevel="0" collapsed="false">
      <c r="B38" s="6" t="n">
        <v>34</v>
      </c>
      <c r="C38" s="4" t="s">
        <v>9</v>
      </c>
      <c r="D38" s="6" t="s">
        <v>60</v>
      </c>
      <c r="E38" s="6" t="s">
        <v>21</v>
      </c>
      <c r="F38" s="6" t="s">
        <v>22</v>
      </c>
      <c r="G38" s="6" t="s">
        <v>34</v>
      </c>
      <c r="H38" s="6" t="s">
        <v>68</v>
      </c>
      <c r="I38" s="7" t="n">
        <v>1000000</v>
      </c>
      <c r="J38" s="16"/>
      <c r="K38" s="25" t="n">
        <f aca="false">S02!J38</f>
        <v>0</v>
      </c>
      <c r="L38" s="20" t="n">
        <f aca="false">J38-K38</f>
        <v>0</v>
      </c>
      <c r="M38" s="18"/>
      <c r="N38" s="18"/>
      <c r="O38" s="18"/>
      <c r="P38" s="16"/>
      <c r="Q38" s="25" t="n">
        <f aca="false">S02!P38</f>
        <v>0</v>
      </c>
      <c r="R38" s="20" t="n">
        <f aca="false">P38-Q38</f>
        <v>0</v>
      </c>
      <c r="S38" s="20" t="n">
        <f aca="false">J38-P38</f>
        <v>0</v>
      </c>
      <c r="T38" s="19"/>
    </row>
    <row r="39" customFormat="false" ht="21.75" hidden="false" customHeight="true" outlineLevel="0" collapsed="false">
      <c r="B39" s="3" t="n">
        <v>35</v>
      </c>
      <c r="C39" s="4" t="s">
        <v>9</v>
      </c>
      <c r="D39" s="3" t="s">
        <v>69</v>
      </c>
      <c r="E39" s="3" t="s">
        <v>11</v>
      </c>
      <c r="F39" s="3" t="s">
        <v>12</v>
      </c>
      <c r="G39" s="3" t="s">
        <v>13</v>
      </c>
      <c r="H39" s="3" t="s">
        <v>70</v>
      </c>
      <c r="I39" s="5" t="n">
        <v>5024032</v>
      </c>
      <c r="J39" s="16"/>
      <c r="K39" s="24" t="n">
        <f aca="false">S02!J39</f>
        <v>0</v>
      </c>
      <c r="L39" s="17" t="n">
        <f aca="false">J39-K39</f>
        <v>0</v>
      </c>
      <c r="M39" s="18"/>
      <c r="N39" s="18"/>
      <c r="O39" s="18"/>
      <c r="P39" s="16"/>
      <c r="Q39" s="24" t="n">
        <f aca="false">S02!P39</f>
        <v>0</v>
      </c>
      <c r="R39" s="17" t="n">
        <f aca="false">P39-Q39</f>
        <v>0</v>
      </c>
      <c r="S39" s="17" t="n">
        <f aca="false">J39-P39</f>
        <v>0</v>
      </c>
      <c r="T39" s="19"/>
    </row>
    <row r="40" customFormat="false" ht="21.75" hidden="false" customHeight="true" outlineLevel="0" collapsed="false">
      <c r="B40" s="6" t="n">
        <v>36</v>
      </c>
      <c r="C40" s="4" t="s">
        <v>9</v>
      </c>
      <c r="D40" s="6" t="s">
        <v>69</v>
      </c>
      <c r="E40" s="6" t="s">
        <v>15</v>
      </c>
      <c r="F40" s="6" t="s">
        <v>16</v>
      </c>
      <c r="G40" s="6" t="s">
        <v>44</v>
      </c>
      <c r="H40" s="6" t="s">
        <v>44</v>
      </c>
      <c r="I40" s="7" t="n">
        <v>400000</v>
      </c>
      <c r="J40" s="16"/>
      <c r="K40" s="25" t="n">
        <f aca="false">S02!J40</f>
        <v>0</v>
      </c>
      <c r="L40" s="20" t="n">
        <f aca="false">J40-K40</f>
        <v>0</v>
      </c>
      <c r="M40" s="18"/>
      <c r="N40" s="18"/>
      <c r="O40" s="18"/>
      <c r="P40" s="16"/>
      <c r="Q40" s="25" t="n">
        <f aca="false">S02!P40</f>
        <v>0</v>
      </c>
      <c r="R40" s="20" t="n">
        <f aca="false">P40-Q40</f>
        <v>0</v>
      </c>
      <c r="S40" s="20" t="n">
        <f aca="false">J40-P40</f>
        <v>0</v>
      </c>
      <c r="T40" s="19"/>
    </row>
    <row r="41" customFormat="false" ht="21.75" hidden="false" customHeight="true" outlineLevel="0" collapsed="false">
      <c r="B41" s="3" t="n">
        <v>37</v>
      </c>
      <c r="C41" s="4" t="s">
        <v>9</v>
      </c>
      <c r="D41" s="3" t="s">
        <v>71</v>
      </c>
      <c r="E41" s="3" t="s">
        <v>11</v>
      </c>
      <c r="F41" s="3" t="s">
        <v>12</v>
      </c>
      <c r="G41" s="3" t="s">
        <v>13</v>
      </c>
      <c r="H41" s="3" t="s">
        <v>72</v>
      </c>
      <c r="I41" s="5" t="n">
        <v>6000000</v>
      </c>
      <c r="J41" s="16"/>
      <c r="K41" s="24" t="n">
        <f aca="false">S02!J41</f>
        <v>0</v>
      </c>
      <c r="L41" s="17" t="n">
        <f aca="false">J41-K41</f>
        <v>0</v>
      </c>
      <c r="M41" s="18"/>
      <c r="N41" s="18"/>
      <c r="O41" s="18"/>
      <c r="P41" s="16"/>
      <c r="Q41" s="24" t="n">
        <f aca="false">S02!P41</f>
        <v>0</v>
      </c>
      <c r="R41" s="17" t="n">
        <f aca="false">P41-Q41</f>
        <v>0</v>
      </c>
      <c r="S41" s="17" t="n">
        <f aca="false">J41-P41</f>
        <v>0</v>
      </c>
      <c r="T41" s="19"/>
    </row>
    <row r="42" customFormat="false" ht="21.75" hidden="false" customHeight="true" outlineLevel="0" collapsed="false">
      <c r="B42" s="6" t="n">
        <v>38</v>
      </c>
      <c r="C42" s="4" t="s">
        <v>9</v>
      </c>
      <c r="D42" s="6" t="s">
        <v>71</v>
      </c>
      <c r="E42" s="6" t="s">
        <v>46</v>
      </c>
      <c r="F42" s="6" t="s">
        <v>47</v>
      </c>
      <c r="G42" s="6" t="s">
        <v>48</v>
      </c>
      <c r="H42" s="6" t="s">
        <v>73</v>
      </c>
      <c r="I42" s="7" t="n">
        <v>232266</v>
      </c>
      <c r="J42" s="16"/>
      <c r="K42" s="25" t="n">
        <f aca="false">S02!J42</f>
        <v>0</v>
      </c>
      <c r="L42" s="20" t="n">
        <f aca="false">J42-K42</f>
        <v>0</v>
      </c>
      <c r="M42" s="18"/>
      <c r="N42" s="18"/>
      <c r="O42" s="18"/>
      <c r="P42" s="16"/>
      <c r="Q42" s="25" t="n">
        <f aca="false">S02!P42</f>
        <v>0</v>
      </c>
      <c r="R42" s="20" t="n">
        <f aca="false">P42-Q42</f>
        <v>0</v>
      </c>
      <c r="S42" s="20" t="n">
        <f aca="false">J42-P42</f>
        <v>0</v>
      </c>
      <c r="T42" s="19"/>
    </row>
    <row r="43" customFormat="false" ht="21.75" hidden="false" customHeight="true" outlineLevel="0" collapsed="false">
      <c r="B43" s="3" t="n">
        <v>39</v>
      </c>
      <c r="C43" s="4" t="s">
        <v>9</v>
      </c>
      <c r="D43" s="3" t="s">
        <v>71</v>
      </c>
      <c r="E43" s="3" t="s">
        <v>46</v>
      </c>
      <c r="F43" s="3" t="s">
        <v>47</v>
      </c>
      <c r="G43" s="3"/>
      <c r="H43" s="3" t="s">
        <v>74</v>
      </c>
      <c r="I43" s="5" t="n">
        <v>1055025</v>
      </c>
      <c r="J43" s="16"/>
      <c r="K43" s="24" t="n">
        <f aca="false">S02!J43</f>
        <v>0</v>
      </c>
      <c r="L43" s="17" t="n">
        <f aca="false">J43-K43</f>
        <v>0</v>
      </c>
      <c r="M43" s="18"/>
      <c r="N43" s="18"/>
      <c r="O43" s="18"/>
      <c r="P43" s="16"/>
      <c r="Q43" s="24" t="n">
        <f aca="false">S02!P43</f>
        <v>0</v>
      </c>
      <c r="R43" s="17" t="n">
        <f aca="false">P43-Q43</f>
        <v>0</v>
      </c>
      <c r="S43" s="17" t="n">
        <f aca="false">J43-P43</f>
        <v>0</v>
      </c>
      <c r="T43" s="19"/>
    </row>
    <row r="44" customFormat="false" ht="21.75" hidden="false" customHeight="true" outlineLevel="0" collapsed="false">
      <c r="B44" s="6" t="n">
        <v>40</v>
      </c>
      <c r="C44" s="4" t="s">
        <v>9</v>
      </c>
      <c r="D44" s="6" t="s">
        <v>71</v>
      </c>
      <c r="E44" s="6" t="s">
        <v>46</v>
      </c>
      <c r="F44" s="6" t="s">
        <v>47</v>
      </c>
      <c r="G44" s="6"/>
      <c r="H44" s="6" t="s">
        <v>75</v>
      </c>
      <c r="I44" s="7" t="n">
        <v>1004535</v>
      </c>
      <c r="J44" s="16"/>
      <c r="K44" s="25" t="n">
        <f aca="false">S02!J44</f>
        <v>0</v>
      </c>
      <c r="L44" s="20" t="n">
        <f aca="false">J44-K44</f>
        <v>0</v>
      </c>
      <c r="M44" s="18"/>
      <c r="N44" s="18"/>
      <c r="O44" s="18"/>
      <c r="P44" s="16"/>
      <c r="Q44" s="25" t="n">
        <f aca="false">S02!P44</f>
        <v>0</v>
      </c>
      <c r="R44" s="20" t="n">
        <f aca="false">P44-Q44</f>
        <v>0</v>
      </c>
      <c r="S44" s="20" t="n">
        <f aca="false">J44-P44</f>
        <v>0</v>
      </c>
      <c r="T44" s="19"/>
    </row>
    <row r="45" customFormat="false" ht="21.75" hidden="false" customHeight="true" outlineLevel="0" collapsed="false">
      <c r="B45" s="3" t="n">
        <v>41</v>
      </c>
      <c r="C45" s="4" t="s">
        <v>9</v>
      </c>
      <c r="D45" s="3" t="s">
        <v>71</v>
      </c>
      <c r="E45" s="3" t="s">
        <v>46</v>
      </c>
      <c r="F45" s="3" t="s">
        <v>47</v>
      </c>
      <c r="G45" s="3"/>
      <c r="H45" s="3" t="s">
        <v>76</v>
      </c>
      <c r="I45" s="5" t="n">
        <v>793830</v>
      </c>
      <c r="J45" s="16"/>
      <c r="K45" s="24" t="n">
        <f aca="false">S02!J45</f>
        <v>0</v>
      </c>
      <c r="L45" s="17" t="n">
        <f aca="false">J45-K45</f>
        <v>0</v>
      </c>
      <c r="M45" s="18"/>
      <c r="N45" s="18"/>
      <c r="O45" s="18"/>
      <c r="P45" s="16"/>
      <c r="Q45" s="24" t="n">
        <f aca="false">S02!P45</f>
        <v>0</v>
      </c>
      <c r="R45" s="17" t="n">
        <f aca="false">P45-Q45</f>
        <v>0</v>
      </c>
      <c r="S45" s="17" t="n">
        <f aca="false">J45-P45</f>
        <v>0</v>
      </c>
      <c r="T45" s="19"/>
    </row>
    <row r="46" customFormat="false" ht="21.75" hidden="false" customHeight="true" outlineLevel="0" collapsed="false">
      <c r="B46" s="6" t="n">
        <v>42</v>
      </c>
      <c r="C46" s="4" t="s">
        <v>9</v>
      </c>
      <c r="D46" s="6" t="s">
        <v>71</v>
      </c>
      <c r="E46" s="6" t="s">
        <v>15</v>
      </c>
      <c r="F46" s="6" t="s">
        <v>16</v>
      </c>
      <c r="G46" s="6" t="s">
        <v>44</v>
      </c>
      <c r="H46" s="6" t="s">
        <v>44</v>
      </c>
      <c r="I46" s="7" t="n">
        <v>2000000</v>
      </c>
      <c r="J46" s="16"/>
      <c r="K46" s="25" t="n">
        <f aca="false">S02!J46</f>
        <v>0</v>
      </c>
      <c r="L46" s="20" t="n">
        <f aca="false">J46-K46</f>
        <v>0</v>
      </c>
      <c r="M46" s="18"/>
      <c r="N46" s="18"/>
      <c r="O46" s="18"/>
      <c r="P46" s="16"/>
      <c r="Q46" s="25" t="n">
        <f aca="false">S02!P46</f>
        <v>0</v>
      </c>
      <c r="R46" s="20" t="n">
        <f aca="false">P46-Q46</f>
        <v>0</v>
      </c>
      <c r="S46" s="20" t="n">
        <f aca="false">J46-P46</f>
        <v>0</v>
      </c>
      <c r="T46" s="19"/>
    </row>
    <row r="47" customFormat="false" ht="21.75" hidden="false" customHeight="true" outlineLevel="0" collapsed="false">
      <c r="B47" s="3" t="n">
        <v>43</v>
      </c>
      <c r="C47" s="4" t="s">
        <v>9</v>
      </c>
      <c r="D47" s="3" t="s">
        <v>71</v>
      </c>
      <c r="E47" s="3" t="s">
        <v>11</v>
      </c>
      <c r="F47" s="3" t="s">
        <v>12</v>
      </c>
      <c r="G47" s="3" t="s">
        <v>19</v>
      </c>
      <c r="H47" s="22" t="s">
        <v>77</v>
      </c>
      <c r="I47" s="5" t="n">
        <v>200000</v>
      </c>
      <c r="J47" s="16"/>
      <c r="K47" s="24" t="n">
        <f aca="false">S02!J47</f>
        <v>0</v>
      </c>
      <c r="L47" s="17" t="n">
        <f aca="false">J47-K47</f>
        <v>0</v>
      </c>
      <c r="M47" s="18"/>
      <c r="N47" s="18"/>
      <c r="O47" s="18"/>
      <c r="P47" s="16"/>
      <c r="Q47" s="24" t="n">
        <f aca="false">S02!P47</f>
        <v>0</v>
      </c>
      <c r="R47" s="17" t="n">
        <f aca="false">P47-Q47</f>
        <v>0</v>
      </c>
      <c r="S47" s="17" t="n">
        <f aca="false">J47-P47</f>
        <v>0</v>
      </c>
      <c r="T47" s="19"/>
    </row>
    <row r="48" customFormat="false" ht="21.75" hidden="false" customHeight="true" outlineLevel="0" collapsed="false">
      <c r="B48" s="6" t="n">
        <v>44</v>
      </c>
      <c r="C48" s="4" t="s">
        <v>9</v>
      </c>
      <c r="D48" s="6" t="s">
        <v>71</v>
      </c>
      <c r="E48" s="6" t="s">
        <v>21</v>
      </c>
      <c r="F48" s="6" t="s">
        <v>22</v>
      </c>
      <c r="G48" s="6" t="s">
        <v>23</v>
      </c>
      <c r="H48" s="6" t="s">
        <v>78</v>
      </c>
      <c r="I48" s="7" t="n">
        <v>580000</v>
      </c>
      <c r="J48" s="16"/>
      <c r="K48" s="25" t="n">
        <f aca="false">S02!J48</f>
        <v>0</v>
      </c>
      <c r="L48" s="20" t="n">
        <f aca="false">J48-K48</f>
        <v>0</v>
      </c>
      <c r="M48" s="18"/>
      <c r="N48" s="18"/>
      <c r="O48" s="18"/>
      <c r="P48" s="16"/>
      <c r="Q48" s="25" t="n">
        <f aca="false">S02!P48</f>
        <v>0</v>
      </c>
      <c r="R48" s="20" t="n">
        <f aca="false">P48-Q48</f>
        <v>0</v>
      </c>
      <c r="S48" s="20" t="n">
        <f aca="false">J48-P48</f>
        <v>0</v>
      </c>
      <c r="T48" s="19"/>
    </row>
    <row r="49" customFormat="false" ht="21.75" hidden="false" customHeight="true" outlineLevel="0" collapsed="false">
      <c r="B49" s="3" t="n">
        <v>45</v>
      </c>
      <c r="C49" s="4" t="s">
        <v>9</v>
      </c>
      <c r="D49" s="3" t="s">
        <v>71</v>
      </c>
      <c r="E49" s="3" t="s">
        <v>21</v>
      </c>
      <c r="F49" s="3" t="s">
        <v>22</v>
      </c>
      <c r="G49" s="3" t="s">
        <v>32</v>
      </c>
      <c r="H49" s="3" t="s">
        <v>79</v>
      </c>
      <c r="I49" s="5" t="n">
        <v>4000000</v>
      </c>
      <c r="J49" s="16"/>
      <c r="K49" s="24" t="n">
        <f aca="false">S02!J49</f>
        <v>0</v>
      </c>
      <c r="L49" s="17" t="n">
        <f aca="false">J49-K49</f>
        <v>0</v>
      </c>
      <c r="M49" s="18"/>
      <c r="N49" s="18"/>
      <c r="O49" s="18"/>
      <c r="P49" s="16"/>
      <c r="Q49" s="24" t="n">
        <f aca="false">S02!P49</f>
        <v>0</v>
      </c>
      <c r="R49" s="17" t="n">
        <f aca="false">P49-Q49</f>
        <v>0</v>
      </c>
      <c r="S49" s="17" t="n">
        <f aca="false">J49-P49</f>
        <v>0</v>
      </c>
      <c r="T49" s="19"/>
    </row>
    <row r="50" customFormat="false" ht="21.75" hidden="false" customHeight="true" outlineLevel="0" collapsed="false">
      <c r="B50" s="6" t="n">
        <v>46</v>
      </c>
      <c r="C50" s="4" t="s">
        <v>9</v>
      </c>
      <c r="D50" s="6" t="s">
        <v>80</v>
      </c>
      <c r="E50" s="6" t="s">
        <v>15</v>
      </c>
      <c r="F50" s="6" t="s">
        <v>16</v>
      </c>
      <c r="G50" s="6" t="s">
        <v>44</v>
      </c>
      <c r="H50" s="6" t="s">
        <v>44</v>
      </c>
      <c r="I50" s="7" t="n">
        <v>655000</v>
      </c>
      <c r="J50" s="16"/>
      <c r="K50" s="25" t="n">
        <f aca="false">S02!J50</f>
        <v>0</v>
      </c>
      <c r="L50" s="20" t="n">
        <f aca="false">J50-K50</f>
        <v>0</v>
      </c>
      <c r="M50" s="18"/>
      <c r="N50" s="18"/>
      <c r="O50" s="18"/>
      <c r="P50" s="16"/>
      <c r="Q50" s="25" t="n">
        <f aca="false">S02!P50</f>
        <v>0</v>
      </c>
      <c r="R50" s="20" t="n">
        <f aca="false">P50-Q50</f>
        <v>0</v>
      </c>
      <c r="S50" s="20" t="n">
        <f aca="false">J50-P50</f>
        <v>0</v>
      </c>
      <c r="T50" s="19"/>
    </row>
    <row r="51" customFormat="false" ht="21.75" hidden="false" customHeight="true" outlineLevel="0" collapsed="false">
      <c r="B51" s="3" t="n">
        <v>47</v>
      </c>
      <c r="C51" s="4" t="s">
        <v>9</v>
      </c>
      <c r="D51" s="3" t="s">
        <v>81</v>
      </c>
      <c r="E51" s="3" t="s">
        <v>46</v>
      </c>
      <c r="F51" s="3" t="s">
        <v>47</v>
      </c>
      <c r="G51" s="3" t="s">
        <v>48</v>
      </c>
      <c r="H51" s="3" t="s">
        <v>82</v>
      </c>
      <c r="I51" s="5" t="n">
        <v>5182920</v>
      </c>
      <c r="J51" s="16"/>
      <c r="K51" s="24" t="n">
        <f aca="false">S02!J51</f>
        <v>0</v>
      </c>
      <c r="L51" s="17" t="n">
        <f aca="false">J51-K51</f>
        <v>0</v>
      </c>
      <c r="M51" s="18"/>
      <c r="N51" s="18"/>
      <c r="O51" s="18"/>
      <c r="P51" s="16"/>
      <c r="Q51" s="24" t="n">
        <f aca="false">S02!P51</f>
        <v>0</v>
      </c>
      <c r="R51" s="17" t="n">
        <f aca="false">P51-Q51</f>
        <v>0</v>
      </c>
      <c r="S51" s="17" t="n">
        <f aca="false">J51-P51</f>
        <v>0</v>
      </c>
      <c r="T51" s="19"/>
    </row>
    <row r="52" customFormat="false" ht="21.75" hidden="false" customHeight="true" outlineLevel="0" collapsed="false">
      <c r="B52" s="6" t="n">
        <v>48</v>
      </c>
      <c r="C52" s="4" t="s">
        <v>9</v>
      </c>
      <c r="D52" s="6" t="s">
        <v>81</v>
      </c>
      <c r="E52" s="6" t="s">
        <v>46</v>
      </c>
      <c r="F52" s="6" t="s">
        <v>47</v>
      </c>
      <c r="G52" s="6"/>
      <c r="H52" s="6" t="s">
        <v>83</v>
      </c>
      <c r="I52" s="7" t="n">
        <v>152818</v>
      </c>
      <c r="J52" s="16"/>
      <c r="K52" s="25" t="n">
        <f aca="false">S02!J52</f>
        <v>0</v>
      </c>
      <c r="L52" s="20" t="n">
        <f aca="false">J52-K52</f>
        <v>0</v>
      </c>
      <c r="M52" s="18"/>
      <c r="N52" s="18"/>
      <c r="O52" s="18"/>
      <c r="P52" s="16"/>
      <c r="Q52" s="25" t="n">
        <f aca="false">S02!P52</f>
        <v>0</v>
      </c>
      <c r="R52" s="20" t="n">
        <f aca="false">P52-Q52</f>
        <v>0</v>
      </c>
      <c r="S52" s="20" t="n">
        <f aca="false">J52-P52</f>
        <v>0</v>
      </c>
      <c r="T52" s="19"/>
    </row>
    <row r="53" customFormat="false" ht="21.75" hidden="false" customHeight="true" outlineLevel="0" collapsed="false">
      <c r="B53" s="3" t="n">
        <v>49</v>
      </c>
      <c r="C53" s="4" t="s">
        <v>9</v>
      </c>
      <c r="D53" s="3" t="s">
        <v>81</v>
      </c>
      <c r="E53" s="3" t="s">
        <v>46</v>
      </c>
      <c r="F53" s="3" t="s">
        <v>47</v>
      </c>
      <c r="G53" s="3"/>
      <c r="H53" s="3" t="s">
        <v>84</v>
      </c>
      <c r="I53" s="5" t="n">
        <v>1418000</v>
      </c>
      <c r="J53" s="16"/>
      <c r="K53" s="24" t="n">
        <f aca="false">S02!J53</f>
        <v>0</v>
      </c>
      <c r="L53" s="17" t="n">
        <f aca="false">J53-K53</f>
        <v>0</v>
      </c>
      <c r="M53" s="18"/>
      <c r="N53" s="18"/>
      <c r="O53" s="18"/>
      <c r="P53" s="16"/>
      <c r="Q53" s="24" t="n">
        <f aca="false">S02!P53</f>
        <v>0</v>
      </c>
      <c r="R53" s="17" t="n">
        <f aca="false">P53-Q53</f>
        <v>0</v>
      </c>
      <c r="S53" s="17" t="n">
        <f aca="false">J53-P53</f>
        <v>0</v>
      </c>
      <c r="T53" s="19"/>
    </row>
    <row r="54" customFormat="false" ht="21.75" hidden="false" customHeight="true" outlineLevel="0" collapsed="false">
      <c r="B54" s="6" t="n">
        <v>50</v>
      </c>
      <c r="C54" s="4" t="s">
        <v>9</v>
      </c>
      <c r="D54" s="6" t="s">
        <v>81</v>
      </c>
      <c r="E54" s="6" t="s">
        <v>46</v>
      </c>
      <c r="F54" s="6" t="s">
        <v>47</v>
      </c>
      <c r="G54" s="6" t="s">
        <v>62</v>
      </c>
      <c r="H54" s="6" t="s">
        <v>85</v>
      </c>
      <c r="I54" s="7" t="n">
        <v>800000</v>
      </c>
      <c r="J54" s="16"/>
      <c r="K54" s="25" t="n">
        <f aca="false">S02!J54</f>
        <v>0</v>
      </c>
      <c r="L54" s="20" t="n">
        <f aca="false">J54-K54</f>
        <v>0</v>
      </c>
      <c r="M54" s="18"/>
      <c r="N54" s="18"/>
      <c r="O54" s="18"/>
      <c r="P54" s="16"/>
      <c r="Q54" s="25" t="n">
        <f aca="false">S02!P54</f>
        <v>0</v>
      </c>
      <c r="R54" s="20" t="n">
        <f aca="false">P54-Q54</f>
        <v>0</v>
      </c>
      <c r="S54" s="20" t="n">
        <f aca="false">J54-P54</f>
        <v>0</v>
      </c>
      <c r="T54" s="19"/>
    </row>
    <row r="55" customFormat="false" ht="21.75" hidden="false" customHeight="true" outlineLevel="0" collapsed="false">
      <c r="B55" s="3" t="n">
        <v>51</v>
      </c>
      <c r="C55" s="4" t="s">
        <v>9</v>
      </c>
      <c r="D55" s="3" t="s">
        <v>81</v>
      </c>
      <c r="E55" s="3" t="s">
        <v>15</v>
      </c>
      <c r="F55" s="3" t="s">
        <v>16</v>
      </c>
      <c r="G55" s="3" t="s">
        <v>44</v>
      </c>
      <c r="H55" s="3" t="s">
        <v>44</v>
      </c>
      <c r="I55" s="5" t="n">
        <v>3700000</v>
      </c>
      <c r="J55" s="16"/>
      <c r="K55" s="24" t="n">
        <f aca="false">S02!J55</f>
        <v>0</v>
      </c>
      <c r="L55" s="17" t="n">
        <f aca="false">J55-K55</f>
        <v>0</v>
      </c>
      <c r="M55" s="18"/>
      <c r="N55" s="18"/>
      <c r="O55" s="18"/>
      <c r="P55" s="16"/>
      <c r="Q55" s="24" t="n">
        <f aca="false">S02!P55</f>
        <v>0</v>
      </c>
      <c r="R55" s="17" t="n">
        <f aca="false">P55-Q55</f>
        <v>0</v>
      </c>
      <c r="S55" s="17" t="n">
        <f aca="false">J55-P55</f>
        <v>0</v>
      </c>
      <c r="T55" s="19"/>
    </row>
    <row r="56" customFormat="false" ht="21.75" hidden="false" customHeight="true" outlineLevel="0" collapsed="false">
      <c r="B56" s="6" t="n">
        <v>52</v>
      </c>
      <c r="C56" s="4" t="s">
        <v>9</v>
      </c>
      <c r="D56" s="6" t="s">
        <v>81</v>
      </c>
      <c r="E56" s="6" t="s">
        <v>21</v>
      </c>
      <c r="F56" s="6" t="s">
        <v>22</v>
      </c>
      <c r="G56" s="6" t="s">
        <v>23</v>
      </c>
      <c r="H56" s="6" t="s">
        <v>86</v>
      </c>
      <c r="I56" s="7" t="n">
        <v>705000</v>
      </c>
      <c r="J56" s="16"/>
      <c r="K56" s="25" t="n">
        <f aca="false">S02!J56</f>
        <v>0</v>
      </c>
      <c r="L56" s="20" t="n">
        <f aca="false">J56-K56</f>
        <v>0</v>
      </c>
      <c r="M56" s="18"/>
      <c r="N56" s="18"/>
      <c r="O56" s="18"/>
      <c r="P56" s="16"/>
      <c r="Q56" s="25" t="n">
        <f aca="false">S02!P56</f>
        <v>0</v>
      </c>
      <c r="R56" s="20" t="n">
        <f aca="false">P56-Q56</f>
        <v>0</v>
      </c>
      <c r="S56" s="20" t="n">
        <f aca="false">J56-P56</f>
        <v>0</v>
      </c>
      <c r="T56" s="19"/>
    </row>
    <row r="57" customFormat="false" ht="21.75" hidden="false" customHeight="true" outlineLevel="0" collapsed="false">
      <c r="B57" s="3" t="n">
        <v>53</v>
      </c>
      <c r="C57" s="4" t="s">
        <v>9</v>
      </c>
      <c r="D57" s="3" t="s">
        <v>81</v>
      </c>
      <c r="E57" s="3" t="s">
        <v>21</v>
      </c>
      <c r="F57" s="3" t="s">
        <v>22</v>
      </c>
      <c r="G57" s="3" t="s">
        <v>57</v>
      </c>
      <c r="H57" s="3" t="s">
        <v>87</v>
      </c>
      <c r="I57" s="5" t="n">
        <v>372000</v>
      </c>
      <c r="J57" s="16"/>
      <c r="K57" s="24" t="n">
        <f aca="false">S02!J57</f>
        <v>0</v>
      </c>
      <c r="L57" s="17" t="n">
        <f aca="false">J57-K57</f>
        <v>0</v>
      </c>
      <c r="M57" s="18"/>
      <c r="N57" s="18"/>
      <c r="O57" s="18"/>
      <c r="P57" s="16"/>
      <c r="Q57" s="24" t="n">
        <f aca="false">S02!P57</f>
        <v>0</v>
      </c>
      <c r="R57" s="17" t="n">
        <f aca="false">P57-Q57</f>
        <v>0</v>
      </c>
      <c r="S57" s="17" t="n">
        <f aca="false">J57-P57</f>
        <v>0</v>
      </c>
      <c r="T57" s="19"/>
    </row>
    <row r="58" customFormat="false" ht="21.75" hidden="false" customHeight="true" outlineLevel="0" collapsed="false">
      <c r="B58" s="6" t="n">
        <v>54</v>
      </c>
      <c r="C58" s="8" t="s">
        <v>88</v>
      </c>
      <c r="D58" s="6" t="s">
        <v>89</v>
      </c>
      <c r="E58" s="6" t="s">
        <v>11</v>
      </c>
      <c r="F58" s="6" t="s">
        <v>12</v>
      </c>
      <c r="G58" s="6" t="s">
        <v>13</v>
      </c>
      <c r="H58" s="6" t="s">
        <v>90</v>
      </c>
      <c r="I58" s="7" t="n">
        <v>10000000</v>
      </c>
      <c r="J58" s="16"/>
      <c r="K58" s="25" t="n">
        <f aca="false">S02!J58</f>
        <v>0</v>
      </c>
      <c r="L58" s="20" t="n">
        <f aca="false">J58-K58</f>
        <v>0</v>
      </c>
      <c r="M58" s="18"/>
      <c r="N58" s="18"/>
      <c r="O58" s="18"/>
      <c r="P58" s="16"/>
      <c r="Q58" s="25" t="n">
        <f aca="false">S02!P58</f>
        <v>0</v>
      </c>
      <c r="R58" s="20" t="n">
        <f aca="false">P58-Q58</f>
        <v>0</v>
      </c>
      <c r="S58" s="20" t="n">
        <f aca="false">J58-P58</f>
        <v>0</v>
      </c>
      <c r="T58" s="19"/>
    </row>
    <row r="59" customFormat="false" ht="21.75" hidden="false" customHeight="true" outlineLevel="0" collapsed="false">
      <c r="B59" s="3" t="n">
        <v>55</v>
      </c>
      <c r="C59" s="8" t="s">
        <v>88</v>
      </c>
      <c r="D59" s="3" t="s">
        <v>89</v>
      </c>
      <c r="E59" s="3" t="s">
        <v>15</v>
      </c>
      <c r="F59" s="3" t="s">
        <v>16</v>
      </c>
      <c r="G59" s="3" t="s">
        <v>17</v>
      </c>
      <c r="H59" s="3" t="s">
        <v>91</v>
      </c>
      <c r="I59" s="5" t="n">
        <v>2000000</v>
      </c>
      <c r="J59" s="16"/>
      <c r="K59" s="24" t="n">
        <f aca="false">S02!J59</f>
        <v>0</v>
      </c>
      <c r="L59" s="17" t="n">
        <f aca="false">J59-K59</f>
        <v>0</v>
      </c>
      <c r="M59" s="18"/>
      <c r="N59" s="18"/>
      <c r="O59" s="18"/>
      <c r="P59" s="16"/>
      <c r="Q59" s="24" t="n">
        <f aca="false">S02!P59</f>
        <v>0</v>
      </c>
      <c r="R59" s="17" t="n">
        <f aca="false">P59-Q59</f>
        <v>0</v>
      </c>
      <c r="S59" s="17" t="n">
        <f aca="false">J59-P59</f>
        <v>0</v>
      </c>
      <c r="T59" s="19"/>
    </row>
    <row r="60" customFormat="false" ht="21.75" hidden="false" customHeight="true" outlineLevel="0" collapsed="false">
      <c r="B60" s="6" t="n">
        <v>56</v>
      </c>
      <c r="C60" s="8" t="s">
        <v>88</v>
      </c>
      <c r="D60" s="6" t="s">
        <v>89</v>
      </c>
      <c r="E60" s="6" t="s">
        <v>21</v>
      </c>
      <c r="F60" s="6" t="s">
        <v>22</v>
      </c>
      <c r="G60" s="6" t="s">
        <v>30</v>
      </c>
      <c r="H60" s="6" t="s">
        <v>92</v>
      </c>
      <c r="I60" s="7" t="n">
        <v>300000</v>
      </c>
      <c r="J60" s="16"/>
      <c r="K60" s="25" t="n">
        <f aca="false">S02!J60</f>
        <v>0</v>
      </c>
      <c r="L60" s="20" t="n">
        <f aca="false">J60-K60</f>
        <v>0</v>
      </c>
      <c r="M60" s="18"/>
      <c r="N60" s="18"/>
      <c r="O60" s="18"/>
      <c r="P60" s="16"/>
      <c r="Q60" s="25" t="n">
        <f aca="false">S02!P60</f>
        <v>0</v>
      </c>
      <c r="R60" s="20" t="n">
        <f aca="false">P60-Q60</f>
        <v>0</v>
      </c>
      <c r="S60" s="20" t="n">
        <f aca="false">J60-P60</f>
        <v>0</v>
      </c>
      <c r="T60" s="19"/>
    </row>
    <row r="61" customFormat="false" ht="21.75" hidden="false" customHeight="true" outlineLevel="0" collapsed="false">
      <c r="B61" s="3" t="n">
        <v>57</v>
      </c>
      <c r="C61" s="8" t="s">
        <v>88</v>
      </c>
      <c r="D61" s="3" t="s">
        <v>89</v>
      </c>
      <c r="E61" s="3" t="s">
        <v>46</v>
      </c>
      <c r="F61" s="3" t="s">
        <v>47</v>
      </c>
      <c r="G61" s="3" t="s">
        <v>62</v>
      </c>
      <c r="H61" s="3" t="s">
        <v>93</v>
      </c>
      <c r="I61" s="5" t="n">
        <v>100000</v>
      </c>
      <c r="J61" s="16"/>
      <c r="K61" s="24" t="n">
        <f aca="false">S02!J61</f>
        <v>0</v>
      </c>
      <c r="L61" s="17" t="n">
        <f aca="false">J61-K61</f>
        <v>0</v>
      </c>
      <c r="M61" s="18"/>
      <c r="N61" s="18"/>
      <c r="O61" s="18"/>
      <c r="P61" s="16"/>
      <c r="Q61" s="24" t="n">
        <f aca="false">S02!P61</f>
        <v>0</v>
      </c>
      <c r="R61" s="17" t="n">
        <f aca="false">P61-Q61</f>
        <v>0</v>
      </c>
      <c r="S61" s="17" t="n">
        <f aca="false">J61-P61</f>
        <v>0</v>
      </c>
      <c r="T61" s="19"/>
    </row>
    <row r="62" customFormat="false" ht="21.75" hidden="false" customHeight="true" outlineLevel="0" collapsed="false">
      <c r="B62" s="6" t="n">
        <v>58</v>
      </c>
      <c r="C62" s="8" t="s">
        <v>88</v>
      </c>
      <c r="D62" s="6" t="s">
        <v>94</v>
      </c>
      <c r="E62" s="6" t="s">
        <v>11</v>
      </c>
      <c r="F62" s="6" t="s">
        <v>12</v>
      </c>
      <c r="G62" s="6" t="s">
        <v>13</v>
      </c>
      <c r="H62" s="6" t="s">
        <v>95</v>
      </c>
      <c r="I62" s="7" t="n">
        <v>3000000</v>
      </c>
      <c r="J62" s="16"/>
      <c r="K62" s="25" t="n">
        <f aca="false">S02!J62</f>
        <v>0</v>
      </c>
      <c r="L62" s="20" t="n">
        <f aca="false">J62-K62</f>
        <v>0</v>
      </c>
      <c r="M62" s="18"/>
      <c r="N62" s="18"/>
      <c r="O62" s="18"/>
      <c r="P62" s="16"/>
      <c r="Q62" s="25" t="n">
        <f aca="false">S02!P62</f>
        <v>0</v>
      </c>
      <c r="R62" s="20" t="n">
        <f aca="false">P62-Q62</f>
        <v>0</v>
      </c>
      <c r="S62" s="20" t="n">
        <f aca="false">J62-P62</f>
        <v>0</v>
      </c>
      <c r="T62" s="19"/>
    </row>
    <row r="63" customFormat="false" ht="21.75" hidden="false" customHeight="true" outlineLevel="0" collapsed="false">
      <c r="B63" s="3" t="n">
        <v>59</v>
      </c>
      <c r="C63" s="8" t="s">
        <v>88</v>
      </c>
      <c r="D63" s="3" t="s">
        <v>94</v>
      </c>
      <c r="E63" s="3" t="s">
        <v>15</v>
      </c>
      <c r="F63" s="3" t="s">
        <v>16</v>
      </c>
      <c r="G63" s="3" t="s">
        <v>17</v>
      </c>
      <c r="H63" s="3" t="s">
        <v>96</v>
      </c>
      <c r="I63" s="5" t="n">
        <v>5000000</v>
      </c>
      <c r="J63" s="16"/>
      <c r="K63" s="24" t="n">
        <f aca="false">S02!J63</f>
        <v>0</v>
      </c>
      <c r="L63" s="17" t="n">
        <f aca="false">J63-K63</f>
        <v>0</v>
      </c>
      <c r="M63" s="18"/>
      <c r="N63" s="18"/>
      <c r="O63" s="18"/>
      <c r="P63" s="16"/>
      <c r="Q63" s="24" t="n">
        <f aca="false">S02!P63</f>
        <v>0</v>
      </c>
      <c r="R63" s="17" t="n">
        <f aca="false">P63-Q63</f>
        <v>0</v>
      </c>
      <c r="S63" s="17" t="n">
        <f aca="false">J63-P63</f>
        <v>0</v>
      </c>
      <c r="T63" s="19"/>
    </row>
    <row r="64" customFormat="false" ht="21.75" hidden="false" customHeight="true" outlineLevel="0" collapsed="false">
      <c r="B64" s="6" t="n">
        <v>60</v>
      </c>
      <c r="C64" s="8" t="s">
        <v>88</v>
      </c>
      <c r="D64" s="6" t="s">
        <v>97</v>
      </c>
      <c r="E64" s="6" t="s">
        <v>11</v>
      </c>
      <c r="F64" s="6" t="s">
        <v>12</v>
      </c>
      <c r="G64" s="6" t="s">
        <v>13</v>
      </c>
      <c r="H64" s="6" t="s">
        <v>98</v>
      </c>
      <c r="I64" s="7" t="n">
        <v>3000000</v>
      </c>
      <c r="J64" s="16"/>
      <c r="K64" s="25" t="n">
        <f aca="false">S02!J64</f>
        <v>0</v>
      </c>
      <c r="L64" s="20" t="n">
        <f aca="false">J64-K64</f>
        <v>0</v>
      </c>
      <c r="M64" s="18"/>
      <c r="N64" s="18"/>
      <c r="O64" s="18"/>
      <c r="P64" s="16"/>
      <c r="Q64" s="25" t="n">
        <f aca="false">S02!P64</f>
        <v>0</v>
      </c>
      <c r="R64" s="20" t="n">
        <f aca="false">P64-Q64</f>
        <v>0</v>
      </c>
      <c r="S64" s="20" t="n">
        <f aca="false">J64-P64</f>
        <v>0</v>
      </c>
      <c r="T64" s="19"/>
    </row>
    <row r="65" customFormat="false" ht="21.75" hidden="false" customHeight="true" outlineLevel="0" collapsed="false">
      <c r="B65" s="3" t="n">
        <v>61</v>
      </c>
      <c r="C65" s="8" t="s">
        <v>88</v>
      </c>
      <c r="D65" s="3" t="s">
        <v>97</v>
      </c>
      <c r="E65" s="3" t="s">
        <v>15</v>
      </c>
      <c r="F65" s="3" t="s">
        <v>16</v>
      </c>
      <c r="G65" s="3" t="s">
        <v>17</v>
      </c>
      <c r="H65" s="3" t="s">
        <v>99</v>
      </c>
      <c r="I65" s="5" t="n">
        <v>3000000</v>
      </c>
      <c r="J65" s="16"/>
      <c r="K65" s="24" t="n">
        <f aca="false">S02!J65</f>
        <v>0</v>
      </c>
      <c r="L65" s="17" t="n">
        <f aca="false">J65-K65</f>
        <v>0</v>
      </c>
      <c r="M65" s="18"/>
      <c r="N65" s="18"/>
      <c r="O65" s="18"/>
      <c r="P65" s="16"/>
      <c r="Q65" s="24" t="n">
        <f aca="false">S02!P65</f>
        <v>0</v>
      </c>
      <c r="R65" s="17" t="n">
        <f aca="false">P65-Q65</f>
        <v>0</v>
      </c>
      <c r="S65" s="17" t="n">
        <f aca="false">J65-P65</f>
        <v>0</v>
      </c>
      <c r="T65" s="19"/>
    </row>
    <row r="66" customFormat="false" ht="21.75" hidden="false" customHeight="true" outlineLevel="0" collapsed="false">
      <c r="B66" s="6" t="n">
        <v>62</v>
      </c>
      <c r="C66" s="8" t="s">
        <v>88</v>
      </c>
      <c r="D66" s="6" t="s">
        <v>100</v>
      </c>
      <c r="E66" s="6" t="s">
        <v>11</v>
      </c>
      <c r="F66" s="6" t="s">
        <v>12</v>
      </c>
      <c r="G66" s="6" t="s">
        <v>13</v>
      </c>
      <c r="H66" s="6" t="s">
        <v>101</v>
      </c>
      <c r="I66" s="7" t="n">
        <v>6000000</v>
      </c>
      <c r="J66" s="16"/>
      <c r="K66" s="25" t="n">
        <f aca="false">S02!J66</f>
        <v>0</v>
      </c>
      <c r="L66" s="20" t="n">
        <f aca="false">J66-K66</f>
        <v>0</v>
      </c>
      <c r="M66" s="18"/>
      <c r="N66" s="18"/>
      <c r="O66" s="18"/>
      <c r="P66" s="16"/>
      <c r="Q66" s="25" t="n">
        <f aca="false">S02!P66</f>
        <v>0</v>
      </c>
      <c r="R66" s="20" t="n">
        <f aca="false">P66-Q66</f>
        <v>0</v>
      </c>
      <c r="S66" s="20" t="n">
        <f aca="false">J66-P66</f>
        <v>0</v>
      </c>
      <c r="T66" s="19"/>
    </row>
    <row r="67" customFormat="false" ht="21.75" hidden="false" customHeight="true" outlineLevel="0" collapsed="false">
      <c r="B67" s="3" t="n">
        <v>63</v>
      </c>
      <c r="C67" s="8" t="s">
        <v>88</v>
      </c>
      <c r="D67" s="3" t="s">
        <v>100</v>
      </c>
      <c r="E67" s="3" t="s">
        <v>15</v>
      </c>
      <c r="F67" s="3" t="s">
        <v>16</v>
      </c>
      <c r="G67" s="3" t="s">
        <v>17</v>
      </c>
      <c r="H67" s="3" t="s">
        <v>102</v>
      </c>
      <c r="I67" s="5" t="n">
        <v>6000000</v>
      </c>
      <c r="J67" s="16"/>
      <c r="K67" s="24" t="n">
        <f aca="false">S02!J67</f>
        <v>0</v>
      </c>
      <c r="L67" s="17" t="n">
        <f aca="false">J67-K67</f>
        <v>0</v>
      </c>
      <c r="M67" s="18"/>
      <c r="N67" s="18"/>
      <c r="O67" s="18"/>
      <c r="P67" s="16"/>
      <c r="Q67" s="24" t="n">
        <f aca="false">S02!P67</f>
        <v>0</v>
      </c>
      <c r="R67" s="17" t="n">
        <f aca="false">P67-Q67</f>
        <v>0</v>
      </c>
      <c r="S67" s="17" t="n">
        <f aca="false">J67-P67</f>
        <v>0</v>
      </c>
      <c r="T67" s="19"/>
    </row>
    <row r="68" customFormat="false" ht="21.75" hidden="false" customHeight="true" outlineLevel="0" collapsed="false">
      <c r="B68" s="6" t="n">
        <v>64</v>
      </c>
      <c r="C68" s="8" t="s">
        <v>88</v>
      </c>
      <c r="D68" s="6" t="s">
        <v>103</v>
      </c>
      <c r="E68" s="6" t="s">
        <v>11</v>
      </c>
      <c r="F68" s="6" t="s">
        <v>12</v>
      </c>
      <c r="G68" s="6" t="s">
        <v>13</v>
      </c>
      <c r="H68" s="6" t="s">
        <v>104</v>
      </c>
      <c r="I68" s="7" t="n">
        <v>3000000</v>
      </c>
      <c r="J68" s="16"/>
      <c r="K68" s="25" t="n">
        <f aca="false">S02!J68</f>
        <v>0</v>
      </c>
      <c r="L68" s="20" t="n">
        <f aca="false">J68-K68</f>
        <v>0</v>
      </c>
      <c r="M68" s="18"/>
      <c r="N68" s="18"/>
      <c r="O68" s="18"/>
      <c r="P68" s="16"/>
      <c r="Q68" s="25" t="n">
        <f aca="false">S02!P68</f>
        <v>0</v>
      </c>
      <c r="R68" s="20" t="n">
        <f aca="false">P68-Q68</f>
        <v>0</v>
      </c>
      <c r="S68" s="20" t="n">
        <f aca="false">J68-P68</f>
        <v>0</v>
      </c>
      <c r="T68" s="19"/>
    </row>
    <row r="69" customFormat="false" ht="21.75" hidden="false" customHeight="true" outlineLevel="0" collapsed="false">
      <c r="B69" s="3" t="n">
        <v>65</v>
      </c>
      <c r="C69" s="8" t="s">
        <v>88</v>
      </c>
      <c r="D69" s="3" t="s">
        <v>105</v>
      </c>
      <c r="E69" s="3" t="s">
        <v>11</v>
      </c>
      <c r="F69" s="3" t="s">
        <v>12</v>
      </c>
      <c r="G69" s="3" t="s">
        <v>13</v>
      </c>
      <c r="H69" s="3" t="s">
        <v>106</v>
      </c>
      <c r="I69" s="5" t="n">
        <v>1000000</v>
      </c>
      <c r="J69" s="16"/>
      <c r="K69" s="24" t="n">
        <f aca="false">S02!J69</f>
        <v>0</v>
      </c>
      <c r="L69" s="17" t="n">
        <f aca="false">J69-K69</f>
        <v>0</v>
      </c>
      <c r="M69" s="18"/>
      <c r="N69" s="18"/>
      <c r="O69" s="18"/>
      <c r="P69" s="16"/>
      <c r="Q69" s="24" t="n">
        <f aca="false">S02!P69</f>
        <v>0</v>
      </c>
      <c r="R69" s="17" t="n">
        <f aca="false">P69-Q69</f>
        <v>0</v>
      </c>
      <c r="S69" s="17" t="n">
        <f aca="false">J69-P69</f>
        <v>0</v>
      </c>
      <c r="T69" s="19"/>
    </row>
    <row r="70" customFormat="false" ht="21.75" hidden="false" customHeight="true" outlineLevel="0" collapsed="false">
      <c r="B70" s="6" t="n">
        <v>66</v>
      </c>
      <c r="C70" s="8" t="s">
        <v>88</v>
      </c>
      <c r="D70" s="6" t="s">
        <v>107</v>
      </c>
      <c r="E70" s="6" t="s">
        <v>11</v>
      </c>
      <c r="F70" s="6" t="s">
        <v>12</v>
      </c>
      <c r="G70" s="6" t="s">
        <v>13</v>
      </c>
      <c r="H70" s="6" t="s">
        <v>108</v>
      </c>
      <c r="I70" s="7" t="n">
        <v>1000000</v>
      </c>
      <c r="J70" s="16"/>
      <c r="K70" s="25" t="n">
        <f aca="false">S02!J70</f>
        <v>0</v>
      </c>
      <c r="L70" s="20" t="n">
        <f aca="false">J70-K70</f>
        <v>0</v>
      </c>
      <c r="M70" s="18"/>
      <c r="N70" s="18"/>
      <c r="O70" s="18"/>
      <c r="P70" s="16"/>
      <c r="Q70" s="25" t="n">
        <f aca="false">S02!P70</f>
        <v>0</v>
      </c>
      <c r="R70" s="20" t="n">
        <f aca="false">P70-Q70</f>
        <v>0</v>
      </c>
      <c r="S70" s="20" t="n">
        <f aca="false">J70-P70</f>
        <v>0</v>
      </c>
      <c r="T70" s="19"/>
    </row>
    <row r="71" customFormat="false" ht="21.75" hidden="false" customHeight="true" outlineLevel="0" collapsed="false">
      <c r="B71" s="3" t="n">
        <v>67</v>
      </c>
      <c r="C71" s="8" t="s">
        <v>88</v>
      </c>
      <c r="D71" s="3" t="s">
        <v>109</v>
      </c>
      <c r="E71" s="3" t="s">
        <v>11</v>
      </c>
      <c r="F71" s="3" t="s">
        <v>12</v>
      </c>
      <c r="G71" s="3" t="s">
        <v>13</v>
      </c>
      <c r="H71" s="3" t="s">
        <v>110</v>
      </c>
      <c r="I71" s="5" t="n">
        <v>6600000</v>
      </c>
      <c r="J71" s="16"/>
      <c r="K71" s="24" t="n">
        <f aca="false">S02!J71</f>
        <v>0</v>
      </c>
      <c r="L71" s="17" t="n">
        <f aca="false">J71-K71</f>
        <v>0</v>
      </c>
      <c r="M71" s="18"/>
      <c r="N71" s="18"/>
      <c r="O71" s="18"/>
      <c r="P71" s="16"/>
      <c r="Q71" s="24" t="n">
        <f aca="false">S02!P71</f>
        <v>0</v>
      </c>
      <c r="R71" s="17" t="n">
        <f aca="false">P71-Q71</f>
        <v>0</v>
      </c>
      <c r="S71" s="17" t="n">
        <f aca="false">J71-P71</f>
        <v>0</v>
      </c>
      <c r="T71" s="19"/>
    </row>
    <row r="72" customFormat="false" ht="21.75" hidden="false" customHeight="true" outlineLevel="0" collapsed="false">
      <c r="B72" s="6" t="n">
        <v>68</v>
      </c>
      <c r="C72" s="9" t="s">
        <v>111</v>
      </c>
      <c r="D72" s="6" t="s">
        <v>112</v>
      </c>
      <c r="E72" s="6" t="s">
        <v>11</v>
      </c>
      <c r="F72" s="6" t="s">
        <v>12</v>
      </c>
      <c r="G72" s="6" t="s">
        <v>13</v>
      </c>
      <c r="H72" s="6" t="s">
        <v>113</v>
      </c>
      <c r="I72" s="7" t="n">
        <v>1805475</v>
      </c>
      <c r="J72" s="16"/>
      <c r="K72" s="25" t="n">
        <f aca="false">S02!J72</f>
        <v>0</v>
      </c>
      <c r="L72" s="20" t="n">
        <f aca="false">J72-K72</f>
        <v>0</v>
      </c>
      <c r="M72" s="18"/>
      <c r="N72" s="18"/>
      <c r="O72" s="18"/>
      <c r="P72" s="16"/>
      <c r="Q72" s="25" t="n">
        <f aca="false">S02!P72</f>
        <v>0</v>
      </c>
      <c r="R72" s="20" t="n">
        <f aca="false">P72-Q72</f>
        <v>0</v>
      </c>
      <c r="S72" s="20" t="n">
        <f aca="false">J72-P72</f>
        <v>0</v>
      </c>
      <c r="T72" s="19"/>
    </row>
    <row r="73" customFormat="false" ht="21.75" hidden="false" customHeight="true" outlineLevel="0" collapsed="false">
      <c r="B73" s="3" t="n">
        <v>69</v>
      </c>
      <c r="C73" s="9" t="s">
        <v>111</v>
      </c>
      <c r="D73" s="3" t="s">
        <v>112</v>
      </c>
      <c r="E73" s="3" t="s">
        <v>11</v>
      </c>
      <c r="F73" s="3" t="s">
        <v>12</v>
      </c>
      <c r="G73" s="3" t="s">
        <v>13</v>
      </c>
      <c r="H73" s="3" t="s">
        <v>114</v>
      </c>
      <c r="I73" s="5" t="n">
        <v>2587200</v>
      </c>
      <c r="J73" s="16"/>
      <c r="K73" s="24" t="n">
        <f aca="false">S02!J73</f>
        <v>0</v>
      </c>
      <c r="L73" s="17" t="n">
        <f aca="false">J73-K73</f>
        <v>0</v>
      </c>
      <c r="M73" s="18"/>
      <c r="N73" s="18"/>
      <c r="O73" s="18"/>
      <c r="P73" s="16"/>
      <c r="Q73" s="24" t="n">
        <f aca="false">S02!P73</f>
        <v>0</v>
      </c>
      <c r="R73" s="17" t="n">
        <f aca="false">P73-Q73</f>
        <v>0</v>
      </c>
      <c r="S73" s="17" t="n">
        <f aca="false">J73-P73</f>
        <v>0</v>
      </c>
      <c r="T73" s="19"/>
    </row>
    <row r="74" customFormat="false" ht="21.75" hidden="false" customHeight="true" outlineLevel="0" collapsed="false">
      <c r="B74" s="6" t="n">
        <v>70</v>
      </c>
      <c r="C74" s="9" t="s">
        <v>111</v>
      </c>
      <c r="D74" s="6" t="s">
        <v>112</v>
      </c>
      <c r="E74" s="6" t="s">
        <v>15</v>
      </c>
      <c r="F74" s="6" t="s">
        <v>16</v>
      </c>
      <c r="G74" s="6" t="s">
        <v>17</v>
      </c>
      <c r="H74" s="6" t="s">
        <v>44</v>
      </c>
      <c r="I74" s="7" t="n">
        <v>3500000</v>
      </c>
      <c r="J74" s="16"/>
      <c r="K74" s="25" t="n">
        <f aca="false">S02!J74</f>
        <v>0</v>
      </c>
      <c r="L74" s="20" t="n">
        <f aca="false">J74-K74</f>
        <v>0</v>
      </c>
      <c r="M74" s="18"/>
      <c r="N74" s="18"/>
      <c r="O74" s="18"/>
      <c r="P74" s="16"/>
      <c r="Q74" s="25" t="n">
        <f aca="false">S02!P74</f>
        <v>0</v>
      </c>
      <c r="R74" s="20" t="n">
        <f aca="false">P74-Q74</f>
        <v>0</v>
      </c>
      <c r="S74" s="20" t="n">
        <f aca="false">J74-P74</f>
        <v>0</v>
      </c>
      <c r="T74" s="19"/>
    </row>
    <row r="75" customFormat="false" ht="21.75" hidden="false" customHeight="true" outlineLevel="0" collapsed="false">
      <c r="B75" s="3" t="n">
        <v>71</v>
      </c>
      <c r="C75" s="9" t="s">
        <v>111</v>
      </c>
      <c r="D75" s="3" t="s">
        <v>112</v>
      </c>
      <c r="E75" s="3" t="s">
        <v>21</v>
      </c>
      <c r="F75" s="3" t="s">
        <v>22</v>
      </c>
      <c r="G75" s="3" t="s">
        <v>115</v>
      </c>
      <c r="H75" s="3" t="s">
        <v>116</v>
      </c>
      <c r="I75" s="5" t="n">
        <v>870000</v>
      </c>
      <c r="J75" s="16"/>
      <c r="K75" s="24" t="n">
        <f aca="false">S02!J75</f>
        <v>0</v>
      </c>
      <c r="L75" s="17" t="n">
        <f aca="false">J75-K75</f>
        <v>0</v>
      </c>
      <c r="M75" s="18"/>
      <c r="N75" s="18"/>
      <c r="O75" s="18"/>
      <c r="P75" s="16"/>
      <c r="Q75" s="24" t="n">
        <f aca="false">S02!P75</f>
        <v>0</v>
      </c>
      <c r="R75" s="17" t="n">
        <f aca="false">P75-Q75</f>
        <v>0</v>
      </c>
      <c r="S75" s="17" t="n">
        <f aca="false">J75-P75</f>
        <v>0</v>
      </c>
      <c r="T75" s="19"/>
    </row>
    <row r="76" customFormat="false" ht="21.75" hidden="false" customHeight="true" outlineLevel="0" collapsed="false">
      <c r="B76" s="6" t="n">
        <v>72</v>
      </c>
      <c r="C76" s="9" t="s">
        <v>111</v>
      </c>
      <c r="D76" s="6" t="s">
        <v>112</v>
      </c>
      <c r="E76" s="6" t="s">
        <v>11</v>
      </c>
      <c r="F76" s="6" t="s">
        <v>12</v>
      </c>
      <c r="G76" s="6" t="s">
        <v>117</v>
      </c>
      <c r="H76" s="6" t="s">
        <v>118</v>
      </c>
      <c r="I76" s="7" t="n">
        <v>500000</v>
      </c>
      <c r="J76" s="16"/>
      <c r="K76" s="25" t="n">
        <f aca="false">S02!J76</f>
        <v>0</v>
      </c>
      <c r="L76" s="20" t="n">
        <f aca="false">J76-K76</f>
        <v>0</v>
      </c>
      <c r="M76" s="18"/>
      <c r="N76" s="18"/>
      <c r="O76" s="18"/>
      <c r="P76" s="16"/>
      <c r="Q76" s="25" t="n">
        <f aca="false">S02!P76</f>
        <v>0</v>
      </c>
      <c r="R76" s="20" t="n">
        <f aca="false">P76-Q76</f>
        <v>0</v>
      </c>
      <c r="S76" s="20" t="n">
        <f aca="false">J76-P76</f>
        <v>0</v>
      </c>
      <c r="T76" s="19"/>
    </row>
    <row r="77" customFormat="false" ht="25.5" hidden="false" customHeight="true" outlineLevel="0" collapsed="false">
      <c r="B77" s="10" t="s">
        <v>119</v>
      </c>
      <c r="C77" s="10"/>
      <c r="D77" s="10"/>
      <c r="E77" s="10"/>
      <c r="F77" s="10"/>
      <c r="G77" s="10"/>
      <c r="H77" s="10"/>
      <c r="I77" s="11" t="n">
        <f aca="false">SUM(I5:I76)</f>
        <v>130262675</v>
      </c>
      <c r="J77" s="23" t="n">
        <f aca="false">IFERROR(SUMPRODUCT(J5:J76,I5:I76)/I77,0)</f>
        <v>0</v>
      </c>
      <c r="K77" s="23" t="n">
        <f aca="false">IFERROR(SUMPRODUCT(K5:K76,I5:I76)/I77,0)</f>
        <v>0</v>
      </c>
      <c r="L77" s="23" t="n">
        <f aca="false">J77-K77</f>
        <v>0</v>
      </c>
      <c r="M77" s="11" t="n">
        <f aca="false">SUM(M5:M76)</f>
        <v>0</v>
      </c>
      <c r="N77" s="11" t="n">
        <f aca="false">SUM(N5:N76)</f>
        <v>0</v>
      </c>
      <c r="O77" s="11" t="n">
        <f aca="false">SUM(O5:O76)</f>
        <v>0</v>
      </c>
      <c r="P77" s="23" t="n">
        <f aca="false">IFERROR(SUMPRODUCT(P5:P76,I5:I76)/I77,0)</f>
        <v>0</v>
      </c>
      <c r="Q77" s="23" t="n">
        <f aca="false">IFERROR(SUMPRODUCT(Q5:Q76,I5:I76)/I77,0)</f>
        <v>0</v>
      </c>
      <c r="R77" s="23" t="n">
        <f aca="false">P77-Q77</f>
        <v>0</v>
      </c>
      <c r="S77" s="23" t="n">
        <f aca="false">J77-P77</f>
        <v>0</v>
      </c>
      <c r="T77" s="10"/>
    </row>
  </sheetData>
  <sheetProtection sheet="true" password="cbbe"/>
  <mergeCells count="2">
    <mergeCell ref="B2:T2"/>
    <mergeCell ref="C3:D3"/>
  </mergeCells>
  <conditionalFormatting sqref="L5:L76">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R5:R76">
    <cfRule type="cellIs" priority="4" operator="greaterThan" aboveAverage="0" equalAverage="0" bottom="0" percent="0" rank="0" text="" dxfId="0">
      <formula>0</formula>
    </cfRule>
    <cfRule type="cellIs" priority="5" operator="lessThan" aboveAverage="0" equalAverage="0" bottom="0" percent="0" rank="0" text="" dxfId="1">
      <formula>0</formula>
    </cfRule>
  </conditionalFormatting>
  <conditionalFormatting sqref="S5:S76">
    <cfRule type="cellIs" priority="6" operator="greaterThan" aboveAverage="0" equalAverage="0" bottom="0" percent="0" rank="0" text="" dxfId="0">
      <formula>0.05</formula>
    </cfRule>
    <cfRule type="cellIs" priority="7" operator="lessThan" aboveAverage="0" equalAverage="0" bottom="0" percent="0" rank="0" text="" dxfId="1">
      <formula>-0.05</formula>
    </cfRule>
    <cfRule type="cellIs" priority="8" operator="between" aboveAverage="0" equalAverage="0" bottom="0" percent="0" rank="0" text="" dxfId="2">
      <formula>-0.05</formula>
      <formula>0.05</formula>
    </cfRule>
  </conditionalFormatting>
  <conditionalFormatting sqref="J5:J76">
    <cfRule type="dataBar" priority="9">
      <dataBar showValue="1" minLength="10" maxLength="90">
        <cfvo type="num" val="0"/>
        <cfvo type="num" val="1"/>
        <color rgb="FF1B7D46"/>
      </dataBar>
      <extLst>
        <ext xmlns:x14="http://schemas.microsoft.com/office/spreadsheetml/2009/9/main" uri="{B025F937-C7B1-47D3-B67F-A62EFF666E3E}">
          <x14:id>{A711FB62-5CDF-4B5C-97A2-E700C13EE568}</x14:id>
        </ext>
      </extLst>
    </cfRule>
  </conditionalFormatting>
  <conditionalFormatting sqref="P5:P76">
    <cfRule type="dataBar" priority="10">
      <dataBar showValue="1" minLength="10" maxLength="90">
        <cfvo type="num" val="0"/>
        <cfvo type="num" val="1"/>
        <color rgb="FFD4820A"/>
      </dataBar>
      <extLst>
        <ext xmlns:x14="http://schemas.microsoft.com/office/spreadsheetml/2009/9/main" uri="{B025F937-C7B1-47D3-B67F-A62EFF666E3E}">
          <x14:id>{BF7D7B53-ED4D-4680-99C4-EFCC3D365D7D}</x14:id>
        </ext>
      </extLst>
    </cfRule>
  </conditionalFormatting>
  <dataValidations count="1">
    <dataValidation allowBlank="true" error="Veuillez entrer un pourcentage entre 0% et 100%" errorStyle="stop" errorTitle="Valeur invalide" operator="between" prompt="Entrez le pourcentage (ex: 0.25 pour 25%)" promptTitle="Avancement %" showDropDown="false" showErrorMessage="false" showInputMessage="false" sqref="J5:J76 P5:P76"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A711FB62-5CDF-4B5C-97A2-E700C13EE568}">
            <x14:dataBar minLength="10" maxLength="90" axisPosition="none" gradient="true">
              <x14:cfvo type="num">
                <xm:f>0</xm:f>
              </x14:cfvo>
              <x14:cfvo type="num">
                <xm:f>1</xm:f>
              </x14:cfvo>
              <x14:negativeFillColor rgb="FF1B7D46"/>
              <x14:axisColor rgb="FF000000"/>
            </x14:dataBar>
          </x14:cfRule>
          <xm:sqref>J5:J76</xm:sqref>
        </x14:conditionalFormatting>
        <x14:conditionalFormatting xmlns:xm="http://schemas.microsoft.com/office/excel/2006/main">
          <x14:cfRule type="dataBar" id="{BF7D7B53-ED4D-4680-99C4-EFCC3D365D7D}">
            <x14:dataBar minLength="10" maxLength="90" axisPosition="none" gradient="true">
              <x14:cfvo type="num">
                <xm:f>0</xm:f>
              </x14:cfvo>
              <x14:cfvo type="num">
                <xm:f>1</xm:f>
              </x14:cfvo>
              <x14:negativeFillColor rgb="FFD4820A"/>
              <x14:axisColor rgb="FF000000"/>
            </x14:dataBar>
          </x14:cfRule>
          <xm:sqref>P5:P76</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T7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5"/>
    <col collapsed="false" customWidth="true" hidden="false" outlineLevel="0" max="3" min="3" style="0" width="16"/>
    <col collapsed="false" customWidth="true" hidden="false" outlineLevel="0" max="4" min="4" style="0" width="20"/>
    <col collapsed="false" customWidth="true" hidden="false" outlineLevel="0" max="5" min="5" style="0" width="10"/>
    <col collapsed="false" customWidth="true" hidden="false" outlineLevel="0" max="6" min="6" style="0" width="36"/>
    <col collapsed="false" customWidth="true" hidden="false" outlineLevel="0" max="7" min="7" style="0" width="32"/>
    <col collapsed="false" customWidth="true" hidden="false" outlineLevel="0" max="8" min="8" style="0" width="36"/>
    <col collapsed="false" customWidth="true" hidden="false" outlineLevel="0" max="9" min="9" style="0" width="16"/>
    <col collapsed="false" customWidth="true" hidden="false" outlineLevel="0" max="12" min="10" style="0" width="14"/>
    <col collapsed="false" customWidth="true" hidden="false" outlineLevel="0" max="15" min="13" style="0" width="18"/>
    <col collapsed="false" customWidth="true" hidden="false" outlineLevel="0" max="19" min="16" style="0" width="14"/>
    <col collapsed="false" customWidth="true" hidden="false" outlineLevel="0" max="20" min="20" style="0" width="28"/>
  </cols>
  <sheetData>
    <row r="1" customFormat="false" ht="15" hidden="false" customHeight="true" outlineLevel="0" collapsed="false"/>
    <row r="2" customFormat="false" ht="31.5" hidden="false" customHeight="true" outlineLevel="0" collapsed="false">
      <c r="B2" s="1" t="s">
        <v>152</v>
      </c>
      <c r="C2" s="1"/>
      <c r="D2" s="1"/>
      <c r="E2" s="1"/>
      <c r="F2" s="1"/>
      <c r="G2" s="1"/>
      <c r="H2" s="1"/>
      <c r="I2" s="1"/>
      <c r="J2" s="1"/>
      <c r="K2" s="1"/>
      <c r="L2" s="1"/>
      <c r="M2" s="1"/>
      <c r="N2" s="1"/>
      <c r="O2" s="1"/>
      <c r="P2" s="1"/>
      <c r="Q2" s="1"/>
      <c r="R2" s="1"/>
      <c r="S2" s="1"/>
      <c r="T2" s="1"/>
    </row>
    <row r="3" customFormat="false" ht="7.5" hidden="false" customHeight="true" outlineLevel="0" collapsed="false">
      <c r="B3" s="14" t="s">
        <v>138</v>
      </c>
      <c r="C3" s="15"/>
      <c r="D3" s="15"/>
    </row>
    <row r="4" customFormat="false" ht="27.75" hidden="false" customHeight="true" outlineLevel="0" collapsed="false">
      <c r="B4" s="2" t="s">
        <v>1</v>
      </c>
      <c r="C4" s="2" t="s">
        <v>2</v>
      </c>
      <c r="D4" s="2" t="s">
        <v>3</v>
      </c>
      <c r="E4" s="2" t="s">
        <v>4</v>
      </c>
      <c r="F4" s="2" t="s">
        <v>5</v>
      </c>
      <c r="G4" s="2" t="s">
        <v>6</v>
      </c>
      <c r="H4" s="2" t="s">
        <v>7</v>
      </c>
      <c r="I4" s="2" t="s">
        <v>8</v>
      </c>
      <c r="J4" s="2" t="s">
        <v>139</v>
      </c>
      <c r="K4" s="2" t="s">
        <v>140</v>
      </c>
      <c r="L4" s="2" t="s">
        <v>141</v>
      </c>
      <c r="M4" s="2" t="s">
        <v>142</v>
      </c>
      <c r="N4" s="2" t="s">
        <v>143</v>
      </c>
      <c r="O4" s="2" t="s">
        <v>144</v>
      </c>
      <c r="P4" s="2" t="s">
        <v>145</v>
      </c>
      <c r="Q4" s="2" t="s">
        <v>146</v>
      </c>
      <c r="R4" s="2" t="s">
        <v>147</v>
      </c>
      <c r="S4" s="2" t="s">
        <v>148</v>
      </c>
      <c r="T4" s="2" t="s">
        <v>149</v>
      </c>
    </row>
    <row r="5" customFormat="false" ht="21.75" hidden="false" customHeight="true" outlineLevel="0" collapsed="false">
      <c r="B5" s="3" t="n">
        <v>1</v>
      </c>
      <c r="C5" s="4" t="s">
        <v>9</v>
      </c>
      <c r="D5" s="3" t="s">
        <v>10</v>
      </c>
      <c r="E5" s="3" t="s">
        <v>11</v>
      </c>
      <c r="F5" s="3" t="s">
        <v>12</v>
      </c>
      <c r="G5" s="3" t="s">
        <v>13</v>
      </c>
      <c r="H5" s="3" t="s">
        <v>14</v>
      </c>
      <c r="I5" s="5" t="n">
        <v>2091568</v>
      </c>
      <c r="J5" s="16"/>
      <c r="K5" s="24" t="n">
        <f aca="false">S03!J5</f>
        <v>0</v>
      </c>
      <c r="L5" s="17" t="n">
        <f aca="false">J5-K5</f>
        <v>0</v>
      </c>
      <c r="M5" s="18"/>
      <c r="N5" s="18"/>
      <c r="O5" s="18"/>
      <c r="P5" s="16"/>
      <c r="Q5" s="24" t="n">
        <f aca="false">S03!P5</f>
        <v>0</v>
      </c>
      <c r="R5" s="17" t="n">
        <f aca="false">P5-Q5</f>
        <v>0</v>
      </c>
      <c r="S5" s="17" t="n">
        <f aca="false">J5-P5</f>
        <v>0</v>
      </c>
      <c r="T5" s="19"/>
    </row>
    <row r="6" customFormat="false" ht="21.75" hidden="false" customHeight="true" outlineLevel="0" collapsed="false">
      <c r="B6" s="6" t="n">
        <v>2</v>
      </c>
      <c r="C6" s="4" t="s">
        <v>9</v>
      </c>
      <c r="D6" s="6" t="s">
        <v>10</v>
      </c>
      <c r="E6" s="6" t="s">
        <v>15</v>
      </c>
      <c r="F6" s="6" t="s">
        <v>16</v>
      </c>
      <c r="G6" s="6" t="s">
        <v>17</v>
      </c>
      <c r="H6" s="6" t="s">
        <v>18</v>
      </c>
      <c r="I6" s="7" t="n">
        <v>78000</v>
      </c>
      <c r="J6" s="16"/>
      <c r="K6" s="25" t="n">
        <f aca="false">S03!J6</f>
        <v>0</v>
      </c>
      <c r="L6" s="20" t="n">
        <f aca="false">J6-K6</f>
        <v>0</v>
      </c>
      <c r="M6" s="18"/>
      <c r="N6" s="18"/>
      <c r="O6" s="18"/>
      <c r="P6" s="16"/>
      <c r="Q6" s="25" t="n">
        <f aca="false">S03!P6</f>
        <v>0</v>
      </c>
      <c r="R6" s="20" t="n">
        <f aca="false">P6-Q6</f>
        <v>0</v>
      </c>
      <c r="S6" s="20" t="n">
        <f aca="false">J6-P6</f>
        <v>0</v>
      </c>
      <c r="T6" s="19"/>
    </row>
    <row r="7" customFormat="false" ht="21.75" hidden="false" customHeight="true" outlineLevel="0" collapsed="false">
      <c r="B7" s="3" t="n">
        <v>3</v>
      </c>
      <c r="C7" s="4" t="s">
        <v>9</v>
      </c>
      <c r="D7" s="3" t="s">
        <v>10</v>
      </c>
      <c r="E7" s="3" t="s">
        <v>11</v>
      </c>
      <c r="F7" s="3" t="s">
        <v>12</v>
      </c>
      <c r="G7" s="3" t="s">
        <v>19</v>
      </c>
      <c r="H7" s="3" t="s">
        <v>20</v>
      </c>
      <c r="I7" s="5" t="n">
        <v>126000</v>
      </c>
      <c r="J7" s="16"/>
      <c r="K7" s="24" t="n">
        <f aca="false">S03!J7</f>
        <v>0</v>
      </c>
      <c r="L7" s="17" t="n">
        <f aca="false">J7-K7</f>
        <v>0</v>
      </c>
      <c r="M7" s="18"/>
      <c r="N7" s="18"/>
      <c r="O7" s="18"/>
      <c r="P7" s="16"/>
      <c r="Q7" s="24" t="n">
        <f aca="false">S03!P7</f>
        <v>0</v>
      </c>
      <c r="R7" s="17" t="n">
        <f aca="false">P7-Q7</f>
        <v>0</v>
      </c>
      <c r="S7" s="17" t="n">
        <f aca="false">J7-P7</f>
        <v>0</v>
      </c>
      <c r="T7" s="19"/>
    </row>
    <row r="8" customFormat="false" ht="21.75" hidden="false" customHeight="true" outlineLevel="0" collapsed="false">
      <c r="B8" s="6" t="n">
        <v>4</v>
      </c>
      <c r="C8" s="4" t="s">
        <v>9</v>
      </c>
      <c r="D8" s="6" t="s">
        <v>10</v>
      </c>
      <c r="E8" s="6" t="s">
        <v>21</v>
      </c>
      <c r="F8" s="6" t="s">
        <v>22</v>
      </c>
      <c r="G8" s="6" t="s">
        <v>23</v>
      </c>
      <c r="H8" s="6" t="s">
        <v>24</v>
      </c>
      <c r="I8" s="7" t="n">
        <v>165500</v>
      </c>
      <c r="J8" s="16"/>
      <c r="K8" s="25" t="n">
        <f aca="false">S03!J8</f>
        <v>0</v>
      </c>
      <c r="L8" s="20" t="n">
        <f aca="false">J8-K8</f>
        <v>0</v>
      </c>
      <c r="M8" s="18"/>
      <c r="N8" s="18"/>
      <c r="O8" s="18"/>
      <c r="P8" s="16"/>
      <c r="Q8" s="25" t="n">
        <f aca="false">S03!P8</f>
        <v>0</v>
      </c>
      <c r="R8" s="20" t="n">
        <f aca="false">P8-Q8</f>
        <v>0</v>
      </c>
      <c r="S8" s="20" t="n">
        <f aca="false">J8-P8</f>
        <v>0</v>
      </c>
      <c r="T8" s="19"/>
    </row>
    <row r="9" customFormat="false" ht="21.75" hidden="false" customHeight="true" outlineLevel="0" collapsed="false">
      <c r="B9" s="3" t="n">
        <v>5</v>
      </c>
      <c r="C9" s="4" t="s">
        <v>9</v>
      </c>
      <c r="D9" s="3" t="s">
        <v>25</v>
      </c>
      <c r="E9" s="3" t="s">
        <v>11</v>
      </c>
      <c r="F9" s="3" t="s">
        <v>12</v>
      </c>
      <c r="G9" s="3" t="s">
        <v>13</v>
      </c>
      <c r="H9" s="3" t="s">
        <v>26</v>
      </c>
      <c r="I9" s="5" t="n">
        <v>1000000</v>
      </c>
      <c r="J9" s="16"/>
      <c r="K9" s="24" t="n">
        <f aca="false">S03!J9</f>
        <v>0</v>
      </c>
      <c r="L9" s="17" t="n">
        <f aca="false">J9-K9</f>
        <v>0</v>
      </c>
      <c r="M9" s="18"/>
      <c r="N9" s="18"/>
      <c r="O9" s="18"/>
      <c r="P9" s="16"/>
      <c r="Q9" s="24" t="n">
        <f aca="false">S03!P9</f>
        <v>0</v>
      </c>
      <c r="R9" s="17" t="n">
        <f aca="false">P9-Q9</f>
        <v>0</v>
      </c>
      <c r="S9" s="17" t="n">
        <f aca="false">J9-P9</f>
        <v>0</v>
      </c>
      <c r="T9" s="19"/>
    </row>
    <row r="10" customFormat="false" ht="21.75" hidden="false" customHeight="true" outlineLevel="0" collapsed="false">
      <c r="B10" s="6" t="n">
        <v>6</v>
      </c>
      <c r="C10" s="4" t="s">
        <v>9</v>
      </c>
      <c r="D10" s="6" t="s">
        <v>25</v>
      </c>
      <c r="E10" s="6" t="s">
        <v>11</v>
      </c>
      <c r="F10" s="6" t="s">
        <v>12</v>
      </c>
      <c r="G10" s="6"/>
      <c r="H10" s="6" t="s">
        <v>27</v>
      </c>
      <c r="I10" s="7" t="n">
        <v>846731</v>
      </c>
      <c r="J10" s="16"/>
      <c r="K10" s="25" t="n">
        <f aca="false">S03!J10</f>
        <v>0</v>
      </c>
      <c r="L10" s="20" t="n">
        <f aca="false">J10-K10</f>
        <v>0</v>
      </c>
      <c r="M10" s="18"/>
      <c r="N10" s="18"/>
      <c r="O10" s="18"/>
      <c r="P10" s="16"/>
      <c r="Q10" s="25" t="n">
        <f aca="false">S03!P10</f>
        <v>0</v>
      </c>
      <c r="R10" s="20" t="n">
        <f aca="false">P10-Q10</f>
        <v>0</v>
      </c>
      <c r="S10" s="20" t="n">
        <f aca="false">J10-P10</f>
        <v>0</v>
      </c>
      <c r="T10" s="19"/>
    </row>
    <row r="11" customFormat="false" ht="21.75" hidden="false" customHeight="true" outlineLevel="0" collapsed="false">
      <c r="B11" s="3" t="n">
        <v>7</v>
      </c>
      <c r="C11" s="4" t="s">
        <v>9</v>
      </c>
      <c r="D11" s="3" t="s">
        <v>25</v>
      </c>
      <c r="E11" s="3" t="s">
        <v>11</v>
      </c>
      <c r="F11" s="3" t="s">
        <v>12</v>
      </c>
      <c r="G11" s="3" t="s">
        <v>19</v>
      </c>
      <c r="H11" s="3" t="s">
        <v>28</v>
      </c>
      <c r="I11" s="5" t="n">
        <v>200000</v>
      </c>
      <c r="J11" s="16"/>
      <c r="K11" s="24" t="n">
        <f aca="false">S03!J11</f>
        <v>0</v>
      </c>
      <c r="L11" s="17" t="n">
        <f aca="false">J11-K11</f>
        <v>0</v>
      </c>
      <c r="M11" s="18"/>
      <c r="N11" s="18"/>
      <c r="O11" s="18"/>
      <c r="P11" s="16"/>
      <c r="Q11" s="24" t="n">
        <f aca="false">S03!P11</f>
        <v>0</v>
      </c>
      <c r="R11" s="17" t="n">
        <f aca="false">P11-Q11</f>
        <v>0</v>
      </c>
      <c r="S11" s="17" t="n">
        <f aca="false">J11-P11</f>
        <v>0</v>
      </c>
      <c r="T11" s="19"/>
    </row>
    <row r="12" customFormat="false" ht="21.75" hidden="false" customHeight="true" outlineLevel="0" collapsed="false">
      <c r="B12" s="6" t="n">
        <v>8</v>
      </c>
      <c r="C12" s="4" t="s">
        <v>9</v>
      </c>
      <c r="D12" s="6" t="s">
        <v>25</v>
      </c>
      <c r="E12" s="6" t="s">
        <v>21</v>
      </c>
      <c r="F12" s="6" t="s">
        <v>22</v>
      </c>
      <c r="G12" s="6" t="s">
        <v>23</v>
      </c>
      <c r="H12" s="6" t="s">
        <v>29</v>
      </c>
      <c r="I12" s="7" t="n">
        <v>141900</v>
      </c>
      <c r="J12" s="16"/>
      <c r="K12" s="25" t="n">
        <f aca="false">S03!J12</f>
        <v>0</v>
      </c>
      <c r="L12" s="20" t="n">
        <f aca="false">J12-K12</f>
        <v>0</v>
      </c>
      <c r="M12" s="18"/>
      <c r="N12" s="18"/>
      <c r="O12" s="18"/>
      <c r="P12" s="16"/>
      <c r="Q12" s="25" t="n">
        <f aca="false">S03!P12</f>
        <v>0</v>
      </c>
      <c r="R12" s="20" t="n">
        <f aca="false">P12-Q12</f>
        <v>0</v>
      </c>
      <c r="S12" s="20" t="n">
        <f aca="false">J12-P12</f>
        <v>0</v>
      </c>
      <c r="T12" s="19"/>
    </row>
    <row r="13" customFormat="false" ht="21.75" hidden="false" customHeight="true" outlineLevel="0" collapsed="false">
      <c r="B13" s="3" t="n">
        <v>9</v>
      </c>
      <c r="C13" s="4" t="s">
        <v>9</v>
      </c>
      <c r="D13" s="3" t="s">
        <v>25</v>
      </c>
      <c r="E13" s="3" t="s">
        <v>21</v>
      </c>
      <c r="F13" s="3" t="s">
        <v>22</v>
      </c>
      <c r="G13" s="3" t="s">
        <v>30</v>
      </c>
      <c r="H13" s="3" t="s">
        <v>31</v>
      </c>
      <c r="I13" s="5" t="n">
        <v>26700</v>
      </c>
      <c r="J13" s="16"/>
      <c r="K13" s="24" t="n">
        <f aca="false">S03!J13</f>
        <v>0</v>
      </c>
      <c r="L13" s="17" t="n">
        <f aca="false">J13-K13</f>
        <v>0</v>
      </c>
      <c r="M13" s="18"/>
      <c r="N13" s="18"/>
      <c r="O13" s="18"/>
      <c r="P13" s="16"/>
      <c r="Q13" s="24" t="n">
        <f aca="false">S03!P13</f>
        <v>0</v>
      </c>
      <c r="R13" s="17" t="n">
        <f aca="false">P13-Q13</f>
        <v>0</v>
      </c>
      <c r="S13" s="17" t="n">
        <f aca="false">J13-P13</f>
        <v>0</v>
      </c>
      <c r="T13" s="19"/>
    </row>
    <row r="14" customFormat="false" ht="21.75" hidden="false" customHeight="true" outlineLevel="0" collapsed="false">
      <c r="B14" s="6" t="n">
        <v>10</v>
      </c>
      <c r="C14" s="4" t="s">
        <v>9</v>
      </c>
      <c r="D14" s="6" t="s">
        <v>25</v>
      </c>
      <c r="E14" s="6" t="s">
        <v>21</v>
      </c>
      <c r="F14" s="6" t="s">
        <v>22</v>
      </c>
      <c r="G14" s="6" t="s">
        <v>32</v>
      </c>
      <c r="H14" s="6" t="s">
        <v>33</v>
      </c>
      <c r="I14" s="7" t="n">
        <v>480000</v>
      </c>
      <c r="J14" s="16"/>
      <c r="K14" s="25" t="n">
        <f aca="false">S03!J14</f>
        <v>0</v>
      </c>
      <c r="L14" s="20" t="n">
        <f aca="false">J14-K14</f>
        <v>0</v>
      </c>
      <c r="M14" s="18"/>
      <c r="N14" s="18"/>
      <c r="O14" s="18"/>
      <c r="P14" s="16"/>
      <c r="Q14" s="25" t="n">
        <f aca="false">S03!P14</f>
        <v>0</v>
      </c>
      <c r="R14" s="20" t="n">
        <f aca="false">P14-Q14</f>
        <v>0</v>
      </c>
      <c r="S14" s="20" t="n">
        <f aca="false">J14-P14</f>
        <v>0</v>
      </c>
      <c r="T14" s="19"/>
    </row>
    <row r="15" customFormat="false" ht="21.75" hidden="false" customHeight="true" outlineLevel="0" collapsed="false">
      <c r="B15" s="3" t="n">
        <v>11</v>
      </c>
      <c r="C15" s="4" t="s">
        <v>9</v>
      </c>
      <c r="D15" s="3" t="s">
        <v>25</v>
      </c>
      <c r="E15" s="3" t="s">
        <v>21</v>
      </c>
      <c r="F15" s="3" t="s">
        <v>22</v>
      </c>
      <c r="G15" s="3" t="s">
        <v>34</v>
      </c>
      <c r="H15" s="3" t="s">
        <v>35</v>
      </c>
      <c r="I15" s="5" t="n">
        <v>300000</v>
      </c>
      <c r="J15" s="16"/>
      <c r="K15" s="24" t="n">
        <f aca="false">S03!J15</f>
        <v>0</v>
      </c>
      <c r="L15" s="17" t="n">
        <f aca="false">J15-K15</f>
        <v>0</v>
      </c>
      <c r="M15" s="18"/>
      <c r="N15" s="18"/>
      <c r="O15" s="18"/>
      <c r="P15" s="16"/>
      <c r="Q15" s="24" t="n">
        <f aca="false">S03!P15</f>
        <v>0</v>
      </c>
      <c r="R15" s="17" t="n">
        <f aca="false">P15-Q15</f>
        <v>0</v>
      </c>
      <c r="S15" s="17" t="n">
        <f aca="false">J15-P15</f>
        <v>0</v>
      </c>
      <c r="T15" s="19"/>
    </row>
    <row r="16" customFormat="false" ht="21.75" hidden="false" customHeight="true" outlineLevel="0" collapsed="false">
      <c r="B16" s="6" t="n">
        <v>12</v>
      </c>
      <c r="C16" s="4" t="s">
        <v>9</v>
      </c>
      <c r="D16" s="6" t="s">
        <v>36</v>
      </c>
      <c r="E16" s="6" t="s">
        <v>11</v>
      </c>
      <c r="F16" s="6" t="s">
        <v>12</v>
      </c>
      <c r="G16" s="6" t="s">
        <v>13</v>
      </c>
      <c r="H16" s="6" t="s">
        <v>37</v>
      </c>
      <c r="I16" s="7" t="n">
        <v>1000000</v>
      </c>
      <c r="J16" s="16"/>
      <c r="K16" s="25" t="n">
        <f aca="false">S03!J16</f>
        <v>0</v>
      </c>
      <c r="L16" s="20" t="n">
        <f aca="false">J16-K16</f>
        <v>0</v>
      </c>
      <c r="M16" s="18"/>
      <c r="N16" s="18"/>
      <c r="O16" s="18"/>
      <c r="P16" s="16"/>
      <c r="Q16" s="25" t="n">
        <f aca="false">S03!P16</f>
        <v>0</v>
      </c>
      <c r="R16" s="20" t="n">
        <f aca="false">P16-Q16</f>
        <v>0</v>
      </c>
      <c r="S16" s="20" t="n">
        <f aca="false">J16-P16</f>
        <v>0</v>
      </c>
      <c r="T16" s="19"/>
    </row>
    <row r="17" customFormat="false" ht="21.75" hidden="false" customHeight="true" outlineLevel="0" collapsed="false">
      <c r="B17" s="3" t="n">
        <v>13</v>
      </c>
      <c r="C17" s="4" t="s">
        <v>9</v>
      </c>
      <c r="D17" s="3" t="s">
        <v>36</v>
      </c>
      <c r="E17" s="3" t="s">
        <v>11</v>
      </c>
      <c r="F17" s="3" t="s">
        <v>12</v>
      </c>
      <c r="G17" s="3" t="s">
        <v>38</v>
      </c>
      <c r="H17" s="3" t="s">
        <v>39</v>
      </c>
      <c r="I17" s="5" t="n">
        <v>739200</v>
      </c>
      <c r="J17" s="16"/>
      <c r="K17" s="24" t="n">
        <f aca="false">S03!J17</f>
        <v>0</v>
      </c>
      <c r="L17" s="17" t="n">
        <f aca="false">J17-K17</f>
        <v>0</v>
      </c>
      <c r="M17" s="18"/>
      <c r="N17" s="18"/>
      <c r="O17" s="18"/>
      <c r="P17" s="16"/>
      <c r="Q17" s="24" t="n">
        <f aca="false">S03!P17</f>
        <v>0</v>
      </c>
      <c r="R17" s="17" t="n">
        <f aca="false">P17-Q17</f>
        <v>0</v>
      </c>
      <c r="S17" s="17" t="n">
        <f aca="false">J17-P17</f>
        <v>0</v>
      </c>
      <c r="T17" s="19"/>
    </row>
    <row r="18" customFormat="false" ht="21.75" hidden="false" customHeight="true" outlineLevel="0" collapsed="false">
      <c r="B18" s="6" t="n">
        <v>14</v>
      </c>
      <c r="C18" s="4" t="s">
        <v>9</v>
      </c>
      <c r="D18" s="6" t="s">
        <v>40</v>
      </c>
      <c r="E18" s="6" t="s">
        <v>11</v>
      </c>
      <c r="F18" s="6" t="s">
        <v>12</v>
      </c>
      <c r="G18" s="6" t="s">
        <v>38</v>
      </c>
      <c r="H18" s="6" t="s">
        <v>41</v>
      </c>
      <c r="I18" s="7" t="n">
        <v>1276800</v>
      </c>
      <c r="J18" s="16"/>
      <c r="K18" s="25" t="n">
        <f aca="false">S03!J18</f>
        <v>0</v>
      </c>
      <c r="L18" s="20" t="n">
        <f aca="false">J18-K18</f>
        <v>0</v>
      </c>
      <c r="M18" s="18"/>
      <c r="N18" s="18"/>
      <c r="O18" s="18"/>
      <c r="P18" s="16"/>
      <c r="Q18" s="25" t="n">
        <f aca="false">S03!P18</f>
        <v>0</v>
      </c>
      <c r="R18" s="20" t="n">
        <f aca="false">P18-Q18</f>
        <v>0</v>
      </c>
      <c r="S18" s="20" t="n">
        <f aca="false">J18-P18</f>
        <v>0</v>
      </c>
      <c r="T18" s="19"/>
    </row>
    <row r="19" customFormat="false" ht="21.75" hidden="false" customHeight="true" outlineLevel="0" collapsed="false">
      <c r="B19" s="3" t="n">
        <v>15</v>
      </c>
      <c r="C19" s="4" t="s">
        <v>9</v>
      </c>
      <c r="D19" s="3" t="s">
        <v>42</v>
      </c>
      <c r="E19" s="3" t="s">
        <v>11</v>
      </c>
      <c r="F19" s="3" t="s">
        <v>12</v>
      </c>
      <c r="G19" s="3" t="s">
        <v>13</v>
      </c>
      <c r="H19" s="3" t="s">
        <v>43</v>
      </c>
      <c r="I19" s="5" t="n">
        <v>5796360</v>
      </c>
      <c r="J19" s="16"/>
      <c r="K19" s="24" t="n">
        <f aca="false">S03!J19</f>
        <v>0</v>
      </c>
      <c r="L19" s="17" t="n">
        <f aca="false">J19-K19</f>
        <v>0</v>
      </c>
      <c r="M19" s="18"/>
      <c r="N19" s="18"/>
      <c r="O19" s="18"/>
      <c r="P19" s="16"/>
      <c r="Q19" s="24" t="n">
        <f aca="false">S03!P19</f>
        <v>0</v>
      </c>
      <c r="R19" s="17" t="n">
        <f aca="false">P19-Q19</f>
        <v>0</v>
      </c>
      <c r="S19" s="17" t="n">
        <f aca="false">J19-P19</f>
        <v>0</v>
      </c>
      <c r="T19" s="19"/>
    </row>
    <row r="20" customFormat="false" ht="21.75" hidden="false" customHeight="true" outlineLevel="0" collapsed="false">
      <c r="B20" s="6" t="n">
        <v>16</v>
      </c>
      <c r="C20" s="4" t="s">
        <v>9</v>
      </c>
      <c r="D20" s="6" t="s">
        <v>42</v>
      </c>
      <c r="E20" s="6" t="s">
        <v>15</v>
      </c>
      <c r="F20" s="6" t="s">
        <v>16</v>
      </c>
      <c r="G20" s="6" t="s">
        <v>44</v>
      </c>
      <c r="H20" s="6" t="s">
        <v>44</v>
      </c>
      <c r="I20" s="7" t="n">
        <v>340000</v>
      </c>
      <c r="J20" s="16"/>
      <c r="K20" s="25" t="n">
        <f aca="false">S03!J20</f>
        <v>0</v>
      </c>
      <c r="L20" s="20" t="n">
        <f aca="false">J20-K20</f>
        <v>0</v>
      </c>
      <c r="M20" s="18"/>
      <c r="N20" s="18"/>
      <c r="O20" s="18"/>
      <c r="P20" s="16"/>
      <c r="Q20" s="25" t="n">
        <f aca="false">S03!P20</f>
        <v>0</v>
      </c>
      <c r="R20" s="20" t="n">
        <f aca="false">P20-Q20</f>
        <v>0</v>
      </c>
      <c r="S20" s="20" t="n">
        <f aca="false">J20-P20</f>
        <v>0</v>
      </c>
      <c r="T20" s="19"/>
    </row>
    <row r="21" customFormat="false" ht="21.75" hidden="false" customHeight="true" outlineLevel="0" collapsed="false">
      <c r="B21" s="3" t="n">
        <v>17</v>
      </c>
      <c r="C21" s="4" t="s">
        <v>9</v>
      </c>
      <c r="D21" s="3" t="s">
        <v>45</v>
      </c>
      <c r="E21" s="3" t="s">
        <v>46</v>
      </c>
      <c r="F21" s="3" t="s">
        <v>47</v>
      </c>
      <c r="G21" s="3" t="s">
        <v>48</v>
      </c>
      <c r="H21" s="3" t="s">
        <v>49</v>
      </c>
      <c r="I21" s="5" t="n">
        <v>397934</v>
      </c>
      <c r="J21" s="16"/>
      <c r="K21" s="24" t="n">
        <f aca="false">S03!J21</f>
        <v>0</v>
      </c>
      <c r="L21" s="17" t="n">
        <f aca="false">J21-K21</f>
        <v>0</v>
      </c>
      <c r="M21" s="18"/>
      <c r="N21" s="18"/>
      <c r="O21" s="18"/>
      <c r="P21" s="16"/>
      <c r="Q21" s="24" t="n">
        <f aca="false">S03!P21</f>
        <v>0</v>
      </c>
      <c r="R21" s="17" t="n">
        <f aca="false">P21-Q21</f>
        <v>0</v>
      </c>
      <c r="S21" s="17" t="n">
        <f aca="false">J21-P21</f>
        <v>0</v>
      </c>
      <c r="T21" s="19"/>
    </row>
    <row r="22" customFormat="false" ht="21.75" hidden="false" customHeight="true" outlineLevel="0" collapsed="false">
      <c r="B22" s="6" t="n">
        <v>18</v>
      </c>
      <c r="C22" s="4" t="s">
        <v>9</v>
      </c>
      <c r="D22" s="6" t="s">
        <v>45</v>
      </c>
      <c r="E22" s="6" t="s">
        <v>46</v>
      </c>
      <c r="F22" s="6" t="s">
        <v>47</v>
      </c>
      <c r="G22" s="6"/>
      <c r="H22" s="6" t="s">
        <v>50</v>
      </c>
      <c r="I22" s="7" t="n">
        <v>207575</v>
      </c>
      <c r="J22" s="16"/>
      <c r="K22" s="25" t="n">
        <f aca="false">S03!J22</f>
        <v>0</v>
      </c>
      <c r="L22" s="20" t="n">
        <f aca="false">J22-K22</f>
        <v>0</v>
      </c>
      <c r="M22" s="18"/>
      <c r="N22" s="18"/>
      <c r="O22" s="18"/>
      <c r="P22" s="16"/>
      <c r="Q22" s="25" t="n">
        <f aca="false">S03!P22</f>
        <v>0</v>
      </c>
      <c r="R22" s="20" t="n">
        <f aca="false">P22-Q22</f>
        <v>0</v>
      </c>
      <c r="S22" s="20" t="n">
        <f aca="false">J22-P22</f>
        <v>0</v>
      </c>
      <c r="T22" s="19"/>
    </row>
    <row r="23" customFormat="false" ht="21.75" hidden="false" customHeight="true" outlineLevel="0" collapsed="false">
      <c r="B23" s="3" t="n">
        <v>19</v>
      </c>
      <c r="C23" s="4" t="s">
        <v>9</v>
      </c>
      <c r="D23" s="3" t="s">
        <v>45</v>
      </c>
      <c r="E23" s="3" t="s">
        <v>15</v>
      </c>
      <c r="F23" s="3" t="s">
        <v>16</v>
      </c>
      <c r="G23" s="3" t="s">
        <v>44</v>
      </c>
      <c r="H23" s="3" t="s">
        <v>44</v>
      </c>
      <c r="I23" s="5" t="n">
        <v>2200000</v>
      </c>
      <c r="J23" s="16"/>
      <c r="K23" s="24" t="n">
        <f aca="false">S03!J23</f>
        <v>0</v>
      </c>
      <c r="L23" s="17" t="n">
        <f aca="false">J23-K23</f>
        <v>0</v>
      </c>
      <c r="M23" s="18"/>
      <c r="N23" s="18"/>
      <c r="O23" s="18"/>
      <c r="P23" s="16"/>
      <c r="Q23" s="24" t="n">
        <f aca="false">S03!P23</f>
        <v>0</v>
      </c>
      <c r="R23" s="17" t="n">
        <f aca="false">P23-Q23</f>
        <v>0</v>
      </c>
      <c r="S23" s="17" t="n">
        <f aca="false">J23-P23</f>
        <v>0</v>
      </c>
      <c r="T23" s="19"/>
    </row>
    <row r="24" customFormat="false" ht="21.75" hidden="false" customHeight="true" outlineLevel="0" collapsed="false">
      <c r="B24" s="6" t="n">
        <v>20</v>
      </c>
      <c r="C24" s="4" t="s">
        <v>9</v>
      </c>
      <c r="D24" s="6" t="s">
        <v>45</v>
      </c>
      <c r="E24" s="6" t="s">
        <v>11</v>
      </c>
      <c r="F24" s="6" t="s">
        <v>12</v>
      </c>
      <c r="G24" s="6" t="s">
        <v>19</v>
      </c>
      <c r="H24" s="6" t="s">
        <v>51</v>
      </c>
      <c r="I24" s="7" t="n">
        <v>300000</v>
      </c>
      <c r="J24" s="16"/>
      <c r="K24" s="25" t="n">
        <f aca="false">S03!J24</f>
        <v>0</v>
      </c>
      <c r="L24" s="20" t="n">
        <f aca="false">J24-K24</f>
        <v>0</v>
      </c>
      <c r="M24" s="18"/>
      <c r="N24" s="18"/>
      <c r="O24" s="18"/>
      <c r="P24" s="16"/>
      <c r="Q24" s="25" t="n">
        <f aca="false">S03!P24</f>
        <v>0</v>
      </c>
      <c r="R24" s="20" t="n">
        <f aca="false">P24-Q24</f>
        <v>0</v>
      </c>
      <c r="S24" s="20" t="n">
        <f aca="false">J24-P24</f>
        <v>0</v>
      </c>
      <c r="T24" s="19"/>
    </row>
    <row r="25" customFormat="false" ht="21.75" hidden="false" customHeight="true" outlineLevel="0" collapsed="false">
      <c r="B25" s="3" t="n">
        <v>21</v>
      </c>
      <c r="C25" s="4" t="s">
        <v>9</v>
      </c>
      <c r="D25" s="3" t="s">
        <v>45</v>
      </c>
      <c r="E25" s="3" t="s">
        <v>21</v>
      </c>
      <c r="F25" s="3" t="s">
        <v>22</v>
      </c>
      <c r="G25" s="3" t="s">
        <v>23</v>
      </c>
      <c r="H25" s="3" t="s">
        <v>52</v>
      </c>
      <c r="I25" s="5" t="n">
        <v>250000</v>
      </c>
      <c r="J25" s="16"/>
      <c r="K25" s="24" t="n">
        <f aca="false">S03!J25</f>
        <v>0</v>
      </c>
      <c r="L25" s="17" t="n">
        <f aca="false">J25-K25</f>
        <v>0</v>
      </c>
      <c r="M25" s="18"/>
      <c r="N25" s="18"/>
      <c r="O25" s="18"/>
      <c r="P25" s="16"/>
      <c r="Q25" s="24" t="n">
        <f aca="false">S03!P25</f>
        <v>0</v>
      </c>
      <c r="R25" s="17" t="n">
        <f aca="false">P25-Q25</f>
        <v>0</v>
      </c>
      <c r="S25" s="17" t="n">
        <f aca="false">J25-P25</f>
        <v>0</v>
      </c>
      <c r="T25" s="19"/>
    </row>
    <row r="26" customFormat="false" ht="21.75" hidden="false" customHeight="true" outlineLevel="0" collapsed="false">
      <c r="B26" s="6" t="n">
        <v>22</v>
      </c>
      <c r="C26" s="4" t="s">
        <v>9</v>
      </c>
      <c r="D26" s="6" t="s">
        <v>45</v>
      </c>
      <c r="E26" s="6" t="s">
        <v>21</v>
      </c>
      <c r="F26" s="6" t="s">
        <v>22</v>
      </c>
      <c r="G26" s="6" t="s">
        <v>53</v>
      </c>
      <c r="H26" s="21" t="s">
        <v>54</v>
      </c>
      <c r="I26" s="7" t="n">
        <v>25000</v>
      </c>
      <c r="J26" s="16"/>
      <c r="K26" s="25" t="n">
        <f aca="false">S03!J26</f>
        <v>0</v>
      </c>
      <c r="L26" s="20" t="n">
        <f aca="false">J26-K26</f>
        <v>0</v>
      </c>
      <c r="M26" s="18"/>
      <c r="N26" s="18"/>
      <c r="O26" s="18"/>
      <c r="P26" s="16"/>
      <c r="Q26" s="25" t="n">
        <f aca="false">S03!P26</f>
        <v>0</v>
      </c>
      <c r="R26" s="20" t="n">
        <f aca="false">P26-Q26</f>
        <v>0</v>
      </c>
      <c r="S26" s="20" t="n">
        <f aca="false">J26-P26</f>
        <v>0</v>
      </c>
      <c r="T26" s="19"/>
    </row>
    <row r="27" customFormat="false" ht="21.75" hidden="false" customHeight="true" outlineLevel="0" collapsed="false">
      <c r="B27" s="3" t="n">
        <v>23</v>
      </c>
      <c r="C27" s="4" t="s">
        <v>9</v>
      </c>
      <c r="D27" s="3" t="s">
        <v>45</v>
      </c>
      <c r="E27" s="3" t="s">
        <v>21</v>
      </c>
      <c r="F27" s="3" t="s">
        <v>22</v>
      </c>
      <c r="G27" s="3" t="s">
        <v>30</v>
      </c>
      <c r="H27" s="22" t="s">
        <v>55</v>
      </c>
      <c r="I27" s="5" t="n">
        <v>38000</v>
      </c>
      <c r="J27" s="16"/>
      <c r="K27" s="24" t="n">
        <f aca="false">S03!J27</f>
        <v>0</v>
      </c>
      <c r="L27" s="17" t="n">
        <f aca="false">J27-K27</f>
        <v>0</v>
      </c>
      <c r="M27" s="18"/>
      <c r="N27" s="18"/>
      <c r="O27" s="18"/>
      <c r="P27" s="16"/>
      <c r="Q27" s="24" t="n">
        <f aca="false">S03!P27</f>
        <v>0</v>
      </c>
      <c r="R27" s="17" t="n">
        <f aca="false">P27-Q27</f>
        <v>0</v>
      </c>
      <c r="S27" s="17" t="n">
        <f aca="false">J27-P27</f>
        <v>0</v>
      </c>
      <c r="T27" s="19"/>
    </row>
    <row r="28" customFormat="false" ht="21.75" hidden="false" customHeight="true" outlineLevel="0" collapsed="false">
      <c r="B28" s="6" t="n">
        <v>24</v>
      </c>
      <c r="C28" s="4" t="s">
        <v>9</v>
      </c>
      <c r="D28" s="6" t="s">
        <v>45</v>
      </c>
      <c r="E28" s="6" t="s">
        <v>21</v>
      </c>
      <c r="F28" s="6" t="s">
        <v>22</v>
      </c>
      <c r="G28" s="6" t="s">
        <v>32</v>
      </c>
      <c r="H28" s="6" t="s">
        <v>56</v>
      </c>
      <c r="I28" s="7" t="n">
        <v>10560000</v>
      </c>
      <c r="J28" s="16"/>
      <c r="K28" s="25" t="n">
        <f aca="false">S03!J28</f>
        <v>0</v>
      </c>
      <c r="L28" s="20" t="n">
        <f aca="false">J28-K28</f>
        <v>0</v>
      </c>
      <c r="M28" s="18"/>
      <c r="N28" s="18"/>
      <c r="O28" s="18"/>
      <c r="P28" s="16"/>
      <c r="Q28" s="25" t="n">
        <f aca="false">S03!P28</f>
        <v>0</v>
      </c>
      <c r="R28" s="20" t="n">
        <f aca="false">P28-Q28</f>
        <v>0</v>
      </c>
      <c r="S28" s="20" t="n">
        <f aca="false">J28-P28</f>
        <v>0</v>
      </c>
      <c r="T28" s="19"/>
    </row>
    <row r="29" customFormat="false" ht="21.75" hidden="false" customHeight="true" outlineLevel="0" collapsed="false">
      <c r="B29" s="3" t="n">
        <v>25</v>
      </c>
      <c r="C29" s="4" t="s">
        <v>9</v>
      </c>
      <c r="D29" s="3" t="s">
        <v>45</v>
      </c>
      <c r="E29" s="3" t="s">
        <v>21</v>
      </c>
      <c r="F29" s="3" t="s">
        <v>22</v>
      </c>
      <c r="G29" s="3" t="s">
        <v>57</v>
      </c>
      <c r="H29" s="3" t="s">
        <v>58</v>
      </c>
      <c r="I29" s="5" t="n">
        <v>144000</v>
      </c>
      <c r="J29" s="16"/>
      <c r="K29" s="24" t="n">
        <f aca="false">S03!J29</f>
        <v>0</v>
      </c>
      <c r="L29" s="17" t="n">
        <f aca="false">J29-K29</f>
        <v>0</v>
      </c>
      <c r="M29" s="18"/>
      <c r="N29" s="18"/>
      <c r="O29" s="18"/>
      <c r="P29" s="16"/>
      <c r="Q29" s="24" t="n">
        <f aca="false">S03!P29</f>
        <v>0</v>
      </c>
      <c r="R29" s="17" t="n">
        <f aca="false">P29-Q29</f>
        <v>0</v>
      </c>
      <c r="S29" s="17" t="n">
        <f aca="false">J29-P29</f>
        <v>0</v>
      </c>
      <c r="T29" s="19"/>
    </row>
    <row r="30" customFormat="false" ht="21.75" hidden="false" customHeight="true" outlineLevel="0" collapsed="false">
      <c r="B30" s="6" t="n">
        <v>26</v>
      </c>
      <c r="C30" s="4" t="s">
        <v>9</v>
      </c>
      <c r="D30" s="6" t="s">
        <v>45</v>
      </c>
      <c r="E30" s="6" t="s">
        <v>21</v>
      </c>
      <c r="F30" s="6" t="s">
        <v>22</v>
      </c>
      <c r="G30" s="6" t="s">
        <v>34</v>
      </c>
      <c r="H30" s="6" t="s">
        <v>59</v>
      </c>
      <c r="I30" s="7" t="n">
        <v>800000</v>
      </c>
      <c r="J30" s="16"/>
      <c r="K30" s="25" t="n">
        <f aca="false">S03!J30</f>
        <v>0</v>
      </c>
      <c r="L30" s="20" t="n">
        <f aca="false">J30-K30</f>
        <v>0</v>
      </c>
      <c r="M30" s="18"/>
      <c r="N30" s="18"/>
      <c r="O30" s="18"/>
      <c r="P30" s="16"/>
      <c r="Q30" s="25" t="n">
        <f aca="false">S03!P30</f>
        <v>0</v>
      </c>
      <c r="R30" s="20" t="n">
        <f aca="false">P30-Q30</f>
        <v>0</v>
      </c>
      <c r="S30" s="20" t="n">
        <f aca="false">J30-P30</f>
        <v>0</v>
      </c>
      <c r="T30" s="19"/>
    </row>
    <row r="31" customFormat="false" ht="21.75" hidden="false" customHeight="true" outlineLevel="0" collapsed="false">
      <c r="B31" s="3" t="n">
        <v>27</v>
      </c>
      <c r="C31" s="4" t="s">
        <v>9</v>
      </c>
      <c r="D31" s="3" t="s">
        <v>60</v>
      </c>
      <c r="E31" s="3" t="s">
        <v>11</v>
      </c>
      <c r="F31" s="3" t="s">
        <v>12</v>
      </c>
      <c r="G31" s="3" t="s">
        <v>13</v>
      </c>
      <c r="H31" s="3" t="s">
        <v>61</v>
      </c>
      <c r="I31" s="5" t="n">
        <v>1733306</v>
      </c>
      <c r="J31" s="16"/>
      <c r="K31" s="24" t="n">
        <f aca="false">S03!J31</f>
        <v>0</v>
      </c>
      <c r="L31" s="17" t="n">
        <f aca="false">J31-K31</f>
        <v>0</v>
      </c>
      <c r="M31" s="18"/>
      <c r="N31" s="18"/>
      <c r="O31" s="18"/>
      <c r="P31" s="16"/>
      <c r="Q31" s="24" t="n">
        <f aca="false">S03!P31</f>
        <v>0</v>
      </c>
      <c r="R31" s="17" t="n">
        <f aca="false">P31-Q31</f>
        <v>0</v>
      </c>
      <c r="S31" s="17" t="n">
        <f aca="false">J31-P31</f>
        <v>0</v>
      </c>
      <c r="T31" s="19"/>
    </row>
    <row r="32" customFormat="false" ht="21.75" hidden="false" customHeight="true" outlineLevel="0" collapsed="false">
      <c r="B32" s="6" t="n">
        <v>28</v>
      </c>
      <c r="C32" s="4" t="s">
        <v>9</v>
      </c>
      <c r="D32" s="6" t="s">
        <v>60</v>
      </c>
      <c r="E32" s="6" t="s">
        <v>15</v>
      </c>
      <c r="F32" s="6" t="s">
        <v>16</v>
      </c>
      <c r="G32" s="6" t="s">
        <v>44</v>
      </c>
      <c r="H32" s="6" t="s">
        <v>44</v>
      </c>
      <c r="I32" s="7" t="n">
        <v>670000</v>
      </c>
      <c r="J32" s="16"/>
      <c r="K32" s="25" t="n">
        <f aca="false">S03!J32</f>
        <v>0</v>
      </c>
      <c r="L32" s="20" t="n">
        <f aca="false">J32-K32</f>
        <v>0</v>
      </c>
      <c r="M32" s="18"/>
      <c r="N32" s="18"/>
      <c r="O32" s="18"/>
      <c r="P32" s="16"/>
      <c r="Q32" s="25" t="n">
        <f aca="false">S03!P32</f>
        <v>0</v>
      </c>
      <c r="R32" s="20" t="n">
        <f aca="false">P32-Q32</f>
        <v>0</v>
      </c>
      <c r="S32" s="20" t="n">
        <f aca="false">J32-P32</f>
        <v>0</v>
      </c>
      <c r="T32" s="19"/>
    </row>
    <row r="33" customFormat="false" ht="21.75" hidden="false" customHeight="true" outlineLevel="0" collapsed="false">
      <c r="B33" s="3" t="n">
        <v>29</v>
      </c>
      <c r="C33" s="4" t="s">
        <v>9</v>
      </c>
      <c r="D33" s="3" t="s">
        <v>60</v>
      </c>
      <c r="E33" s="3" t="s">
        <v>46</v>
      </c>
      <c r="F33" s="3" t="s">
        <v>47</v>
      </c>
      <c r="G33" s="3" t="s">
        <v>62</v>
      </c>
      <c r="H33" s="3" t="s">
        <v>63</v>
      </c>
      <c r="I33" s="5" t="n">
        <v>2500000</v>
      </c>
      <c r="J33" s="16"/>
      <c r="K33" s="24" t="n">
        <f aca="false">S03!J33</f>
        <v>0</v>
      </c>
      <c r="L33" s="17" t="n">
        <f aca="false">J33-K33</f>
        <v>0</v>
      </c>
      <c r="M33" s="18"/>
      <c r="N33" s="18"/>
      <c r="O33" s="18"/>
      <c r="P33" s="16"/>
      <c r="Q33" s="24" t="n">
        <f aca="false">S03!P33</f>
        <v>0</v>
      </c>
      <c r="R33" s="17" t="n">
        <f aca="false">P33-Q33</f>
        <v>0</v>
      </c>
      <c r="S33" s="17" t="n">
        <f aca="false">J33-P33</f>
        <v>0</v>
      </c>
      <c r="T33" s="19"/>
    </row>
    <row r="34" customFormat="false" ht="21.75" hidden="false" customHeight="true" outlineLevel="0" collapsed="false">
      <c r="B34" s="6" t="n">
        <v>30</v>
      </c>
      <c r="C34" s="4" t="s">
        <v>9</v>
      </c>
      <c r="D34" s="6" t="s">
        <v>60</v>
      </c>
      <c r="E34" s="6" t="s">
        <v>11</v>
      </c>
      <c r="F34" s="6" t="s">
        <v>12</v>
      </c>
      <c r="G34" s="6" t="s">
        <v>19</v>
      </c>
      <c r="H34" s="6" t="s">
        <v>64</v>
      </c>
      <c r="I34" s="7" t="n">
        <v>800000</v>
      </c>
      <c r="J34" s="16"/>
      <c r="K34" s="25" t="n">
        <f aca="false">S03!J34</f>
        <v>0</v>
      </c>
      <c r="L34" s="20" t="n">
        <f aca="false">J34-K34</f>
        <v>0</v>
      </c>
      <c r="M34" s="18"/>
      <c r="N34" s="18"/>
      <c r="O34" s="18"/>
      <c r="P34" s="16"/>
      <c r="Q34" s="25" t="n">
        <f aca="false">S03!P34</f>
        <v>0</v>
      </c>
      <c r="R34" s="20" t="n">
        <f aca="false">P34-Q34</f>
        <v>0</v>
      </c>
      <c r="S34" s="20" t="n">
        <f aca="false">J34-P34</f>
        <v>0</v>
      </c>
      <c r="T34" s="19"/>
    </row>
    <row r="35" customFormat="false" ht="21.75" hidden="false" customHeight="true" outlineLevel="0" collapsed="false">
      <c r="B35" s="3" t="n">
        <v>31</v>
      </c>
      <c r="C35" s="4" t="s">
        <v>9</v>
      </c>
      <c r="D35" s="3" t="s">
        <v>60</v>
      </c>
      <c r="E35" s="3" t="s">
        <v>21</v>
      </c>
      <c r="F35" s="3" t="s">
        <v>22</v>
      </c>
      <c r="G35" s="3" t="s">
        <v>23</v>
      </c>
      <c r="H35" s="3" t="s">
        <v>65</v>
      </c>
      <c r="I35" s="5" t="n">
        <v>195000</v>
      </c>
      <c r="J35" s="16"/>
      <c r="K35" s="24" t="n">
        <f aca="false">S03!J35</f>
        <v>0</v>
      </c>
      <c r="L35" s="17" t="n">
        <f aca="false">J35-K35</f>
        <v>0</v>
      </c>
      <c r="M35" s="18"/>
      <c r="N35" s="18"/>
      <c r="O35" s="18"/>
      <c r="P35" s="16"/>
      <c r="Q35" s="24" t="n">
        <f aca="false">S03!P35</f>
        <v>0</v>
      </c>
      <c r="R35" s="17" t="n">
        <f aca="false">P35-Q35</f>
        <v>0</v>
      </c>
      <c r="S35" s="17" t="n">
        <f aca="false">J35-P35</f>
        <v>0</v>
      </c>
      <c r="T35" s="19"/>
    </row>
    <row r="36" customFormat="false" ht="21.75" hidden="false" customHeight="true" outlineLevel="0" collapsed="false">
      <c r="B36" s="6" t="n">
        <v>32</v>
      </c>
      <c r="C36" s="4" t="s">
        <v>9</v>
      </c>
      <c r="D36" s="6" t="s">
        <v>60</v>
      </c>
      <c r="E36" s="6" t="s">
        <v>21</v>
      </c>
      <c r="F36" s="6" t="s">
        <v>22</v>
      </c>
      <c r="G36" s="6" t="s">
        <v>53</v>
      </c>
      <c r="H36" s="6" t="s">
        <v>66</v>
      </c>
      <c r="I36" s="7" t="n">
        <v>50000</v>
      </c>
      <c r="J36" s="16"/>
      <c r="K36" s="25" t="n">
        <f aca="false">S03!J36</f>
        <v>0</v>
      </c>
      <c r="L36" s="20" t="n">
        <f aca="false">J36-K36</f>
        <v>0</v>
      </c>
      <c r="M36" s="18"/>
      <c r="N36" s="18"/>
      <c r="O36" s="18"/>
      <c r="P36" s="16"/>
      <c r="Q36" s="25" t="n">
        <f aca="false">S03!P36</f>
        <v>0</v>
      </c>
      <c r="R36" s="20" t="n">
        <f aca="false">P36-Q36</f>
        <v>0</v>
      </c>
      <c r="S36" s="20" t="n">
        <f aca="false">J36-P36</f>
        <v>0</v>
      </c>
      <c r="T36" s="19"/>
    </row>
    <row r="37" customFormat="false" ht="21.75" hidden="false" customHeight="true" outlineLevel="0" collapsed="false">
      <c r="B37" s="3" t="n">
        <v>33</v>
      </c>
      <c r="C37" s="4" t="s">
        <v>9</v>
      </c>
      <c r="D37" s="3" t="s">
        <v>60</v>
      </c>
      <c r="E37" s="3" t="s">
        <v>21</v>
      </c>
      <c r="F37" s="3" t="s">
        <v>22</v>
      </c>
      <c r="G37" s="3" t="s">
        <v>30</v>
      </c>
      <c r="H37" s="3" t="s">
        <v>67</v>
      </c>
      <c r="I37" s="5" t="n">
        <v>245000</v>
      </c>
      <c r="J37" s="16"/>
      <c r="K37" s="24" t="n">
        <f aca="false">S03!J37</f>
        <v>0</v>
      </c>
      <c r="L37" s="17" t="n">
        <f aca="false">J37-K37</f>
        <v>0</v>
      </c>
      <c r="M37" s="18"/>
      <c r="N37" s="18"/>
      <c r="O37" s="18"/>
      <c r="P37" s="16"/>
      <c r="Q37" s="24" t="n">
        <f aca="false">S03!P37</f>
        <v>0</v>
      </c>
      <c r="R37" s="17" t="n">
        <f aca="false">P37-Q37</f>
        <v>0</v>
      </c>
      <c r="S37" s="17" t="n">
        <f aca="false">J37-P37</f>
        <v>0</v>
      </c>
      <c r="T37" s="19"/>
    </row>
    <row r="38" customFormat="false" ht="21.75" hidden="false" customHeight="true" outlineLevel="0" collapsed="false">
      <c r="B38" s="6" t="n">
        <v>34</v>
      </c>
      <c r="C38" s="4" t="s">
        <v>9</v>
      </c>
      <c r="D38" s="6" t="s">
        <v>60</v>
      </c>
      <c r="E38" s="6" t="s">
        <v>21</v>
      </c>
      <c r="F38" s="6" t="s">
        <v>22</v>
      </c>
      <c r="G38" s="6" t="s">
        <v>34</v>
      </c>
      <c r="H38" s="6" t="s">
        <v>68</v>
      </c>
      <c r="I38" s="7" t="n">
        <v>1000000</v>
      </c>
      <c r="J38" s="16"/>
      <c r="K38" s="25" t="n">
        <f aca="false">S03!J38</f>
        <v>0</v>
      </c>
      <c r="L38" s="20" t="n">
        <f aca="false">J38-K38</f>
        <v>0</v>
      </c>
      <c r="M38" s="18"/>
      <c r="N38" s="18"/>
      <c r="O38" s="18"/>
      <c r="P38" s="16"/>
      <c r="Q38" s="25" t="n">
        <f aca="false">S03!P38</f>
        <v>0</v>
      </c>
      <c r="R38" s="20" t="n">
        <f aca="false">P38-Q38</f>
        <v>0</v>
      </c>
      <c r="S38" s="20" t="n">
        <f aca="false">J38-P38</f>
        <v>0</v>
      </c>
      <c r="T38" s="19"/>
    </row>
    <row r="39" customFormat="false" ht="21.75" hidden="false" customHeight="true" outlineLevel="0" collapsed="false">
      <c r="B39" s="3" t="n">
        <v>35</v>
      </c>
      <c r="C39" s="4" t="s">
        <v>9</v>
      </c>
      <c r="D39" s="3" t="s">
        <v>69</v>
      </c>
      <c r="E39" s="3" t="s">
        <v>11</v>
      </c>
      <c r="F39" s="3" t="s">
        <v>12</v>
      </c>
      <c r="G39" s="3" t="s">
        <v>13</v>
      </c>
      <c r="H39" s="3" t="s">
        <v>70</v>
      </c>
      <c r="I39" s="5" t="n">
        <v>5024032</v>
      </c>
      <c r="J39" s="16"/>
      <c r="K39" s="24" t="n">
        <f aca="false">S03!J39</f>
        <v>0</v>
      </c>
      <c r="L39" s="17" t="n">
        <f aca="false">J39-K39</f>
        <v>0</v>
      </c>
      <c r="M39" s="18"/>
      <c r="N39" s="18"/>
      <c r="O39" s="18"/>
      <c r="P39" s="16"/>
      <c r="Q39" s="24" t="n">
        <f aca="false">S03!P39</f>
        <v>0</v>
      </c>
      <c r="R39" s="17" t="n">
        <f aca="false">P39-Q39</f>
        <v>0</v>
      </c>
      <c r="S39" s="17" t="n">
        <f aca="false">J39-P39</f>
        <v>0</v>
      </c>
      <c r="T39" s="19"/>
    </row>
    <row r="40" customFormat="false" ht="21.75" hidden="false" customHeight="true" outlineLevel="0" collapsed="false">
      <c r="B40" s="6" t="n">
        <v>36</v>
      </c>
      <c r="C40" s="4" t="s">
        <v>9</v>
      </c>
      <c r="D40" s="6" t="s">
        <v>69</v>
      </c>
      <c r="E40" s="6" t="s">
        <v>15</v>
      </c>
      <c r="F40" s="6" t="s">
        <v>16</v>
      </c>
      <c r="G40" s="6" t="s">
        <v>44</v>
      </c>
      <c r="H40" s="6" t="s">
        <v>44</v>
      </c>
      <c r="I40" s="7" t="n">
        <v>400000</v>
      </c>
      <c r="J40" s="16"/>
      <c r="K40" s="25" t="n">
        <f aca="false">S03!J40</f>
        <v>0</v>
      </c>
      <c r="L40" s="20" t="n">
        <f aca="false">J40-K40</f>
        <v>0</v>
      </c>
      <c r="M40" s="18"/>
      <c r="N40" s="18"/>
      <c r="O40" s="18"/>
      <c r="P40" s="16"/>
      <c r="Q40" s="25" t="n">
        <f aca="false">S03!P40</f>
        <v>0</v>
      </c>
      <c r="R40" s="20" t="n">
        <f aca="false">P40-Q40</f>
        <v>0</v>
      </c>
      <c r="S40" s="20" t="n">
        <f aca="false">J40-P40</f>
        <v>0</v>
      </c>
      <c r="T40" s="19"/>
    </row>
    <row r="41" customFormat="false" ht="21.75" hidden="false" customHeight="true" outlineLevel="0" collapsed="false">
      <c r="B41" s="3" t="n">
        <v>37</v>
      </c>
      <c r="C41" s="4" t="s">
        <v>9</v>
      </c>
      <c r="D41" s="3" t="s">
        <v>71</v>
      </c>
      <c r="E41" s="3" t="s">
        <v>11</v>
      </c>
      <c r="F41" s="3" t="s">
        <v>12</v>
      </c>
      <c r="G41" s="3" t="s">
        <v>13</v>
      </c>
      <c r="H41" s="3" t="s">
        <v>72</v>
      </c>
      <c r="I41" s="5" t="n">
        <v>6000000</v>
      </c>
      <c r="J41" s="16"/>
      <c r="K41" s="24" t="n">
        <f aca="false">S03!J41</f>
        <v>0</v>
      </c>
      <c r="L41" s="17" t="n">
        <f aca="false">J41-K41</f>
        <v>0</v>
      </c>
      <c r="M41" s="18"/>
      <c r="N41" s="18"/>
      <c r="O41" s="18"/>
      <c r="P41" s="16"/>
      <c r="Q41" s="24" t="n">
        <f aca="false">S03!P41</f>
        <v>0</v>
      </c>
      <c r="R41" s="17" t="n">
        <f aca="false">P41-Q41</f>
        <v>0</v>
      </c>
      <c r="S41" s="17" t="n">
        <f aca="false">J41-P41</f>
        <v>0</v>
      </c>
      <c r="T41" s="19"/>
    </row>
    <row r="42" customFormat="false" ht="21.75" hidden="false" customHeight="true" outlineLevel="0" collapsed="false">
      <c r="B42" s="6" t="n">
        <v>38</v>
      </c>
      <c r="C42" s="4" t="s">
        <v>9</v>
      </c>
      <c r="D42" s="6" t="s">
        <v>71</v>
      </c>
      <c r="E42" s="6" t="s">
        <v>46</v>
      </c>
      <c r="F42" s="6" t="s">
        <v>47</v>
      </c>
      <c r="G42" s="6" t="s">
        <v>48</v>
      </c>
      <c r="H42" s="6" t="s">
        <v>73</v>
      </c>
      <c r="I42" s="7" t="n">
        <v>232266</v>
      </c>
      <c r="J42" s="16"/>
      <c r="K42" s="25" t="n">
        <f aca="false">S03!J42</f>
        <v>0</v>
      </c>
      <c r="L42" s="20" t="n">
        <f aca="false">J42-K42</f>
        <v>0</v>
      </c>
      <c r="M42" s="18"/>
      <c r="N42" s="18"/>
      <c r="O42" s="18"/>
      <c r="P42" s="16"/>
      <c r="Q42" s="25" t="n">
        <f aca="false">S03!P42</f>
        <v>0</v>
      </c>
      <c r="R42" s="20" t="n">
        <f aca="false">P42-Q42</f>
        <v>0</v>
      </c>
      <c r="S42" s="20" t="n">
        <f aca="false">J42-P42</f>
        <v>0</v>
      </c>
      <c r="T42" s="19"/>
    </row>
    <row r="43" customFormat="false" ht="21.75" hidden="false" customHeight="true" outlineLevel="0" collapsed="false">
      <c r="B43" s="3" t="n">
        <v>39</v>
      </c>
      <c r="C43" s="4" t="s">
        <v>9</v>
      </c>
      <c r="D43" s="3" t="s">
        <v>71</v>
      </c>
      <c r="E43" s="3" t="s">
        <v>46</v>
      </c>
      <c r="F43" s="3" t="s">
        <v>47</v>
      </c>
      <c r="G43" s="3"/>
      <c r="H43" s="3" t="s">
        <v>74</v>
      </c>
      <c r="I43" s="5" t="n">
        <v>1055025</v>
      </c>
      <c r="J43" s="16"/>
      <c r="K43" s="24" t="n">
        <f aca="false">S03!J43</f>
        <v>0</v>
      </c>
      <c r="L43" s="17" t="n">
        <f aca="false">J43-K43</f>
        <v>0</v>
      </c>
      <c r="M43" s="18"/>
      <c r="N43" s="18"/>
      <c r="O43" s="18"/>
      <c r="P43" s="16"/>
      <c r="Q43" s="24" t="n">
        <f aca="false">S03!P43</f>
        <v>0</v>
      </c>
      <c r="R43" s="17" t="n">
        <f aca="false">P43-Q43</f>
        <v>0</v>
      </c>
      <c r="S43" s="17" t="n">
        <f aca="false">J43-P43</f>
        <v>0</v>
      </c>
      <c r="T43" s="19"/>
    </row>
    <row r="44" customFormat="false" ht="21.75" hidden="false" customHeight="true" outlineLevel="0" collapsed="false">
      <c r="B44" s="6" t="n">
        <v>40</v>
      </c>
      <c r="C44" s="4" t="s">
        <v>9</v>
      </c>
      <c r="D44" s="6" t="s">
        <v>71</v>
      </c>
      <c r="E44" s="6" t="s">
        <v>46</v>
      </c>
      <c r="F44" s="6" t="s">
        <v>47</v>
      </c>
      <c r="G44" s="6"/>
      <c r="H44" s="6" t="s">
        <v>75</v>
      </c>
      <c r="I44" s="7" t="n">
        <v>1004535</v>
      </c>
      <c r="J44" s="16"/>
      <c r="K44" s="25" t="n">
        <f aca="false">S03!J44</f>
        <v>0</v>
      </c>
      <c r="L44" s="20" t="n">
        <f aca="false">J44-K44</f>
        <v>0</v>
      </c>
      <c r="M44" s="18"/>
      <c r="N44" s="18"/>
      <c r="O44" s="18"/>
      <c r="P44" s="16"/>
      <c r="Q44" s="25" t="n">
        <f aca="false">S03!P44</f>
        <v>0</v>
      </c>
      <c r="R44" s="20" t="n">
        <f aca="false">P44-Q44</f>
        <v>0</v>
      </c>
      <c r="S44" s="20" t="n">
        <f aca="false">J44-P44</f>
        <v>0</v>
      </c>
      <c r="T44" s="19"/>
    </row>
    <row r="45" customFormat="false" ht="21.75" hidden="false" customHeight="true" outlineLevel="0" collapsed="false">
      <c r="B45" s="3" t="n">
        <v>41</v>
      </c>
      <c r="C45" s="4" t="s">
        <v>9</v>
      </c>
      <c r="D45" s="3" t="s">
        <v>71</v>
      </c>
      <c r="E45" s="3" t="s">
        <v>46</v>
      </c>
      <c r="F45" s="3" t="s">
        <v>47</v>
      </c>
      <c r="G45" s="3"/>
      <c r="H45" s="3" t="s">
        <v>76</v>
      </c>
      <c r="I45" s="5" t="n">
        <v>793830</v>
      </c>
      <c r="J45" s="16"/>
      <c r="K45" s="24" t="n">
        <f aca="false">S03!J45</f>
        <v>0</v>
      </c>
      <c r="L45" s="17" t="n">
        <f aca="false">J45-K45</f>
        <v>0</v>
      </c>
      <c r="M45" s="18"/>
      <c r="N45" s="18"/>
      <c r="O45" s="18"/>
      <c r="P45" s="16"/>
      <c r="Q45" s="24" t="n">
        <f aca="false">S03!P45</f>
        <v>0</v>
      </c>
      <c r="R45" s="17" t="n">
        <f aca="false">P45-Q45</f>
        <v>0</v>
      </c>
      <c r="S45" s="17" t="n">
        <f aca="false">J45-P45</f>
        <v>0</v>
      </c>
      <c r="T45" s="19"/>
    </row>
    <row r="46" customFormat="false" ht="21.75" hidden="false" customHeight="true" outlineLevel="0" collapsed="false">
      <c r="B46" s="6" t="n">
        <v>42</v>
      </c>
      <c r="C46" s="4" t="s">
        <v>9</v>
      </c>
      <c r="D46" s="6" t="s">
        <v>71</v>
      </c>
      <c r="E46" s="6" t="s">
        <v>15</v>
      </c>
      <c r="F46" s="6" t="s">
        <v>16</v>
      </c>
      <c r="G46" s="6" t="s">
        <v>44</v>
      </c>
      <c r="H46" s="6" t="s">
        <v>44</v>
      </c>
      <c r="I46" s="7" t="n">
        <v>2000000</v>
      </c>
      <c r="J46" s="16"/>
      <c r="K46" s="25" t="n">
        <f aca="false">S03!J46</f>
        <v>0</v>
      </c>
      <c r="L46" s="20" t="n">
        <f aca="false">J46-K46</f>
        <v>0</v>
      </c>
      <c r="M46" s="18"/>
      <c r="N46" s="18"/>
      <c r="O46" s="18"/>
      <c r="P46" s="16"/>
      <c r="Q46" s="25" t="n">
        <f aca="false">S03!P46</f>
        <v>0</v>
      </c>
      <c r="R46" s="20" t="n">
        <f aca="false">P46-Q46</f>
        <v>0</v>
      </c>
      <c r="S46" s="20" t="n">
        <f aca="false">J46-P46</f>
        <v>0</v>
      </c>
      <c r="T46" s="19"/>
    </row>
    <row r="47" customFormat="false" ht="21.75" hidden="false" customHeight="true" outlineLevel="0" collapsed="false">
      <c r="B47" s="3" t="n">
        <v>43</v>
      </c>
      <c r="C47" s="4" t="s">
        <v>9</v>
      </c>
      <c r="D47" s="3" t="s">
        <v>71</v>
      </c>
      <c r="E47" s="3" t="s">
        <v>11</v>
      </c>
      <c r="F47" s="3" t="s">
        <v>12</v>
      </c>
      <c r="G47" s="3" t="s">
        <v>19</v>
      </c>
      <c r="H47" s="3" t="s">
        <v>77</v>
      </c>
      <c r="I47" s="5" t="n">
        <v>200000</v>
      </c>
      <c r="J47" s="16"/>
      <c r="K47" s="24" t="n">
        <f aca="false">S03!J47</f>
        <v>0</v>
      </c>
      <c r="L47" s="17" t="n">
        <f aca="false">J47-K47</f>
        <v>0</v>
      </c>
      <c r="M47" s="18"/>
      <c r="N47" s="18"/>
      <c r="O47" s="18"/>
      <c r="P47" s="16"/>
      <c r="Q47" s="24" t="n">
        <f aca="false">S03!P47</f>
        <v>0</v>
      </c>
      <c r="R47" s="17" t="n">
        <f aca="false">P47-Q47</f>
        <v>0</v>
      </c>
      <c r="S47" s="17" t="n">
        <f aca="false">J47-P47</f>
        <v>0</v>
      </c>
      <c r="T47" s="19"/>
    </row>
    <row r="48" customFormat="false" ht="21.75" hidden="false" customHeight="true" outlineLevel="0" collapsed="false">
      <c r="B48" s="6" t="n">
        <v>44</v>
      </c>
      <c r="C48" s="4" t="s">
        <v>9</v>
      </c>
      <c r="D48" s="6" t="s">
        <v>71</v>
      </c>
      <c r="E48" s="6" t="s">
        <v>21</v>
      </c>
      <c r="F48" s="6" t="s">
        <v>22</v>
      </c>
      <c r="G48" s="6" t="s">
        <v>23</v>
      </c>
      <c r="H48" s="6" t="s">
        <v>78</v>
      </c>
      <c r="I48" s="7" t="n">
        <v>580000</v>
      </c>
      <c r="J48" s="16"/>
      <c r="K48" s="25" t="n">
        <f aca="false">S03!J48</f>
        <v>0</v>
      </c>
      <c r="L48" s="20" t="n">
        <f aca="false">J48-K48</f>
        <v>0</v>
      </c>
      <c r="M48" s="18"/>
      <c r="N48" s="18"/>
      <c r="O48" s="18"/>
      <c r="P48" s="16"/>
      <c r="Q48" s="25" t="n">
        <f aca="false">S03!P48</f>
        <v>0</v>
      </c>
      <c r="R48" s="20" t="n">
        <f aca="false">P48-Q48</f>
        <v>0</v>
      </c>
      <c r="S48" s="20" t="n">
        <f aca="false">J48-P48</f>
        <v>0</v>
      </c>
      <c r="T48" s="19"/>
    </row>
    <row r="49" customFormat="false" ht="21.75" hidden="false" customHeight="true" outlineLevel="0" collapsed="false">
      <c r="B49" s="3" t="n">
        <v>45</v>
      </c>
      <c r="C49" s="4" t="s">
        <v>9</v>
      </c>
      <c r="D49" s="3" t="s">
        <v>71</v>
      </c>
      <c r="E49" s="3" t="s">
        <v>21</v>
      </c>
      <c r="F49" s="3" t="s">
        <v>22</v>
      </c>
      <c r="G49" s="3" t="s">
        <v>32</v>
      </c>
      <c r="H49" s="3" t="s">
        <v>79</v>
      </c>
      <c r="I49" s="5" t="n">
        <v>4000000</v>
      </c>
      <c r="J49" s="16"/>
      <c r="K49" s="24" t="n">
        <f aca="false">S03!J49</f>
        <v>0</v>
      </c>
      <c r="L49" s="17" t="n">
        <f aca="false">J49-K49</f>
        <v>0</v>
      </c>
      <c r="M49" s="18"/>
      <c r="N49" s="18"/>
      <c r="O49" s="18"/>
      <c r="P49" s="16"/>
      <c r="Q49" s="24" t="n">
        <f aca="false">S03!P49</f>
        <v>0</v>
      </c>
      <c r="R49" s="17" t="n">
        <f aca="false">P49-Q49</f>
        <v>0</v>
      </c>
      <c r="S49" s="17" t="n">
        <f aca="false">J49-P49</f>
        <v>0</v>
      </c>
      <c r="T49" s="19"/>
    </row>
    <row r="50" customFormat="false" ht="21.75" hidden="false" customHeight="true" outlineLevel="0" collapsed="false">
      <c r="B50" s="6" t="n">
        <v>46</v>
      </c>
      <c r="C50" s="4" t="s">
        <v>9</v>
      </c>
      <c r="D50" s="6" t="s">
        <v>80</v>
      </c>
      <c r="E50" s="6" t="s">
        <v>15</v>
      </c>
      <c r="F50" s="6" t="s">
        <v>16</v>
      </c>
      <c r="G50" s="6" t="s">
        <v>44</v>
      </c>
      <c r="H50" s="6" t="s">
        <v>44</v>
      </c>
      <c r="I50" s="7" t="n">
        <v>655000</v>
      </c>
      <c r="J50" s="16"/>
      <c r="K50" s="25" t="n">
        <f aca="false">S03!J50</f>
        <v>0</v>
      </c>
      <c r="L50" s="20" t="n">
        <f aca="false">J50-K50</f>
        <v>0</v>
      </c>
      <c r="M50" s="18"/>
      <c r="N50" s="18"/>
      <c r="O50" s="18"/>
      <c r="P50" s="16"/>
      <c r="Q50" s="25" t="n">
        <f aca="false">S03!P50</f>
        <v>0</v>
      </c>
      <c r="R50" s="20" t="n">
        <f aca="false">P50-Q50</f>
        <v>0</v>
      </c>
      <c r="S50" s="20" t="n">
        <f aca="false">J50-P50</f>
        <v>0</v>
      </c>
      <c r="T50" s="19"/>
    </row>
    <row r="51" customFormat="false" ht="21.75" hidden="false" customHeight="true" outlineLevel="0" collapsed="false">
      <c r="B51" s="3" t="n">
        <v>47</v>
      </c>
      <c r="C51" s="4" t="s">
        <v>9</v>
      </c>
      <c r="D51" s="3" t="s">
        <v>81</v>
      </c>
      <c r="E51" s="3" t="s">
        <v>46</v>
      </c>
      <c r="F51" s="3" t="s">
        <v>47</v>
      </c>
      <c r="G51" s="3" t="s">
        <v>48</v>
      </c>
      <c r="H51" s="3" t="s">
        <v>82</v>
      </c>
      <c r="I51" s="5" t="n">
        <v>5182920</v>
      </c>
      <c r="J51" s="16"/>
      <c r="K51" s="24" t="n">
        <f aca="false">S03!J51</f>
        <v>0</v>
      </c>
      <c r="L51" s="17" t="n">
        <f aca="false">J51-K51</f>
        <v>0</v>
      </c>
      <c r="M51" s="18"/>
      <c r="N51" s="18"/>
      <c r="O51" s="18"/>
      <c r="P51" s="16"/>
      <c r="Q51" s="24" t="n">
        <f aca="false">S03!P51</f>
        <v>0</v>
      </c>
      <c r="R51" s="17" t="n">
        <f aca="false">P51-Q51</f>
        <v>0</v>
      </c>
      <c r="S51" s="17" t="n">
        <f aca="false">J51-P51</f>
        <v>0</v>
      </c>
      <c r="T51" s="19"/>
    </row>
    <row r="52" customFormat="false" ht="21.75" hidden="false" customHeight="true" outlineLevel="0" collapsed="false">
      <c r="B52" s="6" t="n">
        <v>48</v>
      </c>
      <c r="C52" s="4" t="s">
        <v>9</v>
      </c>
      <c r="D52" s="6" t="s">
        <v>81</v>
      </c>
      <c r="E52" s="6" t="s">
        <v>46</v>
      </c>
      <c r="F52" s="6" t="s">
        <v>47</v>
      </c>
      <c r="G52" s="6"/>
      <c r="H52" s="6" t="s">
        <v>83</v>
      </c>
      <c r="I52" s="7" t="n">
        <v>152818</v>
      </c>
      <c r="J52" s="16"/>
      <c r="K52" s="25" t="n">
        <f aca="false">S03!J52</f>
        <v>0</v>
      </c>
      <c r="L52" s="20" t="n">
        <f aca="false">J52-K52</f>
        <v>0</v>
      </c>
      <c r="M52" s="18"/>
      <c r="N52" s="18"/>
      <c r="O52" s="18"/>
      <c r="P52" s="16"/>
      <c r="Q52" s="25" t="n">
        <f aca="false">S03!P52</f>
        <v>0</v>
      </c>
      <c r="R52" s="20" t="n">
        <f aca="false">P52-Q52</f>
        <v>0</v>
      </c>
      <c r="S52" s="20" t="n">
        <f aca="false">J52-P52</f>
        <v>0</v>
      </c>
      <c r="T52" s="19"/>
    </row>
    <row r="53" customFormat="false" ht="21.75" hidden="false" customHeight="true" outlineLevel="0" collapsed="false">
      <c r="B53" s="3" t="n">
        <v>49</v>
      </c>
      <c r="C53" s="4" t="s">
        <v>9</v>
      </c>
      <c r="D53" s="3" t="s">
        <v>81</v>
      </c>
      <c r="E53" s="3" t="s">
        <v>46</v>
      </c>
      <c r="F53" s="3" t="s">
        <v>47</v>
      </c>
      <c r="G53" s="3"/>
      <c r="H53" s="3" t="s">
        <v>84</v>
      </c>
      <c r="I53" s="5" t="n">
        <v>1418000</v>
      </c>
      <c r="J53" s="16"/>
      <c r="K53" s="24" t="n">
        <f aca="false">S03!J53</f>
        <v>0</v>
      </c>
      <c r="L53" s="17" t="n">
        <f aca="false">J53-K53</f>
        <v>0</v>
      </c>
      <c r="M53" s="18"/>
      <c r="N53" s="18"/>
      <c r="O53" s="18"/>
      <c r="P53" s="16"/>
      <c r="Q53" s="24" t="n">
        <f aca="false">S03!P53</f>
        <v>0</v>
      </c>
      <c r="R53" s="17" t="n">
        <f aca="false">P53-Q53</f>
        <v>0</v>
      </c>
      <c r="S53" s="17" t="n">
        <f aca="false">J53-P53</f>
        <v>0</v>
      </c>
      <c r="T53" s="19"/>
    </row>
    <row r="54" customFormat="false" ht="21.75" hidden="false" customHeight="true" outlineLevel="0" collapsed="false">
      <c r="B54" s="6" t="n">
        <v>50</v>
      </c>
      <c r="C54" s="4" t="s">
        <v>9</v>
      </c>
      <c r="D54" s="6" t="s">
        <v>81</v>
      </c>
      <c r="E54" s="6" t="s">
        <v>46</v>
      </c>
      <c r="F54" s="6" t="s">
        <v>47</v>
      </c>
      <c r="G54" s="6" t="s">
        <v>62</v>
      </c>
      <c r="H54" s="6" t="s">
        <v>85</v>
      </c>
      <c r="I54" s="7" t="n">
        <v>800000</v>
      </c>
      <c r="J54" s="16"/>
      <c r="K54" s="25" t="n">
        <f aca="false">S03!J54</f>
        <v>0</v>
      </c>
      <c r="L54" s="20" t="n">
        <f aca="false">J54-K54</f>
        <v>0</v>
      </c>
      <c r="M54" s="18"/>
      <c r="N54" s="18"/>
      <c r="O54" s="18"/>
      <c r="P54" s="16"/>
      <c r="Q54" s="25" t="n">
        <f aca="false">S03!P54</f>
        <v>0</v>
      </c>
      <c r="R54" s="20" t="n">
        <f aca="false">P54-Q54</f>
        <v>0</v>
      </c>
      <c r="S54" s="20" t="n">
        <f aca="false">J54-P54</f>
        <v>0</v>
      </c>
      <c r="T54" s="19"/>
    </row>
    <row r="55" customFormat="false" ht="21.75" hidden="false" customHeight="true" outlineLevel="0" collapsed="false">
      <c r="B55" s="3" t="n">
        <v>51</v>
      </c>
      <c r="C55" s="4" t="s">
        <v>9</v>
      </c>
      <c r="D55" s="3" t="s">
        <v>81</v>
      </c>
      <c r="E55" s="3" t="s">
        <v>15</v>
      </c>
      <c r="F55" s="3" t="s">
        <v>16</v>
      </c>
      <c r="G55" s="3" t="s">
        <v>44</v>
      </c>
      <c r="H55" s="3" t="s">
        <v>44</v>
      </c>
      <c r="I55" s="5" t="n">
        <v>3700000</v>
      </c>
      <c r="J55" s="16"/>
      <c r="K55" s="24" t="n">
        <f aca="false">S03!J55</f>
        <v>0</v>
      </c>
      <c r="L55" s="17" t="n">
        <f aca="false">J55-K55</f>
        <v>0</v>
      </c>
      <c r="M55" s="18"/>
      <c r="N55" s="18"/>
      <c r="O55" s="18"/>
      <c r="P55" s="16"/>
      <c r="Q55" s="24" t="n">
        <f aca="false">S03!P55</f>
        <v>0</v>
      </c>
      <c r="R55" s="17" t="n">
        <f aca="false">P55-Q55</f>
        <v>0</v>
      </c>
      <c r="S55" s="17" t="n">
        <f aca="false">J55-P55</f>
        <v>0</v>
      </c>
      <c r="T55" s="19"/>
    </row>
    <row r="56" customFormat="false" ht="21.75" hidden="false" customHeight="true" outlineLevel="0" collapsed="false">
      <c r="B56" s="6" t="n">
        <v>52</v>
      </c>
      <c r="C56" s="4" t="s">
        <v>9</v>
      </c>
      <c r="D56" s="6" t="s">
        <v>81</v>
      </c>
      <c r="E56" s="6" t="s">
        <v>21</v>
      </c>
      <c r="F56" s="6" t="s">
        <v>22</v>
      </c>
      <c r="G56" s="6" t="s">
        <v>23</v>
      </c>
      <c r="H56" s="6" t="s">
        <v>86</v>
      </c>
      <c r="I56" s="7" t="n">
        <v>705000</v>
      </c>
      <c r="J56" s="16"/>
      <c r="K56" s="25" t="n">
        <f aca="false">S03!J56</f>
        <v>0</v>
      </c>
      <c r="L56" s="20" t="n">
        <f aca="false">J56-K56</f>
        <v>0</v>
      </c>
      <c r="M56" s="18"/>
      <c r="N56" s="18"/>
      <c r="O56" s="18"/>
      <c r="P56" s="16"/>
      <c r="Q56" s="25" t="n">
        <f aca="false">S03!P56</f>
        <v>0</v>
      </c>
      <c r="R56" s="20" t="n">
        <f aca="false">P56-Q56</f>
        <v>0</v>
      </c>
      <c r="S56" s="20" t="n">
        <f aca="false">J56-P56</f>
        <v>0</v>
      </c>
      <c r="T56" s="19"/>
    </row>
    <row r="57" customFormat="false" ht="21.75" hidden="false" customHeight="true" outlineLevel="0" collapsed="false">
      <c r="B57" s="3" t="n">
        <v>53</v>
      </c>
      <c r="C57" s="4" t="s">
        <v>9</v>
      </c>
      <c r="D57" s="3" t="s">
        <v>81</v>
      </c>
      <c r="E57" s="3" t="s">
        <v>21</v>
      </c>
      <c r="F57" s="3" t="s">
        <v>22</v>
      </c>
      <c r="G57" s="3" t="s">
        <v>57</v>
      </c>
      <c r="H57" s="3" t="s">
        <v>87</v>
      </c>
      <c r="I57" s="5" t="n">
        <v>372000</v>
      </c>
      <c r="J57" s="16"/>
      <c r="K57" s="24" t="n">
        <f aca="false">S03!J57</f>
        <v>0</v>
      </c>
      <c r="L57" s="17" t="n">
        <f aca="false">J57-K57</f>
        <v>0</v>
      </c>
      <c r="M57" s="18"/>
      <c r="N57" s="18"/>
      <c r="O57" s="18"/>
      <c r="P57" s="16"/>
      <c r="Q57" s="24" t="n">
        <f aca="false">S03!P57</f>
        <v>0</v>
      </c>
      <c r="R57" s="17" t="n">
        <f aca="false">P57-Q57</f>
        <v>0</v>
      </c>
      <c r="S57" s="17" t="n">
        <f aca="false">J57-P57</f>
        <v>0</v>
      </c>
      <c r="T57" s="19"/>
    </row>
    <row r="58" customFormat="false" ht="21.75" hidden="false" customHeight="true" outlineLevel="0" collapsed="false">
      <c r="B58" s="6" t="n">
        <v>54</v>
      </c>
      <c r="C58" s="8" t="s">
        <v>88</v>
      </c>
      <c r="D58" s="6" t="s">
        <v>89</v>
      </c>
      <c r="E58" s="6" t="s">
        <v>11</v>
      </c>
      <c r="F58" s="6" t="s">
        <v>12</v>
      </c>
      <c r="G58" s="6" t="s">
        <v>13</v>
      </c>
      <c r="H58" s="6" t="s">
        <v>90</v>
      </c>
      <c r="I58" s="7" t="n">
        <v>10000000</v>
      </c>
      <c r="J58" s="16"/>
      <c r="K58" s="25" t="n">
        <f aca="false">S03!J58</f>
        <v>0</v>
      </c>
      <c r="L58" s="20" t="n">
        <f aca="false">J58-K58</f>
        <v>0</v>
      </c>
      <c r="M58" s="18"/>
      <c r="N58" s="18"/>
      <c r="O58" s="18"/>
      <c r="P58" s="16"/>
      <c r="Q58" s="25" t="n">
        <f aca="false">S03!P58</f>
        <v>0</v>
      </c>
      <c r="R58" s="20" t="n">
        <f aca="false">P58-Q58</f>
        <v>0</v>
      </c>
      <c r="S58" s="20" t="n">
        <f aca="false">J58-P58</f>
        <v>0</v>
      </c>
      <c r="T58" s="19"/>
    </row>
    <row r="59" customFormat="false" ht="21.75" hidden="false" customHeight="true" outlineLevel="0" collapsed="false">
      <c r="B59" s="3" t="n">
        <v>55</v>
      </c>
      <c r="C59" s="8" t="s">
        <v>88</v>
      </c>
      <c r="D59" s="3" t="s">
        <v>89</v>
      </c>
      <c r="E59" s="3" t="s">
        <v>15</v>
      </c>
      <c r="F59" s="3" t="s">
        <v>16</v>
      </c>
      <c r="G59" s="3" t="s">
        <v>17</v>
      </c>
      <c r="H59" s="3" t="s">
        <v>91</v>
      </c>
      <c r="I59" s="5" t="n">
        <v>2000000</v>
      </c>
      <c r="J59" s="16"/>
      <c r="K59" s="24" t="n">
        <f aca="false">S03!J59</f>
        <v>0</v>
      </c>
      <c r="L59" s="17" t="n">
        <f aca="false">J59-K59</f>
        <v>0</v>
      </c>
      <c r="M59" s="18"/>
      <c r="N59" s="18"/>
      <c r="O59" s="18"/>
      <c r="P59" s="16"/>
      <c r="Q59" s="24" t="n">
        <f aca="false">S03!P59</f>
        <v>0</v>
      </c>
      <c r="R59" s="17" t="n">
        <f aca="false">P59-Q59</f>
        <v>0</v>
      </c>
      <c r="S59" s="17" t="n">
        <f aca="false">J59-P59</f>
        <v>0</v>
      </c>
      <c r="T59" s="19"/>
    </row>
    <row r="60" customFormat="false" ht="21.75" hidden="false" customHeight="true" outlineLevel="0" collapsed="false">
      <c r="B60" s="6" t="n">
        <v>56</v>
      </c>
      <c r="C60" s="8" t="s">
        <v>88</v>
      </c>
      <c r="D60" s="6" t="s">
        <v>89</v>
      </c>
      <c r="E60" s="6" t="s">
        <v>21</v>
      </c>
      <c r="F60" s="6" t="s">
        <v>22</v>
      </c>
      <c r="G60" s="6" t="s">
        <v>30</v>
      </c>
      <c r="H60" s="6" t="s">
        <v>92</v>
      </c>
      <c r="I60" s="7" t="n">
        <v>300000</v>
      </c>
      <c r="J60" s="16"/>
      <c r="K60" s="25" t="n">
        <f aca="false">S03!J60</f>
        <v>0</v>
      </c>
      <c r="L60" s="20" t="n">
        <f aca="false">J60-K60</f>
        <v>0</v>
      </c>
      <c r="M60" s="18"/>
      <c r="N60" s="18"/>
      <c r="O60" s="18"/>
      <c r="P60" s="16"/>
      <c r="Q60" s="25" t="n">
        <f aca="false">S03!P60</f>
        <v>0</v>
      </c>
      <c r="R60" s="20" t="n">
        <f aca="false">P60-Q60</f>
        <v>0</v>
      </c>
      <c r="S60" s="20" t="n">
        <f aca="false">J60-P60</f>
        <v>0</v>
      </c>
      <c r="T60" s="19"/>
    </row>
    <row r="61" customFormat="false" ht="21.75" hidden="false" customHeight="true" outlineLevel="0" collapsed="false">
      <c r="B61" s="3" t="n">
        <v>57</v>
      </c>
      <c r="C61" s="8" t="s">
        <v>88</v>
      </c>
      <c r="D61" s="3" t="s">
        <v>89</v>
      </c>
      <c r="E61" s="3" t="s">
        <v>46</v>
      </c>
      <c r="F61" s="3" t="s">
        <v>47</v>
      </c>
      <c r="G61" s="3" t="s">
        <v>62</v>
      </c>
      <c r="H61" s="3" t="s">
        <v>93</v>
      </c>
      <c r="I61" s="5" t="n">
        <v>100000</v>
      </c>
      <c r="J61" s="16"/>
      <c r="K61" s="24" t="n">
        <f aca="false">S03!J61</f>
        <v>0</v>
      </c>
      <c r="L61" s="17" t="n">
        <f aca="false">J61-K61</f>
        <v>0</v>
      </c>
      <c r="M61" s="18"/>
      <c r="N61" s="18"/>
      <c r="O61" s="18"/>
      <c r="P61" s="16"/>
      <c r="Q61" s="24" t="n">
        <f aca="false">S03!P61</f>
        <v>0</v>
      </c>
      <c r="R61" s="17" t="n">
        <f aca="false">P61-Q61</f>
        <v>0</v>
      </c>
      <c r="S61" s="17" t="n">
        <f aca="false">J61-P61</f>
        <v>0</v>
      </c>
      <c r="T61" s="19"/>
    </row>
    <row r="62" customFormat="false" ht="21.75" hidden="false" customHeight="true" outlineLevel="0" collapsed="false">
      <c r="B62" s="6" t="n">
        <v>58</v>
      </c>
      <c r="C62" s="8" t="s">
        <v>88</v>
      </c>
      <c r="D62" s="6" t="s">
        <v>94</v>
      </c>
      <c r="E62" s="6" t="s">
        <v>11</v>
      </c>
      <c r="F62" s="6" t="s">
        <v>12</v>
      </c>
      <c r="G62" s="6" t="s">
        <v>13</v>
      </c>
      <c r="H62" s="6" t="s">
        <v>95</v>
      </c>
      <c r="I62" s="7" t="n">
        <v>3000000</v>
      </c>
      <c r="J62" s="16"/>
      <c r="K62" s="25" t="n">
        <f aca="false">S03!J62</f>
        <v>0</v>
      </c>
      <c r="L62" s="20" t="n">
        <f aca="false">J62-K62</f>
        <v>0</v>
      </c>
      <c r="M62" s="18"/>
      <c r="N62" s="18"/>
      <c r="O62" s="18"/>
      <c r="P62" s="16"/>
      <c r="Q62" s="25" t="n">
        <f aca="false">S03!P62</f>
        <v>0</v>
      </c>
      <c r="R62" s="20" t="n">
        <f aca="false">P62-Q62</f>
        <v>0</v>
      </c>
      <c r="S62" s="20" t="n">
        <f aca="false">J62-P62</f>
        <v>0</v>
      </c>
      <c r="T62" s="19"/>
    </row>
    <row r="63" customFormat="false" ht="21.75" hidden="false" customHeight="true" outlineLevel="0" collapsed="false">
      <c r="B63" s="3" t="n">
        <v>59</v>
      </c>
      <c r="C63" s="8" t="s">
        <v>88</v>
      </c>
      <c r="D63" s="3" t="s">
        <v>94</v>
      </c>
      <c r="E63" s="3" t="s">
        <v>15</v>
      </c>
      <c r="F63" s="3" t="s">
        <v>16</v>
      </c>
      <c r="G63" s="3" t="s">
        <v>17</v>
      </c>
      <c r="H63" s="3" t="s">
        <v>96</v>
      </c>
      <c r="I63" s="5" t="n">
        <v>5000000</v>
      </c>
      <c r="J63" s="16"/>
      <c r="K63" s="24" t="n">
        <f aca="false">S03!J63</f>
        <v>0</v>
      </c>
      <c r="L63" s="17" t="n">
        <f aca="false">J63-K63</f>
        <v>0</v>
      </c>
      <c r="M63" s="18"/>
      <c r="N63" s="18"/>
      <c r="O63" s="18"/>
      <c r="P63" s="16"/>
      <c r="Q63" s="24" t="n">
        <f aca="false">S03!P63</f>
        <v>0</v>
      </c>
      <c r="R63" s="17" t="n">
        <f aca="false">P63-Q63</f>
        <v>0</v>
      </c>
      <c r="S63" s="17" t="n">
        <f aca="false">J63-P63</f>
        <v>0</v>
      </c>
      <c r="T63" s="19"/>
    </row>
    <row r="64" customFormat="false" ht="21.75" hidden="false" customHeight="true" outlineLevel="0" collapsed="false">
      <c r="B64" s="6" t="n">
        <v>60</v>
      </c>
      <c r="C64" s="8" t="s">
        <v>88</v>
      </c>
      <c r="D64" s="6" t="s">
        <v>97</v>
      </c>
      <c r="E64" s="6" t="s">
        <v>11</v>
      </c>
      <c r="F64" s="6" t="s">
        <v>12</v>
      </c>
      <c r="G64" s="6" t="s">
        <v>13</v>
      </c>
      <c r="H64" s="6" t="s">
        <v>98</v>
      </c>
      <c r="I64" s="7" t="n">
        <v>3000000</v>
      </c>
      <c r="J64" s="16"/>
      <c r="K64" s="25" t="n">
        <f aca="false">S03!J64</f>
        <v>0</v>
      </c>
      <c r="L64" s="20" t="n">
        <f aca="false">J64-K64</f>
        <v>0</v>
      </c>
      <c r="M64" s="18"/>
      <c r="N64" s="18"/>
      <c r="O64" s="18"/>
      <c r="P64" s="16"/>
      <c r="Q64" s="25" t="n">
        <f aca="false">S03!P64</f>
        <v>0</v>
      </c>
      <c r="R64" s="20" t="n">
        <f aca="false">P64-Q64</f>
        <v>0</v>
      </c>
      <c r="S64" s="20" t="n">
        <f aca="false">J64-P64</f>
        <v>0</v>
      </c>
      <c r="T64" s="19"/>
    </row>
    <row r="65" customFormat="false" ht="21.75" hidden="false" customHeight="true" outlineLevel="0" collapsed="false">
      <c r="B65" s="3" t="n">
        <v>61</v>
      </c>
      <c r="C65" s="8" t="s">
        <v>88</v>
      </c>
      <c r="D65" s="3" t="s">
        <v>97</v>
      </c>
      <c r="E65" s="3" t="s">
        <v>15</v>
      </c>
      <c r="F65" s="3" t="s">
        <v>16</v>
      </c>
      <c r="G65" s="3" t="s">
        <v>17</v>
      </c>
      <c r="H65" s="3" t="s">
        <v>99</v>
      </c>
      <c r="I65" s="5" t="n">
        <v>3000000</v>
      </c>
      <c r="J65" s="16"/>
      <c r="K65" s="24" t="n">
        <f aca="false">S03!J65</f>
        <v>0</v>
      </c>
      <c r="L65" s="17" t="n">
        <f aca="false">J65-K65</f>
        <v>0</v>
      </c>
      <c r="M65" s="18"/>
      <c r="N65" s="18"/>
      <c r="O65" s="18"/>
      <c r="P65" s="16"/>
      <c r="Q65" s="24" t="n">
        <f aca="false">S03!P65</f>
        <v>0</v>
      </c>
      <c r="R65" s="17" t="n">
        <f aca="false">P65-Q65</f>
        <v>0</v>
      </c>
      <c r="S65" s="17" t="n">
        <f aca="false">J65-P65</f>
        <v>0</v>
      </c>
      <c r="T65" s="19"/>
    </row>
    <row r="66" customFormat="false" ht="21.75" hidden="false" customHeight="true" outlineLevel="0" collapsed="false">
      <c r="B66" s="6" t="n">
        <v>62</v>
      </c>
      <c r="C66" s="8" t="s">
        <v>88</v>
      </c>
      <c r="D66" s="6" t="s">
        <v>100</v>
      </c>
      <c r="E66" s="6" t="s">
        <v>11</v>
      </c>
      <c r="F66" s="6" t="s">
        <v>12</v>
      </c>
      <c r="G66" s="6" t="s">
        <v>13</v>
      </c>
      <c r="H66" s="6" t="s">
        <v>101</v>
      </c>
      <c r="I66" s="7" t="n">
        <v>6000000</v>
      </c>
      <c r="J66" s="16"/>
      <c r="K66" s="25" t="n">
        <f aca="false">S03!J66</f>
        <v>0</v>
      </c>
      <c r="L66" s="20" t="n">
        <f aca="false">J66-K66</f>
        <v>0</v>
      </c>
      <c r="M66" s="18"/>
      <c r="N66" s="18"/>
      <c r="O66" s="18"/>
      <c r="P66" s="16"/>
      <c r="Q66" s="25" t="n">
        <f aca="false">S03!P66</f>
        <v>0</v>
      </c>
      <c r="R66" s="20" t="n">
        <f aca="false">P66-Q66</f>
        <v>0</v>
      </c>
      <c r="S66" s="20" t="n">
        <f aca="false">J66-P66</f>
        <v>0</v>
      </c>
      <c r="T66" s="19"/>
    </row>
    <row r="67" customFormat="false" ht="21.75" hidden="false" customHeight="true" outlineLevel="0" collapsed="false">
      <c r="B67" s="3" t="n">
        <v>63</v>
      </c>
      <c r="C67" s="8" t="s">
        <v>88</v>
      </c>
      <c r="D67" s="3" t="s">
        <v>100</v>
      </c>
      <c r="E67" s="3" t="s">
        <v>15</v>
      </c>
      <c r="F67" s="3" t="s">
        <v>16</v>
      </c>
      <c r="G67" s="3" t="s">
        <v>17</v>
      </c>
      <c r="H67" s="3" t="s">
        <v>102</v>
      </c>
      <c r="I67" s="5" t="n">
        <v>6000000</v>
      </c>
      <c r="J67" s="16"/>
      <c r="K67" s="24" t="n">
        <f aca="false">S03!J67</f>
        <v>0</v>
      </c>
      <c r="L67" s="17" t="n">
        <f aca="false">J67-K67</f>
        <v>0</v>
      </c>
      <c r="M67" s="18"/>
      <c r="N67" s="18"/>
      <c r="O67" s="18"/>
      <c r="P67" s="16"/>
      <c r="Q67" s="24" t="n">
        <f aca="false">S03!P67</f>
        <v>0</v>
      </c>
      <c r="R67" s="17" t="n">
        <f aca="false">P67-Q67</f>
        <v>0</v>
      </c>
      <c r="S67" s="17" t="n">
        <f aca="false">J67-P67</f>
        <v>0</v>
      </c>
      <c r="T67" s="19"/>
    </row>
    <row r="68" customFormat="false" ht="21.75" hidden="false" customHeight="true" outlineLevel="0" collapsed="false">
      <c r="B68" s="6" t="n">
        <v>64</v>
      </c>
      <c r="C68" s="8" t="s">
        <v>88</v>
      </c>
      <c r="D68" s="6" t="s">
        <v>103</v>
      </c>
      <c r="E68" s="6" t="s">
        <v>11</v>
      </c>
      <c r="F68" s="6" t="s">
        <v>12</v>
      </c>
      <c r="G68" s="6" t="s">
        <v>13</v>
      </c>
      <c r="H68" s="6" t="s">
        <v>104</v>
      </c>
      <c r="I68" s="7" t="n">
        <v>3000000</v>
      </c>
      <c r="J68" s="16"/>
      <c r="K68" s="25" t="n">
        <f aca="false">S03!J68</f>
        <v>0</v>
      </c>
      <c r="L68" s="20" t="n">
        <f aca="false">J68-K68</f>
        <v>0</v>
      </c>
      <c r="M68" s="18"/>
      <c r="N68" s="18"/>
      <c r="O68" s="18"/>
      <c r="P68" s="16"/>
      <c r="Q68" s="25" t="n">
        <f aca="false">S03!P68</f>
        <v>0</v>
      </c>
      <c r="R68" s="20" t="n">
        <f aca="false">P68-Q68</f>
        <v>0</v>
      </c>
      <c r="S68" s="20" t="n">
        <f aca="false">J68-P68</f>
        <v>0</v>
      </c>
      <c r="T68" s="19"/>
    </row>
    <row r="69" customFormat="false" ht="21.75" hidden="false" customHeight="true" outlineLevel="0" collapsed="false">
      <c r="B69" s="3" t="n">
        <v>65</v>
      </c>
      <c r="C69" s="8" t="s">
        <v>88</v>
      </c>
      <c r="D69" s="3" t="s">
        <v>105</v>
      </c>
      <c r="E69" s="3" t="s">
        <v>11</v>
      </c>
      <c r="F69" s="3" t="s">
        <v>12</v>
      </c>
      <c r="G69" s="3" t="s">
        <v>13</v>
      </c>
      <c r="H69" s="3" t="s">
        <v>106</v>
      </c>
      <c r="I69" s="5" t="n">
        <v>1000000</v>
      </c>
      <c r="J69" s="16"/>
      <c r="K69" s="24" t="n">
        <f aca="false">S03!J69</f>
        <v>0</v>
      </c>
      <c r="L69" s="17" t="n">
        <f aca="false">J69-K69</f>
        <v>0</v>
      </c>
      <c r="M69" s="18"/>
      <c r="N69" s="18"/>
      <c r="O69" s="18"/>
      <c r="P69" s="16"/>
      <c r="Q69" s="24" t="n">
        <f aca="false">S03!P69</f>
        <v>0</v>
      </c>
      <c r="R69" s="17" t="n">
        <f aca="false">P69-Q69</f>
        <v>0</v>
      </c>
      <c r="S69" s="17" t="n">
        <f aca="false">J69-P69</f>
        <v>0</v>
      </c>
      <c r="T69" s="19"/>
    </row>
    <row r="70" customFormat="false" ht="21.75" hidden="false" customHeight="true" outlineLevel="0" collapsed="false">
      <c r="B70" s="6" t="n">
        <v>66</v>
      </c>
      <c r="C70" s="8" t="s">
        <v>88</v>
      </c>
      <c r="D70" s="6" t="s">
        <v>107</v>
      </c>
      <c r="E70" s="6" t="s">
        <v>11</v>
      </c>
      <c r="F70" s="6" t="s">
        <v>12</v>
      </c>
      <c r="G70" s="6" t="s">
        <v>13</v>
      </c>
      <c r="H70" s="6" t="s">
        <v>108</v>
      </c>
      <c r="I70" s="7" t="n">
        <v>1000000</v>
      </c>
      <c r="J70" s="16"/>
      <c r="K70" s="25" t="n">
        <f aca="false">S03!J70</f>
        <v>0</v>
      </c>
      <c r="L70" s="20" t="n">
        <f aca="false">J70-K70</f>
        <v>0</v>
      </c>
      <c r="M70" s="18"/>
      <c r="N70" s="18"/>
      <c r="O70" s="18"/>
      <c r="P70" s="16"/>
      <c r="Q70" s="25" t="n">
        <f aca="false">S03!P70</f>
        <v>0</v>
      </c>
      <c r="R70" s="20" t="n">
        <f aca="false">P70-Q70</f>
        <v>0</v>
      </c>
      <c r="S70" s="20" t="n">
        <f aca="false">J70-P70</f>
        <v>0</v>
      </c>
      <c r="T70" s="19"/>
    </row>
    <row r="71" customFormat="false" ht="21.75" hidden="false" customHeight="true" outlineLevel="0" collapsed="false">
      <c r="B71" s="3" t="n">
        <v>67</v>
      </c>
      <c r="C71" s="8" t="s">
        <v>88</v>
      </c>
      <c r="D71" s="3" t="s">
        <v>109</v>
      </c>
      <c r="E71" s="3" t="s">
        <v>11</v>
      </c>
      <c r="F71" s="3" t="s">
        <v>12</v>
      </c>
      <c r="G71" s="3" t="s">
        <v>13</v>
      </c>
      <c r="H71" s="3" t="s">
        <v>110</v>
      </c>
      <c r="I71" s="5" t="n">
        <v>6600000</v>
      </c>
      <c r="J71" s="16"/>
      <c r="K71" s="24" t="n">
        <f aca="false">S03!J71</f>
        <v>0</v>
      </c>
      <c r="L71" s="17" t="n">
        <f aca="false">J71-K71</f>
        <v>0</v>
      </c>
      <c r="M71" s="18"/>
      <c r="N71" s="18"/>
      <c r="O71" s="18"/>
      <c r="P71" s="16"/>
      <c r="Q71" s="24" t="n">
        <f aca="false">S03!P71</f>
        <v>0</v>
      </c>
      <c r="R71" s="17" t="n">
        <f aca="false">P71-Q71</f>
        <v>0</v>
      </c>
      <c r="S71" s="17" t="n">
        <f aca="false">J71-P71</f>
        <v>0</v>
      </c>
      <c r="T71" s="19"/>
    </row>
    <row r="72" customFormat="false" ht="21.75" hidden="false" customHeight="true" outlineLevel="0" collapsed="false">
      <c r="B72" s="6" t="n">
        <v>68</v>
      </c>
      <c r="C72" s="9" t="s">
        <v>111</v>
      </c>
      <c r="D72" s="6" t="s">
        <v>112</v>
      </c>
      <c r="E72" s="6" t="s">
        <v>11</v>
      </c>
      <c r="F72" s="6" t="s">
        <v>12</v>
      </c>
      <c r="G72" s="6" t="s">
        <v>13</v>
      </c>
      <c r="H72" s="6" t="s">
        <v>113</v>
      </c>
      <c r="I72" s="7" t="n">
        <v>1805475</v>
      </c>
      <c r="J72" s="16"/>
      <c r="K72" s="25" t="n">
        <f aca="false">S03!J72</f>
        <v>0</v>
      </c>
      <c r="L72" s="20" t="n">
        <f aca="false">J72-K72</f>
        <v>0</v>
      </c>
      <c r="M72" s="18"/>
      <c r="N72" s="18"/>
      <c r="O72" s="18"/>
      <c r="P72" s="16"/>
      <c r="Q72" s="25" t="n">
        <f aca="false">S03!P72</f>
        <v>0</v>
      </c>
      <c r="R72" s="20" t="n">
        <f aca="false">P72-Q72</f>
        <v>0</v>
      </c>
      <c r="S72" s="20" t="n">
        <f aca="false">J72-P72</f>
        <v>0</v>
      </c>
      <c r="T72" s="19"/>
    </row>
    <row r="73" customFormat="false" ht="21.75" hidden="false" customHeight="true" outlineLevel="0" collapsed="false">
      <c r="B73" s="3" t="n">
        <v>69</v>
      </c>
      <c r="C73" s="9" t="s">
        <v>111</v>
      </c>
      <c r="D73" s="3" t="s">
        <v>112</v>
      </c>
      <c r="E73" s="3" t="s">
        <v>11</v>
      </c>
      <c r="F73" s="3" t="s">
        <v>12</v>
      </c>
      <c r="G73" s="3" t="s">
        <v>13</v>
      </c>
      <c r="H73" s="3" t="s">
        <v>114</v>
      </c>
      <c r="I73" s="5" t="n">
        <v>2587200</v>
      </c>
      <c r="J73" s="16"/>
      <c r="K73" s="24" t="n">
        <f aca="false">S03!J73</f>
        <v>0</v>
      </c>
      <c r="L73" s="17" t="n">
        <f aca="false">J73-K73</f>
        <v>0</v>
      </c>
      <c r="M73" s="18"/>
      <c r="N73" s="18"/>
      <c r="O73" s="18"/>
      <c r="P73" s="16"/>
      <c r="Q73" s="24" t="n">
        <f aca="false">S03!P73</f>
        <v>0</v>
      </c>
      <c r="R73" s="17" t="n">
        <f aca="false">P73-Q73</f>
        <v>0</v>
      </c>
      <c r="S73" s="17" t="n">
        <f aca="false">J73-P73</f>
        <v>0</v>
      </c>
      <c r="T73" s="19"/>
    </row>
    <row r="74" customFormat="false" ht="21.75" hidden="false" customHeight="true" outlineLevel="0" collapsed="false">
      <c r="B74" s="6" t="n">
        <v>70</v>
      </c>
      <c r="C74" s="9" t="s">
        <v>111</v>
      </c>
      <c r="D74" s="6" t="s">
        <v>112</v>
      </c>
      <c r="E74" s="6" t="s">
        <v>15</v>
      </c>
      <c r="F74" s="6" t="s">
        <v>16</v>
      </c>
      <c r="G74" s="6" t="s">
        <v>17</v>
      </c>
      <c r="H74" s="6" t="s">
        <v>44</v>
      </c>
      <c r="I74" s="7" t="n">
        <v>3500000</v>
      </c>
      <c r="J74" s="16"/>
      <c r="K74" s="25" t="n">
        <f aca="false">S03!J74</f>
        <v>0</v>
      </c>
      <c r="L74" s="20" t="n">
        <f aca="false">J74-K74</f>
        <v>0</v>
      </c>
      <c r="M74" s="18"/>
      <c r="N74" s="18"/>
      <c r="O74" s="18"/>
      <c r="P74" s="16"/>
      <c r="Q74" s="25" t="n">
        <f aca="false">S03!P74</f>
        <v>0</v>
      </c>
      <c r="R74" s="20" t="n">
        <f aca="false">P74-Q74</f>
        <v>0</v>
      </c>
      <c r="S74" s="20" t="n">
        <f aca="false">J74-P74</f>
        <v>0</v>
      </c>
      <c r="T74" s="19"/>
    </row>
    <row r="75" customFormat="false" ht="21.75" hidden="false" customHeight="true" outlineLevel="0" collapsed="false">
      <c r="B75" s="3" t="n">
        <v>71</v>
      </c>
      <c r="C75" s="9" t="s">
        <v>111</v>
      </c>
      <c r="D75" s="3" t="s">
        <v>112</v>
      </c>
      <c r="E75" s="3" t="s">
        <v>21</v>
      </c>
      <c r="F75" s="3" t="s">
        <v>22</v>
      </c>
      <c r="G75" s="3" t="s">
        <v>115</v>
      </c>
      <c r="H75" s="3" t="s">
        <v>116</v>
      </c>
      <c r="I75" s="5" t="n">
        <v>870000</v>
      </c>
      <c r="J75" s="16"/>
      <c r="K75" s="24" t="n">
        <f aca="false">S03!J75</f>
        <v>0</v>
      </c>
      <c r="L75" s="17" t="n">
        <f aca="false">J75-K75</f>
        <v>0</v>
      </c>
      <c r="M75" s="18"/>
      <c r="N75" s="18"/>
      <c r="O75" s="18"/>
      <c r="P75" s="16"/>
      <c r="Q75" s="24" t="n">
        <f aca="false">S03!P75</f>
        <v>0</v>
      </c>
      <c r="R75" s="17" t="n">
        <f aca="false">P75-Q75</f>
        <v>0</v>
      </c>
      <c r="S75" s="17" t="n">
        <f aca="false">J75-P75</f>
        <v>0</v>
      </c>
      <c r="T75" s="19"/>
    </row>
    <row r="76" customFormat="false" ht="21.75" hidden="false" customHeight="true" outlineLevel="0" collapsed="false">
      <c r="B76" s="6" t="n">
        <v>72</v>
      </c>
      <c r="C76" s="9" t="s">
        <v>111</v>
      </c>
      <c r="D76" s="6" t="s">
        <v>112</v>
      </c>
      <c r="E76" s="6" t="s">
        <v>11</v>
      </c>
      <c r="F76" s="6" t="s">
        <v>12</v>
      </c>
      <c r="G76" s="6" t="s">
        <v>117</v>
      </c>
      <c r="H76" s="6" t="s">
        <v>118</v>
      </c>
      <c r="I76" s="7" t="n">
        <v>500000</v>
      </c>
      <c r="J76" s="16"/>
      <c r="K76" s="25" t="n">
        <f aca="false">S03!J76</f>
        <v>0</v>
      </c>
      <c r="L76" s="20" t="n">
        <f aca="false">J76-K76</f>
        <v>0</v>
      </c>
      <c r="M76" s="18"/>
      <c r="N76" s="18"/>
      <c r="O76" s="18"/>
      <c r="P76" s="16"/>
      <c r="Q76" s="25" t="n">
        <f aca="false">S03!P76</f>
        <v>0</v>
      </c>
      <c r="R76" s="20" t="n">
        <f aca="false">P76-Q76</f>
        <v>0</v>
      </c>
      <c r="S76" s="20" t="n">
        <f aca="false">J76-P76</f>
        <v>0</v>
      </c>
      <c r="T76" s="19"/>
    </row>
    <row r="77" customFormat="false" ht="25.5" hidden="false" customHeight="true" outlineLevel="0" collapsed="false">
      <c r="B77" s="10" t="s">
        <v>119</v>
      </c>
      <c r="C77" s="10"/>
      <c r="D77" s="10"/>
      <c r="E77" s="10"/>
      <c r="F77" s="10"/>
      <c r="G77" s="10"/>
      <c r="H77" s="10"/>
      <c r="I77" s="11" t="n">
        <f aca="false">SUM(I5:I76)</f>
        <v>130262675</v>
      </c>
      <c r="J77" s="23" t="n">
        <f aca="false">IFERROR(SUMPRODUCT(J5:J76,I5:I76)/I77,0)</f>
        <v>0</v>
      </c>
      <c r="K77" s="23" t="n">
        <f aca="false">IFERROR(SUMPRODUCT(K5:K76,I5:I76)/I77,0)</f>
        <v>0</v>
      </c>
      <c r="L77" s="23" t="n">
        <f aca="false">J77-K77</f>
        <v>0</v>
      </c>
      <c r="M77" s="11" t="n">
        <f aca="false">SUM(M5:M76)</f>
        <v>0</v>
      </c>
      <c r="N77" s="11" t="n">
        <f aca="false">SUM(N5:N76)</f>
        <v>0</v>
      </c>
      <c r="O77" s="11" t="n">
        <f aca="false">SUM(O5:O76)</f>
        <v>0</v>
      </c>
      <c r="P77" s="23" t="n">
        <f aca="false">IFERROR(SUMPRODUCT(P5:P76,I5:I76)/I77,0)</f>
        <v>0</v>
      </c>
      <c r="Q77" s="23" t="n">
        <f aca="false">IFERROR(SUMPRODUCT(Q5:Q76,I5:I76)/I77,0)</f>
        <v>0</v>
      </c>
      <c r="R77" s="23" t="n">
        <f aca="false">P77-Q77</f>
        <v>0</v>
      </c>
      <c r="S77" s="23" t="n">
        <f aca="false">J77-P77</f>
        <v>0</v>
      </c>
      <c r="T77" s="10"/>
    </row>
  </sheetData>
  <sheetProtection sheet="true" password="cbbe"/>
  <mergeCells count="2">
    <mergeCell ref="B2:T2"/>
    <mergeCell ref="C3:D3"/>
  </mergeCells>
  <conditionalFormatting sqref="L5:L76">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R5:R76">
    <cfRule type="cellIs" priority="4" operator="greaterThan" aboveAverage="0" equalAverage="0" bottom="0" percent="0" rank="0" text="" dxfId="0">
      <formula>0</formula>
    </cfRule>
    <cfRule type="cellIs" priority="5" operator="lessThan" aboveAverage="0" equalAverage="0" bottom="0" percent="0" rank="0" text="" dxfId="1">
      <formula>0</formula>
    </cfRule>
  </conditionalFormatting>
  <conditionalFormatting sqref="S5:S76">
    <cfRule type="cellIs" priority="6" operator="greaterThan" aboveAverage="0" equalAverage="0" bottom="0" percent="0" rank="0" text="" dxfId="0">
      <formula>0.05</formula>
    </cfRule>
    <cfRule type="cellIs" priority="7" operator="lessThan" aboveAverage="0" equalAverage="0" bottom="0" percent="0" rank="0" text="" dxfId="1">
      <formula>-0.05</formula>
    </cfRule>
    <cfRule type="cellIs" priority="8" operator="between" aboveAverage="0" equalAverage="0" bottom="0" percent="0" rank="0" text="" dxfId="2">
      <formula>-0.05</formula>
      <formula>0.05</formula>
    </cfRule>
  </conditionalFormatting>
  <conditionalFormatting sqref="J5:J76">
    <cfRule type="dataBar" priority="9">
      <dataBar showValue="1" minLength="10" maxLength="90">
        <cfvo type="num" val="0"/>
        <cfvo type="num" val="1"/>
        <color rgb="FF1B7D46"/>
      </dataBar>
      <extLst>
        <ext xmlns:x14="http://schemas.microsoft.com/office/spreadsheetml/2009/9/main" uri="{B025F937-C7B1-47D3-B67F-A62EFF666E3E}">
          <x14:id>{3FA5C711-D183-41D4-B4C4-D26B5B82CB75}</x14:id>
        </ext>
      </extLst>
    </cfRule>
  </conditionalFormatting>
  <conditionalFormatting sqref="P5:P76">
    <cfRule type="dataBar" priority="10">
      <dataBar showValue="1" minLength="10" maxLength="90">
        <cfvo type="num" val="0"/>
        <cfvo type="num" val="1"/>
        <color rgb="FFD4820A"/>
      </dataBar>
      <extLst>
        <ext xmlns:x14="http://schemas.microsoft.com/office/spreadsheetml/2009/9/main" uri="{B025F937-C7B1-47D3-B67F-A62EFF666E3E}">
          <x14:id>{E3EA8E6F-25A6-4D4A-BDDF-BCF2D7629CEF}</x14:id>
        </ext>
      </extLst>
    </cfRule>
  </conditionalFormatting>
  <dataValidations count="1">
    <dataValidation allowBlank="true" error="Veuillez entrer un pourcentage entre 0% et 100%" errorStyle="stop" errorTitle="Valeur invalide" operator="between" prompt="Entrez le pourcentage (ex: 0.25 pour 25%)" promptTitle="Avancement %" showDropDown="false" showErrorMessage="false" showInputMessage="false" sqref="J5:J76 P5:P76" type="decimal">
      <formula1>0</formula1>
      <formula2>1</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3FA5C711-D183-41D4-B4C4-D26B5B82CB75}">
            <x14:dataBar minLength="10" maxLength="90" axisPosition="none" gradient="true">
              <x14:cfvo type="num">
                <xm:f>0</xm:f>
              </x14:cfvo>
              <x14:cfvo type="num">
                <xm:f>1</xm:f>
              </x14:cfvo>
              <x14:negativeFillColor rgb="FF1B7D46"/>
              <x14:axisColor rgb="FF000000"/>
            </x14:dataBar>
          </x14:cfRule>
          <xm:sqref>J5:J76</xm:sqref>
        </x14:conditionalFormatting>
        <x14:conditionalFormatting xmlns:xm="http://schemas.microsoft.com/office/excel/2006/main">
          <x14:cfRule type="dataBar" id="{E3EA8E6F-25A6-4D4A-BDDF-BCF2D7629CEF}">
            <x14:dataBar minLength="10" maxLength="90" axisPosition="none" gradient="true">
              <x14:cfvo type="num">
                <xm:f>0</xm:f>
              </x14:cfvo>
              <x14:cfvo type="num">
                <xm:f>1</xm:f>
              </x14:cfvo>
              <x14:negativeFillColor rgb="FFD4820A"/>
              <x14:axisColor rgb="FF000000"/>
            </x14:dataBar>
          </x14:cfRule>
          <xm:sqref>P5:P76</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false"/>
  </sheetPr>
  <dimension ref="B1:N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customHeight="true"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12"/>
    <col collapsed="false" customWidth="true" hidden="false" outlineLevel="0" max="6" min="4" style="0" width="18"/>
    <col collapsed="false" customWidth="true" hidden="false" outlineLevel="0" max="8" min="7" style="0" width="20"/>
    <col collapsed="false" customWidth="true" hidden="false" outlineLevel="0" max="9" min="9" style="0" width="16"/>
  </cols>
  <sheetData>
    <row r="1" customFormat="false" ht="15" hidden="false" customHeight="true" outlineLevel="0" collapsed="false"/>
    <row r="2" customFormat="false" ht="31.5" hidden="false" customHeight="true" outlineLevel="0" collapsed="false">
      <c r="B2" s="1" t="s">
        <v>153</v>
      </c>
      <c r="C2" s="1"/>
      <c r="D2" s="1"/>
      <c r="E2" s="1"/>
      <c r="F2" s="1"/>
      <c r="G2" s="1"/>
      <c r="H2" s="1"/>
      <c r="I2" s="1"/>
      <c r="J2" s="1"/>
      <c r="K2" s="1"/>
      <c r="L2" s="1"/>
      <c r="M2" s="1"/>
      <c r="N2" s="1"/>
    </row>
    <row r="3" customFormat="false" ht="7.5" hidden="false" customHeight="true" outlineLevel="0" collapsed="false"/>
    <row r="4" customFormat="false" ht="27.75" hidden="false" customHeight="true" outlineLevel="0" collapsed="false">
      <c r="B4" s="2"/>
      <c r="C4" s="2" t="s">
        <v>154</v>
      </c>
      <c r="D4" s="2" t="s">
        <v>8</v>
      </c>
      <c r="E4" s="2" t="s">
        <v>155</v>
      </c>
      <c r="F4" s="2" t="s">
        <v>156</v>
      </c>
      <c r="G4" s="2" t="s">
        <v>157</v>
      </c>
      <c r="H4" s="2" t="s">
        <v>158</v>
      </c>
      <c r="I4" s="2" t="s">
        <v>148</v>
      </c>
    </row>
    <row r="5" customFormat="false" ht="26.8" hidden="false" customHeight="false" outlineLevel="0" collapsed="false">
      <c r="B5" s="14" t="s">
        <v>159</v>
      </c>
      <c r="C5" s="26" t="n">
        <v>72</v>
      </c>
      <c r="D5" s="27" t="n">
        <f aca="false">S04!I77</f>
        <v>130262675</v>
      </c>
      <c r="E5" s="28" t="n">
        <f aca="false">S04!J77</f>
        <v>0</v>
      </c>
      <c r="F5" s="28" t="n">
        <f aca="false">S04!P77</f>
        <v>0</v>
      </c>
      <c r="G5" s="27" t="n">
        <f aca="false">S04!M77</f>
        <v>0</v>
      </c>
      <c r="H5" s="27" t="n">
        <f aca="false">S04!N77</f>
        <v>0</v>
      </c>
      <c r="I5" s="28" t="n">
        <f aca="false">S04!S77</f>
        <v>0</v>
      </c>
    </row>
    <row r="8" customFormat="false" ht="15" hidden="false" customHeight="false" outlineLevel="0" collapsed="false">
      <c r="B8" s="29" t="s">
        <v>160</v>
      </c>
      <c r="C8" s="29"/>
      <c r="D8" s="29"/>
      <c r="E8" s="29"/>
      <c r="F8" s="29"/>
      <c r="G8" s="29"/>
      <c r="H8" s="29"/>
      <c r="I8" s="29"/>
    </row>
    <row r="9" customFormat="false" ht="27.75" hidden="false" customHeight="true" outlineLevel="0" collapsed="false">
      <c r="B9" s="2" t="s">
        <v>161</v>
      </c>
      <c r="C9" s="2" t="s">
        <v>139</v>
      </c>
      <c r="D9" s="2" t="s">
        <v>141</v>
      </c>
      <c r="E9" s="2" t="s">
        <v>145</v>
      </c>
      <c r="F9" s="2" t="s">
        <v>147</v>
      </c>
      <c r="G9" s="2" t="s">
        <v>142</v>
      </c>
      <c r="H9" s="2" t="s">
        <v>143</v>
      </c>
      <c r="I9" s="2" t="s">
        <v>162</v>
      </c>
    </row>
    <row r="10" customFormat="false" ht="21.75" hidden="false" customHeight="true" outlineLevel="0" collapsed="false">
      <c r="B10" s="3" t="s">
        <v>163</v>
      </c>
      <c r="C10" s="24" t="n">
        <f aca="false">S01!J77</f>
        <v>0</v>
      </c>
      <c r="D10" s="24" t="n">
        <f aca="false">S01!L77</f>
        <v>0</v>
      </c>
      <c r="E10" s="24" t="n">
        <f aca="false">S01!P77</f>
        <v>0</v>
      </c>
      <c r="F10" s="24" t="n">
        <f aca="false">S01!R77</f>
        <v>0</v>
      </c>
      <c r="G10" s="30" t="n">
        <f aca="false">S01!M77</f>
        <v>0</v>
      </c>
      <c r="H10" s="30" t="n">
        <f aca="false">S01!N77</f>
        <v>0</v>
      </c>
      <c r="I10" s="24" t="n">
        <f aca="false">S01!S77</f>
        <v>0</v>
      </c>
    </row>
    <row r="11" customFormat="false" ht="21.75" hidden="false" customHeight="true" outlineLevel="0" collapsed="false">
      <c r="B11" s="6" t="s">
        <v>164</v>
      </c>
      <c r="C11" s="25" t="n">
        <f aca="false">S02!J77</f>
        <v>0</v>
      </c>
      <c r="D11" s="25" t="n">
        <f aca="false">S02!L77</f>
        <v>0</v>
      </c>
      <c r="E11" s="25" t="n">
        <f aca="false">S02!P77</f>
        <v>0</v>
      </c>
      <c r="F11" s="25" t="n">
        <f aca="false">S02!R77</f>
        <v>0</v>
      </c>
      <c r="G11" s="31" t="n">
        <f aca="false">S02!M77</f>
        <v>0</v>
      </c>
      <c r="H11" s="31" t="n">
        <f aca="false">S02!N77</f>
        <v>0</v>
      </c>
      <c r="I11" s="25" t="n">
        <f aca="false">S02!S77</f>
        <v>0</v>
      </c>
    </row>
    <row r="12" customFormat="false" ht="21.75" hidden="false" customHeight="true" outlineLevel="0" collapsed="false">
      <c r="B12" s="3" t="s">
        <v>165</v>
      </c>
      <c r="C12" s="24" t="n">
        <f aca="false">S03!J77</f>
        <v>0</v>
      </c>
      <c r="D12" s="24" t="n">
        <f aca="false">S03!L77</f>
        <v>0</v>
      </c>
      <c r="E12" s="24" t="n">
        <f aca="false">S03!P77</f>
        <v>0</v>
      </c>
      <c r="F12" s="24" t="n">
        <f aca="false">S03!R77</f>
        <v>0</v>
      </c>
      <c r="G12" s="30" t="n">
        <f aca="false">S03!M77</f>
        <v>0</v>
      </c>
      <c r="H12" s="30" t="n">
        <f aca="false">S03!N77</f>
        <v>0</v>
      </c>
      <c r="I12" s="24" t="n">
        <f aca="false">S03!S77</f>
        <v>0</v>
      </c>
    </row>
    <row r="13" customFormat="false" ht="21.75" hidden="false" customHeight="true" outlineLevel="0" collapsed="false">
      <c r="B13" s="6" t="s">
        <v>166</v>
      </c>
      <c r="C13" s="25" t="n">
        <f aca="false">S04!J77</f>
        <v>0</v>
      </c>
      <c r="D13" s="25" t="n">
        <f aca="false">S04!L77</f>
        <v>0</v>
      </c>
      <c r="E13" s="25" t="n">
        <f aca="false">S04!P77</f>
        <v>0</v>
      </c>
      <c r="F13" s="25" t="n">
        <f aca="false">S04!R77</f>
        <v>0</v>
      </c>
      <c r="G13" s="31" t="n">
        <f aca="false">S04!M77</f>
        <v>0</v>
      </c>
      <c r="H13" s="31" t="n">
        <f aca="false">S04!N77</f>
        <v>0</v>
      </c>
      <c r="I13" s="25" t="n">
        <f aca="false">S04!S77</f>
        <v>0</v>
      </c>
    </row>
    <row r="16" customFormat="false" ht="15" hidden="false" customHeight="false" outlineLevel="0" collapsed="false">
      <c r="B16" s="29" t="s">
        <v>167</v>
      </c>
      <c r="C16" s="29"/>
      <c r="D16" s="29"/>
      <c r="E16" s="29"/>
      <c r="F16" s="29"/>
      <c r="G16" s="29"/>
      <c r="H16" s="29"/>
      <c r="I16" s="29"/>
    </row>
    <row r="17" customFormat="false" ht="27.75" hidden="false" customHeight="true" outlineLevel="0" collapsed="false">
      <c r="B17" s="2" t="s">
        <v>2</v>
      </c>
      <c r="C17" s="2" t="s">
        <v>168</v>
      </c>
      <c r="D17" s="2" t="s">
        <v>8</v>
      </c>
      <c r="E17" s="2" t="s">
        <v>139</v>
      </c>
      <c r="F17" s="2" t="s">
        <v>145</v>
      </c>
      <c r="G17" s="2" t="s">
        <v>142</v>
      </c>
      <c r="H17" s="2" t="s">
        <v>143</v>
      </c>
      <c r="I17" s="2" t="s">
        <v>162</v>
      </c>
    </row>
    <row r="18" customFormat="false" ht="21.75" hidden="false" customHeight="true" outlineLevel="0" collapsed="false">
      <c r="B18" s="8" t="s">
        <v>88</v>
      </c>
      <c r="C18" s="3" t="n">
        <v>14</v>
      </c>
      <c r="D18" s="30" t="n">
        <f aca="false">SUMPRODUCT(('Liste Projets'!C5:C76="Kénitra")*'Liste Projets'!I5:I76)</f>
        <v>50000000</v>
      </c>
      <c r="E18" s="24" t="n">
        <f aca="false">IFERROR(SUMPRODUCT((S04!C5:C76="Kénitra")*S04!J5:J76*S04!I5:I76)/SUMPRODUCT((S04!C5:C76="Kénitra")*S04!I5:I76),0)</f>
        <v>0</v>
      </c>
      <c r="F18" s="24" t="n">
        <f aca="false">IFERROR(SUMPRODUCT((S04!C5:C76="Kénitra")*S04!P5:P76*S04!I5:I76)/SUMPRODUCT((S04!C5:C76="Kénitra")*S04!I5:I76),0)</f>
        <v>0</v>
      </c>
      <c r="G18" s="30" t="n">
        <f aca="false">SUMPRODUCT((S04!C5:C76="Kénitra")*S04!M5:M76)</f>
        <v>0</v>
      </c>
      <c r="H18" s="30" t="n">
        <f aca="false">SUMPRODUCT((S04!C5:C76="Kénitra")*S04!N5:N76)</f>
        <v>0</v>
      </c>
      <c r="I18" s="24" t="n">
        <f aca="false">E18-F18</f>
        <v>0</v>
      </c>
    </row>
    <row r="19" customFormat="false" ht="21.75" hidden="false" customHeight="true" outlineLevel="0" collapsed="false">
      <c r="B19" s="4" t="s">
        <v>9</v>
      </c>
      <c r="C19" s="6" t="n">
        <v>53</v>
      </c>
      <c r="D19" s="31" t="n">
        <f aca="false">SUMPRODUCT(('Liste Projets'!C5:C76="Sidi Kacem")*'Liste Projets'!I5:I76)</f>
        <v>71000000</v>
      </c>
      <c r="E19" s="25" t="n">
        <f aca="false">IFERROR(SUMPRODUCT((S04!C5:C76="Sidi Kacem")*S04!J5:J76*S04!I5:I76)/SUMPRODUCT((S04!C5:C76="Sidi Kacem")*S04!I5:I76),0)</f>
        <v>0</v>
      </c>
      <c r="F19" s="25" t="n">
        <f aca="false">IFERROR(SUMPRODUCT((S04!C5:C76="Sidi Kacem")*S04!P5:P76*S04!I5:I76)/SUMPRODUCT((S04!C5:C76="Sidi Kacem")*S04!I5:I76),0)</f>
        <v>0</v>
      </c>
      <c r="G19" s="31" t="n">
        <f aca="false">SUMPRODUCT((S04!C5:C76="Sidi Kacem")*S04!M5:M76)</f>
        <v>0</v>
      </c>
      <c r="H19" s="31" t="n">
        <f aca="false">SUMPRODUCT((S04!C5:C76="Sidi Kacem")*S04!N5:N76)</f>
        <v>0</v>
      </c>
      <c r="I19" s="25" t="n">
        <f aca="false">E19-F19</f>
        <v>0</v>
      </c>
    </row>
    <row r="20" customFormat="false" ht="21.75" hidden="false" customHeight="true" outlineLevel="0" collapsed="false">
      <c r="B20" s="9" t="s">
        <v>111</v>
      </c>
      <c r="C20" s="3" t="n">
        <v>5</v>
      </c>
      <c r="D20" s="30" t="n">
        <f aca="false">SUMPRODUCT(('Liste Projets'!C5:C76="Sidi Slimane")*'Liste Projets'!I5:I76)</f>
        <v>9262675</v>
      </c>
      <c r="E20" s="24" t="n">
        <f aca="false">IFERROR(SUMPRODUCT((S04!C5:C76="Sidi Slimane")*S04!J5:J76*S04!I5:I76)/SUMPRODUCT((S04!C5:C76="Sidi Slimane")*S04!I5:I76),0)</f>
        <v>0</v>
      </c>
      <c r="F20" s="24" t="n">
        <f aca="false">IFERROR(SUMPRODUCT((S04!C5:C76="Sidi Slimane")*S04!P5:P76*S04!I5:I76)/SUMPRODUCT((S04!C5:C76="Sidi Slimane")*S04!I5:I76),0)</f>
        <v>0</v>
      </c>
      <c r="G20" s="30" t="n">
        <f aca="false">SUMPRODUCT((S04!C5:C76="Sidi Slimane")*S04!M5:M76)</f>
        <v>0</v>
      </c>
      <c r="H20" s="30" t="n">
        <f aca="false">SUMPRODUCT((S04!C5:C76="Sidi Slimane")*S04!N5:N76)</f>
        <v>0</v>
      </c>
      <c r="I20" s="24" t="n">
        <f aca="false">E20-F20</f>
        <v>0</v>
      </c>
    </row>
    <row r="21" customFormat="false" ht="25.5" hidden="false" customHeight="true" outlineLevel="0" collapsed="false">
      <c r="B21" s="10" t="s">
        <v>119</v>
      </c>
      <c r="C21" s="10" t="n">
        <f aca="false">SUM(C18:C20)</f>
        <v>72</v>
      </c>
      <c r="D21" s="11" t="n">
        <f aca="false">SUM(D18:D20)</f>
        <v>130262675</v>
      </c>
      <c r="E21" s="23" t="n">
        <f aca="false">S04!J77</f>
        <v>0</v>
      </c>
      <c r="F21" s="23" t="n">
        <f aca="false">S04!P77</f>
        <v>0</v>
      </c>
      <c r="G21" s="11" t="n">
        <f aca="false">SUM(G18:G20)</f>
        <v>0</v>
      </c>
      <c r="H21" s="11" t="n">
        <f aca="false">SUM(H18:H20)</f>
        <v>0</v>
      </c>
      <c r="I21" s="23" t="n">
        <f aca="false">E21-F21</f>
        <v>0</v>
      </c>
    </row>
  </sheetData>
  <mergeCells count="3">
    <mergeCell ref="B2:N2"/>
    <mergeCell ref="B8:I8"/>
    <mergeCell ref="B16:I16"/>
  </mergeCells>
  <conditionalFormatting sqref="D10:D13">
    <cfRule type="cellIs" priority="2" operator="greaterThan" aboveAverage="0" equalAverage="0" bottom="0" percent="0" rank="0" text="" dxfId="0">
      <formula>0</formula>
    </cfRule>
    <cfRule type="cellIs" priority="3" operator="lessThan" aboveAverage="0" equalAverage="0" bottom="0" percent="0" rank="0" text="" dxfId="1">
      <formula>0</formula>
    </cfRule>
  </conditionalFormatting>
  <conditionalFormatting sqref="F10:F13">
    <cfRule type="cellIs" priority="4" operator="greaterThan" aboveAverage="0" equalAverage="0" bottom="0" percent="0" rank="0" text="" dxfId="0">
      <formula>0</formula>
    </cfRule>
    <cfRule type="cellIs" priority="5" operator="less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2026-06-11T12:20:50Z</dcterms:created>
  <dc:creator>Z.ai</dc:creator>
  <dc:description/>
  <dc:language>en-US</dc:language>
  <cp:lastModifiedBy/>
  <dcterms:modified xsi:type="dcterms:W3CDTF">2026-06-11T12:20:50Z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