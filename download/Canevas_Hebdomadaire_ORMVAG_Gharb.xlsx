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te Projets" sheetId="1" state="visible" r:id="rId3"/>
    <sheet name="Guide" sheetId="2" state="visible" r:id="rId4"/>
    <sheet name="S01" sheetId="3" state="visible" r:id="rId5"/>
    <sheet name="S02" sheetId="4" state="visible" r:id="rId6"/>
    <sheet name="S03" sheetId="5" state="visible" r:id="rId7"/>
    <sheet name="S04" sheetId="6" state="visible" r:id="rId8"/>
    <sheet name="Récapitulatif"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<sst xmlns="http://schemas.openxmlformats.org/spreadsheetml/2006/main" count="2684" uniqueCount="193">
  <si>
    <t xml:space="preserve">Liste Référentielle des Projets - Indicateurs Physiques</t>
  </si>
  <si>
    <t xml:space="preserve">Identification</t>
  </si>
  <si>
    <t xml:space="preserve">Indicateurs Physiques</t>
  </si>
  <si>
    <t xml:space="preserve">N°</t>
  </si>
  <si>
    <t xml:space="preserve">Province</t>
  </si>
  <si>
    <t xml:space="preserve">Commune</t>
  </si>
  <si>
    <t xml:space="preserve">Rubrique</t>
  </si>
  <si>
    <t xml:space="preserve">Intitulé Rubrique</t>
  </si>
  <si>
    <t xml:space="preserve">Projet</t>
  </si>
  <si>
    <t xml:space="preserve">Consistance</t>
  </si>
  <si>
    <t xml:space="preserve">Coût Total (DH)</t>
  </si>
  <si>
    <t xml:space="preserve">Unité</t>
  </si>
  <si>
    <t xml:space="preserve">Qté Prévue</t>
  </si>
  <si>
    <t xml:space="preserve">Sidi Kacem</t>
  </si>
  <si>
    <t xml:space="preserve">KHENICHET</t>
  </si>
  <si>
    <t xml:space="preserve">50-23</t>
  </si>
  <si>
    <t xml:space="preserve">Entretien et réparation du réseau d'assainissement et de drainage</t>
  </si>
  <si>
    <t xml:space="preserve">Travaux de curage des canaux en terre</t>
  </si>
  <si>
    <t xml:space="preserve">Curage des collecteurs d'assainissement du secteur EST2</t>
  </si>
  <si>
    <t xml:space="preserve">ml</t>
  </si>
  <si>
    <t xml:space="preserve">40-21</t>
  </si>
  <si>
    <t xml:space="preserve">Travaux de pistes</t>
  </si>
  <si>
    <t xml:space="preserve">Travaux de réhabilitation des pistes agricoles</t>
  </si>
  <si>
    <t xml:space="preserve">Entretien des pistes agricoles Douar Nouagra et Douar ouled Salem</t>
  </si>
  <si>
    <t xml:space="preserve">km</t>
  </si>
  <si>
    <t xml:space="preserve">Curage des prises sur l’oued, bâche d’aspiration et bassin de régulation.</t>
  </si>
  <si>
    <t xml:space="preserve">Curage de la chambre des joints de démontage des siphonnes  de la station de pompage EST2.</t>
  </si>
  <si>
    <t xml:space="preserve">50-21</t>
  </si>
  <si>
    <t xml:space="preserve">Entretien et réparation des stations de pompage</t>
  </si>
  <si>
    <t xml:space="preserve">Prestation de maintenance des débitmètres et leurs équipements annexes installés au niveau des station de pompage</t>
  </si>
  <si>
    <t xml:space="preserve">Changement trois débitmètre Ø 600mm inondés de la station de pompage EST 2 et deux capteurs VEGASON 62</t>
  </si>
  <si>
    <t xml:space="preserve">U</t>
  </si>
  <si>
    <t xml:space="preserve">BIR TALEB</t>
  </si>
  <si>
    <t xml:space="preserve">Curage du canal d'assainisement Tihli Aval</t>
  </si>
  <si>
    <t xml:space="preserve">Curage des collecteurs d'assainissement du secteur P11/1</t>
  </si>
  <si>
    <t xml:space="preserve">Curage des prises sur l’oued de la station de pompage P11/1.</t>
  </si>
  <si>
    <t xml:space="preserve">Changement trois débitmètre Ø 400mm inondés de la station de pompage P11/1</t>
  </si>
  <si>
    <t xml:space="preserve">Prestations de maintenance et de réparation mécanique des pompes et des groupes motopompes submersibles des stations de pompage.</t>
  </si>
  <si>
    <t xml:space="preserve">Démontage et expertise des roues des  pompes principaux et pompes a vide de la station P11/1
Changement des roulements, tresses et organes d’effectués de la station P11/1</t>
  </si>
  <si>
    <t xml:space="preserve">Stabilisation Berge oued</t>
  </si>
  <si>
    <t xml:space="preserve">Pose de  gabions et recouvrement du talus par matelas Reno des stations de pompage P11/1.</t>
  </si>
  <si>
    <t xml:space="preserve">m³</t>
  </si>
  <si>
    <t xml:space="preserve">Génie civile des locaux des stations de pompage.</t>
  </si>
  <si>
    <t xml:space="preserve">Expertise d’état et d’étanchéité des locaux pompes.
Renforcement d’étanchéité des locaux pompe sous niveau des oueds des stations de pompage P11/1.
Entretien des supports en béton des conduites d’aspiration.</t>
  </si>
  <si>
    <t xml:space="preserve">CHEBANAT</t>
  </si>
  <si>
    <t xml:space="preserve">Curage des collecteurs d'assainissement des secteur SH5 et SH6.</t>
  </si>
  <si>
    <t xml:space="preserve">Travaux de curage des canaux révetus</t>
  </si>
  <si>
    <t xml:space="preserve">Curage du canal principal d'irrigation beht partie aval 1.</t>
  </si>
  <si>
    <t xml:space="preserve">ZIRARA</t>
  </si>
  <si>
    <t xml:space="preserve">Curage du canal principal d'irrigation beht partie aval 2.</t>
  </si>
  <si>
    <t xml:space="preserve">DAR LAASLOUJI</t>
  </si>
  <si>
    <t xml:space="preserve">Curage des collecteurs d'assainissement des secteurs P8-1 et P8-2</t>
  </si>
  <si>
    <t xml:space="preserve">Entretien des pistes agricoles</t>
  </si>
  <si>
    <t xml:space="preserve">HOUAFATE</t>
  </si>
  <si>
    <t xml:space="preserve">20-11</t>
  </si>
  <si>
    <t xml:space="preserve">Travaux de réhabilitation des équipements</t>
  </si>
  <si>
    <t xml:space="preserve">Travaux de réhabilitation des canaux portés d'irrigation</t>
  </si>
  <si>
    <t xml:space="preserve">Fourniture et de pose de canaux porté et accessoires du réseau S3 du secteur S13</t>
  </si>
  <si>
    <t xml:space="preserve">Fourniture et de pose de canaux porté et accessoires du réseau T2S1 du secteur S13</t>
  </si>
  <si>
    <t xml:space="preserve">Curage des prises sur l’oued de la station de pompage S17 et S13.
Nettoyage des grilles de préfiltration des boues colmaté de la station de pompage S17 et S13.
Curage de la bâche d’aspiration de la station S17 et S13.</t>
  </si>
  <si>
    <t xml:space="preserve">Changement trois débitmètre Ø 600mm inondés de la station de pompage S13.</t>
  </si>
  <si>
    <t xml:space="preserve">Prestations de maintenance des moteurs électriques des stations de pompage.</t>
  </si>
  <si>
    <t xml:space="preserve">Révision des trois moteurs électriques 200 KW principaux de la station S13. 
Révision des deux moteurs électriques 5,5 KW groupes vide de la station S13.</t>
  </si>
  <si>
    <t xml:space="preserve">Démontage et expertise des roues des  pompes principaux et pompes a vide de la station S13.
Changement des roulements, tresses et organes d’effectués de la station S13.</t>
  </si>
  <si>
    <t xml:space="preserve">Pose de  gabions et recouvrement du talus par matelas Reno des stations de pompage S13.</t>
  </si>
  <si>
    <t xml:space="preserve">Mur clôture des stations de pompage.</t>
  </si>
  <si>
    <t xml:space="preserve">Stabilisation du sol et reconstruction des murs clôture (270m) cote oued de la station S17.</t>
  </si>
  <si>
    <t xml:space="preserve">Expertise d’état et d’étanchéité des locaux pompes, commande, puissance des stations de pompage S17 et S13.
Renforcement d’étanchéité des locaux pompe sous niveau des oueds des stations de pompage S17 et S13.</t>
  </si>
  <si>
    <t xml:space="preserve">NOUIRAT</t>
  </si>
  <si>
    <t xml:space="preserve">Curage des collecteurs d'assainissement des secteurs EST1 et N5</t>
  </si>
  <si>
    <t xml:space="preserve">Travaux de réhabilitation des ouvrages de génie civil</t>
  </si>
  <si>
    <t xml:space="preserve">Réhabilitation de l'ouvrage( genie civil ,gabiollannage,clapet anti retour et buse) de l'ouvrage de débouche SE1</t>
  </si>
  <si>
    <t xml:space="preserve">Curage des prises sur l’oued de la station de pompage E1.
Nettoyage des grilles de préfiltration des boues colmaté de la station de pompage E1.
Curage de la bâche d’aspiration de la station E1.</t>
  </si>
  <si>
    <t xml:space="preserve">Changement du débitmètre Ø 1200mm inondé de la station de pompage E1.</t>
  </si>
  <si>
    <t xml:space="preserve">Révision des deux moteurs électriques principaux de la station E1.</t>
  </si>
  <si>
    <t xml:space="preserve">Démontage et expertise des cinq pompes principaux et pompes a vide de la station E1.
Changement des roulements, tresses et organes d’effectués de la station E1.</t>
  </si>
  <si>
    <t xml:space="preserve">Expertise d’état et d’étanchéité des locaux pompes, commande, puissance de la station de pompage E1.
Renforcement d’étanchéité des locaux pompe sous niveau des oueds de la station de pompage E1.</t>
  </si>
  <si>
    <t xml:space="preserve">RMILAT</t>
  </si>
  <si>
    <t xml:space="preserve">Curage des collecteurs d'assainissement des secteurs P7</t>
  </si>
  <si>
    <t xml:space="preserve">SAFSAF</t>
  </si>
  <si>
    <t xml:space="preserve">Curage des collecteurs d'assainissement des secteurs S7, S9 et S11</t>
  </si>
  <si>
    <t xml:space="preserve">Fourniture et  pose de canaux porté et accessoires du réseau S4 du secteur S11</t>
  </si>
  <si>
    <t xml:space="preserve">Recalage des canaux portés du réseau T5S5 du secteur S9</t>
  </si>
  <si>
    <t xml:space="preserve">Recalage des canaux portés du réseau T7S5 du secteur S9</t>
  </si>
  <si>
    <t xml:space="preserve">Recalage des canaux portés du réseau T2S5 du secteur S9</t>
  </si>
  <si>
    <t xml:space="preserve">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</si>
  <si>
    <t xml:space="preserve">Changements Sept des débitmètres Ø 600mm inondé des deux stations de pompage S11 et S9.</t>
  </si>
  <si>
    <t xml:space="preserve">Pose de murs en gabions et recouvrement du talus par matelas Reno des stations de pompage S11, S9, 7D et 7B .</t>
  </si>
  <si>
    <t xml:space="preserve">SIDI AZZOUZ</t>
  </si>
  <si>
    <t xml:space="preserve">SIDI EL KAMEL</t>
  </si>
  <si>
    <t xml:space="preserve">Fourniture et de pose de canaux porté et accessoires du réseau SR4 du secteur S3R</t>
  </si>
  <si>
    <t xml:space="preserve">Fourniture et de pose de canaux porté et accessoires du réseau SR6 du secteur S1RIZ</t>
  </si>
  <si>
    <t xml:space="preserve">Recalage des canaux portés du réseau SR4 du secteur S3R</t>
  </si>
  <si>
    <t xml:space="preserve">Réhabilitation des murs de soutènements des ouvrages de franchissements du canal d'assainissement CS3 secteur S3 et de l’ouvrage de franchissement du canal primaire d’irrigation du secteur S1R au niveau de la route provinciale P4234</t>
  </si>
  <si>
    <t xml:space="preserve">Changement de quatre débitmètres Ø 500mm et trois Ø 800mm inondé des stations de pompage 1R, 3R et 5R.</t>
  </si>
  <si>
    <t xml:space="preserve">Stabilisation et reconstruction des murs clôture cote oued des stations de pompage 7A, 3R et 1R.</t>
  </si>
  <si>
    <t xml:space="preserve">Kénitra</t>
  </si>
  <si>
    <t xml:space="preserve">Bni malek</t>
  </si>
  <si>
    <t xml:space="preserve">Curage des emissaires et colatures secondaire au niveau des secteurs MDA ET N9</t>
  </si>
  <si>
    <t xml:space="preserve">Entretien des pistes agricoles des secteurs MDA et N3</t>
  </si>
  <si>
    <t xml:space="preserve">station de pompage MDA secteur MDA</t>
  </si>
  <si>
    <t xml:space="preserve">Rétablissement des bornes affaissées des secteurs N2 et N3</t>
  </si>
  <si>
    <t xml:space="preserve">SOUK TLET</t>
  </si>
  <si>
    <t xml:space="preserve">curage des emissaires et colatures secondaire au niveau des secteurs N2,N3 ET N4,</t>
  </si>
  <si>
    <t xml:space="preserve">Entretien des pistes des secteurs N2,N3,N4 et C4R,</t>
  </si>
  <si>
    <t xml:space="preserve">Sidi Med Lahmar</t>
  </si>
  <si>
    <t xml:space="preserve">Curage des emissaires et colatures secondaires secteurs N1</t>
  </si>
  <si>
    <t xml:space="preserve">Entretien des pistes agricoles des secteurs N9 et N1</t>
  </si>
  <si>
    <t xml:space="preserve">Mograne</t>
  </si>
  <si>
    <t xml:space="preserve">Curage des canaux d'assainissement Hors secteur équipé ghoufera et laison beht sebou ,</t>
  </si>
  <si>
    <t xml:space="preserve">Entretien des pistes agricoles des secteurs SEBOU1,SEBOU2? BEHT3 et BEHT4</t>
  </si>
  <si>
    <t xml:space="preserve">Sidi allal tazi</t>
  </si>
  <si>
    <t xml:space="preserve">Curage du canaL d'assainissement CK,</t>
  </si>
  <si>
    <t xml:space="preserve">AMEUR SAFLIA</t>
  </si>
  <si>
    <t xml:space="preserve">Curage des canaux d'assainissement amontTtiflt Sebou,</t>
  </si>
  <si>
    <t xml:space="preserve">Oulad SLAMA</t>
  </si>
  <si>
    <t xml:space="preserve">Curage des canaux d'assainissement debouche Tiflt aval,</t>
  </si>
  <si>
    <t xml:space="preserve">BHARA Oulad AYAD</t>
  </si>
  <si>
    <t xml:space="preserve">Curage des canaux d'assainissement canal nador bas et haut segmet,</t>
  </si>
  <si>
    <t xml:space="preserve">Sidi Slimane</t>
  </si>
  <si>
    <t xml:space="preserve">OULED HCEINE</t>
  </si>
  <si>
    <t xml:space="preserve">Curage des collecteurs d'assainissement du secteur EST4.</t>
  </si>
  <si>
    <t xml:space="preserve">Curage du canal d'assainissement Tihli central.</t>
  </si>
  <si>
    <t xml:space="preserve">Travaux de réparation des équipements hydromécaniques et éléctriques et entretien de la partie génie civil des stations de pompage.</t>
  </si>
  <si>
    <t xml:space="preserve">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</si>
  <si>
    <t xml:space="preserve">Travaux de curage des prises des stations de pompage.</t>
  </si>
  <si>
    <t xml:space="preserve">Curage des siphones des station de pompage EST2 et P11/2.</t>
  </si>
  <si>
    <t xml:space="preserve">TOTAL</t>
  </si>
  <si>
    <t xml:space="preserve">Guide d'Utilisation du Canevas Hebdomadaire</t>
  </si>
  <si>
    <t xml:space="preserve">CODE COULEUR</t>
  </si>
  <si>
    <t xml:space="preserve">Jaune = Saisie | Vert = Formule auto inter-feuille | Noir = Formule calculée | Bleu = Valeur saisie</t>
  </si>
  <si>
    <t xml:space="preserve">SAISIE HEBDOMADAIRE</t>
  </si>
  <si>
    <t xml:space="preserve">Dans les feuilles S01-S04, saisissez uniquement les cellules jaunes : Qté Réalisée Semaine, Montants, Avancement Financier %, Observations</t>
  </si>
  <si>
    <t xml:space="preserve">INDICATEURS PHYSIQUES</t>
  </si>
  <si>
    <t xml:space="preserve">Chaque projet a une Unité (ml, km, m², m³, U) et une Qté Prévue définies dans 'Liste Projets'. L'Avancement Physique % est calculé automatiquement : Qté Réalisée Cumul / Qté Prévue</t>
  </si>
  <si>
    <t xml:space="preserve">CUMUL AUTOMATIQUE</t>
  </si>
  <si>
    <t xml:space="preserve">La Qté Réalisée Cumul = Cumul sem. précédente + Qté réalisée cette semaine. Le lien entre semaines est automatique.</t>
  </si>
  <si>
    <t xml:space="preserve">AJOUTER SEMAINES</t>
  </si>
  <si>
    <t xml:space="preserve">Dupliquez S04, renommez en S05. Modifiez les formules des colonnes M (Cumul), O (% Préc.), U (% Fin. Préc.) pour référencer S04.</t>
  </si>
  <si>
    <t xml:space="preserve">PROTECTION</t>
  </si>
  <si>
    <t xml:space="preserve">Cellules de référence et formules verrouillées. Mot de passe : ormvag2026</t>
  </si>
  <si>
    <t xml:space="preserve">MODIFIER UNITÉS/QTÉ</t>
  </si>
  <si>
    <t xml:space="preserve">Allez dans 'Liste Projets' pour modifier les Unités et Qté Prévue. Ces valeurs sont reportées dans les feuilles hebdomadaires.</t>
  </si>
  <si>
    <t xml:space="preserve">FORMAT POURCENTAGE</t>
  </si>
  <si>
    <t xml:space="preserve">Saisir 0.25 pour 25%, 0.50 pour 50%, 1.00 pour 100%. Valeurs entre 0 et 1.</t>
  </si>
  <si>
    <t xml:space="preserve">ÉCART PHYS.-FIN.</t>
  </si>
  <si>
    <t xml:space="preserve">Positif = le physique avance plus vite que le financier. Négatif = le financier avance plus vite. Problème si &gt; 5% d'écart.</t>
  </si>
  <si>
    <t xml:space="preserve">Suivi Hebdomadaire - Semaine 1 - Exécution Physique et Financière</t>
  </si>
  <si>
    <t xml:space="preserve">Date :</t>
  </si>
  <si>
    <t xml:space="preserve">IDENTIFICATION</t>
  </si>
  <si>
    <t xml:space="preserve">INDICATEURS FINANCIERS</t>
  </si>
  <si>
    <t xml:space="preserve">SYNTHÈSE</t>
  </si>
  <si>
    <t xml:space="preserve">Qté Réalisée Sem.</t>
  </si>
  <si>
    <t xml:space="preserve">Qté Réalisée Cumul</t>
  </si>
  <si>
    <t xml:space="preserve">Avancement Physique %</t>
  </si>
  <si>
    <t xml:space="preserve">% Phys. Sem. Préc.</t>
  </si>
  <si>
    <t xml:space="preserve">Accroissement Phys. %</t>
  </si>
  <si>
    <t xml:space="preserve">Montant Décaissé (DH)</t>
  </si>
  <si>
    <t xml:space="preserve">Montant Payé (DH)</t>
  </si>
  <si>
    <t xml:space="preserve">Montant Ordonné (DH)</t>
  </si>
  <si>
    <t xml:space="preserve">Avancement Financier %</t>
  </si>
  <si>
    <t xml:space="preserve">% Fin. Sem. Préc.</t>
  </si>
  <si>
    <t xml:space="preserve">Accroissement Fin. %</t>
  </si>
  <si>
    <t xml:space="preserve">Écart Phys.-Fin.</t>
  </si>
  <si>
    <t xml:space="preserve">Observations</t>
  </si>
  <si>
    <t xml:space="preserve">Suivi Hebdomadaire - Semaine 2 - Exécution Physique et Financière</t>
  </si>
  <si>
    <t xml:space="preserve">Suivi Hebdomadaire - Semaine 3 - Exécution Physique et Financière</t>
  </si>
  <si>
    <t xml:space="preserve">Suivi Hebdomadaire - Semaine 4 - Exécution Physique et Financière</t>
  </si>
  <si>
    <t xml:space="preserve">Récapitulatif Hebdomadaire - Suivi d'Exécution</t>
  </si>
  <si>
    <t xml:space="preserve">Indicateur</t>
  </si>
  <si>
    <t xml:space="preserve">Valeur</t>
  </si>
  <si>
    <t xml:space="preserve">Total Projets</t>
  </si>
  <si>
    <t xml:space="preserve">Avancement Physique Moy. %</t>
  </si>
  <si>
    <t xml:space="preserve">Avancement Financier Moy. %</t>
  </si>
  <si>
    <t xml:space="preserve">Montant Décaissé Total (DH)</t>
  </si>
  <si>
    <t xml:space="preserve">Montant Payé Total (DH)</t>
  </si>
  <si>
    <t xml:space="preserve">Écart Physique-Financier</t>
  </si>
  <si>
    <t xml:space="preserve">Évolution Hebdomadaire</t>
  </si>
  <si>
    <t xml:space="preserve">Semaine</t>
  </si>
  <si>
    <t xml:space="preserve">Avanc. Phys. %</t>
  </si>
  <si>
    <t xml:space="preserve">Accroiss. Phys. %</t>
  </si>
  <si>
    <t xml:space="preserve">Avanc. Fin. %</t>
  </si>
  <si>
    <t xml:space="preserve">Accroiss. Fin. %</t>
  </si>
  <si>
    <t xml:space="preserve">Décaissé (DH)</t>
  </si>
  <si>
    <t xml:space="preserve">S01</t>
  </si>
  <si>
    <t xml:space="preserve">S02</t>
  </si>
  <si>
    <t xml:space="preserve">S03</t>
  </si>
  <si>
    <t xml:space="preserve">S04</t>
  </si>
  <si>
    <t xml:space="preserve">Résumé par Province</t>
  </si>
  <si>
    <t xml:space="preserve">Nb Projets</t>
  </si>
  <si>
    <t xml:space="preserve">Détail des Unités Physiques Utilisées</t>
  </si>
  <si>
    <t xml:space="preserve">Qté Prévue Totale</t>
  </si>
  <si>
    <t xml:space="preserve">Avancement %</t>
  </si>
</sst>
</file>

<file path=xl/styles.xml><?xml version="1.0" encoding="utf-8"?>
<styleSheet xmlns="http://schemas.openxmlformats.org/spreadsheetml/2006/main">
  <numFmts count="5">
    <numFmt numFmtId="164" formatCode="General"/>
    <numFmt numFmtId="165" formatCode="#,##0"/>
    <numFmt numFmtId="166" formatCode="yyyy\-mm\-dd"/>
    <numFmt numFmtId="167" formatCode="#,##0.0"/>
    <numFmt numFmtId="168" formatCode="0.0%"/>
  </numFmts>
  <fonts count="19">
    <font>
      <sz val="11"/>
      <color theme="1"/>
      <name val="Calibri"/>
      <family val="2"/>
      <charset val="1"/>
    </font>
    <font>
      <sz val="10"/>
      <name val="Arial"/>
      <family val="0"/>
    </font>
    <font>
      <sz val="10"/>
      <name val="Arial"/>
      <family val="0"/>
    </font>
    <font>
      <sz val="10"/>
      <name val="Arial"/>
      <family val="0"/>
    </font>
    <font>
      <sz val="16"/>
      <color rgb="FF1B2A4A"/>
      <name val="Noto Sans CJK SC"/>
      <family val="0"/>
      <charset val="1"/>
    </font>
    <font>
      <b val="true"/>
      <sz val="9"/>
      <color rgb="FF8C8A84"/>
      <name val="Noto Sans CJK SC"/>
      <family val="0"/>
      <charset val="1"/>
    </font>
    <font>
      <b val="true"/>
      <sz val="9"/>
      <color rgb="FF1B7D46"/>
      <name val="Noto Sans CJK SC"/>
      <family val="0"/>
      <charset val="1"/>
    </font>
    <font>
      <sz val="11"/>
      <color rgb="FFFFFFFF"/>
      <name val="Noto Sans CJK SC"/>
      <family val="0"/>
      <charset val="1"/>
    </font>
    <font>
      <sz val="11"/>
      <color rgb="FF37352F"/>
      <name val="Noto Sans CJK SC"/>
      <family val="0"/>
      <charset val="1"/>
    </font>
    <font>
      <sz val="11"/>
      <color rgb="FFC76E7E"/>
      <name val="Noto Sans CJK SC"/>
      <family val="0"/>
      <charset val="1"/>
    </font>
    <font>
      <sz val="11"/>
      <color rgb="FF1B7D46"/>
      <name val="Noto Sans CJK SC"/>
      <family val="0"/>
      <charset val="1"/>
    </font>
    <font>
      <sz val="11"/>
      <color rgb="FFD4A017"/>
      <name val="Noto Sans CJK SC"/>
      <family val="0"/>
      <charset val="1"/>
    </font>
    <font>
      <sz val="11"/>
      <color rgb="FF5BB58A"/>
      <name val="Noto Sans CJK SC"/>
      <family val="0"/>
      <charset val="1"/>
    </font>
    <font>
      <sz val="11"/>
      <color rgb="FF1B2A4A"/>
      <name val="Noto Sans CJK SC"/>
      <family val="0"/>
      <charset val="1"/>
    </font>
    <font>
      <sz val="10"/>
      <color rgb="FF1B2A4A"/>
      <name val="Noto Sans CJK SC"/>
      <family val="0"/>
      <charset val="1"/>
    </font>
    <font>
      <sz val="11"/>
      <color rgb="FF0000FF"/>
      <name val="Noto Sans CJK SC"/>
      <family val="0"/>
      <charset val="1"/>
    </font>
    <font>
      <b val="true"/>
      <sz val="9"/>
      <color rgb="FFD4820A"/>
      <name val="Noto Sans CJK SC"/>
      <family val="0"/>
      <charset val="1"/>
    </font>
    <font>
      <b val="true"/>
      <sz val="9"/>
      <color rgb="FFC0392B"/>
      <name val="Noto Sans CJK SC"/>
      <family val="0"/>
      <charset val="1"/>
    </font>
    <font>
      <sz val="11"/>
      <color rgb="FF008000"/>
      <name val="Noto Sans CJK SC"/>
      <family val="0"/>
      <charset val="1"/>
    </font>
  </fonts>
  <fills count="16">
    <fill>
      <patternFill patternType="none"/>
    </fill>
    <fill>
      <patternFill patternType="gray125"/>
    </fill>
    <fill>
      <patternFill patternType="solid">
        <fgColor rgb="FF1B2A4A"/>
        <bgColor rgb="FF37352F"/>
      </patternFill>
    </fill>
    <fill>
      <patternFill patternType="solid">
        <fgColor rgb="FFFFFFFF"/>
        <bgColor rgb="FFF7F7F5"/>
      </patternFill>
    </fill>
    <fill>
      <patternFill patternType="solid">
        <fgColor rgb="FFFFF0F3"/>
        <bgColor rgb="FFFDEDEC"/>
      </patternFill>
    </fill>
    <fill>
      <patternFill patternType="solid">
        <fgColor rgb="FFF7F7F5"/>
        <bgColor rgb="FFFEF9E7"/>
      </patternFill>
    </fill>
    <fill>
      <patternFill patternType="solid">
        <fgColor rgb="FFFFF8DC"/>
        <bgColor rgb="FFFEF9E7"/>
      </patternFill>
    </fill>
    <fill>
      <patternFill patternType="solid">
        <fgColor rgb="FFF0FFF4"/>
        <bgColor rgb="FFF7F7F5"/>
      </patternFill>
    </fill>
    <fill>
      <patternFill patternType="solid">
        <fgColor rgb="FFD6E4F0"/>
        <bgColor rgb="FFE9E9E8"/>
      </patternFill>
    </fill>
    <fill>
      <patternFill patternType="solid">
        <fgColor rgb="FFFFFFCC"/>
        <bgColor rgb="FFFFF8DC"/>
      </patternFill>
    </fill>
    <fill>
      <patternFill patternType="solid">
        <fgColor rgb="FFE8F5E9"/>
        <bgColor rgb="FFE9E9E8"/>
      </patternFill>
    </fill>
    <fill>
      <patternFill patternType="solid">
        <fgColor rgb="FFFEF9E7"/>
        <bgColor rgb="FFFFF8DC"/>
      </patternFill>
    </fill>
    <fill>
      <patternFill patternType="solid">
        <fgColor rgb="FFFDEDEC"/>
        <bgColor rgb="FFFFF0F3"/>
      </patternFill>
    </fill>
    <fill>
      <patternFill patternType="solid">
        <fgColor rgb="FF1B7D46"/>
        <bgColor rgb="FF008080"/>
      </patternFill>
    </fill>
    <fill>
      <patternFill patternType="solid">
        <fgColor rgb="FFB8650A"/>
        <bgColor rgb="FFD4820A"/>
      </patternFill>
    </fill>
    <fill>
      <patternFill patternType="solid">
        <fgColor rgb="FFA0322B"/>
        <bgColor rgb="FFC0392B"/>
      </patternFill>
    </fill>
  </fills>
  <borders count="3">
    <border diagonalUp="false" diagonalDown="false">
      <left/>
      <right/>
      <top/>
      <bottom/>
      <diagonal/>
    </border>
    <border diagonalUp="false" diagonalDown="false">
      <left/>
      <right/>
      <top/>
      <bottom style="thin">
        <color rgb="FFE9E9E8"/>
      </bottom>
      <diagonal/>
    </border>
    <border diagonalUp="false" diagonalDown="false">
      <left/>
      <right/>
      <top style="medium">
        <color rgb="FFE9E9E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5" fontId="10" fillId="5"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12" fillId="7" borderId="0" xfId="0" applyFont="true" applyBorder="false" applyAlignment="false" applyProtection="false">
      <alignment horizontal="general" vertical="bottom" textRotation="0" wrapText="false" indent="0" shrinkToFit="false"/>
      <protection locked="true" hidden="false"/>
    </xf>
    <xf numFmtId="164" fontId="13" fillId="8" borderId="2" xfId="0" applyFont="true" applyBorder="true" applyAlignment="false" applyProtection="false">
      <alignment horizontal="general" vertical="bottom" textRotation="0" wrapText="false" indent="0" shrinkToFit="false"/>
      <protection locked="true" hidden="false"/>
    </xf>
    <xf numFmtId="165" fontId="13" fillId="8" borderId="2"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15" fillId="9" borderId="0" xfId="0" applyFont="true" applyBorder="true" applyAlignment="false" applyProtection="true">
      <alignment horizontal="general" vertical="bottom" textRotation="0" wrapText="false" indent="0" shrinkToFit="false"/>
      <protection locked="fals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10" borderId="0" xfId="0" applyFont="true" applyBorder="true" applyAlignment="true" applyProtection="false">
      <alignment horizontal="center" vertical="bottom" textRotation="0" wrapText="false" indent="0" shrinkToFit="false"/>
      <protection locked="true" hidden="false"/>
    </xf>
    <xf numFmtId="164" fontId="16" fillId="11" borderId="0" xfId="0" applyFont="true" applyBorder="true" applyAlignment="true" applyProtection="false">
      <alignment horizontal="center" vertical="bottom" textRotation="0" wrapText="false" indent="0" shrinkToFit="false"/>
      <protection locked="true" hidden="false"/>
    </xf>
    <xf numFmtId="164" fontId="17" fillId="12" borderId="0" xfId="0" applyFont="true" applyBorder="true" applyAlignment="true" applyProtection="false">
      <alignment horizontal="center" vertical="bottom" textRotation="0" wrapText="false" indent="0" shrinkToFit="false"/>
      <protection locked="true" hidden="false"/>
    </xf>
    <xf numFmtId="164" fontId="7" fillId="13" borderId="1" xfId="0" applyFont="true" applyBorder="true" applyAlignment="true" applyProtection="false">
      <alignment horizontal="center" vertical="center" textRotation="0" wrapText="true" indent="0" shrinkToFit="false"/>
      <protection locked="true" hidden="false"/>
    </xf>
    <xf numFmtId="164" fontId="7" fillId="14" borderId="1" xfId="0" applyFont="true" applyBorder="true" applyAlignment="true" applyProtection="false">
      <alignment horizontal="center" vertical="center" textRotation="0" wrapText="true" indent="0" shrinkToFit="false"/>
      <protection locked="true" hidden="false"/>
    </xf>
    <xf numFmtId="164" fontId="7" fillId="15" borderId="1" xfId="0" applyFont="true" applyBorder="true" applyAlignment="true" applyProtection="false">
      <alignment horizontal="center" vertical="center" textRotation="0" wrapText="true" indent="0" shrinkToFit="false"/>
      <protection locked="true" hidden="false"/>
    </xf>
    <xf numFmtId="167" fontId="15" fillId="9" borderId="0" xfId="0" applyFont="true" applyBorder="false" applyAlignment="false" applyProtection="true">
      <alignment horizontal="general" vertical="bottom" textRotation="0" wrapText="false" indent="0" shrinkToFit="false"/>
      <protection locked="fals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5" fontId="15" fillId="9" borderId="0" xfId="0" applyFont="true" applyBorder="false" applyAlignment="false" applyProtection="true">
      <alignment horizontal="general" vertical="bottom" textRotation="0" wrapText="false" indent="0" shrinkToFit="false"/>
      <protection locked="false" hidden="false"/>
    </xf>
    <xf numFmtId="168" fontId="15" fillId="9" borderId="0" xfId="0" applyFont="true" applyBorder="false" applyAlignment="false" applyProtection="true">
      <alignment horizontal="general" vertical="bottom" textRotation="0" wrapText="false" indent="0" shrinkToFit="false"/>
      <protection locked="false" hidden="false"/>
    </xf>
    <xf numFmtId="164" fontId="15" fillId="9" borderId="0" xfId="0" applyFont="true" applyBorder="false" applyAlignment="false" applyProtection="true">
      <alignment horizontal="general" vertical="bottom" textRotation="0" wrapText="false" indent="0" shrinkToFit="false"/>
      <protection locked="false" hidden="false"/>
    </xf>
    <xf numFmtId="167" fontId="8" fillId="5" borderId="0" xfId="0" applyFont="true" applyBorder="false" applyAlignment="false" applyProtection="false">
      <alignment horizontal="general" vertical="bottom" textRotation="0" wrapText="false" indent="0" shrinkToFit="false"/>
      <protection locked="true" hidden="false"/>
    </xf>
    <xf numFmtId="168" fontId="8" fillId="5" borderId="0" xfId="0" applyFont="true" applyBorder="false" applyAlignment="false" applyProtection="false">
      <alignment horizontal="general" vertical="bottom" textRotation="0" wrapText="false" indent="0" shrinkToFit="false"/>
      <protection locked="true" hidden="false"/>
    </xf>
    <xf numFmtId="167" fontId="13" fillId="8" borderId="2" xfId="0" applyFont="true" applyBorder="true" applyAlignment="false" applyProtection="false">
      <alignment horizontal="general" vertical="bottom" textRotation="0" wrapText="false" indent="0" shrinkToFit="false"/>
      <protection locked="true" hidden="false"/>
    </xf>
    <xf numFmtId="168" fontId="13" fillId="8" borderId="2" xfId="0" applyFont="true" applyBorder="true" applyAlignment="false" applyProtection="false">
      <alignment horizontal="general" vertical="bottom" textRotation="0" wrapText="false" indent="0" shrinkToFit="false"/>
      <protection locked="true" hidden="false"/>
    </xf>
    <xf numFmtId="167" fontId="18" fillId="3" borderId="0" xfId="0" applyFont="true" applyBorder="false" applyAlignment="false" applyProtection="false">
      <alignment horizontal="general" vertical="bottom" textRotation="0" wrapText="false" indent="0" shrinkToFit="false"/>
      <protection locked="true" hidden="false"/>
    </xf>
    <xf numFmtId="168" fontId="18" fillId="3" borderId="0" xfId="0" applyFont="true" applyBorder="false" applyAlignment="false" applyProtection="false">
      <alignment horizontal="general" vertical="bottom" textRotation="0" wrapText="false" indent="0" shrinkToFit="false"/>
      <protection locked="true" hidden="false"/>
    </xf>
    <xf numFmtId="167" fontId="18" fillId="5" borderId="0" xfId="0" applyFont="true" applyBorder="false" applyAlignment="false" applyProtection="false">
      <alignment horizontal="general" vertical="bottom" textRotation="0" wrapText="false" indent="0" shrinkToFit="false"/>
      <protection locked="true" hidden="false"/>
    </xf>
    <xf numFmtId="168" fontId="18"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right" vertical="center" textRotation="0" wrapText="false" indent="0" shrinkToFit="false"/>
      <protection locked="true" hidden="false"/>
    </xf>
    <xf numFmtId="165" fontId="18" fillId="0" borderId="0" xfId="0" applyFont="true" applyBorder="false" applyAlignment="true" applyProtection="false">
      <alignment horizontal="right" vertical="center" textRotation="0" wrapText="false" indent="0" shrinkToFit="false"/>
      <protection locked="true" hidden="false"/>
    </xf>
    <xf numFmtId="168" fontId="18" fillId="0"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5" fontId="18" fillId="3" borderId="0" xfId="0" applyFont="true" applyBorder="false" applyAlignment="false" applyProtection="false">
      <alignment horizontal="general" vertical="bottom" textRotation="0" wrapText="false" indent="0" shrinkToFit="false"/>
      <protection locked="true" hidden="false"/>
    </xf>
    <xf numFmtId="165" fontId="18"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1B7D46"/>
      </font>
      <fill>
        <patternFill>
          <bgColor rgb="FFE8F5E9"/>
        </patternFill>
      </fill>
    </dxf>
    <dxf>
      <font>
        <color rgb="FFC0392B"/>
      </font>
      <fill>
        <patternFill>
          <bgColor rgb="FFFDEDEC"/>
        </patternFill>
      </fill>
    </dxf>
    <dxf>
      <font>
        <color rgb="FFD4820A"/>
      </font>
      <fill>
        <patternFill>
          <bgColor rgb="FFFEF9E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650A"/>
      <rgbColor rgb="FF800080"/>
      <rgbColor rgb="FF1B7D46"/>
      <rgbColor rgb="FFFFF0F3"/>
      <rgbColor rgb="FF8C8A84"/>
      <rgbColor rgb="FF9999FF"/>
      <rgbColor rgb="FFC0392B"/>
      <rgbColor rgb="FFFFFFCC"/>
      <rgbColor rgb="FFE8F5E9"/>
      <rgbColor rgb="FF660066"/>
      <rgbColor rgb="FFC76E7E"/>
      <rgbColor rgb="FF0066CC"/>
      <rgbColor rgb="FFD6E4F0"/>
      <rgbColor rgb="FF000080"/>
      <rgbColor rgb="FFFF00FF"/>
      <rgbColor rgb="FFFFFF00"/>
      <rgbColor rgb="FF00FFFF"/>
      <rgbColor rgb="FF800080"/>
      <rgbColor rgb="FF800000"/>
      <rgbColor rgb="FF008080"/>
      <rgbColor rgb="FF0000FF"/>
      <rgbColor rgb="FF00CCFF"/>
      <rgbColor rgb="FFF0FFF4"/>
      <rgbColor rgb="FFE9E9E8"/>
      <rgbColor rgb="FFFFF8DC"/>
      <rgbColor rgb="FFF7F7F5"/>
      <rgbColor rgb="FFFEF9E7"/>
      <rgbColor rgb="FFCC99FF"/>
      <rgbColor rgb="FFFDEDEC"/>
      <rgbColor rgb="FF3366FF"/>
      <rgbColor rgb="FF33CCCC"/>
      <rgbColor rgb="FF99CC00"/>
      <rgbColor rgb="FFFFCC00"/>
      <rgbColor rgb="FFD4A017"/>
      <rgbColor rgb="FFD4820A"/>
      <rgbColor rgb="FF666699"/>
      <rgbColor rgb="FF969696"/>
      <rgbColor rgb="FF1B2A4A"/>
      <rgbColor rgb="FF5BB58A"/>
      <rgbColor rgb="FF003300"/>
      <rgbColor rgb="FF333300"/>
      <rgbColor rgb="FFA0322B"/>
      <rgbColor rgb="FF7030A0"/>
      <rgbColor rgb="FF333399"/>
      <rgbColor rgb="FF37352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2A4A"/>
    <pageSetUpPr fitToPage="false"/>
  </sheetPr>
  <dimension ref="B1:K7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14"/>
    <col collapsed="false" customWidth="true" hidden="false" outlineLevel="0" max="4" min="4" style="0" width="18"/>
    <col collapsed="false" customWidth="true" hidden="false" outlineLevel="0" max="5" min="5" style="0" width="9"/>
    <col collapsed="false" customWidth="true" hidden="false" outlineLevel="0" max="6" min="6" style="0" width="32"/>
    <col collapsed="false" customWidth="true" hidden="false" outlineLevel="0" max="7" min="7" style="0" width="28"/>
    <col collapsed="false" customWidth="true" hidden="false" outlineLevel="0" max="8" min="8" style="0" width="34"/>
    <col collapsed="false" customWidth="true" hidden="false" outlineLevel="0" max="9" min="9" style="0" width="14"/>
    <col collapsed="false" customWidth="true" hidden="false" outlineLevel="0" max="10" min="10" style="0" width="8"/>
    <col collapsed="false" customWidth="true" hidden="false" outlineLevel="0" max="11" min="11" style="0" width="12"/>
  </cols>
  <sheetData>
    <row r="1" customFormat="false" ht="15" hidden="false" customHeight="true" outlineLevel="0" collapsed="false"/>
    <row r="2" customFormat="false" ht="31.5" hidden="false" customHeight="true" outlineLevel="0" collapsed="false">
      <c r="B2" s="1" t="s">
        <v>0</v>
      </c>
      <c r="C2" s="1"/>
      <c r="D2" s="1"/>
      <c r="E2" s="1"/>
      <c r="F2" s="1"/>
      <c r="G2" s="1"/>
      <c r="H2" s="1"/>
      <c r="I2" s="1"/>
      <c r="J2" s="1"/>
      <c r="K2" s="1"/>
    </row>
    <row r="3" customFormat="false" ht="7.5" hidden="false" customHeight="true" outlineLevel="0" collapsed="false">
      <c r="B3" s="2" t="s">
        <v>1</v>
      </c>
      <c r="C3" s="2"/>
      <c r="D3" s="2"/>
      <c r="E3" s="2"/>
      <c r="F3" s="2"/>
      <c r="G3" s="2"/>
      <c r="H3" s="2"/>
      <c r="I3" s="2"/>
      <c r="J3" s="3" t="s">
        <v>2</v>
      </c>
      <c r="K3" s="3"/>
    </row>
    <row r="4" customFormat="false" ht="27.75" hidden="false" customHeight="true" outlineLevel="0" collapsed="false">
      <c r="B4" s="4" t="s">
        <v>3</v>
      </c>
      <c r="C4" s="4" t="s">
        <v>4</v>
      </c>
      <c r="D4" s="4" t="s">
        <v>5</v>
      </c>
      <c r="E4" s="4" t="s">
        <v>6</v>
      </c>
      <c r="F4" s="4" t="s">
        <v>7</v>
      </c>
      <c r="G4" s="4" t="s">
        <v>8</v>
      </c>
      <c r="H4" s="4" t="s">
        <v>9</v>
      </c>
      <c r="I4" s="4" t="s">
        <v>10</v>
      </c>
      <c r="J4" s="4" t="s">
        <v>11</v>
      </c>
      <c r="K4" s="4" t="s">
        <v>12</v>
      </c>
    </row>
    <row r="5" customFormat="false" ht="21.75" hidden="false" customHeight="true" outlineLevel="0" collapsed="false">
      <c r="B5" s="5" t="n">
        <v>1</v>
      </c>
      <c r="C5" s="6" t="s">
        <v>13</v>
      </c>
      <c r="D5" s="5" t="s">
        <v>14</v>
      </c>
      <c r="E5" s="5" t="s">
        <v>15</v>
      </c>
      <c r="F5" s="5" t="s">
        <v>16</v>
      </c>
      <c r="G5" s="5" t="s">
        <v>17</v>
      </c>
      <c r="H5" s="5" t="s">
        <v>18</v>
      </c>
      <c r="I5" s="7" t="n">
        <v>2091568</v>
      </c>
      <c r="J5" s="8" t="s">
        <v>19</v>
      </c>
      <c r="K5" s="9" t="n">
        <v>1046</v>
      </c>
    </row>
    <row r="6" customFormat="false" ht="21.75" hidden="false" customHeight="true" outlineLevel="0" collapsed="false">
      <c r="B6" s="10" t="n">
        <v>2</v>
      </c>
      <c r="C6" s="6" t="s">
        <v>13</v>
      </c>
      <c r="D6" s="10" t="s">
        <v>14</v>
      </c>
      <c r="E6" s="10" t="s">
        <v>20</v>
      </c>
      <c r="F6" s="10" t="s">
        <v>21</v>
      </c>
      <c r="G6" s="10" t="s">
        <v>22</v>
      </c>
      <c r="H6" s="10" t="s">
        <v>23</v>
      </c>
      <c r="I6" s="11" t="n">
        <v>78000</v>
      </c>
      <c r="J6" s="12" t="s">
        <v>24</v>
      </c>
      <c r="K6" s="13" t="n">
        <v>1</v>
      </c>
    </row>
    <row r="7" customFormat="false" ht="21.75" hidden="false" customHeight="true" outlineLevel="0" collapsed="false">
      <c r="B7" s="5" t="n">
        <v>3</v>
      </c>
      <c r="C7" s="6" t="s">
        <v>13</v>
      </c>
      <c r="D7" s="5" t="s">
        <v>14</v>
      </c>
      <c r="E7" s="5" t="s">
        <v>15</v>
      </c>
      <c r="F7" s="5" t="s">
        <v>16</v>
      </c>
      <c r="G7" s="5" t="s">
        <v>25</v>
      </c>
      <c r="H7" s="5" t="s">
        <v>26</v>
      </c>
      <c r="I7" s="7" t="n">
        <v>126000</v>
      </c>
      <c r="J7" s="8" t="s">
        <v>19</v>
      </c>
      <c r="K7" s="9" t="n">
        <v>42</v>
      </c>
    </row>
    <row r="8" customFormat="false" ht="21.75" hidden="false" customHeight="true" outlineLevel="0" collapsed="false">
      <c r="B8" s="10" t="n">
        <v>4</v>
      </c>
      <c r="C8" s="6" t="s">
        <v>13</v>
      </c>
      <c r="D8" s="10" t="s">
        <v>14</v>
      </c>
      <c r="E8" s="10" t="s">
        <v>27</v>
      </c>
      <c r="F8" s="10" t="s">
        <v>28</v>
      </c>
      <c r="G8" s="10" t="s">
        <v>29</v>
      </c>
      <c r="H8" s="10" t="s">
        <v>30</v>
      </c>
      <c r="I8" s="11" t="n">
        <v>165500</v>
      </c>
      <c r="J8" s="12" t="s">
        <v>31</v>
      </c>
      <c r="K8" s="13" t="n">
        <v>3</v>
      </c>
    </row>
    <row r="9" customFormat="false" ht="21.75" hidden="false" customHeight="true" outlineLevel="0" collapsed="false">
      <c r="B9" s="5" t="n">
        <v>5</v>
      </c>
      <c r="C9" s="6" t="s">
        <v>13</v>
      </c>
      <c r="D9" s="5" t="s">
        <v>32</v>
      </c>
      <c r="E9" s="5" t="s">
        <v>15</v>
      </c>
      <c r="F9" s="5" t="s">
        <v>16</v>
      </c>
      <c r="G9" s="5" t="s">
        <v>17</v>
      </c>
      <c r="H9" s="5" t="s">
        <v>33</v>
      </c>
      <c r="I9" s="7" t="n">
        <v>1000000</v>
      </c>
      <c r="J9" s="8" t="s">
        <v>19</v>
      </c>
      <c r="K9" s="9" t="n">
        <v>500</v>
      </c>
    </row>
    <row r="10" customFormat="false" ht="21.75" hidden="false" customHeight="true" outlineLevel="0" collapsed="false">
      <c r="B10" s="10" t="n">
        <v>6</v>
      </c>
      <c r="C10" s="6" t="s">
        <v>13</v>
      </c>
      <c r="D10" s="10" t="s">
        <v>32</v>
      </c>
      <c r="E10" s="10" t="s">
        <v>15</v>
      </c>
      <c r="F10" s="10" t="s">
        <v>16</v>
      </c>
      <c r="G10" s="10"/>
      <c r="H10" s="10" t="s">
        <v>34</v>
      </c>
      <c r="I10" s="11" t="n">
        <v>846731</v>
      </c>
      <c r="J10" s="12" t="s">
        <v>19</v>
      </c>
      <c r="K10" s="13" t="n">
        <v>423</v>
      </c>
    </row>
    <row r="11" customFormat="false" ht="21.75" hidden="false" customHeight="true" outlineLevel="0" collapsed="false">
      <c r="B11" s="5" t="n">
        <v>7</v>
      </c>
      <c r="C11" s="6" t="s">
        <v>13</v>
      </c>
      <c r="D11" s="5" t="s">
        <v>32</v>
      </c>
      <c r="E11" s="5" t="s">
        <v>15</v>
      </c>
      <c r="F11" s="5" t="s">
        <v>16</v>
      </c>
      <c r="G11" s="5" t="s">
        <v>25</v>
      </c>
      <c r="H11" s="5" t="s">
        <v>35</v>
      </c>
      <c r="I11" s="7" t="n">
        <v>200000</v>
      </c>
      <c r="J11" s="8" t="s">
        <v>19</v>
      </c>
      <c r="K11" s="9" t="n">
        <v>67</v>
      </c>
    </row>
    <row r="12" customFormat="false" ht="21.75" hidden="false" customHeight="true" outlineLevel="0" collapsed="false">
      <c r="B12" s="10" t="n">
        <v>8</v>
      </c>
      <c r="C12" s="6" t="s">
        <v>13</v>
      </c>
      <c r="D12" s="10" t="s">
        <v>32</v>
      </c>
      <c r="E12" s="10" t="s">
        <v>27</v>
      </c>
      <c r="F12" s="10" t="s">
        <v>28</v>
      </c>
      <c r="G12" s="10" t="s">
        <v>29</v>
      </c>
      <c r="H12" s="10" t="s">
        <v>36</v>
      </c>
      <c r="I12" s="11" t="n">
        <v>141900</v>
      </c>
      <c r="J12" s="12" t="s">
        <v>31</v>
      </c>
      <c r="K12" s="13" t="n">
        <v>3</v>
      </c>
    </row>
    <row r="13" customFormat="false" ht="21.75" hidden="false" customHeight="true" outlineLevel="0" collapsed="false">
      <c r="B13" s="5" t="n">
        <v>9</v>
      </c>
      <c r="C13" s="6" t="s">
        <v>13</v>
      </c>
      <c r="D13" s="5" t="s">
        <v>32</v>
      </c>
      <c r="E13" s="5" t="s">
        <v>27</v>
      </c>
      <c r="F13" s="5" t="s">
        <v>28</v>
      </c>
      <c r="G13" s="5" t="s">
        <v>37</v>
      </c>
      <c r="H13" s="5" t="s">
        <v>38</v>
      </c>
      <c r="I13" s="7" t="n">
        <v>26700</v>
      </c>
      <c r="J13" s="8" t="s">
        <v>31</v>
      </c>
      <c r="K13" s="9" t="n">
        <v>1</v>
      </c>
    </row>
    <row r="14" customFormat="false" ht="21.75" hidden="false" customHeight="true" outlineLevel="0" collapsed="false">
      <c r="B14" s="10" t="n">
        <v>10</v>
      </c>
      <c r="C14" s="6" t="s">
        <v>13</v>
      </c>
      <c r="D14" s="10" t="s">
        <v>32</v>
      </c>
      <c r="E14" s="10" t="s">
        <v>27</v>
      </c>
      <c r="F14" s="10" t="s">
        <v>28</v>
      </c>
      <c r="G14" s="10" t="s">
        <v>39</v>
      </c>
      <c r="H14" s="10" t="s">
        <v>40</v>
      </c>
      <c r="I14" s="11" t="n">
        <v>480000</v>
      </c>
      <c r="J14" s="12" t="s">
        <v>41</v>
      </c>
      <c r="K14" s="13" t="n">
        <v>320</v>
      </c>
    </row>
    <row r="15" customFormat="false" ht="21.75" hidden="false" customHeight="true" outlineLevel="0" collapsed="false">
      <c r="B15" s="5" t="n">
        <v>11</v>
      </c>
      <c r="C15" s="6" t="s">
        <v>13</v>
      </c>
      <c r="D15" s="5" t="s">
        <v>32</v>
      </c>
      <c r="E15" s="5" t="s">
        <v>27</v>
      </c>
      <c r="F15" s="5" t="s">
        <v>28</v>
      </c>
      <c r="G15" s="5" t="s">
        <v>42</v>
      </c>
      <c r="H15" s="5" t="s">
        <v>43</v>
      </c>
      <c r="I15" s="7" t="n">
        <v>300000</v>
      </c>
      <c r="J15" s="8" t="s">
        <v>31</v>
      </c>
      <c r="K15" s="9" t="n">
        <v>1</v>
      </c>
    </row>
    <row r="16" customFormat="false" ht="21.75" hidden="false" customHeight="true" outlineLevel="0" collapsed="false">
      <c r="B16" s="10" t="n">
        <v>12</v>
      </c>
      <c r="C16" s="6" t="s">
        <v>13</v>
      </c>
      <c r="D16" s="10" t="s">
        <v>44</v>
      </c>
      <c r="E16" s="10" t="s">
        <v>15</v>
      </c>
      <c r="F16" s="10" t="s">
        <v>16</v>
      </c>
      <c r="G16" s="10" t="s">
        <v>17</v>
      </c>
      <c r="H16" s="10" t="s">
        <v>45</v>
      </c>
      <c r="I16" s="11" t="n">
        <v>1000000</v>
      </c>
      <c r="J16" s="12" t="s">
        <v>19</v>
      </c>
      <c r="K16" s="13" t="n">
        <v>500</v>
      </c>
    </row>
    <row r="17" customFormat="false" ht="21.75" hidden="false" customHeight="true" outlineLevel="0" collapsed="false">
      <c r="B17" s="5" t="n">
        <v>13</v>
      </c>
      <c r="C17" s="6" t="s">
        <v>13</v>
      </c>
      <c r="D17" s="5" t="s">
        <v>44</v>
      </c>
      <c r="E17" s="5" t="s">
        <v>15</v>
      </c>
      <c r="F17" s="5" t="s">
        <v>16</v>
      </c>
      <c r="G17" s="5" t="s">
        <v>46</v>
      </c>
      <c r="H17" s="5" t="s">
        <v>47</v>
      </c>
      <c r="I17" s="7" t="n">
        <v>739200</v>
      </c>
      <c r="J17" s="8" t="s">
        <v>19</v>
      </c>
      <c r="K17" s="9" t="n">
        <v>370</v>
      </c>
    </row>
    <row r="18" customFormat="false" ht="21.75" hidden="false" customHeight="true" outlineLevel="0" collapsed="false">
      <c r="B18" s="10" t="n">
        <v>14</v>
      </c>
      <c r="C18" s="6" t="s">
        <v>13</v>
      </c>
      <c r="D18" s="10" t="s">
        <v>48</v>
      </c>
      <c r="E18" s="10" t="s">
        <v>15</v>
      </c>
      <c r="F18" s="10" t="s">
        <v>16</v>
      </c>
      <c r="G18" s="10" t="s">
        <v>46</v>
      </c>
      <c r="H18" s="10" t="s">
        <v>49</v>
      </c>
      <c r="I18" s="11" t="n">
        <v>1276800</v>
      </c>
      <c r="J18" s="12" t="s">
        <v>19</v>
      </c>
      <c r="K18" s="13" t="n">
        <v>638</v>
      </c>
    </row>
    <row r="19" customFormat="false" ht="21.75" hidden="false" customHeight="true" outlineLevel="0" collapsed="false">
      <c r="B19" s="5" t="n">
        <v>15</v>
      </c>
      <c r="C19" s="6" t="s">
        <v>13</v>
      </c>
      <c r="D19" s="5" t="s">
        <v>50</v>
      </c>
      <c r="E19" s="5" t="s">
        <v>15</v>
      </c>
      <c r="F19" s="5" t="s">
        <v>16</v>
      </c>
      <c r="G19" s="5" t="s">
        <v>17</v>
      </c>
      <c r="H19" s="5" t="s">
        <v>51</v>
      </c>
      <c r="I19" s="7" t="n">
        <v>5796360</v>
      </c>
      <c r="J19" s="8" t="s">
        <v>19</v>
      </c>
      <c r="K19" s="9" t="n">
        <v>2898</v>
      </c>
    </row>
    <row r="20" customFormat="false" ht="21.75" hidden="false" customHeight="true" outlineLevel="0" collapsed="false">
      <c r="B20" s="10" t="n">
        <v>16</v>
      </c>
      <c r="C20" s="6" t="s">
        <v>13</v>
      </c>
      <c r="D20" s="10" t="s">
        <v>50</v>
      </c>
      <c r="E20" s="10" t="s">
        <v>20</v>
      </c>
      <c r="F20" s="10" t="s">
        <v>21</v>
      </c>
      <c r="G20" s="10" t="s">
        <v>52</v>
      </c>
      <c r="H20" s="10" t="s">
        <v>52</v>
      </c>
      <c r="I20" s="11" t="n">
        <v>340000</v>
      </c>
      <c r="J20" s="12" t="s">
        <v>24</v>
      </c>
      <c r="K20" s="13" t="n">
        <v>1</v>
      </c>
    </row>
    <row r="21" customFormat="false" ht="21.75" hidden="false" customHeight="true" outlineLevel="0" collapsed="false">
      <c r="B21" s="5" t="n">
        <v>17</v>
      </c>
      <c r="C21" s="6" t="s">
        <v>13</v>
      </c>
      <c r="D21" s="5" t="s">
        <v>53</v>
      </c>
      <c r="E21" s="5" t="s">
        <v>54</v>
      </c>
      <c r="F21" s="5" t="s">
        <v>55</v>
      </c>
      <c r="G21" s="5" t="s">
        <v>56</v>
      </c>
      <c r="H21" s="5" t="s">
        <v>57</v>
      </c>
      <c r="I21" s="7" t="n">
        <v>397934</v>
      </c>
      <c r="J21" s="8" t="s">
        <v>19</v>
      </c>
      <c r="K21" s="9" t="n">
        <v>133</v>
      </c>
    </row>
    <row r="22" customFormat="false" ht="21.75" hidden="false" customHeight="true" outlineLevel="0" collapsed="false">
      <c r="B22" s="10" t="n">
        <v>18</v>
      </c>
      <c r="C22" s="6" t="s">
        <v>13</v>
      </c>
      <c r="D22" s="10" t="s">
        <v>53</v>
      </c>
      <c r="E22" s="10" t="s">
        <v>54</v>
      </c>
      <c r="F22" s="10" t="s">
        <v>55</v>
      </c>
      <c r="G22" s="10"/>
      <c r="H22" s="10" t="s">
        <v>58</v>
      </c>
      <c r="I22" s="11" t="n">
        <v>207575</v>
      </c>
      <c r="J22" s="12" t="s">
        <v>19</v>
      </c>
      <c r="K22" s="13" t="n">
        <v>69</v>
      </c>
    </row>
    <row r="23" customFormat="false" ht="21.75" hidden="false" customHeight="true" outlineLevel="0" collapsed="false">
      <c r="B23" s="5" t="n">
        <v>19</v>
      </c>
      <c r="C23" s="6" t="s">
        <v>13</v>
      </c>
      <c r="D23" s="5" t="s">
        <v>53</v>
      </c>
      <c r="E23" s="5" t="s">
        <v>20</v>
      </c>
      <c r="F23" s="5" t="s">
        <v>21</v>
      </c>
      <c r="G23" s="5" t="s">
        <v>52</v>
      </c>
      <c r="H23" s="5" t="s">
        <v>52</v>
      </c>
      <c r="I23" s="7" t="n">
        <v>2200000</v>
      </c>
      <c r="J23" s="8" t="s">
        <v>24</v>
      </c>
      <c r="K23" s="9" t="n">
        <v>4</v>
      </c>
    </row>
    <row r="24" customFormat="false" ht="21.75" hidden="false" customHeight="true" outlineLevel="0" collapsed="false">
      <c r="B24" s="10" t="n">
        <v>20</v>
      </c>
      <c r="C24" s="6" t="s">
        <v>13</v>
      </c>
      <c r="D24" s="10" t="s">
        <v>53</v>
      </c>
      <c r="E24" s="10" t="s">
        <v>15</v>
      </c>
      <c r="F24" s="10" t="s">
        <v>16</v>
      </c>
      <c r="G24" s="10" t="s">
        <v>25</v>
      </c>
      <c r="H24" s="10" t="s">
        <v>59</v>
      </c>
      <c r="I24" s="11" t="n">
        <v>300000</v>
      </c>
      <c r="J24" s="12" t="s">
        <v>19</v>
      </c>
      <c r="K24" s="13" t="n">
        <v>100</v>
      </c>
    </row>
    <row r="25" customFormat="false" ht="21.75" hidden="false" customHeight="true" outlineLevel="0" collapsed="false">
      <c r="B25" s="5" t="n">
        <v>21</v>
      </c>
      <c r="C25" s="6" t="s">
        <v>13</v>
      </c>
      <c r="D25" s="5" t="s">
        <v>53</v>
      </c>
      <c r="E25" s="5" t="s">
        <v>27</v>
      </c>
      <c r="F25" s="5" t="s">
        <v>28</v>
      </c>
      <c r="G25" s="5" t="s">
        <v>29</v>
      </c>
      <c r="H25" s="5" t="s">
        <v>60</v>
      </c>
      <c r="I25" s="7" t="n">
        <v>250000</v>
      </c>
      <c r="J25" s="8" t="s">
        <v>31</v>
      </c>
      <c r="K25" s="9" t="n">
        <v>3</v>
      </c>
    </row>
    <row r="26" customFormat="false" ht="21.75" hidden="false" customHeight="true" outlineLevel="0" collapsed="false">
      <c r="B26" s="10" t="n">
        <v>22</v>
      </c>
      <c r="C26" s="6" t="s">
        <v>13</v>
      </c>
      <c r="D26" s="10" t="s">
        <v>53</v>
      </c>
      <c r="E26" s="10" t="s">
        <v>27</v>
      </c>
      <c r="F26" s="10" t="s">
        <v>28</v>
      </c>
      <c r="G26" s="10" t="s">
        <v>61</v>
      </c>
      <c r="H26" s="10" t="s">
        <v>62</v>
      </c>
      <c r="I26" s="11" t="n">
        <v>25000</v>
      </c>
      <c r="J26" s="12" t="s">
        <v>31</v>
      </c>
      <c r="K26" s="13" t="n">
        <v>3</v>
      </c>
    </row>
    <row r="27" customFormat="false" ht="21.75" hidden="false" customHeight="true" outlineLevel="0" collapsed="false">
      <c r="B27" s="5" t="n">
        <v>23</v>
      </c>
      <c r="C27" s="6" t="s">
        <v>13</v>
      </c>
      <c r="D27" s="5" t="s">
        <v>53</v>
      </c>
      <c r="E27" s="5" t="s">
        <v>27</v>
      </c>
      <c r="F27" s="5" t="s">
        <v>28</v>
      </c>
      <c r="G27" s="5" t="s">
        <v>37</v>
      </c>
      <c r="H27" s="5" t="s">
        <v>63</v>
      </c>
      <c r="I27" s="7" t="n">
        <v>38000</v>
      </c>
      <c r="J27" s="8" t="s">
        <v>31</v>
      </c>
      <c r="K27" s="9" t="n">
        <v>1</v>
      </c>
    </row>
    <row r="28" customFormat="false" ht="21.75" hidden="false" customHeight="true" outlineLevel="0" collapsed="false">
      <c r="B28" s="10" t="n">
        <v>24</v>
      </c>
      <c r="C28" s="6" t="s">
        <v>13</v>
      </c>
      <c r="D28" s="10" t="s">
        <v>53</v>
      </c>
      <c r="E28" s="10" t="s">
        <v>27</v>
      </c>
      <c r="F28" s="10" t="s">
        <v>28</v>
      </c>
      <c r="G28" s="10" t="s">
        <v>39</v>
      </c>
      <c r="H28" s="10" t="s">
        <v>64</v>
      </c>
      <c r="I28" s="11" t="n">
        <v>10560000</v>
      </c>
      <c r="J28" s="12" t="s">
        <v>41</v>
      </c>
      <c r="K28" s="13" t="n">
        <v>7040</v>
      </c>
    </row>
    <row r="29" customFormat="false" ht="21.75" hidden="false" customHeight="true" outlineLevel="0" collapsed="false">
      <c r="B29" s="5" t="n">
        <v>25</v>
      </c>
      <c r="C29" s="6" t="s">
        <v>13</v>
      </c>
      <c r="D29" s="5" t="s">
        <v>53</v>
      </c>
      <c r="E29" s="5" t="s">
        <v>27</v>
      </c>
      <c r="F29" s="5" t="s">
        <v>28</v>
      </c>
      <c r="G29" s="5" t="s">
        <v>65</v>
      </c>
      <c r="H29" s="5" t="s">
        <v>66</v>
      </c>
      <c r="I29" s="7" t="n">
        <v>144000</v>
      </c>
      <c r="J29" s="8" t="s">
        <v>19</v>
      </c>
      <c r="K29" s="9" t="n">
        <v>270</v>
      </c>
    </row>
    <row r="30" customFormat="false" ht="21.75" hidden="false" customHeight="true" outlineLevel="0" collapsed="false">
      <c r="B30" s="10" t="n">
        <v>26</v>
      </c>
      <c r="C30" s="6" t="s">
        <v>13</v>
      </c>
      <c r="D30" s="10" t="s">
        <v>53</v>
      </c>
      <c r="E30" s="10" t="s">
        <v>27</v>
      </c>
      <c r="F30" s="10" t="s">
        <v>28</v>
      </c>
      <c r="G30" s="10" t="s">
        <v>42</v>
      </c>
      <c r="H30" s="10" t="s">
        <v>67</v>
      </c>
      <c r="I30" s="11" t="n">
        <v>800000</v>
      </c>
      <c r="J30" s="12" t="s">
        <v>31</v>
      </c>
      <c r="K30" s="13" t="n">
        <v>1</v>
      </c>
    </row>
    <row r="31" customFormat="false" ht="21.75" hidden="false" customHeight="true" outlineLevel="0" collapsed="false">
      <c r="B31" s="5" t="n">
        <v>27</v>
      </c>
      <c r="C31" s="6" t="s">
        <v>13</v>
      </c>
      <c r="D31" s="5" t="s">
        <v>68</v>
      </c>
      <c r="E31" s="5" t="s">
        <v>15</v>
      </c>
      <c r="F31" s="5" t="s">
        <v>16</v>
      </c>
      <c r="G31" s="5" t="s">
        <v>17</v>
      </c>
      <c r="H31" s="5" t="s">
        <v>69</v>
      </c>
      <c r="I31" s="7" t="n">
        <v>1733306</v>
      </c>
      <c r="J31" s="8" t="s">
        <v>19</v>
      </c>
      <c r="K31" s="9" t="n">
        <v>867</v>
      </c>
    </row>
    <row r="32" customFormat="false" ht="21.75" hidden="false" customHeight="true" outlineLevel="0" collapsed="false">
      <c r="B32" s="10" t="n">
        <v>28</v>
      </c>
      <c r="C32" s="6" t="s">
        <v>13</v>
      </c>
      <c r="D32" s="10" t="s">
        <v>68</v>
      </c>
      <c r="E32" s="10" t="s">
        <v>20</v>
      </c>
      <c r="F32" s="10" t="s">
        <v>21</v>
      </c>
      <c r="G32" s="10" t="s">
        <v>52</v>
      </c>
      <c r="H32" s="10" t="s">
        <v>52</v>
      </c>
      <c r="I32" s="11" t="n">
        <v>670000</v>
      </c>
      <c r="J32" s="12" t="s">
        <v>24</v>
      </c>
      <c r="K32" s="13" t="n">
        <v>1</v>
      </c>
    </row>
    <row r="33" customFormat="false" ht="21.75" hidden="false" customHeight="true" outlineLevel="0" collapsed="false">
      <c r="B33" s="5" t="n">
        <v>29</v>
      </c>
      <c r="C33" s="6" t="s">
        <v>13</v>
      </c>
      <c r="D33" s="5" t="s">
        <v>68</v>
      </c>
      <c r="E33" s="5" t="s">
        <v>54</v>
      </c>
      <c r="F33" s="5" t="s">
        <v>55</v>
      </c>
      <c r="G33" s="5" t="s">
        <v>70</v>
      </c>
      <c r="H33" s="5" t="s">
        <v>71</v>
      </c>
      <c r="I33" s="7" t="n">
        <v>2500000</v>
      </c>
      <c r="J33" s="8" t="s">
        <v>31</v>
      </c>
      <c r="K33" s="9" t="n">
        <v>5</v>
      </c>
    </row>
    <row r="34" customFormat="false" ht="21.75" hidden="false" customHeight="true" outlineLevel="0" collapsed="false">
      <c r="B34" s="10" t="n">
        <v>30</v>
      </c>
      <c r="C34" s="6" t="s">
        <v>13</v>
      </c>
      <c r="D34" s="10" t="s">
        <v>68</v>
      </c>
      <c r="E34" s="10" t="s">
        <v>15</v>
      </c>
      <c r="F34" s="10" t="s">
        <v>16</v>
      </c>
      <c r="G34" s="10" t="s">
        <v>25</v>
      </c>
      <c r="H34" s="10" t="s">
        <v>72</v>
      </c>
      <c r="I34" s="11" t="n">
        <v>800000</v>
      </c>
      <c r="J34" s="12" t="s">
        <v>19</v>
      </c>
      <c r="K34" s="13" t="n">
        <v>267</v>
      </c>
    </row>
    <row r="35" customFormat="false" ht="21.75" hidden="false" customHeight="true" outlineLevel="0" collapsed="false">
      <c r="B35" s="5" t="n">
        <v>31</v>
      </c>
      <c r="C35" s="6" t="s">
        <v>13</v>
      </c>
      <c r="D35" s="5" t="s">
        <v>68</v>
      </c>
      <c r="E35" s="5" t="s">
        <v>27</v>
      </c>
      <c r="F35" s="5" t="s">
        <v>28</v>
      </c>
      <c r="G35" s="5" t="s">
        <v>29</v>
      </c>
      <c r="H35" s="5" t="s">
        <v>73</v>
      </c>
      <c r="I35" s="7" t="n">
        <v>195000</v>
      </c>
      <c r="J35" s="8" t="s">
        <v>31</v>
      </c>
      <c r="K35" s="9" t="n">
        <v>2</v>
      </c>
    </row>
    <row r="36" customFormat="false" ht="21.75" hidden="false" customHeight="true" outlineLevel="0" collapsed="false">
      <c r="B36" s="10" t="n">
        <v>32</v>
      </c>
      <c r="C36" s="6" t="s">
        <v>13</v>
      </c>
      <c r="D36" s="10" t="s">
        <v>68</v>
      </c>
      <c r="E36" s="10" t="s">
        <v>27</v>
      </c>
      <c r="F36" s="10" t="s">
        <v>28</v>
      </c>
      <c r="G36" s="10" t="s">
        <v>61</v>
      </c>
      <c r="H36" s="10" t="s">
        <v>74</v>
      </c>
      <c r="I36" s="11" t="n">
        <v>50000</v>
      </c>
      <c r="J36" s="12" t="s">
        <v>31</v>
      </c>
      <c r="K36" s="13" t="n">
        <v>2</v>
      </c>
    </row>
    <row r="37" customFormat="false" ht="21.75" hidden="false" customHeight="true" outlineLevel="0" collapsed="false">
      <c r="B37" s="5" t="n">
        <v>33</v>
      </c>
      <c r="C37" s="6" t="s">
        <v>13</v>
      </c>
      <c r="D37" s="5" t="s">
        <v>68</v>
      </c>
      <c r="E37" s="5" t="s">
        <v>27</v>
      </c>
      <c r="F37" s="5" t="s">
        <v>28</v>
      </c>
      <c r="G37" s="5" t="s">
        <v>37</v>
      </c>
      <c r="H37" s="14" t="s">
        <v>75</v>
      </c>
      <c r="I37" s="7" t="n">
        <v>245000</v>
      </c>
      <c r="J37" s="8" t="s">
        <v>31</v>
      </c>
      <c r="K37" s="9" t="n">
        <v>5</v>
      </c>
    </row>
    <row r="38" customFormat="false" ht="21.75" hidden="false" customHeight="true" outlineLevel="0" collapsed="false">
      <c r="B38" s="10" t="n">
        <v>34</v>
      </c>
      <c r="C38" s="6" t="s">
        <v>13</v>
      </c>
      <c r="D38" s="10" t="s">
        <v>68</v>
      </c>
      <c r="E38" s="10" t="s">
        <v>27</v>
      </c>
      <c r="F38" s="10" t="s">
        <v>28</v>
      </c>
      <c r="G38" s="10" t="s">
        <v>42</v>
      </c>
      <c r="H38" s="10" t="s">
        <v>76</v>
      </c>
      <c r="I38" s="11" t="n">
        <v>1000000</v>
      </c>
      <c r="J38" s="12" t="s">
        <v>31</v>
      </c>
      <c r="K38" s="13" t="n">
        <v>1</v>
      </c>
    </row>
    <row r="39" customFormat="false" ht="21.75" hidden="false" customHeight="true" outlineLevel="0" collapsed="false">
      <c r="B39" s="5" t="n">
        <v>35</v>
      </c>
      <c r="C39" s="6" t="s">
        <v>13</v>
      </c>
      <c r="D39" s="5" t="s">
        <v>77</v>
      </c>
      <c r="E39" s="5" t="s">
        <v>15</v>
      </c>
      <c r="F39" s="5" t="s">
        <v>16</v>
      </c>
      <c r="G39" s="5" t="s">
        <v>17</v>
      </c>
      <c r="H39" s="5" t="s">
        <v>78</v>
      </c>
      <c r="I39" s="7" t="n">
        <v>5024032</v>
      </c>
      <c r="J39" s="8" t="s">
        <v>19</v>
      </c>
      <c r="K39" s="9" t="n">
        <v>2512</v>
      </c>
    </row>
    <row r="40" customFormat="false" ht="21.75" hidden="false" customHeight="true" outlineLevel="0" collapsed="false">
      <c r="B40" s="10" t="n">
        <v>36</v>
      </c>
      <c r="C40" s="6" t="s">
        <v>13</v>
      </c>
      <c r="D40" s="10" t="s">
        <v>77</v>
      </c>
      <c r="E40" s="10" t="s">
        <v>20</v>
      </c>
      <c r="F40" s="10" t="s">
        <v>21</v>
      </c>
      <c r="G40" s="10" t="s">
        <v>52</v>
      </c>
      <c r="H40" s="10" t="s">
        <v>52</v>
      </c>
      <c r="I40" s="11" t="n">
        <v>400000</v>
      </c>
      <c r="J40" s="12" t="s">
        <v>24</v>
      </c>
      <c r="K40" s="13" t="n">
        <v>1</v>
      </c>
    </row>
    <row r="41" customFormat="false" ht="21.75" hidden="false" customHeight="true" outlineLevel="0" collapsed="false">
      <c r="B41" s="5" t="n">
        <v>37</v>
      </c>
      <c r="C41" s="6" t="s">
        <v>13</v>
      </c>
      <c r="D41" s="5" t="s">
        <v>79</v>
      </c>
      <c r="E41" s="5" t="s">
        <v>15</v>
      </c>
      <c r="F41" s="5" t="s">
        <v>16</v>
      </c>
      <c r="G41" s="5" t="s">
        <v>17</v>
      </c>
      <c r="H41" s="5" t="s">
        <v>80</v>
      </c>
      <c r="I41" s="7" t="n">
        <v>6000000</v>
      </c>
      <c r="J41" s="8" t="s">
        <v>19</v>
      </c>
      <c r="K41" s="9" t="n">
        <v>3000</v>
      </c>
    </row>
    <row r="42" customFormat="false" ht="21.75" hidden="false" customHeight="true" outlineLevel="0" collapsed="false">
      <c r="B42" s="10" t="n">
        <v>38</v>
      </c>
      <c r="C42" s="6" t="s">
        <v>13</v>
      </c>
      <c r="D42" s="10" t="s">
        <v>79</v>
      </c>
      <c r="E42" s="10" t="s">
        <v>54</v>
      </c>
      <c r="F42" s="10" t="s">
        <v>55</v>
      </c>
      <c r="G42" s="10" t="s">
        <v>56</v>
      </c>
      <c r="H42" s="10" t="s">
        <v>81</v>
      </c>
      <c r="I42" s="11" t="n">
        <v>232266</v>
      </c>
      <c r="J42" s="12" t="s">
        <v>19</v>
      </c>
      <c r="K42" s="13" t="n">
        <v>77</v>
      </c>
    </row>
    <row r="43" customFormat="false" ht="21.75" hidden="false" customHeight="true" outlineLevel="0" collapsed="false">
      <c r="B43" s="5" t="n">
        <v>39</v>
      </c>
      <c r="C43" s="6" t="s">
        <v>13</v>
      </c>
      <c r="D43" s="5" t="s">
        <v>79</v>
      </c>
      <c r="E43" s="5" t="s">
        <v>54</v>
      </c>
      <c r="F43" s="5" t="s">
        <v>55</v>
      </c>
      <c r="G43" s="5"/>
      <c r="H43" s="5" t="s">
        <v>82</v>
      </c>
      <c r="I43" s="7" t="n">
        <v>1055025</v>
      </c>
      <c r="J43" s="8" t="s">
        <v>19</v>
      </c>
      <c r="K43" s="9" t="n">
        <v>352</v>
      </c>
    </row>
    <row r="44" customFormat="false" ht="21.75" hidden="false" customHeight="true" outlineLevel="0" collapsed="false">
      <c r="B44" s="10" t="n">
        <v>40</v>
      </c>
      <c r="C44" s="6" t="s">
        <v>13</v>
      </c>
      <c r="D44" s="10" t="s">
        <v>79</v>
      </c>
      <c r="E44" s="10" t="s">
        <v>54</v>
      </c>
      <c r="F44" s="10" t="s">
        <v>55</v>
      </c>
      <c r="G44" s="10"/>
      <c r="H44" s="10" t="s">
        <v>83</v>
      </c>
      <c r="I44" s="11" t="n">
        <v>1004535</v>
      </c>
      <c r="J44" s="12" t="s">
        <v>19</v>
      </c>
      <c r="K44" s="13" t="n">
        <v>335</v>
      </c>
    </row>
    <row r="45" customFormat="false" ht="21.75" hidden="false" customHeight="true" outlineLevel="0" collapsed="false">
      <c r="B45" s="5" t="n">
        <v>41</v>
      </c>
      <c r="C45" s="6" t="s">
        <v>13</v>
      </c>
      <c r="D45" s="5" t="s">
        <v>79</v>
      </c>
      <c r="E45" s="5" t="s">
        <v>54</v>
      </c>
      <c r="F45" s="5" t="s">
        <v>55</v>
      </c>
      <c r="G45" s="5"/>
      <c r="H45" s="5" t="s">
        <v>84</v>
      </c>
      <c r="I45" s="7" t="n">
        <v>793830</v>
      </c>
      <c r="J45" s="8" t="s">
        <v>19</v>
      </c>
      <c r="K45" s="9" t="n">
        <v>265</v>
      </c>
    </row>
    <row r="46" customFormat="false" ht="21.75" hidden="false" customHeight="true" outlineLevel="0" collapsed="false">
      <c r="B46" s="10" t="n">
        <v>42</v>
      </c>
      <c r="C46" s="6" t="s">
        <v>13</v>
      </c>
      <c r="D46" s="10" t="s">
        <v>79</v>
      </c>
      <c r="E46" s="10" t="s">
        <v>20</v>
      </c>
      <c r="F46" s="10" t="s">
        <v>21</v>
      </c>
      <c r="G46" s="10" t="s">
        <v>52</v>
      </c>
      <c r="H46" s="10" t="s">
        <v>52</v>
      </c>
      <c r="I46" s="11" t="n">
        <v>2000000</v>
      </c>
      <c r="J46" s="12" t="s">
        <v>24</v>
      </c>
      <c r="K46" s="13" t="n">
        <v>4</v>
      </c>
    </row>
    <row r="47" customFormat="false" ht="21.75" hidden="false" customHeight="true" outlineLevel="0" collapsed="false">
      <c r="B47" s="5" t="n">
        <v>43</v>
      </c>
      <c r="C47" s="6" t="s">
        <v>13</v>
      </c>
      <c r="D47" s="5" t="s">
        <v>79</v>
      </c>
      <c r="E47" s="5" t="s">
        <v>15</v>
      </c>
      <c r="F47" s="5" t="s">
        <v>16</v>
      </c>
      <c r="G47" s="5" t="s">
        <v>25</v>
      </c>
      <c r="H47" s="5" t="s">
        <v>85</v>
      </c>
      <c r="I47" s="7" t="n">
        <v>200000</v>
      </c>
      <c r="J47" s="8" t="s">
        <v>19</v>
      </c>
      <c r="K47" s="9" t="n">
        <v>67</v>
      </c>
    </row>
    <row r="48" customFormat="false" ht="21.75" hidden="false" customHeight="true" outlineLevel="0" collapsed="false">
      <c r="B48" s="10" t="n">
        <v>44</v>
      </c>
      <c r="C48" s="6" t="s">
        <v>13</v>
      </c>
      <c r="D48" s="10" t="s">
        <v>79</v>
      </c>
      <c r="E48" s="10" t="s">
        <v>27</v>
      </c>
      <c r="F48" s="10" t="s">
        <v>28</v>
      </c>
      <c r="G48" s="10" t="s">
        <v>29</v>
      </c>
      <c r="H48" s="10" t="s">
        <v>86</v>
      </c>
      <c r="I48" s="11" t="n">
        <v>580000</v>
      </c>
      <c r="J48" s="12" t="s">
        <v>31</v>
      </c>
      <c r="K48" s="13" t="n">
        <v>7</v>
      </c>
    </row>
    <row r="49" customFormat="false" ht="21.75" hidden="false" customHeight="true" outlineLevel="0" collapsed="false">
      <c r="B49" s="5" t="n">
        <v>45</v>
      </c>
      <c r="C49" s="6" t="s">
        <v>13</v>
      </c>
      <c r="D49" s="5" t="s">
        <v>79</v>
      </c>
      <c r="E49" s="5" t="s">
        <v>27</v>
      </c>
      <c r="F49" s="5" t="s">
        <v>28</v>
      </c>
      <c r="G49" s="5" t="s">
        <v>39</v>
      </c>
      <c r="H49" s="5" t="s">
        <v>87</v>
      </c>
      <c r="I49" s="7" t="n">
        <v>4000000</v>
      </c>
      <c r="J49" s="8" t="s">
        <v>41</v>
      </c>
      <c r="K49" s="9" t="n">
        <v>2667</v>
      </c>
    </row>
    <row r="50" customFormat="false" ht="21.75" hidden="false" customHeight="true" outlineLevel="0" collapsed="false">
      <c r="B50" s="10" t="n">
        <v>46</v>
      </c>
      <c r="C50" s="6" t="s">
        <v>13</v>
      </c>
      <c r="D50" s="10" t="s">
        <v>88</v>
      </c>
      <c r="E50" s="10" t="s">
        <v>20</v>
      </c>
      <c r="F50" s="10" t="s">
        <v>21</v>
      </c>
      <c r="G50" s="10" t="s">
        <v>52</v>
      </c>
      <c r="H50" s="10" t="s">
        <v>52</v>
      </c>
      <c r="I50" s="11" t="n">
        <v>655000</v>
      </c>
      <c r="J50" s="12" t="s">
        <v>24</v>
      </c>
      <c r="K50" s="13" t="n">
        <v>1</v>
      </c>
    </row>
    <row r="51" customFormat="false" ht="21.75" hidden="false" customHeight="true" outlineLevel="0" collapsed="false">
      <c r="B51" s="5" t="n">
        <v>47</v>
      </c>
      <c r="C51" s="6" t="s">
        <v>13</v>
      </c>
      <c r="D51" s="5" t="s">
        <v>89</v>
      </c>
      <c r="E51" s="5" t="s">
        <v>54</v>
      </c>
      <c r="F51" s="5" t="s">
        <v>55</v>
      </c>
      <c r="G51" s="5" t="s">
        <v>56</v>
      </c>
      <c r="H51" s="5" t="s">
        <v>90</v>
      </c>
      <c r="I51" s="7" t="n">
        <v>5182920</v>
      </c>
      <c r="J51" s="8" t="s">
        <v>19</v>
      </c>
      <c r="K51" s="9" t="n">
        <v>1728</v>
      </c>
    </row>
    <row r="52" customFormat="false" ht="21.75" hidden="false" customHeight="true" outlineLevel="0" collapsed="false">
      <c r="B52" s="10" t="n">
        <v>48</v>
      </c>
      <c r="C52" s="6" t="s">
        <v>13</v>
      </c>
      <c r="D52" s="10" t="s">
        <v>89</v>
      </c>
      <c r="E52" s="10" t="s">
        <v>54</v>
      </c>
      <c r="F52" s="10" t="s">
        <v>55</v>
      </c>
      <c r="G52" s="10"/>
      <c r="H52" s="10" t="s">
        <v>91</v>
      </c>
      <c r="I52" s="11" t="n">
        <v>152818</v>
      </c>
      <c r="J52" s="12" t="s">
        <v>19</v>
      </c>
      <c r="K52" s="13" t="n">
        <v>51</v>
      </c>
    </row>
    <row r="53" customFormat="false" ht="21.75" hidden="false" customHeight="true" outlineLevel="0" collapsed="false">
      <c r="B53" s="5" t="n">
        <v>49</v>
      </c>
      <c r="C53" s="6" t="s">
        <v>13</v>
      </c>
      <c r="D53" s="5" t="s">
        <v>89</v>
      </c>
      <c r="E53" s="5" t="s">
        <v>54</v>
      </c>
      <c r="F53" s="5" t="s">
        <v>55</v>
      </c>
      <c r="G53" s="5"/>
      <c r="H53" s="5" t="s">
        <v>92</v>
      </c>
      <c r="I53" s="7" t="n">
        <v>1418000</v>
      </c>
      <c r="J53" s="8" t="s">
        <v>19</v>
      </c>
      <c r="K53" s="9" t="n">
        <v>473</v>
      </c>
    </row>
    <row r="54" customFormat="false" ht="21.75" hidden="false" customHeight="true" outlineLevel="0" collapsed="false">
      <c r="B54" s="10" t="n">
        <v>50</v>
      </c>
      <c r="C54" s="6" t="s">
        <v>13</v>
      </c>
      <c r="D54" s="10" t="s">
        <v>89</v>
      </c>
      <c r="E54" s="10" t="s">
        <v>54</v>
      </c>
      <c r="F54" s="10" t="s">
        <v>55</v>
      </c>
      <c r="G54" s="10" t="s">
        <v>70</v>
      </c>
      <c r="H54" s="10" t="s">
        <v>93</v>
      </c>
      <c r="I54" s="11" t="n">
        <v>800000</v>
      </c>
      <c r="J54" s="12" t="s">
        <v>19</v>
      </c>
      <c r="K54" s="13" t="n">
        <v>400</v>
      </c>
    </row>
    <row r="55" customFormat="false" ht="21.75" hidden="false" customHeight="true" outlineLevel="0" collapsed="false">
      <c r="B55" s="5" t="n">
        <v>51</v>
      </c>
      <c r="C55" s="6" t="s">
        <v>13</v>
      </c>
      <c r="D55" s="5" t="s">
        <v>89</v>
      </c>
      <c r="E55" s="5" t="s">
        <v>20</v>
      </c>
      <c r="F55" s="5" t="s">
        <v>21</v>
      </c>
      <c r="G55" s="5" t="s">
        <v>52</v>
      </c>
      <c r="H55" s="5" t="s">
        <v>52</v>
      </c>
      <c r="I55" s="7" t="n">
        <v>3700000</v>
      </c>
      <c r="J55" s="8" t="s">
        <v>24</v>
      </c>
      <c r="K55" s="9" t="n">
        <v>7</v>
      </c>
    </row>
    <row r="56" customFormat="false" ht="21.75" hidden="false" customHeight="true" outlineLevel="0" collapsed="false">
      <c r="B56" s="10" t="n">
        <v>52</v>
      </c>
      <c r="C56" s="6" t="s">
        <v>13</v>
      </c>
      <c r="D56" s="10" t="s">
        <v>89</v>
      </c>
      <c r="E56" s="10" t="s">
        <v>27</v>
      </c>
      <c r="F56" s="10" t="s">
        <v>28</v>
      </c>
      <c r="G56" s="10" t="s">
        <v>29</v>
      </c>
      <c r="H56" s="10" t="s">
        <v>94</v>
      </c>
      <c r="I56" s="11" t="n">
        <v>705000</v>
      </c>
      <c r="J56" s="12" t="s">
        <v>31</v>
      </c>
      <c r="K56" s="13" t="n">
        <v>3</v>
      </c>
    </row>
    <row r="57" customFormat="false" ht="21.75" hidden="false" customHeight="true" outlineLevel="0" collapsed="false">
      <c r="B57" s="5" t="n">
        <v>53</v>
      </c>
      <c r="C57" s="6" t="s">
        <v>13</v>
      </c>
      <c r="D57" s="5" t="s">
        <v>89</v>
      </c>
      <c r="E57" s="5" t="s">
        <v>27</v>
      </c>
      <c r="F57" s="5" t="s">
        <v>28</v>
      </c>
      <c r="G57" s="5" t="s">
        <v>65</v>
      </c>
      <c r="H57" s="5" t="s">
        <v>95</v>
      </c>
      <c r="I57" s="7" t="n">
        <v>372000</v>
      </c>
      <c r="J57" s="8" t="s">
        <v>19</v>
      </c>
      <c r="K57" s="9" t="n">
        <v>124</v>
      </c>
    </row>
    <row r="58" customFormat="false" ht="21.75" hidden="false" customHeight="true" outlineLevel="0" collapsed="false">
      <c r="B58" s="10" t="n">
        <v>54</v>
      </c>
      <c r="C58" s="15" t="s">
        <v>96</v>
      </c>
      <c r="D58" s="10" t="s">
        <v>97</v>
      </c>
      <c r="E58" s="10" t="s">
        <v>15</v>
      </c>
      <c r="F58" s="10" t="s">
        <v>16</v>
      </c>
      <c r="G58" s="10" t="s">
        <v>17</v>
      </c>
      <c r="H58" s="10" t="s">
        <v>98</v>
      </c>
      <c r="I58" s="11" t="n">
        <v>10000000</v>
      </c>
      <c r="J58" s="12" t="s">
        <v>19</v>
      </c>
      <c r="K58" s="13" t="n">
        <v>5000</v>
      </c>
    </row>
    <row r="59" customFormat="false" ht="21.75" hidden="false" customHeight="true" outlineLevel="0" collapsed="false">
      <c r="B59" s="5" t="n">
        <v>55</v>
      </c>
      <c r="C59" s="15" t="s">
        <v>96</v>
      </c>
      <c r="D59" s="5" t="s">
        <v>97</v>
      </c>
      <c r="E59" s="5" t="s">
        <v>20</v>
      </c>
      <c r="F59" s="5" t="s">
        <v>21</v>
      </c>
      <c r="G59" s="5" t="s">
        <v>22</v>
      </c>
      <c r="H59" s="5" t="s">
        <v>99</v>
      </c>
      <c r="I59" s="7" t="n">
        <v>2000000</v>
      </c>
      <c r="J59" s="8" t="s">
        <v>24</v>
      </c>
      <c r="K59" s="9" t="n">
        <v>4</v>
      </c>
    </row>
    <row r="60" customFormat="false" ht="21.75" hidden="false" customHeight="true" outlineLevel="0" collapsed="false">
      <c r="B60" s="10" t="n">
        <v>56</v>
      </c>
      <c r="C60" s="15" t="s">
        <v>96</v>
      </c>
      <c r="D60" s="10" t="s">
        <v>97</v>
      </c>
      <c r="E60" s="10" t="s">
        <v>27</v>
      </c>
      <c r="F60" s="10" t="s">
        <v>28</v>
      </c>
      <c r="G60" s="10" t="s">
        <v>37</v>
      </c>
      <c r="H60" s="10" t="s">
        <v>100</v>
      </c>
      <c r="I60" s="11" t="n">
        <v>300000</v>
      </c>
      <c r="J60" s="12" t="s">
        <v>31</v>
      </c>
      <c r="K60" s="13" t="n">
        <v>1</v>
      </c>
    </row>
    <row r="61" customFormat="false" ht="21.75" hidden="false" customHeight="true" outlineLevel="0" collapsed="false">
      <c r="B61" s="5" t="n">
        <v>57</v>
      </c>
      <c r="C61" s="15" t="s">
        <v>96</v>
      </c>
      <c r="D61" s="5" t="s">
        <v>97</v>
      </c>
      <c r="E61" s="5" t="s">
        <v>54</v>
      </c>
      <c r="F61" s="5" t="s">
        <v>55</v>
      </c>
      <c r="G61" s="5" t="s">
        <v>70</v>
      </c>
      <c r="H61" s="5" t="s">
        <v>101</v>
      </c>
      <c r="I61" s="7" t="n">
        <v>100000</v>
      </c>
      <c r="J61" s="8" t="s">
        <v>31</v>
      </c>
      <c r="K61" s="9" t="n">
        <v>200</v>
      </c>
    </row>
    <row r="62" customFormat="false" ht="21.75" hidden="false" customHeight="true" outlineLevel="0" collapsed="false">
      <c r="B62" s="10" t="n">
        <v>58</v>
      </c>
      <c r="C62" s="15" t="s">
        <v>96</v>
      </c>
      <c r="D62" s="10" t="s">
        <v>102</v>
      </c>
      <c r="E62" s="10" t="s">
        <v>15</v>
      </c>
      <c r="F62" s="10" t="s">
        <v>16</v>
      </c>
      <c r="G62" s="10" t="s">
        <v>17</v>
      </c>
      <c r="H62" s="10" t="s">
        <v>103</v>
      </c>
      <c r="I62" s="11" t="n">
        <v>3000000</v>
      </c>
      <c r="J62" s="12" t="s">
        <v>19</v>
      </c>
      <c r="K62" s="13" t="n">
        <v>1500</v>
      </c>
    </row>
    <row r="63" customFormat="false" ht="21.75" hidden="false" customHeight="true" outlineLevel="0" collapsed="false">
      <c r="B63" s="5" t="n">
        <v>59</v>
      </c>
      <c r="C63" s="15" t="s">
        <v>96</v>
      </c>
      <c r="D63" s="5" t="s">
        <v>102</v>
      </c>
      <c r="E63" s="5" t="s">
        <v>20</v>
      </c>
      <c r="F63" s="5" t="s">
        <v>21</v>
      </c>
      <c r="G63" s="5" t="s">
        <v>22</v>
      </c>
      <c r="H63" s="5" t="s">
        <v>104</v>
      </c>
      <c r="I63" s="7" t="n">
        <v>5000000</v>
      </c>
      <c r="J63" s="8" t="s">
        <v>31</v>
      </c>
      <c r="K63" s="9" t="n">
        <v>1</v>
      </c>
    </row>
    <row r="64" customFormat="false" ht="21.75" hidden="false" customHeight="true" outlineLevel="0" collapsed="false">
      <c r="B64" s="10" t="n">
        <v>60</v>
      </c>
      <c r="C64" s="15" t="s">
        <v>96</v>
      </c>
      <c r="D64" s="10" t="s">
        <v>105</v>
      </c>
      <c r="E64" s="10" t="s">
        <v>15</v>
      </c>
      <c r="F64" s="10" t="s">
        <v>16</v>
      </c>
      <c r="G64" s="10" t="s">
        <v>17</v>
      </c>
      <c r="H64" s="10" t="s">
        <v>106</v>
      </c>
      <c r="I64" s="11" t="n">
        <v>3000000</v>
      </c>
      <c r="J64" s="12" t="s">
        <v>19</v>
      </c>
      <c r="K64" s="13" t="n">
        <v>1500</v>
      </c>
    </row>
    <row r="65" customFormat="false" ht="21.75" hidden="false" customHeight="true" outlineLevel="0" collapsed="false">
      <c r="B65" s="5" t="n">
        <v>61</v>
      </c>
      <c r="C65" s="15" t="s">
        <v>96</v>
      </c>
      <c r="D65" s="5" t="s">
        <v>105</v>
      </c>
      <c r="E65" s="5" t="s">
        <v>20</v>
      </c>
      <c r="F65" s="5" t="s">
        <v>21</v>
      </c>
      <c r="G65" s="5" t="s">
        <v>22</v>
      </c>
      <c r="H65" s="5" t="s">
        <v>107</v>
      </c>
      <c r="I65" s="7" t="n">
        <v>3000000</v>
      </c>
      <c r="J65" s="8" t="s">
        <v>24</v>
      </c>
      <c r="K65" s="9" t="n">
        <v>6</v>
      </c>
    </row>
    <row r="66" customFormat="false" ht="21.75" hidden="false" customHeight="true" outlineLevel="0" collapsed="false">
      <c r="B66" s="10" t="n">
        <v>62</v>
      </c>
      <c r="C66" s="15" t="s">
        <v>96</v>
      </c>
      <c r="D66" s="10" t="s">
        <v>108</v>
      </c>
      <c r="E66" s="10" t="s">
        <v>15</v>
      </c>
      <c r="F66" s="10" t="s">
        <v>16</v>
      </c>
      <c r="G66" s="10" t="s">
        <v>17</v>
      </c>
      <c r="H66" s="10" t="s">
        <v>109</v>
      </c>
      <c r="I66" s="11" t="n">
        <v>6000000</v>
      </c>
      <c r="J66" s="12" t="s">
        <v>19</v>
      </c>
      <c r="K66" s="13" t="n">
        <v>3000</v>
      </c>
    </row>
    <row r="67" customFormat="false" ht="21.75" hidden="false" customHeight="true" outlineLevel="0" collapsed="false">
      <c r="B67" s="5" t="n">
        <v>63</v>
      </c>
      <c r="C67" s="15" t="s">
        <v>96</v>
      </c>
      <c r="D67" s="5" t="s">
        <v>108</v>
      </c>
      <c r="E67" s="5" t="s">
        <v>20</v>
      </c>
      <c r="F67" s="5" t="s">
        <v>21</v>
      </c>
      <c r="G67" s="5" t="s">
        <v>22</v>
      </c>
      <c r="H67" s="5" t="s">
        <v>110</v>
      </c>
      <c r="I67" s="7" t="n">
        <v>6000000</v>
      </c>
      <c r="J67" s="8" t="s">
        <v>24</v>
      </c>
      <c r="K67" s="9" t="n">
        <v>12</v>
      </c>
    </row>
    <row r="68" customFormat="false" ht="21.75" hidden="false" customHeight="true" outlineLevel="0" collapsed="false">
      <c r="B68" s="10" t="n">
        <v>64</v>
      </c>
      <c r="C68" s="15" t="s">
        <v>96</v>
      </c>
      <c r="D68" s="10" t="s">
        <v>111</v>
      </c>
      <c r="E68" s="10" t="s">
        <v>15</v>
      </c>
      <c r="F68" s="10" t="s">
        <v>16</v>
      </c>
      <c r="G68" s="10" t="s">
        <v>17</v>
      </c>
      <c r="H68" s="10" t="s">
        <v>112</v>
      </c>
      <c r="I68" s="11" t="n">
        <v>3000000</v>
      </c>
      <c r="J68" s="12" t="s">
        <v>19</v>
      </c>
      <c r="K68" s="13" t="n">
        <v>1500</v>
      </c>
    </row>
    <row r="69" customFormat="false" ht="21.75" hidden="false" customHeight="true" outlineLevel="0" collapsed="false">
      <c r="B69" s="5" t="n">
        <v>65</v>
      </c>
      <c r="C69" s="15" t="s">
        <v>96</v>
      </c>
      <c r="D69" s="5" t="s">
        <v>113</v>
      </c>
      <c r="E69" s="5" t="s">
        <v>15</v>
      </c>
      <c r="F69" s="5" t="s">
        <v>16</v>
      </c>
      <c r="G69" s="5" t="s">
        <v>17</v>
      </c>
      <c r="H69" s="5" t="s">
        <v>114</v>
      </c>
      <c r="I69" s="7" t="n">
        <v>1000000</v>
      </c>
      <c r="J69" s="8" t="s">
        <v>19</v>
      </c>
      <c r="K69" s="9" t="n">
        <v>500</v>
      </c>
    </row>
    <row r="70" customFormat="false" ht="21.75" hidden="false" customHeight="true" outlineLevel="0" collapsed="false">
      <c r="B70" s="10" t="n">
        <v>66</v>
      </c>
      <c r="C70" s="15" t="s">
        <v>96</v>
      </c>
      <c r="D70" s="10" t="s">
        <v>115</v>
      </c>
      <c r="E70" s="10" t="s">
        <v>15</v>
      </c>
      <c r="F70" s="10" t="s">
        <v>16</v>
      </c>
      <c r="G70" s="10" t="s">
        <v>17</v>
      </c>
      <c r="H70" s="10" t="s">
        <v>116</v>
      </c>
      <c r="I70" s="11" t="n">
        <v>1000000</v>
      </c>
      <c r="J70" s="12" t="s">
        <v>19</v>
      </c>
      <c r="K70" s="13" t="n">
        <v>500</v>
      </c>
    </row>
    <row r="71" customFormat="false" ht="21.75" hidden="false" customHeight="true" outlineLevel="0" collapsed="false">
      <c r="B71" s="5" t="n">
        <v>67</v>
      </c>
      <c r="C71" s="15" t="s">
        <v>96</v>
      </c>
      <c r="D71" s="5" t="s">
        <v>117</v>
      </c>
      <c r="E71" s="5" t="s">
        <v>15</v>
      </c>
      <c r="F71" s="5" t="s">
        <v>16</v>
      </c>
      <c r="G71" s="5" t="s">
        <v>17</v>
      </c>
      <c r="H71" s="5" t="s">
        <v>118</v>
      </c>
      <c r="I71" s="7" t="n">
        <v>6600000</v>
      </c>
      <c r="J71" s="8" t="s">
        <v>19</v>
      </c>
      <c r="K71" s="9" t="n">
        <v>3300</v>
      </c>
    </row>
    <row r="72" customFormat="false" ht="21.75" hidden="false" customHeight="true" outlineLevel="0" collapsed="false">
      <c r="B72" s="10" t="n">
        <v>68</v>
      </c>
      <c r="C72" s="16" t="s">
        <v>119</v>
      </c>
      <c r="D72" s="10" t="s">
        <v>120</v>
      </c>
      <c r="E72" s="10" t="s">
        <v>15</v>
      </c>
      <c r="F72" s="10" t="s">
        <v>16</v>
      </c>
      <c r="G72" s="10" t="s">
        <v>17</v>
      </c>
      <c r="H72" s="10" t="s">
        <v>121</v>
      </c>
      <c r="I72" s="11" t="n">
        <v>1805475</v>
      </c>
      <c r="J72" s="12" t="s">
        <v>19</v>
      </c>
      <c r="K72" s="13" t="n">
        <v>903</v>
      </c>
    </row>
    <row r="73" customFormat="false" ht="21.75" hidden="false" customHeight="true" outlineLevel="0" collapsed="false">
      <c r="B73" s="5" t="n">
        <v>69</v>
      </c>
      <c r="C73" s="16" t="s">
        <v>119</v>
      </c>
      <c r="D73" s="5" t="s">
        <v>120</v>
      </c>
      <c r="E73" s="5" t="s">
        <v>15</v>
      </c>
      <c r="F73" s="5" t="s">
        <v>16</v>
      </c>
      <c r="G73" s="5" t="s">
        <v>17</v>
      </c>
      <c r="H73" s="5" t="s">
        <v>122</v>
      </c>
      <c r="I73" s="7" t="n">
        <v>2587200</v>
      </c>
      <c r="J73" s="8" t="s">
        <v>19</v>
      </c>
      <c r="K73" s="9" t="n">
        <v>1294</v>
      </c>
    </row>
    <row r="74" customFormat="false" ht="21.75" hidden="false" customHeight="true" outlineLevel="0" collapsed="false">
      <c r="B74" s="10" t="n">
        <v>70</v>
      </c>
      <c r="C74" s="16" t="s">
        <v>119</v>
      </c>
      <c r="D74" s="10" t="s">
        <v>120</v>
      </c>
      <c r="E74" s="10" t="s">
        <v>20</v>
      </c>
      <c r="F74" s="10" t="s">
        <v>21</v>
      </c>
      <c r="G74" s="10" t="s">
        <v>22</v>
      </c>
      <c r="H74" s="10" t="s">
        <v>52</v>
      </c>
      <c r="I74" s="11" t="n">
        <v>3500000</v>
      </c>
      <c r="J74" s="12" t="s">
        <v>24</v>
      </c>
      <c r="K74" s="13" t="n">
        <v>7</v>
      </c>
    </row>
    <row r="75" customFormat="false" ht="21.75" hidden="false" customHeight="true" outlineLevel="0" collapsed="false">
      <c r="B75" s="5" t="n">
        <v>71</v>
      </c>
      <c r="C75" s="16" t="s">
        <v>119</v>
      </c>
      <c r="D75" s="5" t="s">
        <v>120</v>
      </c>
      <c r="E75" s="5" t="s">
        <v>27</v>
      </c>
      <c r="F75" s="5" t="s">
        <v>28</v>
      </c>
      <c r="G75" s="5" t="s">
        <v>123</v>
      </c>
      <c r="H75" s="14" t="s">
        <v>124</v>
      </c>
      <c r="I75" s="7" t="n">
        <v>870000</v>
      </c>
      <c r="J75" s="8" t="s">
        <v>31</v>
      </c>
      <c r="K75" s="9" t="n">
        <v>4</v>
      </c>
    </row>
    <row r="76" customFormat="false" ht="21.75" hidden="false" customHeight="true" outlineLevel="0" collapsed="false">
      <c r="B76" s="10" t="n">
        <v>72</v>
      </c>
      <c r="C76" s="16" t="s">
        <v>119</v>
      </c>
      <c r="D76" s="10" t="s">
        <v>120</v>
      </c>
      <c r="E76" s="10" t="s">
        <v>15</v>
      </c>
      <c r="F76" s="10" t="s">
        <v>16</v>
      </c>
      <c r="G76" s="10" t="s">
        <v>125</v>
      </c>
      <c r="H76" s="10" t="s">
        <v>126</v>
      </c>
      <c r="I76" s="11" t="n">
        <v>500000</v>
      </c>
      <c r="J76" s="12" t="s">
        <v>19</v>
      </c>
      <c r="K76" s="13" t="n">
        <v>167</v>
      </c>
    </row>
    <row r="77" customFormat="false" ht="25.5" hidden="false" customHeight="true" outlineLevel="0" collapsed="false">
      <c r="B77" s="17" t="s">
        <v>127</v>
      </c>
      <c r="C77" s="17"/>
      <c r="D77" s="17"/>
      <c r="E77" s="17"/>
      <c r="F77" s="17"/>
      <c r="G77" s="17"/>
      <c r="H77" s="17"/>
      <c r="I77" s="18" t="n">
        <f aca="false">SUM(I5:I76)</f>
        <v>130262675</v>
      </c>
      <c r="J77" s="17"/>
      <c r="K77" s="17"/>
    </row>
  </sheetData>
  <mergeCells count="3">
    <mergeCell ref="B2:K2"/>
    <mergeCell ref="B3:I3"/>
    <mergeCell ref="J3:K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8A84"/>
    <pageSetUpPr fitToPage="false"/>
  </sheetPr>
  <dimension ref="B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0"/>
  </cols>
  <sheetData>
    <row r="1" customFormat="false" ht="15" hidden="false" customHeight="true" outlineLevel="0" collapsed="false"/>
    <row r="2" customFormat="false" ht="31.5" hidden="false" customHeight="true" outlineLevel="0" collapsed="false">
      <c r="B2" s="1" t="s">
        <v>128</v>
      </c>
      <c r="C2" s="1"/>
      <c r="D2" s="1"/>
      <c r="E2" s="1"/>
      <c r="F2" s="1"/>
    </row>
    <row r="3" customFormat="false" ht="7.5" hidden="false" customHeight="true" outlineLevel="0" collapsed="false"/>
    <row r="4" customFormat="false" ht="31.5" hidden="false" customHeight="true" outlineLevel="0" collapsed="false">
      <c r="B4" s="19" t="s">
        <v>129</v>
      </c>
      <c r="C4" s="20" t="s">
        <v>130</v>
      </c>
    </row>
    <row r="5" customFormat="false" ht="31.5" hidden="false" customHeight="true" outlineLevel="0" collapsed="false">
      <c r="B5" s="19" t="s">
        <v>131</v>
      </c>
      <c r="C5" s="20" t="s">
        <v>132</v>
      </c>
    </row>
    <row r="6" customFormat="false" ht="31.5" hidden="false" customHeight="true" outlineLevel="0" collapsed="false">
      <c r="B6" s="19" t="s">
        <v>133</v>
      </c>
      <c r="C6" s="20" t="s">
        <v>134</v>
      </c>
    </row>
    <row r="7" customFormat="false" ht="31.5" hidden="false" customHeight="true" outlineLevel="0" collapsed="false">
      <c r="B7" s="19" t="s">
        <v>135</v>
      </c>
      <c r="C7" s="20" t="s">
        <v>136</v>
      </c>
    </row>
    <row r="8" customFormat="false" ht="31.5" hidden="false" customHeight="true" outlineLevel="0" collapsed="false">
      <c r="B8" s="19" t="s">
        <v>137</v>
      </c>
      <c r="C8" s="20" t="s">
        <v>138</v>
      </c>
    </row>
    <row r="9" customFormat="false" ht="31.5" hidden="false" customHeight="true" outlineLevel="0" collapsed="false">
      <c r="B9" s="19" t="s">
        <v>139</v>
      </c>
      <c r="C9" s="20" t="s">
        <v>140</v>
      </c>
    </row>
    <row r="10" customFormat="false" ht="31.5" hidden="false" customHeight="true" outlineLevel="0" collapsed="false">
      <c r="B10" s="19" t="s">
        <v>141</v>
      </c>
      <c r="C10" s="20" t="s">
        <v>142</v>
      </c>
    </row>
    <row r="11" customFormat="false" ht="31.5" hidden="false" customHeight="true" outlineLevel="0" collapsed="false">
      <c r="B11" s="19" t="s">
        <v>143</v>
      </c>
      <c r="C11" s="20" t="s">
        <v>144</v>
      </c>
    </row>
    <row r="12" customFormat="false" ht="31.5" hidden="false" customHeight="true" outlineLevel="0" collapsed="false">
      <c r="B12" s="19" t="s">
        <v>145</v>
      </c>
      <c r="C12" s="20" t="s">
        <v>146</v>
      </c>
    </row>
  </sheetData>
  <mergeCells count="1">
    <mergeCell ref="B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14"/>
    <col collapsed="false" customWidth="true" hidden="false" outlineLevel="0" max="4" min="4" style="0" width="18"/>
    <col collapsed="false" customWidth="true" hidden="false" outlineLevel="0" max="5" min="5" style="0" width="9"/>
    <col collapsed="false" customWidth="true" hidden="false" outlineLevel="0" max="6" min="6" style="0" width="32"/>
    <col collapsed="false" customWidth="true" hidden="false" outlineLevel="0" max="7" min="7" style="0" width="28"/>
    <col collapsed="false" customWidth="true" hidden="false" outlineLevel="0" max="8" min="8" style="0" width="34"/>
    <col collapsed="false" customWidth="true" hidden="false" outlineLevel="0" max="9" min="9" style="0" width="14"/>
    <col collapsed="false" customWidth="true" hidden="false" outlineLevel="0" max="10" min="10" style="0" width="8"/>
    <col collapsed="false" customWidth="true" hidden="false" outlineLevel="0" max="11" min="11" style="0" width="12"/>
    <col collapsed="false" customWidth="true" hidden="false" outlineLevel="0" max="16" min="12" style="0" width="14"/>
    <col collapsed="false" customWidth="true" hidden="false" outlineLevel="0" max="19" min="17" style="0" width="16"/>
    <col collapsed="false" customWidth="true" hidden="false" outlineLevel="0" max="23" min="20" style="0" width="14"/>
    <col collapsed="false" customWidth="true" hidden="false" outlineLevel="0" max="24" min="24" style="0" width="24"/>
  </cols>
  <sheetData>
    <row r="1" customFormat="false" ht="15" hidden="false" customHeight="true" outlineLevel="0" collapsed="false"/>
    <row r="2" customFormat="false" ht="31.5" hidden="false" customHeight="true" outlineLevel="0" collapsed="false">
      <c r="B2" s="1" t="s">
        <v>147</v>
      </c>
      <c r="C2" s="1"/>
      <c r="D2" s="1"/>
      <c r="E2" s="1"/>
      <c r="F2" s="1"/>
      <c r="G2" s="1"/>
      <c r="H2" s="1"/>
      <c r="I2" s="1"/>
      <c r="J2" s="1"/>
      <c r="K2" s="1"/>
      <c r="L2" s="1"/>
      <c r="M2" s="1"/>
      <c r="N2" s="1"/>
      <c r="O2" s="1"/>
      <c r="P2" s="1"/>
      <c r="Q2" s="1"/>
      <c r="R2" s="1"/>
      <c r="S2" s="1"/>
      <c r="T2" s="1"/>
      <c r="U2" s="1"/>
      <c r="V2" s="1"/>
      <c r="W2" s="1"/>
      <c r="X2" s="1"/>
    </row>
    <row r="3" customFormat="false" ht="21.75" hidden="false" customHeight="true" outlineLevel="0" collapsed="false">
      <c r="B3" s="21" t="s">
        <v>148</v>
      </c>
      <c r="C3" s="22"/>
      <c r="D3" s="22"/>
      <c r="E3" s="23" t="s">
        <v>149</v>
      </c>
      <c r="F3" s="23"/>
      <c r="G3" s="23"/>
      <c r="H3" s="23"/>
      <c r="I3" s="23"/>
      <c r="J3" s="24" t="s">
        <v>133</v>
      </c>
      <c r="K3" s="24"/>
      <c r="L3" s="24"/>
      <c r="M3" s="24"/>
      <c r="N3" s="24"/>
      <c r="O3" s="24"/>
      <c r="P3" s="24"/>
      <c r="Q3" s="25" t="s">
        <v>150</v>
      </c>
      <c r="R3" s="25"/>
      <c r="S3" s="25"/>
      <c r="T3" s="25"/>
      <c r="U3" s="25"/>
      <c r="V3" s="25"/>
      <c r="W3" s="26" t="s">
        <v>151</v>
      </c>
      <c r="X3" s="26"/>
    </row>
    <row r="4" customFormat="false" ht="27.75" hidden="false" customHeight="true" outlineLevel="0" collapsed="false">
      <c r="B4" s="4" t="s">
        <v>3</v>
      </c>
      <c r="C4" s="4" t="s">
        <v>4</v>
      </c>
      <c r="D4" s="4" t="s">
        <v>5</v>
      </c>
      <c r="E4" s="4" t="s">
        <v>6</v>
      </c>
      <c r="F4" s="4" t="s">
        <v>7</v>
      </c>
      <c r="G4" s="4" t="s">
        <v>8</v>
      </c>
      <c r="H4" s="4" t="s">
        <v>9</v>
      </c>
      <c r="I4" s="4" t="s">
        <v>10</v>
      </c>
      <c r="J4" s="27" t="s">
        <v>11</v>
      </c>
      <c r="K4" s="27" t="s">
        <v>12</v>
      </c>
      <c r="L4" s="27" t="s">
        <v>152</v>
      </c>
      <c r="M4" s="27" t="s">
        <v>153</v>
      </c>
      <c r="N4" s="27" t="s">
        <v>154</v>
      </c>
      <c r="O4" s="27" t="s">
        <v>155</v>
      </c>
      <c r="P4" s="27" t="s">
        <v>156</v>
      </c>
      <c r="Q4" s="28" t="s">
        <v>157</v>
      </c>
      <c r="R4" s="28" t="s">
        <v>158</v>
      </c>
      <c r="S4" s="28" t="s">
        <v>159</v>
      </c>
      <c r="T4" s="28" t="s">
        <v>160</v>
      </c>
      <c r="U4" s="28" t="s">
        <v>161</v>
      </c>
      <c r="V4" s="28" t="s">
        <v>162</v>
      </c>
      <c r="W4" s="29" t="s">
        <v>163</v>
      </c>
      <c r="X4" s="29" t="s">
        <v>164</v>
      </c>
    </row>
    <row r="5" customFormat="false" ht="21.75" hidden="false" customHeight="true" outlineLevel="0" collapsed="false">
      <c r="B5" s="5" t="n">
        <v>1</v>
      </c>
      <c r="C5" s="6" t="s">
        <v>13</v>
      </c>
      <c r="D5" s="5" t="s">
        <v>14</v>
      </c>
      <c r="E5" s="5" t="s">
        <v>15</v>
      </c>
      <c r="F5" s="5" t="s">
        <v>16</v>
      </c>
      <c r="G5" s="5" t="s">
        <v>17</v>
      </c>
      <c r="H5" s="5" t="s">
        <v>18</v>
      </c>
      <c r="I5" s="7" t="n">
        <v>2091568</v>
      </c>
      <c r="J5" s="8" t="s">
        <v>19</v>
      </c>
      <c r="K5" s="9" t="n">
        <v>1046</v>
      </c>
      <c r="L5" s="30"/>
      <c r="M5" s="31" t="n">
        <f aca="false">L5</f>
        <v>0</v>
      </c>
      <c r="N5" s="32" t="n">
        <f aca="false">IFERROR(M5/K5,0)</f>
        <v>0</v>
      </c>
      <c r="O5" s="32" t="n">
        <v>0</v>
      </c>
      <c r="P5" s="32" t="n">
        <f aca="false">N5-O5</f>
        <v>0</v>
      </c>
      <c r="Q5" s="33"/>
      <c r="R5" s="33"/>
      <c r="S5" s="33"/>
      <c r="T5" s="34"/>
      <c r="U5" s="32" t="n">
        <v>0</v>
      </c>
      <c r="V5" s="32" t="n">
        <f aca="false">T5-U5</f>
        <v>0</v>
      </c>
      <c r="W5" s="32" t="n">
        <f aca="false">N5-T5</f>
        <v>0</v>
      </c>
      <c r="X5" s="35"/>
    </row>
    <row r="6" customFormat="false" ht="21.75" hidden="false" customHeight="true" outlineLevel="0" collapsed="false">
      <c r="B6" s="10" t="n">
        <v>2</v>
      </c>
      <c r="C6" s="6" t="s">
        <v>13</v>
      </c>
      <c r="D6" s="10" t="s">
        <v>14</v>
      </c>
      <c r="E6" s="10" t="s">
        <v>20</v>
      </c>
      <c r="F6" s="10" t="s">
        <v>21</v>
      </c>
      <c r="G6" s="10" t="s">
        <v>22</v>
      </c>
      <c r="H6" s="10" t="s">
        <v>23</v>
      </c>
      <c r="I6" s="11" t="n">
        <v>78000</v>
      </c>
      <c r="J6" s="12" t="s">
        <v>24</v>
      </c>
      <c r="K6" s="13" t="n">
        <v>1</v>
      </c>
      <c r="L6" s="30"/>
      <c r="M6" s="36" t="n">
        <f aca="false">L6</f>
        <v>0</v>
      </c>
      <c r="N6" s="37" t="n">
        <f aca="false">IFERROR(M6/K6,0)</f>
        <v>0</v>
      </c>
      <c r="O6" s="37" t="n">
        <v>0</v>
      </c>
      <c r="P6" s="37" t="n">
        <f aca="false">N6-O6</f>
        <v>0</v>
      </c>
      <c r="Q6" s="33"/>
      <c r="R6" s="33"/>
      <c r="S6" s="33"/>
      <c r="T6" s="34"/>
      <c r="U6" s="37" t="n">
        <v>0</v>
      </c>
      <c r="V6" s="37" t="n">
        <f aca="false">T6-U6</f>
        <v>0</v>
      </c>
      <c r="W6" s="37" t="n">
        <f aca="false">N6-T6</f>
        <v>0</v>
      </c>
      <c r="X6" s="35"/>
    </row>
    <row r="7" customFormat="false" ht="21.75" hidden="false" customHeight="true" outlineLevel="0" collapsed="false">
      <c r="B7" s="5" t="n">
        <v>3</v>
      </c>
      <c r="C7" s="6" t="s">
        <v>13</v>
      </c>
      <c r="D7" s="5" t="s">
        <v>14</v>
      </c>
      <c r="E7" s="5" t="s">
        <v>15</v>
      </c>
      <c r="F7" s="5" t="s">
        <v>16</v>
      </c>
      <c r="G7" s="5" t="s">
        <v>25</v>
      </c>
      <c r="H7" s="5" t="s">
        <v>26</v>
      </c>
      <c r="I7" s="7" t="n">
        <v>126000</v>
      </c>
      <c r="J7" s="8" t="s">
        <v>19</v>
      </c>
      <c r="K7" s="9" t="n">
        <v>42</v>
      </c>
      <c r="L7" s="30"/>
      <c r="M7" s="31" t="n">
        <f aca="false">L7</f>
        <v>0</v>
      </c>
      <c r="N7" s="32" t="n">
        <f aca="false">IFERROR(M7/K7,0)</f>
        <v>0</v>
      </c>
      <c r="O7" s="32" t="n">
        <v>0</v>
      </c>
      <c r="P7" s="32" t="n">
        <f aca="false">N7-O7</f>
        <v>0</v>
      </c>
      <c r="Q7" s="33"/>
      <c r="R7" s="33"/>
      <c r="S7" s="33"/>
      <c r="T7" s="34"/>
      <c r="U7" s="32" t="n">
        <v>0</v>
      </c>
      <c r="V7" s="32" t="n">
        <f aca="false">T7-U7</f>
        <v>0</v>
      </c>
      <c r="W7" s="32" t="n">
        <f aca="false">N7-T7</f>
        <v>0</v>
      </c>
      <c r="X7" s="35"/>
    </row>
    <row r="8" customFormat="false" ht="21.75" hidden="false" customHeight="true" outlineLevel="0" collapsed="false">
      <c r="B8" s="10" t="n">
        <v>4</v>
      </c>
      <c r="C8" s="6" t="s">
        <v>13</v>
      </c>
      <c r="D8" s="10" t="s">
        <v>14</v>
      </c>
      <c r="E8" s="10" t="s">
        <v>27</v>
      </c>
      <c r="F8" s="10" t="s">
        <v>28</v>
      </c>
      <c r="G8" s="10" t="s">
        <v>29</v>
      </c>
      <c r="H8" s="10" t="s">
        <v>30</v>
      </c>
      <c r="I8" s="11" t="n">
        <v>165500</v>
      </c>
      <c r="J8" s="12" t="s">
        <v>31</v>
      </c>
      <c r="K8" s="13" t="n">
        <v>3</v>
      </c>
      <c r="L8" s="30"/>
      <c r="M8" s="36" t="n">
        <f aca="false">L8</f>
        <v>0</v>
      </c>
      <c r="N8" s="37" t="n">
        <f aca="false">IFERROR(M8/K8,0)</f>
        <v>0</v>
      </c>
      <c r="O8" s="37" t="n">
        <v>0</v>
      </c>
      <c r="P8" s="37" t="n">
        <f aca="false">N8-O8</f>
        <v>0</v>
      </c>
      <c r="Q8" s="33"/>
      <c r="R8" s="33"/>
      <c r="S8" s="33"/>
      <c r="T8" s="34"/>
      <c r="U8" s="37" t="n">
        <v>0</v>
      </c>
      <c r="V8" s="37" t="n">
        <f aca="false">T8-U8</f>
        <v>0</v>
      </c>
      <c r="W8" s="37" t="n">
        <f aca="false">N8-T8</f>
        <v>0</v>
      </c>
      <c r="X8" s="35"/>
    </row>
    <row r="9" customFormat="false" ht="21.75" hidden="false" customHeight="true" outlineLevel="0" collapsed="false">
      <c r="B9" s="5" t="n">
        <v>5</v>
      </c>
      <c r="C9" s="6" t="s">
        <v>13</v>
      </c>
      <c r="D9" s="5" t="s">
        <v>32</v>
      </c>
      <c r="E9" s="5" t="s">
        <v>15</v>
      </c>
      <c r="F9" s="5" t="s">
        <v>16</v>
      </c>
      <c r="G9" s="5" t="s">
        <v>17</v>
      </c>
      <c r="H9" s="5" t="s">
        <v>33</v>
      </c>
      <c r="I9" s="7" t="n">
        <v>1000000</v>
      </c>
      <c r="J9" s="8" t="s">
        <v>19</v>
      </c>
      <c r="K9" s="9" t="n">
        <v>500</v>
      </c>
      <c r="L9" s="30"/>
      <c r="M9" s="31" t="n">
        <f aca="false">L9</f>
        <v>0</v>
      </c>
      <c r="N9" s="32" t="n">
        <f aca="false">IFERROR(M9/K9,0)</f>
        <v>0</v>
      </c>
      <c r="O9" s="32" t="n">
        <v>0</v>
      </c>
      <c r="P9" s="32" t="n">
        <f aca="false">N9-O9</f>
        <v>0</v>
      </c>
      <c r="Q9" s="33"/>
      <c r="R9" s="33"/>
      <c r="S9" s="33"/>
      <c r="T9" s="34"/>
      <c r="U9" s="32" t="n">
        <v>0</v>
      </c>
      <c r="V9" s="32" t="n">
        <f aca="false">T9-U9</f>
        <v>0</v>
      </c>
      <c r="W9" s="32" t="n">
        <f aca="false">N9-T9</f>
        <v>0</v>
      </c>
      <c r="X9" s="35"/>
    </row>
    <row r="10" customFormat="false" ht="21.75" hidden="false" customHeight="true" outlineLevel="0" collapsed="false">
      <c r="B10" s="10" t="n">
        <v>6</v>
      </c>
      <c r="C10" s="6" t="s">
        <v>13</v>
      </c>
      <c r="D10" s="10" t="s">
        <v>32</v>
      </c>
      <c r="E10" s="10" t="s">
        <v>15</v>
      </c>
      <c r="F10" s="10" t="s">
        <v>16</v>
      </c>
      <c r="G10" s="10"/>
      <c r="H10" s="10" t="s">
        <v>34</v>
      </c>
      <c r="I10" s="11" t="n">
        <v>846731</v>
      </c>
      <c r="J10" s="12" t="s">
        <v>19</v>
      </c>
      <c r="K10" s="13" t="n">
        <v>423</v>
      </c>
      <c r="L10" s="30"/>
      <c r="M10" s="36" t="n">
        <f aca="false">L10</f>
        <v>0</v>
      </c>
      <c r="N10" s="37" t="n">
        <f aca="false">IFERROR(M10/K10,0)</f>
        <v>0</v>
      </c>
      <c r="O10" s="37" t="n">
        <v>0</v>
      </c>
      <c r="P10" s="37" t="n">
        <f aca="false">N10-O10</f>
        <v>0</v>
      </c>
      <c r="Q10" s="33"/>
      <c r="R10" s="33"/>
      <c r="S10" s="33"/>
      <c r="T10" s="34"/>
      <c r="U10" s="37" t="n">
        <v>0</v>
      </c>
      <c r="V10" s="37" t="n">
        <f aca="false">T10-U10</f>
        <v>0</v>
      </c>
      <c r="W10" s="37" t="n">
        <f aca="false">N10-T10</f>
        <v>0</v>
      </c>
      <c r="X10" s="35"/>
    </row>
    <row r="11" customFormat="false" ht="21.75" hidden="false" customHeight="true" outlineLevel="0" collapsed="false">
      <c r="B11" s="5" t="n">
        <v>7</v>
      </c>
      <c r="C11" s="6" t="s">
        <v>13</v>
      </c>
      <c r="D11" s="5" t="s">
        <v>32</v>
      </c>
      <c r="E11" s="5" t="s">
        <v>15</v>
      </c>
      <c r="F11" s="5" t="s">
        <v>16</v>
      </c>
      <c r="G11" s="5" t="s">
        <v>25</v>
      </c>
      <c r="H11" s="5" t="s">
        <v>35</v>
      </c>
      <c r="I11" s="7" t="n">
        <v>200000</v>
      </c>
      <c r="J11" s="8" t="s">
        <v>19</v>
      </c>
      <c r="K11" s="9" t="n">
        <v>67</v>
      </c>
      <c r="L11" s="30"/>
      <c r="M11" s="31" t="n">
        <f aca="false">L11</f>
        <v>0</v>
      </c>
      <c r="N11" s="32" t="n">
        <f aca="false">IFERROR(M11/K11,0)</f>
        <v>0</v>
      </c>
      <c r="O11" s="32" t="n">
        <v>0</v>
      </c>
      <c r="P11" s="32" t="n">
        <f aca="false">N11-O11</f>
        <v>0</v>
      </c>
      <c r="Q11" s="33"/>
      <c r="R11" s="33"/>
      <c r="S11" s="33"/>
      <c r="T11" s="34"/>
      <c r="U11" s="32" t="n">
        <v>0</v>
      </c>
      <c r="V11" s="32" t="n">
        <f aca="false">T11-U11</f>
        <v>0</v>
      </c>
      <c r="W11" s="32" t="n">
        <f aca="false">N11-T11</f>
        <v>0</v>
      </c>
      <c r="X11" s="35"/>
    </row>
    <row r="12" customFormat="false" ht="21.75" hidden="false" customHeight="true" outlineLevel="0" collapsed="false">
      <c r="B12" s="10" t="n">
        <v>8</v>
      </c>
      <c r="C12" s="6" t="s">
        <v>13</v>
      </c>
      <c r="D12" s="10" t="s">
        <v>32</v>
      </c>
      <c r="E12" s="10" t="s">
        <v>27</v>
      </c>
      <c r="F12" s="10" t="s">
        <v>28</v>
      </c>
      <c r="G12" s="10" t="s">
        <v>29</v>
      </c>
      <c r="H12" s="10" t="s">
        <v>36</v>
      </c>
      <c r="I12" s="11" t="n">
        <v>141900</v>
      </c>
      <c r="J12" s="12" t="s">
        <v>31</v>
      </c>
      <c r="K12" s="13" t="n">
        <v>3</v>
      </c>
      <c r="L12" s="30"/>
      <c r="M12" s="36" t="n">
        <f aca="false">L12</f>
        <v>0</v>
      </c>
      <c r="N12" s="37" t="n">
        <f aca="false">IFERROR(M12/K12,0)</f>
        <v>0</v>
      </c>
      <c r="O12" s="37" t="n">
        <v>0</v>
      </c>
      <c r="P12" s="37" t="n">
        <f aca="false">N12-O12</f>
        <v>0</v>
      </c>
      <c r="Q12" s="33"/>
      <c r="R12" s="33"/>
      <c r="S12" s="33"/>
      <c r="T12" s="34"/>
      <c r="U12" s="37" t="n">
        <v>0</v>
      </c>
      <c r="V12" s="37" t="n">
        <f aca="false">T12-U12</f>
        <v>0</v>
      </c>
      <c r="W12" s="37" t="n">
        <f aca="false">N12-T12</f>
        <v>0</v>
      </c>
      <c r="X12" s="35"/>
    </row>
    <row r="13" customFormat="false" ht="21.75" hidden="false" customHeight="true" outlineLevel="0" collapsed="false">
      <c r="B13" s="5" t="n">
        <v>9</v>
      </c>
      <c r="C13" s="6" t="s">
        <v>13</v>
      </c>
      <c r="D13" s="5" t="s">
        <v>32</v>
      </c>
      <c r="E13" s="5" t="s">
        <v>27</v>
      </c>
      <c r="F13" s="5" t="s">
        <v>28</v>
      </c>
      <c r="G13" s="5" t="s">
        <v>37</v>
      </c>
      <c r="H13" s="5" t="s">
        <v>38</v>
      </c>
      <c r="I13" s="7" t="n">
        <v>26700</v>
      </c>
      <c r="J13" s="8" t="s">
        <v>31</v>
      </c>
      <c r="K13" s="9" t="n">
        <v>1</v>
      </c>
      <c r="L13" s="30"/>
      <c r="M13" s="31" t="n">
        <f aca="false">L13</f>
        <v>0</v>
      </c>
      <c r="N13" s="32" t="n">
        <f aca="false">IFERROR(M13/K13,0)</f>
        <v>0</v>
      </c>
      <c r="O13" s="32" t="n">
        <v>0</v>
      </c>
      <c r="P13" s="32" t="n">
        <f aca="false">N13-O13</f>
        <v>0</v>
      </c>
      <c r="Q13" s="33"/>
      <c r="R13" s="33"/>
      <c r="S13" s="33"/>
      <c r="T13" s="34"/>
      <c r="U13" s="32" t="n">
        <v>0</v>
      </c>
      <c r="V13" s="32" t="n">
        <f aca="false">T13-U13</f>
        <v>0</v>
      </c>
      <c r="W13" s="32" t="n">
        <f aca="false">N13-T13</f>
        <v>0</v>
      </c>
      <c r="X13" s="35"/>
    </row>
    <row r="14" customFormat="false" ht="21.75" hidden="false" customHeight="true" outlineLevel="0" collapsed="false">
      <c r="B14" s="10" t="n">
        <v>10</v>
      </c>
      <c r="C14" s="6" t="s">
        <v>13</v>
      </c>
      <c r="D14" s="10" t="s">
        <v>32</v>
      </c>
      <c r="E14" s="10" t="s">
        <v>27</v>
      </c>
      <c r="F14" s="10" t="s">
        <v>28</v>
      </c>
      <c r="G14" s="10" t="s">
        <v>39</v>
      </c>
      <c r="H14" s="10" t="s">
        <v>40</v>
      </c>
      <c r="I14" s="11" t="n">
        <v>480000</v>
      </c>
      <c r="J14" s="12" t="s">
        <v>41</v>
      </c>
      <c r="K14" s="13" t="n">
        <v>320</v>
      </c>
      <c r="L14" s="30"/>
      <c r="M14" s="36" t="n">
        <f aca="false">L14</f>
        <v>0</v>
      </c>
      <c r="N14" s="37" t="n">
        <f aca="false">IFERROR(M14/K14,0)</f>
        <v>0</v>
      </c>
      <c r="O14" s="37" t="n">
        <v>0</v>
      </c>
      <c r="P14" s="37" t="n">
        <f aca="false">N14-O14</f>
        <v>0</v>
      </c>
      <c r="Q14" s="33"/>
      <c r="R14" s="33"/>
      <c r="S14" s="33"/>
      <c r="T14" s="34"/>
      <c r="U14" s="37" t="n">
        <v>0</v>
      </c>
      <c r="V14" s="37" t="n">
        <f aca="false">T14-U14</f>
        <v>0</v>
      </c>
      <c r="W14" s="37" t="n">
        <f aca="false">N14-T14</f>
        <v>0</v>
      </c>
      <c r="X14" s="35"/>
    </row>
    <row r="15" customFormat="false" ht="21.75" hidden="false" customHeight="true" outlineLevel="0" collapsed="false">
      <c r="B15" s="5" t="n">
        <v>11</v>
      </c>
      <c r="C15" s="6" t="s">
        <v>13</v>
      </c>
      <c r="D15" s="5" t="s">
        <v>32</v>
      </c>
      <c r="E15" s="5" t="s">
        <v>27</v>
      </c>
      <c r="F15" s="5" t="s">
        <v>28</v>
      </c>
      <c r="G15" s="5" t="s">
        <v>42</v>
      </c>
      <c r="H15" s="5" t="s">
        <v>43</v>
      </c>
      <c r="I15" s="7" t="n">
        <v>300000</v>
      </c>
      <c r="J15" s="8" t="s">
        <v>31</v>
      </c>
      <c r="K15" s="9" t="n">
        <v>1</v>
      </c>
      <c r="L15" s="30"/>
      <c r="M15" s="31" t="n">
        <f aca="false">L15</f>
        <v>0</v>
      </c>
      <c r="N15" s="32" t="n">
        <f aca="false">IFERROR(M15/K15,0)</f>
        <v>0</v>
      </c>
      <c r="O15" s="32" t="n">
        <v>0</v>
      </c>
      <c r="P15" s="32" t="n">
        <f aca="false">N15-O15</f>
        <v>0</v>
      </c>
      <c r="Q15" s="33"/>
      <c r="R15" s="33"/>
      <c r="S15" s="33"/>
      <c r="T15" s="34"/>
      <c r="U15" s="32" t="n">
        <v>0</v>
      </c>
      <c r="V15" s="32" t="n">
        <f aca="false">T15-U15</f>
        <v>0</v>
      </c>
      <c r="W15" s="32" t="n">
        <f aca="false">N15-T15</f>
        <v>0</v>
      </c>
      <c r="X15" s="35"/>
    </row>
    <row r="16" customFormat="false" ht="21.75" hidden="false" customHeight="true" outlineLevel="0" collapsed="false">
      <c r="B16" s="10" t="n">
        <v>12</v>
      </c>
      <c r="C16" s="6" t="s">
        <v>13</v>
      </c>
      <c r="D16" s="10" t="s">
        <v>44</v>
      </c>
      <c r="E16" s="10" t="s">
        <v>15</v>
      </c>
      <c r="F16" s="10" t="s">
        <v>16</v>
      </c>
      <c r="G16" s="10" t="s">
        <v>17</v>
      </c>
      <c r="H16" s="10" t="s">
        <v>45</v>
      </c>
      <c r="I16" s="11" t="n">
        <v>1000000</v>
      </c>
      <c r="J16" s="12" t="s">
        <v>19</v>
      </c>
      <c r="K16" s="13" t="n">
        <v>500</v>
      </c>
      <c r="L16" s="30"/>
      <c r="M16" s="36" t="n">
        <f aca="false">L16</f>
        <v>0</v>
      </c>
      <c r="N16" s="37" t="n">
        <f aca="false">IFERROR(M16/K16,0)</f>
        <v>0</v>
      </c>
      <c r="O16" s="37" t="n">
        <v>0</v>
      </c>
      <c r="P16" s="37" t="n">
        <f aca="false">N16-O16</f>
        <v>0</v>
      </c>
      <c r="Q16" s="33"/>
      <c r="R16" s="33"/>
      <c r="S16" s="33"/>
      <c r="T16" s="34"/>
      <c r="U16" s="37" t="n">
        <v>0</v>
      </c>
      <c r="V16" s="37" t="n">
        <f aca="false">T16-U16</f>
        <v>0</v>
      </c>
      <c r="W16" s="37" t="n">
        <f aca="false">N16-T16</f>
        <v>0</v>
      </c>
      <c r="X16" s="35"/>
    </row>
    <row r="17" customFormat="false" ht="21.75" hidden="false" customHeight="true" outlineLevel="0" collapsed="false">
      <c r="B17" s="5" t="n">
        <v>13</v>
      </c>
      <c r="C17" s="6" t="s">
        <v>13</v>
      </c>
      <c r="D17" s="5" t="s">
        <v>44</v>
      </c>
      <c r="E17" s="5" t="s">
        <v>15</v>
      </c>
      <c r="F17" s="5" t="s">
        <v>16</v>
      </c>
      <c r="G17" s="5" t="s">
        <v>46</v>
      </c>
      <c r="H17" s="5" t="s">
        <v>47</v>
      </c>
      <c r="I17" s="7" t="n">
        <v>739200</v>
      </c>
      <c r="J17" s="8" t="s">
        <v>19</v>
      </c>
      <c r="K17" s="9" t="n">
        <v>370</v>
      </c>
      <c r="L17" s="30"/>
      <c r="M17" s="31" t="n">
        <f aca="false">L17</f>
        <v>0</v>
      </c>
      <c r="N17" s="32" t="n">
        <f aca="false">IFERROR(M17/K17,0)</f>
        <v>0</v>
      </c>
      <c r="O17" s="32" t="n">
        <v>0</v>
      </c>
      <c r="P17" s="32" t="n">
        <f aca="false">N17-O17</f>
        <v>0</v>
      </c>
      <c r="Q17" s="33"/>
      <c r="R17" s="33"/>
      <c r="S17" s="33"/>
      <c r="T17" s="34"/>
      <c r="U17" s="32" t="n">
        <v>0</v>
      </c>
      <c r="V17" s="32" t="n">
        <f aca="false">T17-U17</f>
        <v>0</v>
      </c>
      <c r="W17" s="32" t="n">
        <f aca="false">N17-T17</f>
        <v>0</v>
      </c>
      <c r="X17" s="35"/>
    </row>
    <row r="18" customFormat="false" ht="21.75" hidden="false" customHeight="true" outlineLevel="0" collapsed="false">
      <c r="B18" s="10" t="n">
        <v>14</v>
      </c>
      <c r="C18" s="6" t="s">
        <v>13</v>
      </c>
      <c r="D18" s="10" t="s">
        <v>48</v>
      </c>
      <c r="E18" s="10" t="s">
        <v>15</v>
      </c>
      <c r="F18" s="10" t="s">
        <v>16</v>
      </c>
      <c r="G18" s="10" t="s">
        <v>46</v>
      </c>
      <c r="H18" s="10" t="s">
        <v>49</v>
      </c>
      <c r="I18" s="11" t="n">
        <v>1276800</v>
      </c>
      <c r="J18" s="12" t="s">
        <v>19</v>
      </c>
      <c r="K18" s="13" t="n">
        <v>638</v>
      </c>
      <c r="L18" s="30"/>
      <c r="M18" s="36" t="n">
        <f aca="false">L18</f>
        <v>0</v>
      </c>
      <c r="N18" s="37" t="n">
        <f aca="false">IFERROR(M18/K18,0)</f>
        <v>0</v>
      </c>
      <c r="O18" s="37" t="n">
        <v>0</v>
      </c>
      <c r="P18" s="37" t="n">
        <f aca="false">N18-O18</f>
        <v>0</v>
      </c>
      <c r="Q18" s="33"/>
      <c r="R18" s="33"/>
      <c r="S18" s="33"/>
      <c r="T18" s="34"/>
      <c r="U18" s="37" t="n">
        <v>0</v>
      </c>
      <c r="V18" s="37" t="n">
        <f aca="false">T18-U18</f>
        <v>0</v>
      </c>
      <c r="W18" s="37" t="n">
        <f aca="false">N18-T18</f>
        <v>0</v>
      </c>
      <c r="X18" s="35"/>
    </row>
    <row r="19" customFormat="false" ht="21.75" hidden="false" customHeight="true" outlineLevel="0" collapsed="false">
      <c r="B19" s="5" t="n">
        <v>15</v>
      </c>
      <c r="C19" s="6" t="s">
        <v>13</v>
      </c>
      <c r="D19" s="5" t="s">
        <v>50</v>
      </c>
      <c r="E19" s="5" t="s">
        <v>15</v>
      </c>
      <c r="F19" s="5" t="s">
        <v>16</v>
      </c>
      <c r="G19" s="5" t="s">
        <v>17</v>
      </c>
      <c r="H19" s="5" t="s">
        <v>51</v>
      </c>
      <c r="I19" s="7" t="n">
        <v>5796360</v>
      </c>
      <c r="J19" s="8" t="s">
        <v>19</v>
      </c>
      <c r="K19" s="9" t="n">
        <v>2898</v>
      </c>
      <c r="L19" s="30"/>
      <c r="M19" s="31" t="n">
        <f aca="false">L19</f>
        <v>0</v>
      </c>
      <c r="N19" s="32" t="n">
        <f aca="false">IFERROR(M19/K19,0)</f>
        <v>0</v>
      </c>
      <c r="O19" s="32" t="n">
        <v>0</v>
      </c>
      <c r="P19" s="32" t="n">
        <f aca="false">N19-O19</f>
        <v>0</v>
      </c>
      <c r="Q19" s="33"/>
      <c r="R19" s="33"/>
      <c r="S19" s="33"/>
      <c r="T19" s="34"/>
      <c r="U19" s="32" t="n">
        <v>0</v>
      </c>
      <c r="V19" s="32" t="n">
        <f aca="false">T19-U19</f>
        <v>0</v>
      </c>
      <c r="W19" s="32" t="n">
        <f aca="false">N19-T19</f>
        <v>0</v>
      </c>
      <c r="X19" s="35"/>
    </row>
    <row r="20" customFormat="false" ht="21.75" hidden="false" customHeight="true" outlineLevel="0" collapsed="false">
      <c r="B20" s="10" t="n">
        <v>16</v>
      </c>
      <c r="C20" s="6" t="s">
        <v>13</v>
      </c>
      <c r="D20" s="10" t="s">
        <v>50</v>
      </c>
      <c r="E20" s="10" t="s">
        <v>20</v>
      </c>
      <c r="F20" s="10" t="s">
        <v>21</v>
      </c>
      <c r="G20" s="10" t="s">
        <v>52</v>
      </c>
      <c r="H20" s="10" t="s">
        <v>52</v>
      </c>
      <c r="I20" s="11" t="n">
        <v>340000</v>
      </c>
      <c r="J20" s="12" t="s">
        <v>24</v>
      </c>
      <c r="K20" s="13" t="n">
        <v>1</v>
      </c>
      <c r="L20" s="30"/>
      <c r="M20" s="36" t="n">
        <f aca="false">L20</f>
        <v>0</v>
      </c>
      <c r="N20" s="37" t="n">
        <f aca="false">IFERROR(M20/K20,0)</f>
        <v>0</v>
      </c>
      <c r="O20" s="37" t="n">
        <v>0</v>
      </c>
      <c r="P20" s="37" t="n">
        <f aca="false">N20-O20</f>
        <v>0</v>
      </c>
      <c r="Q20" s="33"/>
      <c r="R20" s="33"/>
      <c r="S20" s="33"/>
      <c r="T20" s="34"/>
      <c r="U20" s="37" t="n">
        <v>0</v>
      </c>
      <c r="V20" s="37" t="n">
        <f aca="false">T20-U20</f>
        <v>0</v>
      </c>
      <c r="W20" s="37" t="n">
        <f aca="false">N20-T20</f>
        <v>0</v>
      </c>
      <c r="X20" s="35"/>
    </row>
    <row r="21" customFormat="false" ht="21.75" hidden="false" customHeight="true" outlineLevel="0" collapsed="false">
      <c r="B21" s="5" t="n">
        <v>17</v>
      </c>
      <c r="C21" s="6" t="s">
        <v>13</v>
      </c>
      <c r="D21" s="5" t="s">
        <v>53</v>
      </c>
      <c r="E21" s="5" t="s">
        <v>54</v>
      </c>
      <c r="F21" s="5" t="s">
        <v>55</v>
      </c>
      <c r="G21" s="5" t="s">
        <v>56</v>
      </c>
      <c r="H21" s="5" t="s">
        <v>57</v>
      </c>
      <c r="I21" s="7" t="n">
        <v>397934</v>
      </c>
      <c r="J21" s="8" t="s">
        <v>19</v>
      </c>
      <c r="K21" s="9" t="n">
        <v>133</v>
      </c>
      <c r="L21" s="30"/>
      <c r="M21" s="31" t="n">
        <f aca="false">L21</f>
        <v>0</v>
      </c>
      <c r="N21" s="32" t="n">
        <f aca="false">IFERROR(M21/K21,0)</f>
        <v>0</v>
      </c>
      <c r="O21" s="32" t="n">
        <v>0</v>
      </c>
      <c r="P21" s="32" t="n">
        <f aca="false">N21-O21</f>
        <v>0</v>
      </c>
      <c r="Q21" s="33"/>
      <c r="R21" s="33"/>
      <c r="S21" s="33"/>
      <c r="T21" s="34"/>
      <c r="U21" s="32" t="n">
        <v>0</v>
      </c>
      <c r="V21" s="32" t="n">
        <f aca="false">T21-U21</f>
        <v>0</v>
      </c>
      <c r="W21" s="32" t="n">
        <f aca="false">N21-T21</f>
        <v>0</v>
      </c>
      <c r="X21" s="35"/>
    </row>
    <row r="22" customFormat="false" ht="21.75" hidden="false" customHeight="true" outlineLevel="0" collapsed="false">
      <c r="B22" s="10" t="n">
        <v>18</v>
      </c>
      <c r="C22" s="6" t="s">
        <v>13</v>
      </c>
      <c r="D22" s="10" t="s">
        <v>53</v>
      </c>
      <c r="E22" s="10" t="s">
        <v>54</v>
      </c>
      <c r="F22" s="10" t="s">
        <v>55</v>
      </c>
      <c r="G22" s="10"/>
      <c r="H22" s="10" t="s">
        <v>58</v>
      </c>
      <c r="I22" s="11" t="n">
        <v>207575</v>
      </c>
      <c r="J22" s="12" t="s">
        <v>19</v>
      </c>
      <c r="K22" s="13" t="n">
        <v>69</v>
      </c>
      <c r="L22" s="30"/>
      <c r="M22" s="36" t="n">
        <f aca="false">L22</f>
        <v>0</v>
      </c>
      <c r="N22" s="37" t="n">
        <f aca="false">IFERROR(M22/K22,0)</f>
        <v>0</v>
      </c>
      <c r="O22" s="37" t="n">
        <v>0</v>
      </c>
      <c r="P22" s="37" t="n">
        <f aca="false">N22-O22</f>
        <v>0</v>
      </c>
      <c r="Q22" s="33"/>
      <c r="R22" s="33"/>
      <c r="S22" s="33"/>
      <c r="T22" s="34"/>
      <c r="U22" s="37" t="n">
        <v>0</v>
      </c>
      <c r="V22" s="37" t="n">
        <f aca="false">T22-U22</f>
        <v>0</v>
      </c>
      <c r="W22" s="37" t="n">
        <f aca="false">N22-T22</f>
        <v>0</v>
      </c>
      <c r="X22" s="35"/>
    </row>
    <row r="23" customFormat="false" ht="21.75" hidden="false" customHeight="true" outlineLevel="0" collapsed="false">
      <c r="B23" s="5" t="n">
        <v>19</v>
      </c>
      <c r="C23" s="6" t="s">
        <v>13</v>
      </c>
      <c r="D23" s="5" t="s">
        <v>53</v>
      </c>
      <c r="E23" s="5" t="s">
        <v>20</v>
      </c>
      <c r="F23" s="5" t="s">
        <v>21</v>
      </c>
      <c r="G23" s="5" t="s">
        <v>52</v>
      </c>
      <c r="H23" s="5" t="s">
        <v>52</v>
      </c>
      <c r="I23" s="7" t="n">
        <v>2200000</v>
      </c>
      <c r="J23" s="8" t="s">
        <v>24</v>
      </c>
      <c r="K23" s="9" t="n">
        <v>4</v>
      </c>
      <c r="L23" s="30"/>
      <c r="M23" s="31" t="n">
        <f aca="false">L23</f>
        <v>0</v>
      </c>
      <c r="N23" s="32" t="n">
        <f aca="false">IFERROR(M23/K23,0)</f>
        <v>0</v>
      </c>
      <c r="O23" s="32" t="n">
        <v>0</v>
      </c>
      <c r="P23" s="32" t="n">
        <f aca="false">N23-O23</f>
        <v>0</v>
      </c>
      <c r="Q23" s="33"/>
      <c r="R23" s="33"/>
      <c r="S23" s="33"/>
      <c r="T23" s="34"/>
      <c r="U23" s="32" t="n">
        <v>0</v>
      </c>
      <c r="V23" s="32" t="n">
        <f aca="false">T23-U23</f>
        <v>0</v>
      </c>
      <c r="W23" s="32" t="n">
        <f aca="false">N23-T23</f>
        <v>0</v>
      </c>
      <c r="X23" s="35"/>
    </row>
    <row r="24" customFormat="false" ht="21.75" hidden="false" customHeight="true" outlineLevel="0" collapsed="false">
      <c r="B24" s="10" t="n">
        <v>20</v>
      </c>
      <c r="C24" s="6" t="s">
        <v>13</v>
      </c>
      <c r="D24" s="10" t="s">
        <v>53</v>
      </c>
      <c r="E24" s="10" t="s">
        <v>15</v>
      </c>
      <c r="F24" s="10" t="s">
        <v>16</v>
      </c>
      <c r="G24" s="10" t="s">
        <v>25</v>
      </c>
      <c r="H24" s="10" t="s">
        <v>59</v>
      </c>
      <c r="I24" s="11" t="n">
        <v>300000</v>
      </c>
      <c r="J24" s="12" t="s">
        <v>19</v>
      </c>
      <c r="K24" s="13" t="n">
        <v>100</v>
      </c>
      <c r="L24" s="30"/>
      <c r="M24" s="36" t="n">
        <f aca="false">L24</f>
        <v>0</v>
      </c>
      <c r="N24" s="37" t="n">
        <f aca="false">IFERROR(M24/K24,0)</f>
        <v>0</v>
      </c>
      <c r="O24" s="37" t="n">
        <v>0</v>
      </c>
      <c r="P24" s="37" t="n">
        <f aca="false">N24-O24</f>
        <v>0</v>
      </c>
      <c r="Q24" s="33"/>
      <c r="R24" s="33"/>
      <c r="S24" s="33"/>
      <c r="T24" s="34"/>
      <c r="U24" s="37" t="n">
        <v>0</v>
      </c>
      <c r="V24" s="37" t="n">
        <f aca="false">T24-U24</f>
        <v>0</v>
      </c>
      <c r="W24" s="37" t="n">
        <f aca="false">N24-T24</f>
        <v>0</v>
      </c>
      <c r="X24" s="35"/>
    </row>
    <row r="25" customFormat="false" ht="21.75" hidden="false" customHeight="true" outlineLevel="0" collapsed="false">
      <c r="B25" s="5" t="n">
        <v>21</v>
      </c>
      <c r="C25" s="6" t="s">
        <v>13</v>
      </c>
      <c r="D25" s="5" t="s">
        <v>53</v>
      </c>
      <c r="E25" s="5" t="s">
        <v>27</v>
      </c>
      <c r="F25" s="5" t="s">
        <v>28</v>
      </c>
      <c r="G25" s="5" t="s">
        <v>29</v>
      </c>
      <c r="H25" s="5" t="s">
        <v>60</v>
      </c>
      <c r="I25" s="7" t="n">
        <v>250000</v>
      </c>
      <c r="J25" s="8" t="s">
        <v>31</v>
      </c>
      <c r="K25" s="9" t="n">
        <v>3</v>
      </c>
      <c r="L25" s="30"/>
      <c r="M25" s="31" t="n">
        <f aca="false">L25</f>
        <v>0</v>
      </c>
      <c r="N25" s="32" t="n">
        <f aca="false">IFERROR(M25/K25,0)</f>
        <v>0</v>
      </c>
      <c r="O25" s="32" t="n">
        <v>0</v>
      </c>
      <c r="P25" s="32" t="n">
        <f aca="false">N25-O25</f>
        <v>0</v>
      </c>
      <c r="Q25" s="33"/>
      <c r="R25" s="33"/>
      <c r="S25" s="33"/>
      <c r="T25" s="34"/>
      <c r="U25" s="32" t="n">
        <v>0</v>
      </c>
      <c r="V25" s="32" t="n">
        <f aca="false">T25-U25</f>
        <v>0</v>
      </c>
      <c r="W25" s="32" t="n">
        <f aca="false">N25-T25</f>
        <v>0</v>
      </c>
      <c r="X25" s="35"/>
    </row>
    <row r="26" customFormat="false" ht="21.75" hidden="false" customHeight="true" outlineLevel="0" collapsed="false">
      <c r="B26" s="10" t="n">
        <v>22</v>
      </c>
      <c r="C26" s="6" t="s">
        <v>13</v>
      </c>
      <c r="D26" s="10" t="s">
        <v>53</v>
      </c>
      <c r="E26" s="10" t="s">
        <v>27</v>
      </c>
      <c r="F26" s="10" t="s">
        <v>28</v>
      </c>
      <c r="G26" s="10" t="s">
        <v>61</v>
      </c>
      <c r="H26" s="10" t="s">
        <v>62</v>
      </c>
      <c r="I26" s="11" t="n">
        <v>25000</v>
      </c>
      <c r="J26" s="12" t="s">
        <v>31</v>
      </c>
      <c r="K26" s="13" t="n">
        <v>3</v>
      </c>
      <c r="L26" s="30"/>
      <c r="M26" s="36" t="n">
        <f aca="false">L26</f>
        <v>0</v>
      </c>
      <c r="N26" s="37" t="n">
        <f aca="false">IFERROR(M26/K26,0)</f>
        <v>0</v>
      </c>
      <c r="O26" s="37" t="n">
        <v>0</v>
      </c>
      <c r="P26" s="37" t="n">
        <f aca="false">N26-O26</f>
        <v>0</v>
      </c>
      <c r="Q26" s="33"/>
      <c r="R26" s="33"/>
      <c r="S26" s="33"/>
      <c r="T26" s="34"/>
      <c r="U26" s="37" t="n">
        <v>0</v>
      </c>
      <c r="V26" s="37" t="n">
        <f aca="false">T26-U26</f>
        <v>0</v>
      </c>
      <c r="W26" s="37" t="n">
        <f aca="false">N26-T26</f>
        <v>0</v>
      </c>
      <c r="X26" s="35"/>
    </row>
    <row r="27" customFormat="false" ht="21.75" hidden="false" customHeight="true" outlineLevel="0" collapsed="false">
      <c r="B27" s="5" t="n">
        <v>23</v>
      </c>
      <c r="C27" s="6" t="s">
        <v>13</v>
      </c>
      <c r="D27" s="5" t="s">
        <v>53</v>
      </c>
      <c r="E27" s="5" t="s">
        <v>27</v>
      </c>
      <c r="F27" s="5" t="s">
        <v>28</v>
      </c>
      <c r="G27" s="5" t="s">
        <v>37</v>
      </c>
      <c r="H27" s="5" t="s">
        <v>63</v>
      </c>
      <c r="I27" s="7" t="n">
        <v>38000</v>
      </c>
      <c r="J27" s="8" t="s">
        <v>31</v>
      </c>
      <c r="K27" s="9" t="n">
        <v>1</v>
      </c>
      <c r="L27" s="30"/>
      <c r="M27" s="31" t="n">
        <f aca="false">L27</f>
        <v>0</v>
      </c>
      <c r="N27" s="32" t="n">
        <f aca="false">IFERROR(M27/K27,0)</f>
        <v>0</v>
      </c>
      <c r="O27" s="32" t="n">
        <v>0</v>
      </c>
      <c r="P27" s="32" t="n">
        <f aca="false">N27-O27</f>
        <v>0</v>
      </c>
      <c r="Q27" s="33"/>
      <c r="R27" s="33"/>
      <c r="S27" s="33"/>
      <c r="T27" s="34"/>
      <c r="U27" s="32" t="n">
        <v>0</v>
      </c>
      <c r="V27" s="32" t="n">
        <f aca="false">T27-U27</f>
        <v>0</v>
      </c>
      <c r="W27" s="32" t="n">
        <f aca="false">N27-T27</f>
        <v>0</v>
      </c>
      <c r="X27" s="35"/>
    </row>
    <row r="28" customFormat="false" ht="21.75" hidden="false" customHeight="true" outlineLevel="0" collapsed="false">
      <c r="B28" s="10" t="n">
        <v>24</v>
      </c>
      <c r="C28" s="6" t="s">
        <v>13</v>
      </c>
      <c r="D28" s="10" t="s">
        <v>53</v>
      </c>
      <c r="E28" s="10" t="s">
        <v>27</v>
      </c>
      <c r="F28" s="10" t="s">
        <v>28</v>
      </c>
      <c r="G28" s="10" t="s">
        <v>39</v>
      </c>
      <c r="H28" s="10" t="s">
        <v>64</v>
      </c>
      <c r="I28" s="11" t="n">
        <v>10560000</v>
      </c>
      <c r="J28" s="12" t="s">
        <v>41</v>
      </c>
      <c r="K28" s="13" t="n">
        <v>7040</v>
      </c>
      <c r="L28" s="30"/>
      <c r="M28" s="36" t="n">
        <f aca="false">L28</f>
        <v>0</v>
      </c>
      <c r="N28" s="37" t="n">
        <f aca="false">IFERROR(M28/K28,0)</f>
        <v>0</v>
      </c>
      <c r="O28" s="37" t="n">
        <v>0</v>
      </c>
      <c r="P28" s="37" t="n">
        <f aca="false">N28-O28</f>
        <v>0</v>
      </c>
      <c r="Q28" s="33"/>
      <c r="R28" s="33"/>
      <c r="S28" s="33"/>
      <c r="T28" s="34"/>
      <c r="U28" s="37" t="n">
        <v>0</v>
      </c>
      <c r="V28" s="37" t="n">
        <f aca="false">T28-U28</f>
        <v>0</v>
      </c>
      <c r="W28" s="37" t="n">
        <f aca="false">N28-T28</f>
        <v>0</v>
      </c>
      <c r="X28" s="35"/>
    </row>
    <row r="29" customFormat="false" ht="21.75" hidden="false" customHeight="true" outlineLevel="0" collapsed="false">
      <c r="B29" s="5" t="n">
        <v>25</v>
      </c>
      <c r="C29" s="6" t="s">
        <v>13</v>
      </c>
      <c r="D29" s="5" t="s">
        <v>53</v>
      </c>
      <c r="E29" s="5" t="s">
        <v>27</v>
      </c>
      <c r="F29" s="5" t="s">
        <v>28</v>
      </c>
      <c r="G29" s="5" t="s">
        <v>65</v>
      </c>
      <c r="H29" s="5" t="s">
        <v>66</v>
      </c>
      <c r="I29" s="7" t="n">
        <v>144000</v>
      </c>
      <c r="J29" s="8" t="s">
        <v>19</v>
      </c>
      <c r="K29" s="9" t="n">
        <v>270</v>
      </c>
      <c r="L29" s="30"/>
      <c r="M29" s="31" t="n">
        <f aca="false">L29</f>
        <v>0</v>
      </c>
      <c r="N29" s="32" t="n">
        <f aca="false">IFERROR(M29/K29,0)</f>
        <v>0</v>
      </c>
      <c r="O29" s="32" t="n">
        <v>0</v>
      </c>
      <c r="P29" s="32" t="n">
        <f aca="false">N29-O29</f>
        <v>0</v>
      </c>
      <c r="Q29" s="33"/>
      <c r="R29" s="33"/>
      <c r="S29" s="33"/>
      <c r="T29" s="34"/>
      <c r="U29" s="32" t="n">
        <v>0</v>
      </c>
      <c r="V29" s="32" t="n">
        <f aca="false">T29-U29</f>
        <v>0</v>
      </c>
      <c r="W29" s="32" t="n">
        <f aca="false">N29-T29</f>
        <v>0</v>
      </c>
      <c r="X29" s="35"/>
    </row>
    <row r="30" customFormat="false" ht="21.75" hidden="false" customHeight="true" outlineLevel="0" collapsed="false">
      <c r="B30" s="10" t="n">
        <v>26</v>
      </c>
      <c r="C30" s="6" t="s">
        <v>13</v>
      </c>
      <c r="D30" s="10" t="s">
        <v>53</v>
      </c>
      <c r="E30" s="10" t="s">
        <v>27</v>
      </c>
      <c r="F30" s="10" t="s">
        <v>28</v>
      </c>
      <c r="G30" s="10" t="s">
        <v>42</v>
      </c>
      <c r="H30" s="10" t="s">
        <v>67</v>
      </c>
      <c r="I30" s="11" t="n">
        <v>800000</v>
      </c>
      <c r="J30" s="12" t="s">
        <v>31</v>
      </c>
      <c r="K30" s="13" t="n">
        <v>1</v>
      </c>
      <c r="L30" s="30"/>
      <c r="M30" s="36" t="n">
        <f aca="false">L30</f>
        <v>0</v>
      </c>
      <c r="N30" s="37" t="n">
        <f aca="false">IFERROR(M30/K30,0)</f>
        <v>0</v>
      </c>
      <c r="O30" s="37" t="n">
        <v>0</v>
      </c>
      <c r="P30" s="37" t="n">
        <f aca="false">N30-O30</f>
        <v>0</v>
      </c>
      <c r="Q30" s="33"/>
      <c r="R30" s="33"/>
      <c r="S30" s="33"/>
      <c r="T30" s="34"/>
      <c r="U30" s="37" t="n">
        <v>0</v>
      </c>
      <c r="V30" s="37" t="n">
        <f aca="false">T30-U30</f>
        <v>0</v>
      </c>
      <c r="W30" s="37" t="n">
        <f aca="false">N30-T30</f>
        <v>0</v>
      </c>
      <c r="X30" s="35"/>
    </row>
    <row r="31" customFormat="false" ht="21.75" hidden="false" customHeight="true" outlineLevel="0" collapsed="false">
      <c r="B31" s="5" t="n">
        <v>27</v>
      </c>
      <c r="C31" s="6" t="s">
        <v>13</v>
      </c>
      <c r="D31" s="5" t="s">
        <v>68</v>
      </c>
      <c r="E31" s="5" t="s">
        <v>15</v>
      </c>
      <c r="F31" s="5" t="s">
        <v>16</v>
      </c>
      <c r="G31" s="5" t="s">
        <v>17</v>
      </c>
      <c r="H31" s="5" t="s">
        <v>69</v>
      </c>
      <c r="I31" s="7" t="n">
        <v>1733306</v>
      </c>
      <c r="J31" s="8" t="s">
        <v>19</v>
      </c>
      <c r="K31" s="9" t="n">
        <v>867</v>
      </c>
      <c r="L31" s="30"/>
      <c r="M31" s="31" t="n">
        <f aca="false">L31</f>
        <v>0</v>
      </c>
      <c r="N31" s="32" t="n">
        <f aca="false">IFERROR(M31/K31,0)</f>
        <v>0</v>
      </c>
      <c r="O31" s="32" t="n">
        <v>0</v>
      </c>
      <c r="P31" s="32" t="n">
        <f aca="false">N31-O31</f>
        <v>0</v>
      </c>
      <c r="Q31" s="33"/>
      <c r="R31" s="33"/>
      <c r="S31" s="33"/>
      <c r="T31" s="34"/>
      <c r="U31" s="32" t="n">
        <v>0</v>
      </c>
      <c r="V31" s="32" t="n">
        <f aca="false">T31-U31</f>
        <v>0</v>
      </c>
      <c r="W31" s="32" t="n">
        <f aca="false">N31-T31</f>
        <v>0</v>
      </c>
      <c r="X31" s="35"/>
    </row>
    <row r="32" customFormat="false" ht="21.75" hidden="false" customHeight="true" outlineLevel="0" collapsed="false">
      <c r="B32" s="10" t="n">
        <v>28</v>
      </c>
      <c r="C32" s="6" t="s">
        <v>13</v>
      </c>
      <c r="D32" s="10" t="s">
        <v>68</v>
      </c>
      <c r="E32" s="10" t="s">
        <v>20</v>
      </c>
      <c r="F32" s="10" t="s">
        <v>21</v>
      </c>
      <c r="G32" s="10" t="s">
        <v>52</v>
      </c>
      <c r="H32" s="10" t="s">
        <v>52</v>
      </c>
      <c r="I32" s="11" t="n">
        <v>670000</v>
      </c>
      <c r="J32" s="12" t="s">
        <v>24</v>
      </c>
      <c r="K32" s="13" t="n">
        <v>1</v>
      </c>
      <c r="L32" s="30"/>
      <c r="M32" s="36" t="n">
        <f aca="false">L32</f>
        <v>0</v>
      </c>
      <c r="N32" s="37" t="n">
        <f aca="false">IFERROR(M32/K32,0)</f>
        <v>0</v>
      </c>
      <c r="O32" s="37" t="n">
        <v>0</v>
      </c>
      <c r="P32" s="37" t="n">
        <f aca="false">N32-O32</f>
        <v>0</v>
      </c>
      <c r="Q32" s="33"/>
      <c r="R32" s="33"/>
      <c r="S32" s="33"/>
      <c r="T32" s="34"/>
      <c r="U32" s="37" t="n">
        <v>0</v>
      </c>
      <c r="V32" s="37" t="n">
        <f aca="false">T32-U32</f>
        <v>0</v>
      </c>
      <c r="W32" s="37" t="n">
        <f aca="false">N32-T32</f>
        <v>0</v>
      </c>
      <c r="X32" s="35"/>
    </row>
    <row r="33" customFormat="false" ht="21.75" hidden="false" customHeight="true" outlineLevel="0" collapsed="false">
      <c r="B33" s="5" t="n">
        <v>29</v>
      </c>
      <c r="C33" s="6" t="s">
        <v>13</v>
      </c>
      <c r="D33" s="5" t="s">
        <v>68</v>
      </c>
      <c r="E33" s="5" t="s">
        <v>54</v>
      </c>
      <c r="F33" s="5" t="s">
        <v>55</v>
      </c>
      <c r="G33" s="5" t="s">
        <v>70</v>
      </c>
      <c r="H33" s="5" t="s">
        <v>71</v>
      </c>
      <c r="I33" s="7" t="n">
        <v>2500000</v>
      </c>
      <c r="J33" s="8" t="s">
        <v>31</v>
      </c>
      <c r="K33" s="9" t="n">
        <v>5</v>
      </c>
      <c r="L33" s="30"/>
      <c r="M33" s="31" t="n">
        <f aca="false">L33</f>
        <v>0</v>
      </c>
      <c r="N33" s="32" t="n">
        <f aca="false">IFERROR(M33/K33,0)</f>
        <v>0</v>
      </c>
      <c r="O33" s="32" t="n">
        <v>0</v>
      </c>
      <c r="P33" s="32" t="n">
        <f aca="false">N33-O33</f>
        <v>0</v>
      </c>
      <c r="Q33" s="33"/>
      <c r="R33" s="33"/>
      <c r="S33" s="33"/>
      <c r="T33" s="34"/>
      <c r="U33" s="32" t="n">
        <v>0</v>
      </c>
      <c r="V33" s="32" t="n">
        <f aca="false">T33-U33</f>
        <v>0</v>
      </c>
      <c r="W33" s="32" t="n">
        <f aca="false">N33-T33</f>
        <v>0</v>
      </c>
      <c r="X33" s="35"/>
    </row>
    <row r="34" customFormat="false" ht="21.75" hidden="false" customHeight="true" outlineLevel="0" collapsed="false">
      <c r="B34" s="10" t="n">
        <v>30</v>
      </c>
      <c r="C34" s="6" t="s">
        <v>13</v>
      </c>
      <c r="D34" s="10" t="s">
        <v>68</v>
      </c>
      <c r="E34" s="10" t="s">
        <v>15</v>
      </c>
      <c r="F34" s="10" t="s">
        <v>16</v>
      </c>
      <c r="G34" s="10" t="s">
        <v>25</v>
      </c>
      <c r="H34" s="10" t="s">
        <v>72</v>
      </c>
      <c r="I34" s="11" t="n">
        <v>800000</v>
      </c>
      <c r="J34" s="12" t="s">
        <v>19</v>
      </c>
      <c r="K34" s="13" t="n">
        <v>267</v>
      </c>
      <c r="L34" s="30"/>
      <c r="M34" s="36" t="n">
        <f aca="false">L34</f>
        <v>0</v>
      </c>
      <c r="N34" s="37" t="n">
        <f aca="false">IFERROR(M34/K34,0)</f>
        <v>0</v>
      </c>
      <c r="O34" s="37" t="n">
        <v>0</v>
      </c>
      <c r="P34" s="37" t="n">
        <f aca="false">N34-O34</f>
        <v>0</v>
      </c>
      <c r="Q34" s="33"/>
      <c r="R34" s="33"/>
      <c r="S34" s="33"/>
      <c r="T34" s="34"/>
      <c r="U34" s="37" t="n">
        <v>0</v>
      </c>
      <c r="V34" s="37" t="n">
        <f aca="false">T34-U34</f>
        <v>0</v>
      </c>
      <c r="W34" s="37" t="n">
        <f aca="false">N34-T34</f>
        <v>0</v>
      </c>
      <c r="X34" s="35"/>
    </row>
    <row r="35" customFormat="false" ht="21.75" hidden="false" customHeight="true" outlineLevel="0" collapsed="false">
      <c r="B35" s="5" t="n">
        <v>31</v>
      </c>
      <c r="C35" s="6" t="s">
        <v>13</v>
      </c>
      <c r="D35" s="5" t="s">
        <v>68</v>
      </c>
      <c r="E35" s="5" t="s">
        <v>27</v>
      </c>
      <c r="F35" s="5" t="s">
        <v>28</v>
      </c>
      <c r="G35" s="5" t="s">
        <v>29</v>
      </c>
      <c r="H35" s="5" t="s">
        <v>73</v>
      </c>
      <c r="I35" s="7" t="n">
        <v>195000</v>
      </c>
      <c r="J35" s="8" t="s">
        <v>31</v>
      </c>
      <c r="K35" s="9" t="n">
        <v>2</v>
      </c>
      <c r="L35" s="30"/>
      <c r="M35" s="31" t="n">
        <f aca="false">L35</f>
        <v>0</v>
      </c>
      <c r="N35" s="32" t="n">
        <f aca="false">IFERROR(M35/K35,0)</f>
        <v>0</v>
      </c>
      <c r="O35" s="32" t="n">
        <v>0</v>
      </c>
      <c r="P35" s="32" t="n">
        <f aca="false">N35-O35</f>
        <v>0</v>
      </c>
      <c r="Q35" s="33"/>
      <c r="R35" s="33"/>
      <c r="S35" s="33"/>
      <c r="T35" s="34"/>
      <c r="U35" s="32" t="n">
        <v>0</v>
      </c>
      <c r="V35" s="32" t="n">
        <f aca="false">T35-U35</f>
        <v>0</v>
      </c>
      <c r="W35" s="32" t="n">
        <f aca="false">N35-T35</f>
        <v>0</v>
      </c>
      <c r="X35" s="35"/>
    </row>
    <row r="36" customFormat="false" ht="21.75" hidden="false" customHeight="true" outlineLevel="0" collapsed="false">
      <c r="B36" s="10" t="n">
        <v>32</v>
      </c>
      <c r="C36" s="6" t="s">
        <v>13</v>
      </c>
      <c r="D36" s="10" t="s">
        <v>68</v>
      </c>
      <c r="E36" s="10" t="s">
        <v>27</v>
      </c>
      <c r="F36" s="10" t="s">
        <v>28</v>
      </c>
      <c r="G36" s="10" t="s">
        <v>61</v>
      </c>
      <c r="H36" s="10" t="s">
        <v>74</v>
      </c>
      <c r="I36" s="11" t="n">
        <v>50000</v>
      </c>
      <c r="J36" s="12" t="s">
        <v>31</v>
      </c>
      <c r="K36" s="13" t="n">
        <v>2</v>
      </c>
      <c r="L36" s="30"/>
      <c r="M36" s="36" t="n">
        <f aca="false">L36</f>
        <v>0</v>
      </c>
      <c r="N36" s="37" t="n">
        <f aca="false">IFERROR(M36/K36,0)</f>
        <v>0</v>
      </c>
      <c r="O36" s="37" t="n">
        <v>0</v>
      </c>
      <c r="P36" s="37" t="n">
        <f aca="false">N36-O36</f>
        <v>0</v>
      </c>
      <c r="Q36" s="33"/>
      <c r="R36" s="33"/>
      <c r="S36" s="33"/>
      <c r="T36" s="34"/>
      <c r="U36" s="37" t="n">
        <v>0</v>
      </c>
      <c r="V36" s="37" t="n">
        <f aca="false">T36-U36</f>
        <v>0</v>
      </c>
      <c r="W36" s="37" t="n">
        <f aca="false">N36-T36</f>
        <v>0</v>
      </c>
      <c r="X36" s="35"/>
    </row>
    <row r="37" customFormat="false" ht="21.75" hidden="false" customHeight="true" outlineLevel="0" collapsed="false">
      <c r="B37" s="5" t="n">
        <v>33</v>
      </c>
      <c r="C37" s="6" t="s">
        <v>13</v>
      </c>
      <c r="D37" s="5" t="s">
        <v>68</v>
      </c>
      <c r="E37" s="5" t="s">
        <v>27</v>
      </c>
      <c r="F37" s="5" t="s">
        <v>28</v>
      </c>
      <c r="G37" s="5" t="s">
        <v>37</v>
      </c>
      <c r="H37" s="14" t="s">
        <v>75</v>
      </c>
      <c r="I37" s="7" t="n">
        <v>245000</v>
      </c>
      <c r="J37" s="8" t="s">
        <v>31</v>
      </c>
      <c r="K37" s="9" t="n">
        <v>5</v>
      </c>
      <c r="L37" s="30"/>
      <c r="M37" s="31" t="n">
        <f aca="false">L37</f>
        <v>0</v>
      </c>
      <c r="N37" s="32" t="n">
        <f aca="false">IFERROR(M37/K37,0)</f>
        <v>0</v>
      </c>
      <c r="O37" s="32" t="n">
        <v>0</v>
      </c>
      <c r="P37" s="32" t="n">
        <f aca="false">N37-O37</f>
        <v>0</v>
      </c>
      <c r="Q37" s="33"/>
      <c r="R37" s="33"/>
      <c r="S37" s="33"/>
      <c r="T37" s="34"/>
      <c r="U37" s="32" t="n">
        <v>0</v>
      </c>
      <c r="V37" s="32" t="n">
        <f aca="false">T37-U37</f>
        <v>0</v>
      </c>
      <c r="W37" s="32" t="n">
        <f aca="false">N37-T37</f>
        <v>0</v>
      </c>
      <c r="X37" s="35"/>
    </row>
    <row r="38" customFormat="false" ht="21.75" hidden="false" customHeight="true" outlineLevel="0" collapsed="false">
      <c r="B38" s="10" t="n">
        <v>34</v>
      </c>
      <c r="C38" s="6" t="s">
        <v>13</v>
      </c>
      <c r="D38" s="10" t="s">
        <v>68</v>
      </c>
      <c r="E38" s="10" t="s">
        <v>27</v>
      </c>
      <c r="F38" s="10" t="s">
        <v>28</v>
      </c>
      <c r="G38" s="10" t="s">
        <v>42</v>
      </c>
      <c r="H38" s="10" t="s">
        <v>76</v>
      </c>
      <c r="I38" s="11" t="n">
        <v>1000000</v>
      </c>
      <c r="J38" s="12" t="s">
        <v>31</v>
      </c>
      <c r="K38" s="13" t="n">
        <v>1</v>
      </c>
      <c r="L38" s="30"/>
      <c r="M38" s="36" t="n">
        <f aca="false">L38</f>
        <v>0</v>
      </c>
      <c r="N38" s="37" t="n">
        <f aca="false">IFERROR(M38/K38,0)</f>
        <v>0</v>
      </c>
      <c r="O38" s="37" t="n">
        <v>0</v>
      </c>
      <c r="P38" s="37" t="n">
        <f aca="false">N38-O38</f>
        <v>0</v>
      </c>
      <c r="Q38" s="33"/>
      <c r="R38" s="33"/>
      <c r="S38" s="33"/>
      <c r="T38" s="34"/>
      <c r="U38" s="37" t="n">
        <v>0</v>
      </c>
      <c r="V38" s="37" t="n">
        <f aca="false">T38-U38</f>
        <v>0</v>
      </c>
      <c r="W38" s="37" t="n">
        <f aca="false">N38-T38</f>
        <v>0</v>
      </c>
      <c r="X38" s="35"/>
    </row>
    <row r="39" customFormat="false" ht="21.75" hidden="false" customHeight="true" outlineLevel="0" collapsed="false">
      <c r="B39" s="5" t="n">
        <v>35</v>
      </c>
      <c r="C39" s="6" t="s">
        <v>13</v>
      </c>
      <c r="D39" s="5" t="s">
        <v>77</v>
      </c>
      <c r="E39" s="5" t="s">
        <v>15</v>
      </c>
      <c r="F39" s="5" t="s">
        <v>16</v>
      </c>
      <c r="G39" s="5" t="s">
        <v>17</v>
      </c>
      <c r="H39" s="5" t="s">
        <v>78</v>
      </c>
      <c r="I39" s="7" t="n">
        <v>5024032</v>
      </c>
      <c r="J39" s="8" t="s">
        <v>19</v>
      </c>
      <c r="K39" s="9" t="n">
        <v>2512</v>
      </c>
      <c r="L39" s="30"/>
      <c r="M39" s="31" t="n">
        <f aca="false">L39</f>
        <v>0</v>
      </c>
      <c r="N39" s="32" t="n">
        <f aca="false">IFERROR(M39/K39,0)</f>
        <v>0</v>
      </c>
      <c r="O39" s="32" t="n">
        <v>0</v>
      </c>
      <c r="P39" s="32" t="n">
        <f aca="false">N39-O39</f>
        <v>0</v>
      </c>
      <c r="Q39" s="33"/>
      <c r="R39" s="33"/>
      <c r="S39" s="33"/>
      <c r="T39" s="34"/>
      <c r="U39" s="32" t="n">
        <v>0</v>
      </c>
      <c r="V39" s="32" t="n">
        <f aca="false">T39-U39</f>
        <v>0</v>
      </c>
      <c r="W39" s="32" t="n">
        <f aca="false">N39-T39</f>
        <v>0</v>
      </c>
      <c r="X39" s="35"/>
    </row>
    <row r="40" customFormat="false" ht="21.75" hidden="false" customHeight="true" outlineLevel="0" collapsed="false">
      <c r="B40" s="10" t="n">
        <v>36</v>
      </c>
      <c r="C40" s="6" t="s">
        <v>13</v>
      </c>
      <c r="D40" s="10" t="s">
        <v>77</v>
      </c>
      <c r="E40" s="10" t="s">
        <v>20</v>
      </c>
      <c r="F40" s="10" t="s">
        <v>21</v>
      </c>
      <c r="G40" s="10" t="s">
        <v>52</v>
      </c>
      <c r="H40" s="10" t="s">
        <v>52</v>
      </c>
      <c r="I40" s="11" t="n">
        <v>400000</v>
      </c>
      <c r="J40" s="12" t="s">
        <v>24</v>
      </c>
      <c r="K40" s="13" t="n">
        <v>1</v>
      </c>
      <c r="L40" s="30"/>
      <c r="M40" s="36" t="n">
        <f aca="false">L40</f>
        <v>0</v>
      </c>
      <c r="N40" s="37" t="n">
        <f aca="false">IFERROR(M40/K40,0)</f>
        <v>0</v>
      </c>
      <c r="O40" s="37" t="n">
        <v>0</v>
      </c>
      <c r="P40" s="37" t="n">
        <f aca="false">N40-O40</f>
        <v>0</v>
      </c>
      <c r="Q40" s="33"/>
      <c r="R40" s="33"/>
      <c r="S40" s="33"/>
      <c r="T40" s="34"/>
      <c r="U40" s="37" t="n">
        <v>0</v>
      </c>
      <c r="V40" s="37" t="n">
        <f aca="false">T40-U40</f>
        <v>0</v>
      </c>
      <c r="W40" s="37" t="n">
        <f aca="false">N40-T40</f>
        <v>0</v>
      </c>
      <c r="X40" s="35"/>
    </row>
    <row r="41" customFormat="false" ht="21.75" hidden="false" customHeight="true" outlineLevel="0" collapsed="false">
      <c r="B41" s="5" t="n">
        <v>37</v>
      </c>
      <c r="C41" s="6" t="s">
        <v>13</v>
      </c>
      <c r="D41" s="5" t="s">
        <v>79</v>
      </c>
      <c r="E41" s="5" t="s">
        <v>15</v>
      </c>
      <c r="F41" s="5" t="s">
        <v>16</v>
      </c>
      <c r="G41" s="5" t="s">
        <v>17</v>
      </c>
      <c r="H41" s="5" t="s">
        <v>80</v>
      </c>
      <c r="I41" s="7" t="n">
        <v>6000000</v>
      </c>
      <c r="J41" s="8" t="s">
        <v>19</v>
      </c>
      <c r="K41" s="9" t="n">
        <v>3000</v>
      </c>
      <c r="L41" s="30"/>
      <c r="M41" s="31" t="n">
        <f aca="false">L41</f>
        <v>0</v>
      </c>
      <c r="N41" s="32" t="n">
        <f aca="false">IFERROR(M41/K41,0)</f>
        <v>0</v>
      </c>
      <c r="O41" s="32" t="n">
        <v>0</v>
      </c>
      <c r="P41" s="32" t="n">
        <f aca="false">N41-O41</f>
        <v>0</v>
      </c>
      <c r="Q41" s="33"/>
      <c r="R41" s="33"/>
      <c r="S41" s="33"/>
      <c r="T41" s="34"/>
      <c r="U41" s="32" t="n">
        <v>0</v>
      </c>
      <c r="V41" s="32" t="n">
        <f aca="false">T41-U41</f>
        <v>0</v>
      </c>
      <c r="W41" s="32" t="n">
        <f aca="false">N41-T41</f>
        <v>0</v>
      </c>
      <c r="X41" s="35"/>
    </row>
    <row r="42" customFormat="false" ht="21.75" hidden="false" customHeight="true" outlineLevel="0" collapsed="false">
      <c r="B42" s="10" t="n">
        <v>38</v>
      </c>
      <c r="C42" s="6" t="s">
        <v>13</v>
      </c>
      <c r="D42" s="10" t="s">
        <v>79</v>
      </c>
      <c r="E42" s="10" t="s">
        <v>54</v>
      </c>
      <c r="F42" s="10" t="s">
        <v>55</v>
      </c>
      <c r="G42" s="10" t="s">
        <v>56</v>
      </c>
      <c r="H42" s="10" t="s">
        <v>81</v>
      </c>
      <c r="I42" s="11" t="n">
        <v>232266</v>
      </c>
      <c r="J42" s="12" t="s">
        <v>19</v>
      </c>
      <c r="K42" s="13" t="n">
        <v>77</v>
      </c>
      <c r="L42" s="30"/>
      <c r="M42" s="36" t="n">
        <f aca="false">L42</f>
        <v>0</v>
      </c>
      <c r="N42" s="37" t="n">
        <f aca="false">IFERROR(M42/K42,0)</f>
        <v>0</v>
      </c>
      <c r="O42" s="37" t="n">
        <v>0</v>
      </c>
      <c r="P42" s="37" t="n">
        <f aca="false">N42-O42</f>
        <v>0</v>
      </c>
      <c r="Q42" s="33"/>
      <c r="R42" s="33"/>
      <c r="S42" s="33"/>
      <c r="T42" s="34"/>
      <c r="U42" s="37" t="n">
        <v>0</v>
      </c>
      <c r="V42" s="37" t="n">
        <f aca="false">T42-U42</f>
        <v>0</v>
      </c>
      <c r="W42" s="37" t="n">
        <f aca="false">N42-T42</f>
        <v>0</v>
      </c>
      <c r="X42" s="35"/>
    </row>
    <row r="43" customFormat="false" ht="21.75" hidden="false" customHeight="true" outlineLevel="0" collapsed="false">
      <c r="B43" s="5" t="n">
        <v>39</v>
      </c>
      <c r="C43" s="6" t="s">
        <v>13</v>
      </c>
      <c r="D43" s="5" t="s">
        <v>79</v>
      </c>
      <c r="E43" s="5" t="s">
        <v>54</v>
      </c>
      <c r="F43" s="5" t="s">
        <v>55</v>
      </c>
      <c r="G43" s="5"/>
      <c r="H43" s="5" t="s">
        <v>82</v>
      </c>
      <c r="I43" s="7" t="n">
        <v>1055025</v>
      </c>
      <c r="J43" s="8" t="s">
        <v>19</v>
      </c>
      <c r="K43" s="9" t="n">
        <v>352</v>
      </c>
      <c r="L43" s="30"/>
      <c r="M43" s="31" t="n">
        <f aca="false">L43</f>
        <v>0</v>
      </c>
      <c r="N43" s="32" t="n">
        <f aca="false">IFERROR(M43/K43,0)</f>
        <v>0</v>
      </c>
      <c r="O43" s="32" t="n">
        <v>0</v>
      </c>
      <c r="P43" s="32" t="n">
        <f aca="false">N43-O43</f>
        <v>0</v>
      </c>
      <c r="Q43" s="33"/>
      <c r="R43" s="33"/>
      <c r="S43" s="33"/>
      <c r="T43" s="34"/>
      <c r="U43" s="32" t="n">
        <v>0</v>
      </c>
      <c r="V43" s="32" t="n">
        <f aca="false">T43-U43</f>
        <v>0</v>
      </c>
      <c r="W43" s="32" t="n">
        <f aca="false">N43-T43</f>
        <v>0</v>
      </c>
      <c r="X43" s="35"/>
    </row>
    <row r="44" customFormat="false" ht="21.75" hidden="false" customHeight="true" outlineLevel="0" collapsed="false">
      <c r="B44" s="10" t="n">
        <v>40</v>
      </c>
      <c r="C44" s="6" t="s">
        <v>13</v>
      </c>
      <c r="D44" s="10" t="s">
        <v>79</v>
      </c>
      <c r="E44" s="10" t="s">
        <v>54</v>
      </c>
      <c r="F44" s="10" t="s">
        <v>55</v>
      </c>
      <c r="G44" s="10"/>
      <c r="H44" s="10" t="s">
        <v>83</v>
      </c>
      <c r="I44" s="11" t="n">
        <v>1004535</v>
      </c>
      <c r="J44" s="12" t="s">
        <v>19</v>
      </c>
      <c r="K44" s="13" t="n">
        <v>335</v>
      </c>
      <c r="L44" s="30"/>
      <c r="M44" s="36" t="n">
        <f aca="false">L44</f>
        <v>0</v>
      </c>
      <c r="N44" s="37" t="n">
        <f aca="false">IFERROR(M44/K44,0)</f>
        <v>0</v>
      </c>
      <c r="O44" s="37" t="n">
        <v>0</v>
      </c>
      <c r="P44" s="37" t="n">
        <f aca="false">N44-O44</f>
        <v>0</v>
      </c>
      <c r="Q44" s="33"/>
      <c r="R44" s="33"/>
      <c r="S44" s="33"/>
      <c r="T44" s="34"/>
      <c r="U44" s="37" t="n">
        <v>0</v>
      </c>
      <c r="V44" s="37" t="n">
        <f aca="false">T44-U44</f>
        <v>0</v>
      </c>
      <c r="W44" s="37" t="n">
        <f aca="false">N44-T44</f>
        <v>0</v>
      </c>
      <c r="X44" s="35"/>
    </row>
    <row r="45" customFormat="false" ht="21.75" hidden="false" customHeight="true" outlineLevel="0" collapsed="false">
      <c r="B45" s="5" t="n">
        <v>41</v>
      </c>
      <c r="C45" s="6" t="s">
        <v>13</v>
      </c>
      <c r="D45" s="5" t="s">
        <v>79</v>
      </c>
      <c r="E45" s="5" t="s">
        <v>54</v>
      </c>
      <c r="F45" s="5" t="s">
        <v>55</v>
      </c>
      <c r="G45" s="5"/>
      <c r="H45" s="5" t="s">
        <v>84</v>
      </c>
      <c r="I45" s="7" t="n">
        <v>793830</v>
      </c>
      <c r="J45" s="8" t="s">
        <v>19</v>
      </c>
      <c r="K45" s="9" t="n">
        <v>265</v>
      </c>
      <c r="L45" s="30"/>
      <c r="M45" s="31" t="n">
        <f aca="false">L45</f>
        <v>0</v>
      </c>
      <c r="N45" s="32" t="n">
        <f aca="false">IFERROR(M45/K45,0)</f>
        <v>0</v>
      </c>
      <c r="O45" s="32" t="n">
        <v>0</v>
      </c>
      <c r="P45" s="32" t="n">
        <f aca="false">N45-O45</f>
        <v>0</v>
      </c>
      <c r="Q45" s="33"/>
      <c r="R45" s="33"/>
      <c r="S45" s="33"/>
      <c r="T45" s="34"/>
      <c r="U45" s="32" t="n">
        <v>0</v>
      </c>
      <c r="V45" s="32" t="n">
        <f aca="false">T45-U45</f>
        <v>0</v>
      </c>
      <c r="W45" s="32" t="n">
        <f aca="false">N45-T45</f>
        <v>0</v>
      </c>
      <c r="X45" s="35"/>
    </row>
    <row r="46" customFormat="false" ht="21.75" hidden="false" customHeight="true" outlineLevel="0" collapsed="false">
      <c r="B46" s="10" t="n">
        <v>42</v>
      </c>
      <c r="C46" s="6" t="s">
        <v>13</v>
      </c>
      <c r="D46" s="10" t="s">
        <v>79</v>
      </c>
      <c r="E46" s="10" t="s">
        <v>20</v>
      </c>
      <c r="F46" s="10" t="s">
        <v>21</v>
      </c>
      <c r="G46" s="10" t="s">
        <v>52</v>
      </c>
      <c r="H46" s="10" t="s">
        <v>52</v>
      </c>
      <c r="I46" s="11" t="n">
        <v>2000000</v>
      </c>
      <c r="J46" s="12" t="s">
        <v>24</v>
      </c>
      <c r="K46" s="13" t="n">
        <v>4</v>
      </c>
      <c r="L46" s="30"/>
      <c r="M46" s="36" t="n">
        <f aca="false">L46</f>
        <v>0</v>
      </c>
      <c r="N46" s="37" t="n">
        <f aca="false">IFERROR(M46/K46,0)</f>
        <v>0</v>
      </c>
      <c r="O46" s="37" t="n">
        <v>0</v>
      </c>
      <c r="P46" s="37" t="n">
        <f aca="false">N46-O46</f>
        <v>0</v>
      </c>
      <c r="Q46" s="33"/>
      <c r="R46" s="33"/>
      <c r="S46" s="33"/>
      <c r="T46" s="34"/>
      <c r="U46" s="37" t="n">
        <v>0</v>
      </c>
      <c r="V46" s="37" t="n">
        <f aca="false">T46-U46</f>
        <v>0</v>
      </c>
      <c r="W46" s="37" t="n">
        <f aca="false">N46-T46</f>
        <v>0</v>
      </c>
      <c r="X46" s="35"/>
    </row>
    <row r="47" customFormat="false" ht="21.75" hidden="false" customHeight="true" outlineLevel="0" collapsed="false">
      <c r="B47" s="5" t="n">
        <v>43</v>
      </c>
      <c r="C47" s="6" t="s">
        <v>13</v>
      </c>
      <c r="D47" s="5" t="s">
        <v>79</v>
      </c>
      <c r="E47" s="5" t="s">
        <v>15</v>
      </c>
      <c r="F47" s="5" t="s">
        <v>16</v>
      </c>
      <c r="G47" s="5" t="s">
        <v>25</v>
      </c>
      <c r="H47" s="5" t="s">
        <v>85</v>
      </c>
      <c r="I47" s="7" t="n">
        <v>200000</v>
      </c>
      <c r="J47" s="8" t="s">
        <v>19</v>
      </c>
      <c r="K47" s="9" t="n">
        <v>67</v>
      </c>
      <c r="L47" s="30"/>
      <c r="M47" s="31" t="n">
        <f aca="false">L47</f>
        <v>0</v>
      </c>
      <c r="N47" s="32" t="n">
        <f aca="false">IFERROR(M47/K47,0)</f>
        <v>0</v>
      </c>
      <c r="O47" s="32" t="n">
        <v>0</v>
      </c>
      <c r="P47" s="32" t="n">
        <f aca="false">N47-O47</f>
        <v>0</v>
      </c>
      <c r="Q47" s="33"/>
      <c r="R47" s="33"/>
      <c r="S47" s="33"/>
      <c r="T47" s="34"/>
      <c r="U47" s="32" t="n">
        <v>0</v>
      </c>
      <c r="V47" s="32" t="n">
        <f aca="false">T47-U47</f>
        <v>0</v>
      </c>
      <c r="W47" s="32" t="n">
        <f aca="false">N47-T47</f>
        <v>0</v>
      </c>
      <c r="X47" s="35"/>
    </row>
    <row r="48" customFormat="false" ht="21.75" hidden="false" customHeight="true" outlineLevel="0" collapsed="false">
      <c r="B48" s="10" t="n">
        <v>44</v>
      </c>
      <c r="C48" s="6" t="s">
        <v>13</v>
      </c>
      <c r="D48" s="10" t="s">
        <v>79</v>
      </c>
      <c r="E48" s="10" t="s">
        <v>27</v>
      </c>
      <c r="F48" s="10" t="s">
        <v>28</v>
      </c>
      <c r="G48" s="10" t="s">
        <v>29</v>
      </c>
      <c r="H48" s="10" t="s">
        <v>86</v>
      </c>
      <c r="I48" s="11" t="n">
        <v>580000</v>
      </c>
      <c r="J48" s="12" t="s">
        <v>31</v>
      </c>
      <c r="K48" s="13" t="n">
        <v>7</v>
      </c>
      <c r="L48" s="30"/>
      <c r="M48" s="36" t="n">
        <f aca="false">L48</f>
        <v>0</v>
      </c>
      <c r="N48" s="37" t="n">
        <f aca="false">IFERROR(M48/K48,0)</f>
        <v>0</v>
      </c>
      <c r="O48" s="37" t="n">
        <v>0</v>
      </c>
      <c r="P48" s="37" t="n">
        <f aca="false">N48-O48</f>
        <v>0</v>
      </c>
      <c r="Q48" s="33"/>
      <c r="R48" s="33"/>
      <c r="S48" s="33"/>
      <c r="T48" s="34"/>
      <c r="U48" s="37" t="n">
        <v>0</v>
      </c>
      <c r="V48" s="37" t="n">
        <f aca="false">T48-U48</f>
        <v>0</v>
      </c>
      <c r="W48" s="37" t="n">
        <f aca="false">N48-T48</f>
        <v>0</v>
      </c>
      <c r="X48" s="35"/>
    </row>
    <row r="49" customFormat="false" ht="21.75" hidden="false" customHeight="true" outlineLevel="0" collapsed="false">
      <c r="B49" s="5" t="n">
        <v>45</v>
      </c>
      <c r="C49" s="6" t="s">
        <v>13</v>
      </c>
      <c r="D49" s="5" t="s">
        <v>79</v>
      </c>
      <c r="E49" s="5" t="s">
        <v>27</v>
      </c>
      <c r="F49" s="5" t="s">
        <v>28</v>
      </c>
      <c r="G49" s="5" t="s">
        <v>39</v>
      </c>
      <c r="H49" s="5" t="s">
        <v>87</v>
      </c>
      <c r="I49" s="7" t="n">
        <v>4000000</v>
      </c>
      <c r="J49" s="8" t="s">
        <v>41</v>
      </c>
      <c r="K49" s="9" t="n">
        <v>2667</v>
      </c>
      <c r="L49" s="30"/>
      <c r="M49" s="31" t="n">
        <f aca="false">L49</f>
        <v>0</v>
      </c>
      <c r="N49" s="32" t="n">
        <f aca="false">IFERROR(M49/K49,0)</f>
        <v>0</v>
      </c>
      <c r="O49" s="32" t="n">
        <v>0</v>
      </c>
      <c r="P49" s="32" t="n">
        <f aca="false">N49-O49</f>
        <v>0</v>
      </c>
      <c r="Q49" s="33"/>
      <c r="R49" s="33"/>
      <c r="S49" s="33"/>
      <c r="T49" s="34"/>
      <c r="U49" s="32" t="n">
        <v>0</v>
      </c>
      <c r="V49" s="32" t="n">
        <f aca="false">T49-U49</f>
        <v>0</v>
      </c>
      <c r="W49" s="32" t="n">
        <f aca="false">N49-T49</f>
        <v>0</v>
      </c>
      <c r="X49" s="35"/>
    </row>
    <row r="50" customFormat="false" ht="21.75" hidden="false" customHeight="true" outlineLevel="0" collapsed="false">
      <c r="B50" s="10" t="n">
        <v>46</v>
      </c>
      <c r="C50" s="6" t="s">
        <v>13</v>
      </c>
      <c r="D50" s="10" t="s">
        <v>88</v>
      </c>
      <c r="E50" s="10" t="s">
        <v>20</v>
      </c>
      <c r="F50" s="10" t="s">
        <v>21</v>
      </c>
      <c r="G50" s="10" t="s">
        <v>52</v>
      </c>
      <c r="H50" s="10" t="s">
        <v>52</v>
      </c>
      <c r="I50" s="11" t="n">
        <v>655000</v>
      </c>
      <c r="J50" s="12" t="s">
        <v>24</v>
      </c>
      <c r="K50" s="13" t="n">
        <v>1</v>
      </c>
      <c r="L50" s="30"/>
      <c r="M50" s="36" t="n">
        <f aca="false">L50</f>
        <v>0</v>
      </c>
      <c r="N50" s="37" t="n">
        <f aca="false">IFERROR(M50/K50,0)</f>
        <v>0</v>
      </c>
      <c r="O50" s="37" t="n">
        <v>0</v>
      </c>
      <c r="P50" s="37" t="n">
        <f aca="false">N50-O50</f>
        <v>0</v>
      </c>
      <c r="Q50" s="33"/>
      <c r="R50" s="33"/>
      <c r="S50" s="33"/>
      <c r="T50" s="34"/>
      <c r="U50" s="37" t="n">
        <v>0</v>
      </c>
      <c r="V50" s="37" t="n">
        <f aca="false">T50-U50</f>
        <v>0</v>
      </c>
      <c r="W50" s="37" t="n">
        <f aca="false">N50-T50</f>
        <v>0</v>
      </c>
      <c r="X50" s="35"/>
    </row>
    <row r="51" customFormat="false" ht="21.75" hidden="false" customHeight="true" outlineLevel="0" collapsed="false">
      <c r="B51" s="5" t="n">
        <v>47</v>
      </c>
      <c r="C51" s="6" t="s">
        <v>13</v>
      </c>
      <c r="D51" s="5" t="s">
        <v>89</v>
      </c>
      <c r="E51" s="5" t="s">
        <v>54</v>
      </c>
      <c r="F51" s="5" t="s">
        <v>55</v>
      </c>
      <c r="G51" s="5" t="s">
        <v>56</v>
      </c>
      <c r="H51" s="5" t="s">
        <v>90</v>
      </c>
      <c r="I51" s="7" t="n">
        <v>5182920</v>
      </c>
      <c r="J51" s="8" t="s">
        <v>19</v>
      </c>
      <c r="K51" s="9" t="n">
        <v>1728</v>
      </c>
      <c r="L51" s="30"/>
      <c r="M51" s="31" t="n">
        <f aca="false">L51</f>
        <v>0</v>
      </c>
      <c r="N51" s="32" t="n">
        <f aca="false">IFERROR(M51/K51,0)</f>
        <v>0</v>
      </c>
      <c r="O51" s="32" t="n">
        <v>0</v>
      </c>
      <c r="P51" s="32" t="n">
        <f aca="false">N51-O51</f>
        <v>0</v>
      </c>
      <c r="Q51" s="33"/>
      <c r="R51" s="33"/>
      <c r="S51" s="33"/>
      <c r="T51" s="34"/>
      <c r="U51" s="32" t="n">
        <v>0</v>
      </c>
      <c r="V51" s="32" t="n">
        <f aca="false">T51-U51</f>
        <v>0</v>
      </c>
      <c r="W51" s="32" t="n">
        <f aca="false">N51-T51</f>
        <v>0</v>
      </c>
      <c r="X51" s="35"/>
    </row>
    <row r="52" customFormat="false" ht="21.75" hidden="false" customHeight="true" outlineLevel="0" collapsed="false">
      <c r="B52" s="10" t="n">
        <v>48</v>
      </c>
      <c r="C52" s="6" t="s">
        <v>13</v>
      </c>
      <c r="D52" s="10" t="s">
        <v>89</v>
      </c>
      <c r="E52" s="10" t="s">
        <v>54</v>
      </c>
      <c r="F52" s="10" t="s">
        <v>55</v>
      </c>
      <c r="G52" s="10"/>
      <c r="H52" s="10" t="s">
        <v>91</v>
      </c>
      <c r="I52" s="11" t="n">
        <v>152818</v>
      </c>
      <c r="J52" s="12" t="s">
        <v>19</v>
      </c>
      <c r="K52" s="13" t="n">
        <v>51</v>
      </c>
      <c r="L52" s="30"/>
      <c r="M52" s="36" t="n">
        <f aca="false">L52</f>
        <v>0</v>
      </c>
      <c r="N52" s="37" t="n">
        <f aca="false">IFERROR(M52/K52,0)</f>
        <v>0</v>
      </c>
      <c r="O52" s="37" t="n">
        <v>0</v>
      </c>
      <c r="P52" s="37" t="n">
        <f aca="false">N52-O52</f>
        <v>0</v>
      </c>
      <c r="Q52" s="33"/>
      <c r="R52" s="33"/>
      <c r="S52" s="33"/>
      <c r="T52" s="34"/>
      <c r="U52" s="37" t="n">
        <v>0</v>
      </c>
      <c r="V52" s="37" t="n">
        <f aca="false">T52-U52</f>
        <v>0</v>
      </c>
      <c r="W52" s="37" t="n">
        <f aca="false">N52-T52</f>
        <v>0</v>
      </c>
      <c r="X52" s="35"/>
    </row>
    <row r="53" customFormat="false" ht="21.75" hidden="false" customHeight="true" outlineLevel="0" collapsed="false">
      <c r="B53" s="5" t="n">
        <v>49</v>
      </c>
      <c r="C53" s="6" t="s">
        <v>13</v>
      </c>
      <c r="D53" s="5" t="s">
        <v>89</v>
      </c>
      <c r="E53" s="5" t="s">
        <v>54</v>
      </c>
      <c r="F53" s="5" t="s">
        <v>55</v>
      </c>
      <c r="G53" s="5"/>
      <c r="H53" s="5" t="s">
        <v>92</v>
      </c>
      <c r="I53" s="7" t="n">
        <v>1418000</v>
      </c>
      <c r="J53" s="8" t="s">
        <v>19</v>
      </c>
      <c r="K53" s="9" t="n">
        <v>473</v>
      </c>
      <c r="L53" s="30"/>
      <c r="M53" s="31" t="n">
        <f aca="false">L53</f>
        <v>0</v>
      </c>
      <c r="N53" s="32" t="n">
        <f aca="false">IFERROR(M53/K53,0)</f>
        <v>0</v>
      </c>
      <c r="O53" s="32" t="n">
        <v>0</v>
      </c>
      <c r="P53" s="32" t="n">
        <f aca="false">N53-O53</f>
        <v>0</v>
      </c>
      <c r="Q53" s="33"/>
      <c r="R53" s="33"/>
      <c r="S53" s="33"/>
      <c r="T53" s="34"/>
      <c r="U53" s="32" t="n">
        <v>0</v>
      </c>
      <c r="V53" s="32" t="n">
        <f aca="false">T53-U53</f>
        <v>0</v>
      </c>
      <c r="W53" s="32" t="n">
        <f aca="false">N53-T53</f>
        <v>0</v>
      </c>
      <c r="X53" s="35"/>
    </row>
    <row r="54" customFormat="false" ht="21.75" hidden="false" customHeight="true" outlineLevel="0" collapsed="false">
      <c r="B54" s="10" t="n">
        <v>50</v>
      </c>
      <c r="C54" s="6" t="s">
        <v>13</v>
      </c>
      <c r="D54" s="10" t="s">
        <v>89</v>
      </c>
      <c r="E54" s="10" t="s">
        <v>54</v>
      </c>
      <c r="F54" s="10" t="s">
        <v>55</v>
      </c>
      <c r="G54" s="10" t="s">
        <v>70</v>
      </c>
      <c r="H54" s="10" t="s">
        <v>93</v>
      </c>
      <c r="I54" s="11" t="n">
        <v>800000</v>
      </c>
      <c r="J54" s="12" t="s">
        <v>19</v>
      </c>
      <c r="K54" s="13" t="n">
        <v>400</v>
      </c>
      <c r="L54" s="30"/>
      <c r="M54" s="36" t="n">
        <f aca="false">L54</f>
        <v>0</v>
      </c>
      <c r="N54" s="37" t="n">
        <f aca="false">IFERROR(M54/K54,0)</f>
        <v>0</v>
      </c>
      <c r="O54" s="37" t="n">
        <v>0</v>
      </c>
      <c r="P54" s="37" t="n">
        <f aca="false">N54-O54</f>
        <v>0</v>
      </c>
      <c r="Q54" s="33"/>
      <c r="R54" s="33"/>
      <c r="S54" s="33"/>
      <c r="T54" s="34"/>
      <c r="U54" s="37" t="n">
        <v>0</v>
      </c>
      <c r="V54" s="37" t="n">
        <f aca="false">T54-U54</f>
        <v>0</v>
      </c>
      <c r="W54" s="37" t="n">
        <f aca="false">N54-T54</f>
        <v>0</v>
      </c>
      <c r="X54" s="35"/>
    </row>
    <row r="55" customFormat="false" ht="21.75" hidden="false" customHeight="true" outlineLevel="0" collapsed="false">
      <c r="B55" s="5" t="n">
        <v>51</v>
      </c>
      <c r="C55" s="6" t="s">
        <v>13</v>
      </c>
      <c r="D55" s="5" t="s">
        <v>89</v>
      </c>
      <c r="E55" s="5" t="s">
        <v>20</v>
      </c>
      <c r="F55" s="5" t="s">
        <v>21</v>
      </c>
      <c r="G55" s="5" t="s">
        <v>52</v>
      </c>
      <c r="H55" s="5" t="s">
        <v>52</v>
      </c>
      <c r="I55" s="7" t="n">
        <v>3700000</v>
      </c>
      <c r="J55" s="8" t="s">
        <v>24</v>
      </c>
      <c r="K55" s="9" t="n">
        <v>7</v>
      </c>
      <c r="L55" s="30"/>
      <c r="M55" s="31" t="n">
        <f aca="false">L55</f>
        <v>0</v>
      </c>
      <c r="N55" s="32" t="n">
        <f aca="false">IFERROR(M55/K55,0)</f>
        <v>0</v>
      </c>
      <c r="O55" s="32" t="n">
        <v>0</v>
      </c>
      <c r="P55" s="32" t="n">
        <f aca="false">N55-O55</f>
        <v>0</v>
      </c>
      <c r="Q55" s="33"/>
      <c r="R55" s="33"/>
      <c r="S55" s="33"/>
      <c r="T55" s="34"/>
      <c r="U55" s="32" t="n">
        <v>0</v>
      </c>
      <c r="V55" s="32" t="n">
        <f aca="false">T55-U55</f>
        <v>0</v>
      </c>
      <c r="W55" s="32" t="n">
        <f aca="false">N55-T55</f>
        <v>0</v>
      </c>
      <c r="X55" s="35"/>
    </row>
    <row r="56" customFormat="false" ht="21.75" hidden="false" customHeight="true" outlineLevel="0" collapsed="false">
      <c r="B56" s="10" t="n">
        <v>52</v>
      </c>
      <c r="C56" s="6" t="s">
        <v>13</v>
      </c>
      <c r="D56" s="10" t="s">
        <v>89</v>
      </c>
      <c r="E56" s="10" t="s">
        <v>27</v>
      </c>
      <c r="F56" s="10" t="s">
        <v>28</v>
      </c>
      <c r="G56" s="10" t="s">
        <v>29</v>
      </c>
      <c r="H56" s="10" t="s">
        <v>94</v>
      </c>
      <c r="I56" s="11" t="n">
        <v>705000</v>
      </c>
      <c r="J56" s="12" t="s">
        <v>31</v>
      </c>
      <c r="K56" s="13" t="n">
        <v>3</v>
      </c>
      <c r="L56" s="30"/>
      <c r="M56" s="36" t="n">
        <f aca="false">L56</f>
        <v>0</v>
      </c>
      <c r="N56" s="37" t="n">
        <f aca="false">IFERROR(M56/K56,0)</f>
        <v>0</v>
      </c>
      <c r="O56" s="37" t="n">
        <v>0</v>
      </c>
      <c r="P56" s="37" t="n">
        <f aca="false">N56-O56</f>
        <v>0</v>
      </c>
      <c r="Q56" s="33"/>
      <c r="R56" s="33"/>
      <c r="S56" s="33"/>
      <c r="T56" s="34"/>
      <c r="U56" s="37" t="n">
        <v>0</v>
      </c>
      <c r="V56" s="37" t="n">
        <f aca="false">T56-U56</f>
        <v>0</v>
      </c>
      <c r="W56" s="37" t="n">
        <f aca="false">N56-T56</f>
        <v>0</v>
      </c>
      <c r="X56" s="35"/>
    </row>
    <row r="57" customFormat="false" ht="21.75" hidden="false" customHeight="true" outlineLevel="0" collapsed="false">
      <c r="B57" s="5" t="n">
        <v>53</v>
      </c>
      <c r="C57" s="6" t="s">
        <v>13</v>
      </c>
      <c r="D57" s="5" t="s">
        <v>89</v>
      </c>
      <c r="E57" s="5" t="s">
        <v>27</v>
      </c>
      <c r="F57" s="5" t="s">
        <v>28</v>
      </c>
      <c r="G57" s="5" t="s">
        <v>65</v>
      </c>
      <c r="H57" s="5" t="s">
        <v>95</v>
      </c>
      <c r="I57" s="7" t="n">
        <v>372000</v>
      </c>
      <c r="J57" s="8" t="s">
        <v>19</v>
      </c>
      <c r="K57" s="9" t="n">
        <v>124</v>
      </c>
      <c r="L57" s="30"/>
      <c r="M57" s="31" t="n">
        <f aca="false">L57</f>
        <v>0</v>
      </c>
      <c r="N57" s="32" t="n">
        <f aca="false">IFERROR(M57/K57,0)</f>
        <v>0</v>
      </c>
      <c r="O57" s="32" t="n">
        <v>0</v>
      </c>
      <c r="P57" s="32" t="n">
        <f aca="false">N57-O57</f>
        <v>0</v>
      </c>
      <c r="Q57" s="33"/>
      <c r="R57" s="33"/>
      <c r="S57" s="33"/>
      <c r="T57" s="34"/>
      <c r="U57" s="32" t="n">
        <v>0</v>
      </c>
      <c r="V57" s="32" t="n">
        <f aca="false">T57-U57</f>
        <v>0</v>
      </c>
      <c r="W57" s="32" t="n">
        <f aca="false">N57-T57</f>
        <v>0</v>
      </c>
      <c r="X57" s="35"/>
    </row>
    <row r="58" customFormat="false" ht="21.75" hidden="false" customHeight="true" outlineLevel="0" collapsed="false">
      <c r="B58" s="10" t="n">
        <v>54</v>
      </c>
      <c r="C58" s="15" t="s">
        <v>96</v>
      </c>
      <c r="D58" s="10" t="s">
        <v>97</v>
      </c>
      <c r="E58" s="10" t="s">
        <v>15</v>
      </c>
      <c r="F58" s="10" t="s">
        <v>16</v>
      </c>
      <c r="G58" s="10" t="s">
        <v>17</v>
      </c>
      <c r="H58" s="10" t="s">
        <v>98</v>
      </c>
      <c r="I58" s="11" t="n">
        <v>10000000</v>
      </c>
      <c r="J58" s="12" t="s">
        <v>19</v>
      </c>
      <c r="K58" s="13" t="n">
        <v>5000</v>
      </c>
      <c r="L58" s="30"/>
      <c r="M58" s="36" t="n">
        <f aca="false">L58</f>
        <v>0</v>
      </c>
      <c r="N58" s="37" t="n">
        <f aca="false">IFERROR(M58/K58,0)</f>
        <v>0</v>
      </c>
      <c r="O58" s="37" t="n">
        <v>0</v>
      </c>
      <c r="P58" s="37" t="n">
        <f aca="false">N58-O58</f>
        <v>0</v>
      </c>
      <c r="Q58" s="33"/>
      <c r="R58" s="33"/>
      <c r="S58" s="33"/>
      <c r="T58" s="34"/>
      <c r="U58" s="37" t="n">
        <v>0</v>
      </c>
      <c r="V58" s="37" t="n">
        <f aca="false">T58-U58</f>
        <v>0</v>
      </c>
      <c r="W58" s="37" t="n">
        <f aca="false">N58-T58</f>
        <v>0</v>
      </c>
      <c r="X58" s="35"/>
    </row>
    <row r="59" customFormat="false" ht="21.75" hidden="false" customHeight="true" outlineLevel="0" collapsed="false">
      <c r="B59" s="5" t="n">
        <v>55</v>
      </c>
      <c r="C59" s="15" t="s">
        <v>96</v>
      </c>
      <c r="D59" s="5" t="s">
        <v>97</v>
      </c>
      <c r="E59" s="5" t="s">
        <v>20</v>
      </c>
      <c r="F59" s="5" t="s">
        <v>21</v>
      </c>
      <c r="G59" s="5" t="s">
        <v>22</v>
      </c>
      <c r="H59" s="5" t="s">
        <v>99</v>
      </c>
      <c r="I59" s="7" t="n">
        <v>2000000</v>
      </c>
      <c r="J59" s="8" t="s">
        <v>24</v>
      </c>
      <c r="K59" s="9" t="n">
        <v>4</v>
      </c>
      <c r="L59" s="30"/>
      <c r="M59" s="31" t="n">
        <f aca="false">L59</f>
        <v>0</v>
      </c>
      <c r="N59" s="32" t="n">
        <f aca="false">IFERROR(M59/K59,0)</f>
        <v>0</v>
      </c>
      <c r="O59" s="32" t="n">
        <v>0</v>
      </c>
      <c r="P59" s="32" t="n">
        <f aca="false">N59-O59</f>
        <v>0</v>
      </c>
      <c r="Q59" s="33"/>
      <c r="R59" s="33"/>
      <c r="S59" s="33"/>
      <c r="T59" s="34"/>
      <c r="U59" s="32" t="n">
        <v>0</v>
      </c>
      <c r="V59" s="32" t="n">
        <f aca="false">T59-U59</f>
        <v>0</v>
      </c>
      <c r="W59" s="32" t="n">
        <f aca="false">N59-T59</f>
        <v>0</v>
      </c>
      <c r="X59" s="35"/>
    </row>
    <row r="60" customFormat="false" ht="21.75" hidden="false" customHeight="true" outlineLevel="0" collapsed="false">
      <c r="B60" s="10" t="n">
        <v>56</v>
      </c>
      <c r="C60" s="15" t="s">
        <v>96</v>
      </c>
      <c r="D60" s="10" t="s">
        <v>97</v>
      </c>
      <c r="E60" s="10" t="s">
        <v>27</v>
      </c>
      <c r="F60" s="10" t="s">
        <v>28</v>
      </c>
      <c r="G60" s="10" t="s">
        <v>37</v>
      </c>
      <c r="H60" s="10" t="s">
        <v>100</v>
      </c>
      <c r="I60" s="11" t="n">
        <v>300000</v>
      </c>
      <c r="J60" s="12" t="s">
        <v>31</v>
      </c>
      <c r="K60" s="13" t="n">
        <v>1</v>
      </c>
      <c r="L60" s="30"/>
      <c r="M60" s="36" t="n">
        <f aca="false">L60</f>
        <v>0</v>
      </c>
      <c r="N60" s="37" t="n">
        <f aca="false">IFERROR(M60/K60,0)</f>
        <v>0</v>
      </c>
      <c r="O60" s="37" t="n">
        <v>0</v>
      </c>
      <c r="P60" s="37" t="n">
        <f aca="false">N60-O60</f>
        <v>0</v>
      </c>
      <c r="Q60" s="33"/>
      <c r="R60" s="33"/>
      <c r="S60" s="33"/>
      <c r="T60" s="34"/>
      <c r="U60" s="37" t="n">
        <v>0</v>
      </c>
      <c r="V60" s="37" t="n">
        <f aca="false">T60-U60</f>
        <v>0</v>
      </c>
      <c r="W60" s="37" t="n">
        <f aca="false">N60-T60</f>
        <v>0</v>
      </c>
      <c r="X60" s="35"/>
    </row>
    <row r="61" customFormat="false" ht="21.75" hidden="false" customHeight="true" outlineLevel="0" collapsed="false">
      <c r="B61" s="5" t="n">
        <v>57</v>
      </c>
      <c r="C61" s="15" t="s">
        <v>96</v>
      </c>
      <c r="D61" s="5" t="s">
        <v>97</v>
      </c>
      <c r="E61" s="5" t="s">
        <v>54</v>
      </c>
      <c r="F61" s="5" t="s">
        <v>55</v>
      </c>
      <c r="G61" s="5" t="s">
        <v>70</v>
      </c>
      <c r="H61" s="5" t="s">
        <v>101</v>
      </c>
      <c r="I61" s="7" t="n">
        <v>100000</v>
      </c>
      <c r="J61" s="8" t="s">
        <v>31</v>
      </c>
      <c r="K61" s="9" t="n">
        <v>200</v>
      </c>
      <c r="L61" s="30"/>
      <c r="M61" s="31" t="n">
        <f aca="false">L61</f>
        <v>0</v>
      </c>
      <c r="N61" s="32" t="n">
        <f aca="false">IFERROR(M61/K61,0)</f>
        <v>0</v>
      </c>
      <c r="O61" s="32" t="n">
        <v>0</v>
      </c>
      <c r="P61" s="32" t="n">
        <f aca="false">N61-O61</f>
        <v>0</v>
      </c>
      <c r="Q61" s="33"/>
      <c r="R61" s="33"/>
      <c r="S61" s="33"/>
      <c r="T61" s="34"/>
      <c r="U61" s="32" t="n">
        <v>0</v>
      </c>
      <c r="V61" s="32" t="n">
        <f aca="false">T61-U61</f>
        <v>0</v>
      </c>
      <c r="W61" s="32" t="n">
        <f aca="false">N61-T61</f>
        <v>0</v>
      </c>
      <c r="X61" s="35"/>
    </row>
    <row r="62" customFormat="false" ht="21.75" hidden="false" customHeight="true" outlineLevel="0" collapsed="false">
      <c r="B62" s="10" t="n">
        <v>58</v>
      </c>
      <c r="C62" s="15" t="s">
        <v>96</v>
      </c>
      <c r="D62" s="10" t="s">
        <v>102</v>
      </c>
      <c r="E62" s="10" t="s">
        <v>15</v>
      </c>
      <c r="F62" s="10" t="s">
        <v>16</v>
      </c>
      <c r="G62" s="10" t="s">
        <v>17</v>
      </c>
      <c r="H62" s="10" t="s">
        <v>103</v>
      </c>
      <c r="I62" s="11" t="n">
        <v>3000000</v>
      </c>
      <c r="J62" s="12" t="s">
        <v>19</v>
      </c>
      <c r="K62" s="13" t="n">
        <v>1500</v>
      </c>
      <c r="L62" s="30"/>
      <c r="M62" s="36" t="n">
        <f aca="false">L62</f>
        <v>0</v>
      </c>
      <c r="N62" s="37" t="n">
        <f aca="false">IFERROR(M62/K62,0)</f>
        <v>0</v>
      </c>
      <c r="O62" s="37" t="n">
        <v>0</v>
      </c>
      <c r="P62" s="37" t="n">
        <f aca="false">N62-O62</f>
        <v>0</v>
      </c>
      <c r="Q62" s="33"/>
      <c r="R62" s="33"/>
      <c r="S62" s="33"/>
      <c r="T62" s="34"/>
      <c r="U62" s="37" t="n">
        <v>0</v>
      </c>
      <c r="V62" s="37" t="n">
        <f aca="false">T62-U62</f>
        <v>0</v>
      </c>
      <c r="W62" s="37" t="n">
        <f aca="false">N62-T62</f>
        <v>0</v>
      </c>
      <c r="X62" s="35"/>
    </row>
    <row r="63" customFormat="false" ht="21.75" hidden="false" customHeight="true" outlineLevel="0" collapsed="false">
      <c r="B63" s="5" t="n">
        <v>59</v>
      </c>
      <c r="C63" s="15" t="s">
        <v>96</v>
      </c>
      <c r="D63" s="5" t="s">
        <v>102</v>
      </c>
      <c r="E63" s="5" t="s">
        <v>20</v>
      </c>
      <c r="F63" s="5" t="s">
        <v>21</v>
      </c>
      <c r="G63" s="5" t="s">
        <v>22</v>
      </c>
      <c r="H63" s="5" t="s">
        <v>104</v>
      </c>
      <c r="I63" s="7" t="n">
        <v>5000000</v>
      </c>
      <c r="J63" s="8" t="s">
        <v>31</v>
      </c>
      <c r="K63" s="9" t="n">
        <v>1</v>
      </c>
      <c r="L63" s="30"/>
      <c r="M63" s="31" t="n">
        <f aca="false">L63</f>
        <v>0</v>
      </c>
      <c r="N63" s="32" t="n">
        <f aca="false">IFERROR(M63/K63,0)</f>
        <v>0</v>
      </c>
      <c r="O63" s="32" t="n">
        <v>0</v>
      </c>
      <c r="P63" s="32" t="n">
        <f aca="false">N63-O63</f>
        <v>0</v>
      </c>
      <c r="Q63" s="33"/>
      <c r="R63" s="33"/>
      <c r="S63" s="33"/>
      <c r="T63" s="34"/>
      <c r="U63" s="32" t="n">
        <v>0</v>
      </c>
      <c r="V63" s="32" t="n">
        <f aca="false">T63-U63</f>
        <v>0</v>
      </c>
      <c r="W63" s="32" t="n">
        <f aca="false">N63-T63</f>
        <v>0</v>
      </c>
      <c r="X63" s="35"/>
    </row>
    <row r="64" customFormat="false" ht="21.75" hidden="false" customHeight="true" outlineLevel="0" collapsed="false">
      <c r="B64" s="10" t="n">
        <v>60</v>
      </c>
      <c r="C64" s="15" t="s">
        <v>96</v>
      </c>
      <c r="D64" s="10" t="s">
        <v>105</v>
      </c>
      <c r="E64" s="10" t="s">
        <v>15</v>
      </c>
      <c r="F64" s="10" t="s">
        <v>16</v>
      </c>
      <c r="G64" s="10" t="s">
        <v>17</v>
      </c>
      <c r="H64" s="10" t="s">
        <v>106</v>
      </c>
      <c r="I64" s="11" t="n">
        <v>3000000</v>
      </c>
      <c r="J64" s="12" t="s">
        <v>19</v>
      </c>
      <c r="K64" s="13" t="n">
        <v>1500</v>
      </c>
      <c r="L64" s="30"/>
      <c r="M64" s="36" t="n">
        <f aca="false">L64</f>
        <v>0</v>
      </c>
      <c r="N64" s="37" t="n">
        <f aca="false">IFERROR(M64/K64,0)</f>
        <v>0</v>
      </c>
      <c r="O64" s="37" t="n">
        <v>0</v>
      </c>
      <c r="P64" s="37" t="n">
        <f aca="false">N64-O64</f>
        <v>0</v>
      </c>
      <c r="Q64" s="33"/>
      <c r="R64" s="33"/>
      <c r="S64" s="33"/>
      <c r="T64" s="34"/>
      <c r="U64" s="37" t="n">
        <v>0</v>
      </c>
      <c r="V64" s="37" t="n">
        <f aca="false">T64-U64</f>
        <v>0</v>
      </c>
      <c r="W64" s="37" t="n">
        <f aca="false">N64-T64</f>
        <v>0</v>
      </c>
      <c r="X64" s="35"/>
    </row>
    <row r="65" customFormat="false" ht="21.75" hidden="false" customHeight="true" outlineLevel="0" collapsed="false">
      <c r="B65" s="5" t="n">
        <v>61</v>
      </c>
      <c r="C65" s="15" t="s">
        <v>96</v>
      </c>
      <c r="D65" s="5" t="s">
        <v>105</v>
      </c>
      <c r="E65" s="5" t="s">
        <v>20</v>
      </c>
      <c r="F65" s="5" t="s">
        <v>21</v>
      </c>
      <c r="G65" s="5" t="s">
        <v>22</v>
      </c>
      <c r="H65" s="5" t="s">
        <v>107</v>
      </c>
      <c r="I65" s="7" t="n">
        <v>3000000</v>
      </c>
      <c r="J65" s="8" t="s">
        <v>24</v>
      </c>
      <c r="K65" s="9" t="n">
        <v>6</v>
      </c>
      <c r="L65" s="30"/>
      <c r="M65" s="31" t="n">
        <f aca="false">L65</f>
        <v>0</v>
      </c>
      <c r="N65" s="32" t="n">
        <f aca="false">IFERROR(M65/K65,0)</f>
        <v>0</v>
      </c>
      <c r="O65" s="32" t="n">
        <v>0</v>
      </c>
      <c r="P65" s="32" t="n">
        <f aca="false">N65-O65</f>
        <v>0</v>
      </c>
      <c r="Q65" s="33"/>
      <c r="R65" s="33"/>
      <c r="S65" s="33"/>
      <c r="T65" s="34"/>
      <c r="U65" s="32" t="n">
        <v>0</v>
      </c>
      <c r="V65" s="32" t="n">
        <f aca="false">T65-U65</f>
        <v>0</v>
      </c>
      <c r="W65" s="32" t="n">
        <f aca="false">N65-T65</f>
        <v>0</v>
      </c>
      <c r="X65" s="35"/>
    </row>
    <row r="66" customFormat="false" ht="21.75" hidden="false" customHeight="true" outlineLevel="0" collapsed="false">
      <c r="B66" s="10" t="n">
        <v>62</v>
      </c>
      <c r="C66" s="15" t="s">
        <v>96</v>
      </c>
      <c r="D66" s="10" t="s">
        <v>108</v>
      </c>
      <c r="E66" s="10" t="s">
        <v>15</v>
      </c>
      <c r="F66" s="10" t="s">
        <v>16</v>
      </c>
      <c r="G66" s="10" t="s">
        <v>17</v>
      </c>
      <c r="H66" s="10" t="s">
        <v>109</v>
      </c>
      <c r="I66" s="11" t="n">
        <v>6000000</v>
      </c>
      <c r="J66" s="12" t="s">
        <v>19</v>
      </c>
      <c r="K66" s="13" t="n">
        <v>3000</v>
      </c>
      <c r="L66" s="30"/>
      <c r="M66" s="36" t="n">
        <f aca="false">L66</f>
        <v>0</v>
      </c>
      <c r="N66" s="37" t="n">
        <f aca="false">IFERROR(M66/K66,0)</f>
        <v>0</v>
      </c>
      <c r="O66" s="37" t="n">
        <v>0</v>
      </c>
      <c r="P66" s="37" t="n">
        <f aca="false">N66-O66</f>
        <v>0</v>
      </c>
      <c r="Q66" s="33"/>
      <c r="R66" s="33"/>
      <c r="S66" s="33"/>
      <c r="T66" s="34"/>
      <c r="U66" s="37" t="n">
        <v>0</v>
      </c>
      <c r="V66" s="37" t="n">
        <f aca="false">T66-U66</f>
        <v>0</v>
      </c>
      <c r="W66" s="37" t="n">
        <f aca="false">N66-T66</f>
        <v>0</v>
      </c>
      <c r="X66" s="35"/>
    </row>
    <row r="67" customFormat="false" ht="21.75" hidden="false" customHeight="true" outlineLevel="0" collapsed="false">
      <c r="B67" s="5" t="n">
        <v>63</v>
      </c>
      <c r="C67" s="15" t="s">
        <v>96</v>
      </c>
      <c r="D67" s="5" t="s">
        <v>108</v>
      </c>
      <c r="E67" s="5" t="s">
        <v>20</v>
      </c>
      <c r="F67" s="5" t="s">
        <v>21</v>
      </c>
      <c r="G67" s="5" t="s">
        <v>22</v>
      </c>
      <c r="H67" s="5" t="s">
        <v>110</v>
      </c>
      <c r="I67" s="7" t="n">
        <v>6000000</v>
      </c>
      <c r="J67" s="8" t="s">
        <v>24</v>
      </c>
      <c r="K67" s="9" t="n">
        <v>12</v>
      </c>
      <c r="L67" s="30"/>
      <c r="M67" s="31" t="n">
        <f aca="false">L67</f>
        <v>0</v>
      </c>
      <c r="N67" s="32" t="n">
        <f aca="false">IFERROR(M67/K67,0)</f>
        <v>0</v>
      </c>
      <c r="O67" s="32" t="n">
        <v>0</v>
      </c>
      <c r="P67" s="32" t="n">
        <f aca="false">N67-O67</f>
        <v>0</v>
      </c>
      <c r="Q67" s="33"/>
      <c r="R67" s="33"/>
      <c r="S67" s="33"/>
      <c r="T67" s="34"/>
      <c r="U67" s="32" t="n">
        <v>0</v>
      </c>
      <c r="V67" s="32" t="n">
        <f aca="false">T67-U67</f>
        <v>0</v>
      </c>
      <c r="W67" s="32" t="n">
        <f aca="false">N67-T67</f>
        <v>0</v>
      </c>
      <c r="X67" s="35"/>
    </row>
    <row r="68" customFormat="false" ht="21.75" hidden="false" customHeight="true" outlineLevel="0" collapsed="false">
      <c r="B68" s="10" t="n">
        <v>64</v>
      </c>
      <c r="C68" s="15" t="s">
        <v>96</v>
      </c>
      <c r="D68" s="10" t="s">
        <v>111</v>
      </c>
      <c r="E68" s="10" t="s">
        <v>15</v>
      </c>
      <c r="F68" s="10" t="s">
        <v>16</v>
      </c>
      <c r="G68" s="10" t="s">
        <v>17</v>
      </c>
      <c r="H68" s="10" t="s">
        <v>112</v>
      </c>
      <c r="I68" s="11" t="n">
        <v>3000000</v>
      </c>
      <c r="J68" s="12" t="s">
        <v>19</v>
      </c>
      <c r="K68" s="13" t="n">
        <v>1500</v>
      </c>
      <c r="L68" s="30"/>
      <c r="M68" s="36" t="n">
        <f aca="false">L68</f>
        <v>0</v>
      </c>
      <c r="N68" s="37" t="n">
        <f aca="false">IFERROR(M68/K68,0)</f>
        <v>0</v>
      </c>
      <c r="O68" s="37" t="n">
        <v>0</v>
      </c>
      <c r="P68" s="37" t="n">
        <f aca="false">N68-O68</f>
        <v>0</v>
      </c>
      <c r="Q68" s="33"/>
      <c r="R68" s="33"/>
      <c r="S68" s="33"/>
      <c r="T68" s="34"/>
      <c r="U68" s="37" t="n">
        <v>0</v>
      </c>
      <c r="V68" s="37" t="n">
        <f aca="false">T68-U68</f>
        <v>0</v>
      </c>
      <c r="W68" s="37" t="n">
        <f aca="false">N68-T68</f>
        <v>0</v>
      </c>
      <c r="X68" s="35"/>
    </row>
    <row r="69" customFormat="false" ht="21.75" hidden="false" customHeight="true" outlineLevel="0" collapsed="false">
      <c r="B69" s="5" t="n">
        <v>65</v>
      </c>
      <c r="C69" s="15" t="s">
        <v>96</v>
      </c>
      <c r="D69" s="5" t="s">
        <v>113</v>
      </c>
      <c r="E69" s="5" t="s">
        <v>15</v>
      </c>
      <c r="F69" s="5" t="s">
        <v>16</v>
      </c>
      <c r="G69" s="5" t="s">
        <v>17</v>
      </c>
      <c r="H69" s="5" t="s">
        <v>114</v>
      </c>
      <c r="I69" s="7" t="n">
        <v>1000000</v>
      </c>
      <c r="J69" s="8" t="s">
        <v>19</v>
      </c>
      <c r="K69" s="9" t="n">
        <v>500</v>
      </c>
      <c r="L69" s="30"/>
      <c r="M69" s="31" t="n">
        <f aca="false">L69</f>
        <v>0</v>
      </c>
      <c r="N69" s="32" t="n">
        <f aca="false">IFERROR(M69/K69,0)</f>
        <v>0</v>
      </c>
      <c r="O69" s="32" t="n">
        <v>0</v>
      </c>
      <c r="P69" s="32" t="n">
        <f aca="false">N69-O69</f>
        <v>0</v>
      </c>
      <c r="Q69" s="33"/>
      <c r="R69" s="33"/>
      <c r="S69" s="33"/>
      <c r="T69" s="34"/>
      <c r="U69" s="32" t="n">
        <v>0</v>
      </c>
      <c r="V69" s="32" t="n">
        <f aca="false">T69-U69</f>
        <v>0</v>
      </c>
      <c r="W69" s="32" t="n">
        <f aca="false">N69-T69</f>
        <v>0</v>
      </c>
      <c r="X69" s="35"/>
    </row>
    <row r="70" customFormat="false" ht="21.75" hidden="false" customHeight="true" outlineLevel="0" collapsed="false">
      <c r="B70" s="10" t="n">
        <v>66</v>
      </c>
      <c r="C70" s="15" t="s">
        <v>96</v>
      </c>
      <c r="D70" s="10" t="s">
        <v>115</v>
      </c>
      <c r="E70" s="10" t="s">
        <v>15</v>
      </c>
      <c r="F70" s="10" t="s">
        <v>16</v>
      </c>
      <c r="G70" s="10" t="s">
        <v>17</v>
      </c>
      <c r="H70" s="10" t="s">
        <v>116</v>
      </c>
      <c r="I70" s="11" t="n">
        <v>1000000</v>
      </c>
      <c r="J70" s="12" t="s">
        <v>19</v>
      </c>
      <c r="K70" s="13" t="n">
        <v>500</v>
      </c>
      <c r="L70" s="30"/>
      <c r="M70" s="36" t="n">
        <f aca="false">L70</f>
        <v>0</v>
      </c>
      <c r="N70" s="37" t="n">
        <f aca="false">IFERROR(M70/K70,0)</f>
        <v>0</v>
      </c>
      <c r="O70" s="37" t="n">
        <v>0</v>
      </c>
      <c r="P70" s="37" t="n">
        <f aca="false">N70-O70</f>
        <v>0</v>
      </c>
      <c r="Q70" s="33"/>
      <c r="R70" s="33"/>
      <c r="S70" s="33"/>
      <c r="T70" s="34"/>
      <c r="U70" s="37" t="n">
        <v>0</v>
      </c>
      <c r="V70" s="37" t="n">
        <f aca="false">T70-U70</f>
        <v>0</v>
      </c>
      <c r="W70" s="37" t="n">
        <f aca="false">N70-T70</f>
        <v>0</v>
      </c>
      <c r="X70" s="35"/>
    </row>
    <row r="71" customFormat="false" ht="21.75" hidden="false" customHeight="true" outlineLevel="0" collapsed="false">
      <c r="B71" s="5" t="n">
        <v>67</v>
      </c>
      <c r="C71" s="15" t="s">
        <v>96</v>
      </c>
      <c r="D71" s="5" t="s">
        <v>117</v>
      </c>
      <c r="E71" s="5" t="s">
        <v>15</v>
      </c>
      <c r="F71" s="5" t="s">
        <v>16</v>
      </c>
      <c r="G71" s="5" t="s">
        <v>17</v>
      </c>
      <c r="H71" s="5" t="s">
        <v>118</v>
      </c>
      <c r="I71" s="7" t="n">
        <v>6600000</v>
      </c>
      <c r="J71" s="8" t="s">
        <v>19</v>
      </c>
      <c r="K71" s="9" t="n">
        <v>3300</v>
      </c>
      <c r="L71" s="30"/>
      <c r="M71" s="31" t="n">
        <f aca="false">L71</f>
        <v>0</v>
      </c>
      <c r="N71" s="32" t="n">
        <f aca="false">IFERROR(M71/K71,0)</f>
        <v>0</v>
      </c>
      <c r="O71" s="32" t="n">
        <v>0</v>
      </c>
      <c r="P71" s="32" t="n">
        <f aca="false">N71-O71</f>
        <v>0</v>
      </c>
      <c r="Q71" s="33"/>
      <c r="R71" s="33"/>
      <c r="S71" s="33"/>
      <c r="T71" s="34"/>
      <c r="U71" s="32" t="n">
        <v>0</v>
      </c>
      <c r="V71" s="32" t="n">
        <f aca="false">T71-U71</f>
        <v>0</v>
      </c>
      <c r="W71" s="32" t="n">
        <f aca="false">N71-T71</f>
        <v>0</v>
      </c>
      <c r="X71" s="35"/>
    </row>
    <row r="72" customFormat="false" ht="21.75" hidden="false" customHeight="true" outlineLevel="0" collapsed="false">
      <c r="B72" s="10" t="n">
        <v>68</v>
      </c>
      <c r="C72" s="16" t="s">
        <v>119</v>
      </c>
      <c r="D72" s="10" t="s">
        <v>120</v>
      </c>
      <c r="E72" s="10" t="s">
        <v>15</v>
      </c>
      <c r="F72" s="10" t="s">
        <v>16</v>
      </c>
      <c r="G72" s="10" t="s">
        <v>17</v>
      </c>
      <c r="H72" s="10" t="s">
        <v>121</v>
      </c>
      <c r="I72" s="11" t="n">
        <v>1805475</v>
      </c>
      <c r="J72" s="12" t="s">
        <v>19</v>
      </c>
      <c r="K72" s="13" t="n">
        <v>903</v>
      </c>
      <c r="L72" s="30"/>
      <c r="M72" s="36" t="n">
        <f aca="false">L72</f>
        <v>0</v>
      </c>
      <c r="N72" s="37" t="n">
        <f aca="false">IFERROR(M72/K72,0)</f>
        <v>0</v>
      </c>
      <c r="O72" s="37" t="n">
        <v>0</v>
      </c>
      <c r="P72" s="37" t="n">
        <f aca="false">N72-O72</f>
        <v>0</v>
      </c>
      <c r="Q72" s="33"/>
      <c r="R72" s="33"/>
      <c r="S72" s="33"/>
      <c r="T72" s="34"/>
      <c r="U72" s="37" t="n">
        <v>0</v>
      </c>
      <c r="V72" s="37" t="n">
        <f aca="false">T72-U72</f>
        <v>0</v>
      </c>
      <c r="W72" s="37" t="n">
        <f aca="false">N72-T72</f>
        <v>0</v>
      </c>
      <c r="X72" s="35"/>
    </row>
    <row r="73" customFormat="false" ht="21.75" hidden="false" customHeight="true" outlineLevel="0" collapsed="false">
      <c r="B73" s="5" t="n">
        <v>69</v>
      </c>
      <c r="C73" s="16" t="s">
        <v>119</v>
      </c>
      <c r="D73" s="5" t="s">
        <v>120</v>
      </c>
      <c r="E73" s="5" t="s">
        <v>15</v>
      </c>
      <c r="F73" s="5" t="s">
        <v>16</v>
      </c>
      <c r="G73" s="5" t="s">
        <v>17</v>
      </c>
      <c r="H73" s="5" t="s">
        <v>122</v>
      </c>
      <c r="I73" s="7" t="n">
        <v>2587200</v>
      </c>
      <c r="J73" s="8" t="s">
        <v>19</v>
      </c>
      <c r="K73" s="9" t="n">
        <v>1294</v>
      </c>
      <c r="L73" s="30"/>
      <c r="M73" s="31" t="n">
        <f aca="false">L73</f>
        <v>0</v>
      </c>
      <c r="N73" s="32" t="n">
        <f aca="false">IFERROR(M73/K73,0)</f>
        <v>0</v>
      </c>
      <c r="O73" s="32" t="n">
        <v>0</v>
      </c>
      <c r="P73" s="32" t="n">
        <f aca="false">N73-O73</f>
        <v>0</v>
      </c>
      <c r="Q73" s="33"/>
      <c r="R73" s="33"/>
      <c r="S73" s="33"/>
      <c r="T73" s="34"/>
      <c r="U73" s="32" t="n">
        <v>0</v>
      </c>
      <c r="V73" s="32" t="n">
        <f aca="false">T73-U73</f>
        <v>0</v>
      </c>
      <c r="W73" s="32" t="n">
        <f aca="false">N73-T73</f>
        <v>0</v>
      </c>
      <c r="X73" s="35"/>
    </row>
    <row r="74" customFormat="false" ht="21.75" hidden="false" customHeight="true" outlineLevel="0" collapsed="false">
      <c r="B74" s="10" t="n">
        <v>70</v>
      </c>
      <c r="C74" s="16" t="s">
        <v>119</v>
      </c>
      <c r="D74" s="10" t="s">
        <v>120</v>
      </c>
      <c r="E74" s="10" t="s">
        <v>20</v>
      </c>
      <c r="F74" s="10" t="s">
        <v>21</v>
      </c>
      <c r="G74" s="10" t="s">
        <v>22</v>
      </c>
      <c r="H74" s="10" t="s">
        <v>52</v>
      </c>
      <c r="I74" s="11" t="n">
        <v>3500000</v>
      </c>
      <c r="J74" s="12" t="s">
        <v>24</v>
      </c>
      <c r="K74" s="13" t="n">
        <v>7</v>
      </c>
      <c r="L74" s="30"/>
      <c r="M74" s="36" t="n">
        <f aca="false">L74</f>
        <v>0</v>
      </c>
      <c r="N74" s="37" t="n">
        <f aca="false">IFERROR(M74/K74,0)</f>
        <v>0</v>
      </c>
      <c r="O74" s="37" t="n">
        <v>0</v>
      </c>
      <c r="P74" s="37" t="n">
        <f aca="false">N74-O74</f>
        <v>0</v>
      </c>
      <c r="Q74" s="33"/>
      <c r="R74" s="33"/>
      <c r="S74" s="33"/>
      <c r="T74" s="34"/>
      <c r="U74" s="37" t="n">
        <v>0</v>
      </c>
      <c r="V74" s="37" t="n">
        <f aca="false">T74-U74</f>
        <v>0</v>
      </c>
      <c r="W74" s="37" t="n">
        <f aca="false">N74-T74</f>
        <v>0</v>
      </c>
      <c r="X74" s="35"/>
    </row>
    <row r="75" customFormat="false" ht="21.75" hidden="false" customHeight="true" outlineLevel="0" collapsed="false">
      <c r="B75" s="5" t="n">
        <v>71</v>
      </c>
      <c r="C75" s="16" t="s">
        <v>119</v>
      </c>
      <c r="D75" s="5" t="s">
        <v>120</v>
      </c>
      <c r="E75" s="5" t="s">
        <v>27</v>
      </c>
      <c r="F75" s="5" t="s">
        <v>28</v>
      </c>
      <c r="G75" s="5" t="s">
        <v>123</v>
      </c>
      <c r="H75" s="5" t="s">
        <v>124</v>
      </c>
      <c r="I75" s="7" t="n">
        <v>870000</v>
      </c>
      <c r="J75" s="8" t="s">
        <v>31</v>
      </c>
      <c r="K75" s="9" t="n">
        <v>4</v>
      </c>
      <c r="L75" s="30"/>
      <c r="M75" s="31" t="n">
        <f aca="false">L75</f>
        <v>0</v>
      </c>
      <c r="N75" s="32" t="n">
        <f aca="false">IFERROR(M75/K75,0)</f>
        <v>0</v>
      </c>
      <c r="O75" s="32" t="n">
        <v>0</v>
      </c>
      <c r="P75" s="32" t="n">
        <f aca="false">N75-O75</f>
        <v>0</v>
      </c>
      <c r="Q75" s="33"/>
      <c r="R75" s="33"/>
      <c r="S75" s="33"/>
      <c r="T75" s="34"/>
      <c r="U75" s="32" t="n">
        <v>0</v>
      </c>
      <c r="V75" s="32" t="n">
        <f aca="false">T75-U75</f>
        <v>0</v>
      </c>
      <c r="W75" s="32" t="n">
        <f aca="false">N75-T75</f>
        <v>0</v>
      </c>
      <c r="X75" s="35"/>
    </row>
    <row r="76" customFormat="false" ht="21.75" hidden="false" customHeight="true" outlineLevel="0" collapsed="false">
      <c r="B76" s="10" t="n">
        <v>72</v>
      </c>
      <c r="C76" s="16" t="s">
        <v>119</v>
      </c>
      <c r="D76" s="10" t="s">
        <v>120</v>
      </c>
      <c r="E76" s="10" t="s">
        <v>15</v>
      </c>
      <c r="F76" s="10" t="s">
        <v>16</v>
      </c>
      <c r="G76" s="10" t="s">
        <v>125</v>
      </c>
      <c r="H76" s="10" t="s">
        <v>126</v>
      </c>
      <c r="I76" s="11" t="n">
        <v>500000</v>
      </c>
      <c r="J76" s="12" t="s">
        <v>19</v>
      </c>
      <c r="K76" s="13" t="n">
        <v>167</v>
      </c>
      <c r="L76" s="30"/>
      <c r="M76" s="36" t="n">
        <f aca="false">L76</f>
        <v>0</v>
      </c>
      <c r="N76" s="37" t="n">
        <f aca="false">IFERROR(M76/K76,0)</f>
        <v>0</v>
      </c>
      <c r="O76" s="37" t="n">
        <v>0</v>
      </c>
      <c r="P76" s="37" t="n">
        <f aca="false">N76-O76</f>
        <v>0</v>
      </c>
      <c r="Q76" s="33"/>
      <c r="R76" s="33"/>
      <c r="S76" s="33"/>
      <c r="T76" s="34"/>
      <c r="U76" s="37" t="n">
        <v>0</v>
      </c>
      <c r="V76" s="37" t="n">
        <f aca="false">T76-U76</f>
        <v>0</v>
      </c>
      <c r="W76" s="37" t="n">
        <f aca="false">N76-T76</f>
        <v>0</v>
      </c>
      <c r="X76" s="35"/>
    </row>
    <row r="77" customFormat="false" ht="25.5" hidden="false" customHeight="true" outlineLevel="0" collapsed="false">
      <c r="B77" s="17" t="s">
        <v>127</v>
      </c>
      <c r="C77" s="17"/>
      <c r="D77" s="17"/>
      <c r="E77" s="17"/>
      <c r="F77" s="17"/>
      <c r="G77" s="17"/>
      <c r="H77" s="17"/>
      <c r="I77" s="18" t="n">
        <f aca="false">SUM(I5:I76)</f>
        <v>130262675</v>
      </c>
      <c r="J77" s="17"/>
      <c r="K77" s="17"/>
      <c r="L77" s="38" t="n">
        <f aca="false">SUM(L5:L76)</f>
        <v>0</v>
      </c>
      <c r="M77" s="38" t="n">
        <f aca="false">SUM(M5:M76)</f>
        <v>0</v>
      </c>
      <c r="N77" s="39" t="n">
        <f aca="false">IFERROR(SUMPRODUCT(N5:N76,I5:I76)/I77,0)</f>
        <v>0</v>
      </c>
      <c r="O77" s="39" t="n">
        <f aca="false">IFERROR(SUMPRODUCT(O5:O76,I5:I76)/I77,0)</f>
        <v>0</v>
      </c>
      <c r="P77" s="39" t="n">
        <f aca="false">N77-O77</f>
        <v>0</v>
      </c>
      <c r="Q77" s="18" t="n">
        <f aca="false">SUM(Q5:Q76)</f>
        <v>0</v>
      </c>
      <c r="R77" s="18" t="n">
        <f aca="false">SUM(R5:R76)</f>
        <v>0</v>
      </c>
      <c r="S77" s="18" t="n">
        <f aca="false">SUM(S5:S76)</f>
        <v>0</v>
      </c>
      <c r="T77" s="39" t="n">
        <f aca="false">IFERROR(SUMPRODUCT(T5:T76,I5:I76)/I77,0)</f>
        <v>0</v>
      </c>
      <c r="U77" s="39" t="n">
        <f aca="false">IFERROR(SUMPRODUCT(U5:U76,I5:I76)/I77,0)</f>
        <v>0</v>
      </c>
      <c r="V77" s="39" t="n">
        <f aca="false">T77-U77</f>
        <v>0</v>
      </c>
      <c r="W77" s="39" t="n">
        <f aca="false">N77-T77</f>
        <v>0</v>
      </c>
      <c r="X77" s="17"/>
    </row>
  </sheetData>
  <sheetProtection sheet="true" password="cbbe"/>
  <mergeCells count="6">
    <mergeCell ref="B2:X2"/>
    <mergeCell ref="C3:D3"/>
    <mergeCell ref="E3:I3"/>
    <mergeCell ref="J3:P3"/>
    <mergeCell ref="Q3:V3"/>
    <mergeCell ref="W3:X3"/>
  </mergeCells>
  <conditionalFormatting sqref="P5:P7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V5:V76">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W5:W76">
    <cfRule type="cellIs" priority="6" operator="greaterThan" aboveAverage="0" equalAverage="0" bottom="0" percent="0" rank="0" text="" dxfId="0">
      <formula>0.05</formula>
    </cfRule>
    <cfRule type="cellIs" priority="7" operator="lessThan" aboveAverage="0" equalAverage="0" bottom="0" percent="0" rank="0" text="" dxfId="1">
      <formula>-0.05</formula>
    </cfRule>
    <cfRule type="cellIs" priority="8" operator="between" aboveAverage="0" equalAverage="0" bottom="0" percent="0" rank="0" text="" dxfId="2">
      <formula>-0.05</formula>
      <formula>0.05</formula>
    </cfRule>
  </conditionalFormatting>
  <conditionalFormatting sqref="N5:N76">
    <cfRule type="dataBar" priority="9">
      <dataBar showValue="1" minLength="10" maxLength="90">
        <cfvo type="num" val="0"/>
        <cfvo type="num" val="1"/>
        <color rgb="FF1B7D46"/>
      </dataBar>
      <extLst>
        <ext xmlns:x14="http://schemas.microsoft.com/office/spreadsheetml/2009/9/main" uri="{B025F937-C7B1-47D3-B67F-A62EFF666E3E}">
          <x14:id>{80A0D64D-F837-4BA1-AD9E-E138E5ADE596}</x14:id>
        </ext>
      </extLst>
    </cfRule>
  </conditionalFormatting>
  <conditionalFormatting sqref="T5:T76">
    <cfRule type="dataBar" priority="10">
      <dataBar showValue="1" minLength="10" maxLength="90">
        <cfvo type="num" val="0"/>
        <cfvo type="num" val="1"/>
        <color rgb="FFD4820A"/>
      </dataBar>
      <extLst>
        <ext xmlns:x14="http://schemas.microsoft.com/office/spreadsheetml/2009/9/main" uri="{B025F937-C7B1-47D3-B67F-A62EFF666E3E}">
          <x14:id>{70FDD7E8-C162-49BB-8935-90FFE3AE5DD1}</x14:id>
        </ext>
      </extLst>
    </cfRule>
  </conditionalFormatting>
  <dataValidations count="2">
    <dataValidation allowBlank="true" error="Valeur entre 0% et 100%" errorStyle="stop" errorTitle="Invalide" operator="between" prompt="Entrez 0.25 pour 25%" promptTitle="Avancement %" showDropDown="false" showErrorMessage="false" showInputMessage="false" sqref="T5:T76" type="decimal">
      <formula1>0</formula1>
      <formula2>1</formula2>
    </dataValidation>
    <dataValidation allowBlank="true" error="Quantité doit être &gt;= 0" errorStyle="stop" errorTitle="Invalide" operator="greaterThanOrEqual" prompt="Entrez la quantité réalisée cette semaine" promptTitle="Qté Réalisée" showDropDown="false" showErrorMessage="false" showInputMessage="false" sqref="L5:L7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0A0D64D-F837-4BA1-AD9E-E138E5ADE596}">
            <x14:dataBar minLength="10" maxLength="90" axisPosition="none" gradient="true">
              <x14:cfvo type="num">
                <xm:f>0</xm:f>
              </x14:cfvo>
              <x14:cfvo type="num">
                <xm:f>1</xm:f>
              </x14:cfvo>
              <x14:negativeFillColor rgb="FF1B7D46"/>
              <x14:axisColor rgb="FF000000"/>
            </x14:dataBar>
          </x14:cfRule>
          <xm:sqref>N5:N76</xm:sqref>
        </x14:conditionalFormatting>
        <x14:conditionalFormatting xmlns:xm="http://schemas.microsoft.com/office/excel/2006/main">
          <x14:cfRule type="dataBar" id="{70FDD7E8-C162-49BB-8935-90FFE3AE5DD1}">
            <x14:dataBar minLength="10" maxLength="90" axisPosition="none" gradient="true">
              <x14:cfvo type="num">
                <xm:f>0</xm:f>
              </x14:cfvo>
              <x14:cfvo type="num">
                <xm:f>1</xm:f>
              </x14:cfvo>
              <x14:negativeFillColor rgb="FFD4820A"/>
              <x14:axisColor rgb="FF000000"/>
            </x14:dataBar>
          </x14:cfRule>
          <xm:sqref>T5:T76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14"/>
    <col collapsed="false" customWidth="true" hidden="false" outlineLevel="0" max="4" min="4" style="0" width="18"/>
    <col collapsed="false" customWidth="true" hidden="false" outlineLevel="0" max="5" min="5" style="0" width="9"/>
    <col collapsed="false" customWidth="true" hidden="false" outlineLevel="0" max="6" min="6" style="0" width="32"/>
    <col collapsed="false" customWidth="true" hidden="false" outlineLevel="0" max="7" min="7" style="0" width="28"/>
    <col collapsed="false" customWidth="true" hidden="false" outlineLevel="0" max="8" min="8" style="0" width="34"/>
    <col collapsed="false" customWidth="true" hidden="false" outlineLevel="0" max="9" min="9" style="0" width="14"/>
    <col collapsed="false" customWidth="true" hidden="false" outlineLevel="0" max="10" min="10" style="0" width="8"/>
    <col collapsed="false" customWidth="true" hidden="false" outlineLevel="0" max="11" min="11" style="0" width="12"/>
    <col collapsed="false" customWidth="true" hidden="false" outlineLevel="0" max="16" min="12" style="0" width="14"/>
    <col collapsed="false" customWidth="true" hidden="false" outlineLevel="0" max="19" min="17" style="0" width="16"/>
    <col collapsed="false" customWidth="true" hidden="false" outlineLevel="0" max="23" min="20" style="0" width="14"/>
    <col collapsed="false" customWidth="true" hidden="false" outlineLevel="0" max="24" min="24" style="0" width="24"/>
  </cols>
  <sheetData>
    <row r="1" customFormat="false" ht="15" hidden="false" customHeight="true" outlineLevel="0" collapsed="false"/>
    <row r="2" customFormat="false" ht="31.5" hidden="false" customHeight="true" outlineLevel="0" collapsed="false">
      <c r="B2" s="1" t="s">
        <v>165</v>
      </c>
      <c r="C2" s="1"/>
      <c r="D2" s="1"/>
      <c r="E2" s="1"/>
      <c r="F2" s="1"/>
      <c r="G2" s="1"/>
      <c r="H2" s="1"/>
      <c r="I2" s="1"/>
      <c r="J2" s="1"/>
      <c r="K2" s="1"/>
      <c r="L2" s="1"/>
      <c r="M2" s="1"/>
      <c r="N2" s="1"/>
      <c r="O2" s="1"/>
      <c r="P2" s="1"/>
      <c r="Q2" s="1"/>
      <c r="R2" s="1"/>
      <c r="S2" s="1"/>
      <c r="T2" s="1"/>
      <c r="U2" s="1"/>
      <c r="V2" s="1"/>
      <c r="W2" s="1"/>
      <c r="X2" s="1"/>
    </row>
    <row r="3" customFormat="false" ht="21.75" hidden="false" customHeight="true" outlineLevel="0" collapsed="false">
      <c r="B3" s="21" t="s">
        <v>148</v>
      </c>
      <c r="C3" s="22"/>
      <c r="D3" s="22"/>
      <c r="E3" s="23" t="s">
        <v>149</v>
      </c>
      <c r="F3" s="23"/>
      <c r="G3" s="23"/>
      <c r="H3" s="23"/>
      <c r="I3" s="23"/>
      <c r="J3" s="24" t="s">
        <v>133</v>
      </c>
      <c r="K3" s="24"/>
      <c r="L3" s="24"/>
      <c r="M3" s="24"/>
      <c r="N3" s="24"/>
      <c r="O3" s="24"/>
      <c r="P3" s="24"/>
      <c r="Q3" s="25" t="s">
        <v>150</v>
      </c>
      <c r="R3" s="25"/>
      <c r="S3" s="25"/>
      <c r="T3" s="25"/>
      <c r="U3" s="25"/>
      <c r="V3" s="25"/>
      <c r="W3" s="26" t="s">
        <v>151</v>
      </c>
      <c r="X3" s="26"/>
    </row>
    <row r="4" customFormat="false" ht="27.75" hidden="false" customHeight="true" outlineLevel="0" collapsed="false">
      <c r="B4" s="4" t="s">
        <v>3</v>
      </c>
      <c r="C4" s="4" t="s">
        <v>4</v>
      </c>
      <c r="D4" s="4" t="s">
        <v>5</v>
      </c>
      <c r="E4" s="4" t="s">
        <v>6</v>
      </c>
      <c r="F4" s="4" t="s">
        <v>7</v>
      </c>
      <c r="G4" s="4" t="s">
        <v>8</v>
      </c>
      <c r="H4" s="4" t="s">
        <v>9</v>
      </c>
      <c r="I4" s="4" t="s">
        <v>10</v>
      </c>
      <c r="J4" s="27" t="s">
        <v>11</v>
      </c>
      <c r="K4" s="27" t="s">
        <v>12</v>
      </c>
      <c r="L4" s="27" t="s">
        <v>152</v>
      </c>
      <c r="M4" s="27" t="s">
        <v>153</v>
      </c>
      <c r="N4" s="27" t="s">
        <v>154</v>
      </c>
      <c r="O4" s="27" t="s">
        <v>155</v>
      </c>
      <c r="P4" s="27" t="s">
        <v>156</v>
      </c>
      <c r="Q4" s="28" t="s">
        <v>157</v>
      </c>
      <c r="R4" s="28" t="s">
        <v>158</v>
      </c>
      <c r="S4" s="28" t="s">
        <v>159</v>
      </c>
      <c r="T4" s="28" t="s">
        <v>160</v>
      </c>
      <c r="U4" s="28" t="s">
        <v>161</v>
      </c>
      <c r="V4" s="28" t="s">
        <v>162</v>
      </c>
      <c r="W4" s="29" t="s">
        <v>163</v>
      </c>
      <c r="X4" s="29" t="s">
        <v>164</v>
      </c>
    </row>
    <row r="5" customFormat="false" ht="21.75" hidden="false" customHeight="true" outlineLevel="0" collapsed="false">
      <c r="B5" s="5" t="n">
        <v>1</v>
      </c>
      <c r="C5" s="6" t="s">
        <v>13</v>
      </c>
      <c r="D5" s="5" t="s">
        <v>14</v>
      </c>
      <c r="E5" s="5" t="s">
        <v>15</v>
      </c>
      <c r="F5" s="5" t="s">
        <v>16</v>
      </c>
      <c r="G5" s="5" t="s">
        <v>17</v>
      </c>
      <c r="H5" s="5" t="s">
        <v>18</v>
      </c>
      <c r="I5" s="7" t="n">
        <v>2091568</v>
      </c>
      <c r="J5" s="8" t="s">
        <v>19</v>
      </c>
      <c r="K5" s="9" t="n">
        <v>1046</v>
      </c>
      <c r="L5" s="30"/>
      <c r="M5" s="40" t="n">
        <f aca="false">S01!M5+L5</f>
        <v>0</v>
      </c>
      <c r="N5" s="32" t="n">
        <f aca="false">IFERROR(M5/K5,0)</f>
        <v>0</v>
      </c>
      <c r="O5" s="41" t="n">
        <f aca="false">S01!N5</f>
        <v>0</v>
      </c>
      <c r="P5" s="32" t="n">
        <f aca="false">N5-O5</f>
        <v>0</v>
      </c>
      <c r="Q5" s="33"/>
      <c r="R5" s="33"/>
      <c r="S5" s="33"/>
      <c r="T5" s="34"/>
      <c r="U5" s="41" t="n">
        <f aca="false">S01!T5</f>
        <v>0</v>
      </c>
      <c r="V5" s="32" t="n">
        <f aca="false">T5-U5</f>
        <v>0</v>
      </c>
      <c r="W5" s="32" t="n">
        <f aca="false">N5-T5</f>
        <v>0</v>
      </c>
      <c r="X5" s="35"/>
    </row>
    <row r="6" customFormat="false" ht="21.75" hidden="false" customHeight="true" outlineLevel="0" collapsed="false">
      <c r="B6" s="10" t="n">
        <v>2</v>
      </c>
      <c r="C6" s="6" t="s">
        <v>13</v>
      </c>
      <c r="D6" s="10" t="s">
        <v>14</v>
      </c>
      <c r="E6" s="10" t="s">
        <v>20</v>
      </c>
      <c r="F6" s="10" t="s">
        <v>21</v>
      </c>
      <c r="G6" s="10" t="s">
        <v>22</v>
      </c>
      <c r="H6" s="10" t="s">
        <v>23</v>
      </c>
      <c r="I6" s="11" t="n">
        <v>78000</v>
      </c>
      <c r="J6" s="12" t="s">
        <v>24</v>
      </c>
      <c r="K6" s="13" t="n">
        <v>1</v>
      </c>
      <c r="L6" s="30"/>
      <c r="M6" s="42" t="n">
        <f aca="false">S01!M6+L6</f>
        <v>0</v>
      </c>
      <c r="N6" s="37" t="n">
        <f aca="false">IFERROR(M6/K6,0)</f>
        <v>0</v>
      </c>
      <c r="O6" s="43" t="n">
        <f aca="false">S01!N6</f>
        <v>0</v>
      </c>
      <c r="P6" s="37" t="n">
        <f aca="false">N6-O6</f>
        <v>0</v>
      </c>
      <c r="Q6" s="33"/>
      <c r="R6" s="33"/>
      <c r="S6" s="33"/>
      <c r="T6" s="34"/>
      <c r="U6" s="43" t="n">
        <f aca="false">S01!T6</f>
        <v>0</v>
      </c>
      <c r="V6" s="37" t="n">
        <f aca="false">T6-U6</f>
        <v>0</v>
      </c>
      <c r="W6" s="37" t="n">
        <f aca="false">N6-T6</f>
        <v>0</v>
      </c>
      <c r="X6" s="35"/>
    </row>
    <row r="7" customFormat="false" ht="21.75" hidden="false" customHeight="true" outlineLevel="0" collapsed="false">
      <c r="B7" s="5" t="n">
        <v>3</v>
      </c>
      <c r="C7" s="6" t="s">
        <v>13</v>
      </c>
      <c r="D7" s="5" t="s">
        <v>14</v>
      </c>
      <c r="E7" s="5" t="s">
        <v>15</v>
      </c>
      <c r="F7" s="5" t="s">
        <v>16</v>
      </c>
      <c r="G7" s="5" t="s">
        <v>25</v>
      </c>
      <c r="H7" s="5" t="s">
        <v>26</v>
      </c>
      <c r="I7" s="7" t="n">
        <v>126000</v>
      </c>
      <c r="J7" s="8" t="s">
        <v>19</v>
      </c>
      <c r="K7" s="9" t="n">
        <v>42</v>
      </c>
      <c r="L7" s="30"/>
      <c r="M7" s="40" t="n">
        <f aca="false">S01!M7+L7</f>
        <v>0</v>
      </c>
      <c r="N7" s="32" t="n">
        <f aca="false">IFERROR(M7/K7,0)</f>
        <v>0</v>
      </c>
      <c r="O7" s="41" t="n">
        <f aca="false">S01!N7</f>
        <v>0</v>
      </c>
      <c r="P7" s="32" t="n">
        <f aca="false">N7-O7</f>
        <v>0</v>
      </c>
      <c r="Q7" s="33"/>
      <c r="R7" s="33"/>
      <c r="S7" s="33"/>
      <c r="T7" s="34"/>
      <c r="U7" s="41" t="n">
        <f aca="false">S01!T7</f>
        <v>0</v>
      </c>
      <c r="V7" s="32" t="n">
        <f aca="false">T7-U7</f>
        <v>0</v>
      </c>
      <c r="W7" s="32" t="n">
        <f aca="false">N7-T7</f>
        <v>0</v>
      </c>
      <c r="X7" s="35"/>
    </row>
    <row r="8" customFormat="false" ht="21.75" hidden="false" customHeight="true" outlineLevel="0" collapsed="false">
      <c r="B8" s="10" t="n">
        <v>4</v>
      </c>
      <c r="C8" s="6" t="s">
        <v>13</v>
      </c>
      <c r="D8" s="10" t="s">
        <v>14</v>
      </c>
      <c r="E8" s="10" t="s">
        <v>27</v>
      </c>
      <c r="F8" s="10" t="s">
        <v>28</v>
      </c>
      <c r="G8" s="10" t="s">
        <v>29</v>
      </c>
      <c r="H8" s="10" t="s">
        <v>30</v>
      </c>
      <c r="I8" s="11" t="n">
        <v>165500</v>
      </c>
      <c r="J8" s="12" t="s">
        <v>31</v>
      </c>
      <c r="K8" s="13" t="n">
        <v>3</v>
      </c>
      <c r="L8" s="30"/>
      <c r="M8" s="42" t="n">
        <f aca="false">S01!M8+L8</f>
        <v>0</v>
      </c>
      <c r="N8" s="37" t="n">
        <f aca="false">IFERROR(M8/K8,0)</f>
        <v>0</v>
      </c>
      <c r="O8" s="43" t="n">
        <f aca="false">S01!N8</f>
        <v>0</v>
      </c>
      <c r="P8" s="37" t="n">
        <f aca="false">N8-O8</f>
        <v>0</v>
      </c>
      <c r="Q8" s="33"/>
      <c r="R8" s="33"/>
      <c r="S8" s="33"/>
      <c r="T8" s="34"/>
      <c r="U8" s="43" t="n">
        <f aca="false">S01!T8</f>
        <v>0</v>
      </c>
      <c r="V8" s="37" t="n">
        <f aca="false">T8-U8</f>
        <v>0</v>
      </c>
      <c r="W8" s="37" t="n">
        <f aca="false">N8-T8</f>
        <v>0</v>
      </c>
      <c r="X8" s="35"/>
    </row>
    <row r="9" customFormat="false" ht="21.75" hidden="false" customHeight="true" outlineLevel="0" collapsed="false">
      <c r="B9" s="5" t="n">
        <v>5</v>
      </c>
      <c r="C9" s="6" t="s">
        <v>13</v>
      </c>
      <c r="D9" s="5" t="s">
        <v>32</v>
      </c>
      <c r="E9" s="5" t="s">
        <v>15</v>
      </c>
      <c r="F9" s="5" t="s">
        <v>16</v>
      </c>
      <c r="G9" s="5" t="s">
        <v>17</v>
      </c>
      <c r="H9" s="5" t="s">
        <v>33</v>
      </c>
      <c r="I9" s="7" t="n">
        <v>1000000</v>
      </c>
      <c r="J9" s="8" t="s">
        <v>19</v>
      </c>
      <c r="K9" s="9" t="n">
        <v>500</v>
      </c>
      <c r="L9" s="30"/>
      <c r="M9" s="40" t="n">
        <f aca="false">S01!M9+L9</f>
        <v>0</v>
      </c>
      <c r="N9" s="32" t="n">
        <f aca="false">IFERROR(M9/K9,0)</f>
        <v>0</v>
      </c>
      <c r="O9" s="41" t="n">
        <f aca="false">S01!N9</f>
        <v>0</v>
      </c>
      <c r="P9" s="32" t="n">
        <f aca="false">N9-O9</f>
        <v>0</v>
      </c>
      <c r="Q9" s="33"/>
      <c r="R9" s="33"/>
      <c r="S9" s="33"/>
      <c r="T9" s="34"/>
      <c r="U9" s="41" t="n">
        <f aca="false">S01!T9</f>
        <v>0</v>
      </c>
      <c r="V9" s="32" t="n">
        <f aca="false">T9-U9</f>
        <v>0</v>
      </c>
      <c r="W9" s="32" t="n">
        <f aca="false">N9-T9</f>
        <v>0</v>
      </c>
      <c r="X9" s="35"/>
    </row>
    <row r="10" customFormat="false" ht="21.75" hidden="false" customHeight="true" outlineLevel="0" collapsed="false">
      <c r="B10" s="10" t="n">
        <v>6</v>
      </c>
      <c r="C10" s="6" t="s">
        <v>13</v>
      </c>
      <c r="D10" s="10" t="s">
        <v>32</v>
      </c>
      <c r="E10" s="10" t="s">
        <v>15</v>
      </c>
      <c r="F10" s="10" t="s">
        <v>16</v>
      </c>
      <c r="G10" s="10"/>
      <c r="H10" s="10" t="s">
        <v>34</v>
      </c>
      <c r="I10" s="11" t="n">
        <v>846731</v>
      </c>
      <c r="J10" s="12" t="s">
        <v>19</v>
      </c>
      <c r="K10" s="13" t="n">
        <v>423</v>
      </c>
      <c r="L10" s="30"/>
      <c r="M10" s="42" t="n">
        <f aca="false">S01!M10+L10</f>
        <v>0</v>
      </c>
      <c r="N10" s="37" t="n">
        <f aca="false">IFERROR(M10/K10,0)</f>
        <v>0</v>
      </c>
      <c r="O10" s="43" t="n">
        <f aca="false">S01!N10</f>
        <v>0</v>
      </c>
      <c r="P10" s="37" t="n">
        <f aca="false">N10-O10</f>
        <v>0</v>
      </c>
      <c r="Q10" s="33"/>
      <c r="R10" s="33"/>
      <c r="S10" s="33"/>
      <c r="T10" s="34"/>
      <c r="U10" s="43" t="n">
        <f aca="false">S01!T10</f>
        <v>0</v>
      </c>
      <c r="V10" s="37" t="n">
        <f aca="false">T10-U10</f>
        <v>0</v>
      </c>
      <c r="W10" s="37" t="n">
        <f aca="false">N10-T10</f>
        <v>0</v>
      </c>
      <c r="X10" s="35"/>
    </row>
    <row r="11" customFormat="false" ht="21.75" hidden="false" customHeight="true" outlineLevel="0" collapsed="false">
      <c r="B11" s="5" t="n">
        <v>7</v>
      </c>
      <c r="C11" s="6" t="s">
        <v>13</v>
      </c>
      <c r="D11" s="5" t="s">
        <v>32</v>
      </c>
      <c r="E11" s="5" t="s">
        <v>15</v>
      </c>
      <c r="F11" s="5" t="s">
        <v>16</v>
      </c>
      <c r="G11" s="5" t="s">
        <v>25</v>
      </c>
      <c r="H11" s="5" t="s">
        <v>35</v>
      </c>
      <c r="I11" s="7" t="n">
        <v>200000</v>
      </c>
      <c r="J11" s="8" t="s">
        <v>19</v>
      </c>
      <c r="K11" s="9" t="n">
        <v>67</v>
      </c>
      <c r="L11" s="30"/>
      <c r="M11" s="40" t="n">
        <f aca="false">S01!M11+L11</f>
        <v>0</v>
      </c>
      <c r="N11" s="32" t="n">
        <f aca="false">IFERROR(M11/K11,0)</f>
        <v>0</v>
      </c>
      <c r="O11" s="41" t="n">
        <f aca="false">S01!N11</f>
        <v>0</v>
      </c>
      <c r="P11" s="32" t="n">
        <f aca="false">N11-O11</f>
        <v>0</v>
      </c>
      <c r="Q11" s="33"/>
      <c r="R11" s="33"/>
      <c r="S11" s="33"/>
      <c r="T11" s="34"/>
      <c r="U11" s="41" t="n">
        <f aca="false">S01!T11</f>
        <v>0</v>
      </c>
      <c r="V11" s="32" t="n">
        <f aca="false">T11-U11</f>
        <v>0</v>
      </c>
      <c r="W11" s="32" t="n">
        <f aca="false">N11-T11</f>
        <v>0</v>
      </c>
      <c r="X11" s="35"/>
    </row>
    <row r="12" customFormat="false" ht="21.75" hidden="false" customHeight="true" outlineLevel="0" collapsed="false">
      <c r="B12" s="10" t="n">
        <v>8</v>
      </c>
      <c r="C12" s="6" t="s">
        <v>13</v>
      </c>
      <c r="D12" s="10" t="s">
        <v>32</v>
      </c>
      <c r="E12" s="10" t="s">
        <v>27</v>
      </c>
      <c r="F12" s="10" t="s">
        <v>28</v>
      </c>
      <c r="G12" s="10" t="s">
        <v>29</v>
      </c>
      <c r="H12" s="10" t="s">
        <v>36</v>
      </c>
      <c r="I12" s="11" t="n">
        <v>141900</v>
      </c>
      <c r="J12" s="12" t="s">
        <v>31</v>
      </c>
      <c r="K12" s="13" t="n">
        <v>3</v>
      </c>
      <c r="L12" s="30"/>
      <c r="M12" s="42" t="n">
        <f aca="false">S01!M12+L12</f>
        <v>0</v>
      </c>
      <c r="N12" s="37" t="n">
        <f aca="false">IFERROR(M12/K12,0)</f>
        <v>0</v>
      </c>
      <c r="O12" s="43" t="n">
        <f aca="false">S01!N12</f>
        <v>0</v>
      </c>
      <c r="P12" s="37" t="n">
        <f aca="false">N12-O12</f>
        <v>0</v>
      </c>
      <c r="Q12" s="33"/>
      <c r="R12" s="33"/>
      <c r="S12" s="33"/>
      <c r="T12" s="34"/>
      <c r="U12" s="43" t="n">
        <f aca="false">S01!T12</f>
        <v>0</v>
      </c>
      <c r="V12" s="37" t="n">
        <f aca="false">T12-U12</f>
        <v>0</v>
      </c>
      <c r="W12" s="37" t="n">
        <f aca="false">N12-T12</f>
        <v>0</v>
      </c>
      <c r="X12" s="35"/>
    </row>
    <row r="13" customFormat="false" ht="21.75" hidden="false" customHeight="true" outlineLevel="0" collapsed="false">
      <c r="B13" s="5" t="n">
        <v>9</v>
      </c>
      <c r="C13" s="6" t="s">
        <v>13</v>
      </c>
      <c r="D13" s="5" t="s">
        <v>32</v>
      </c>
      <c r="E13" s="5" t="s">
        <v>27</v>
      </c>
      <c r="F13" s="5" t="s">
        <v>28</v>
      </c>
      <c r="G13" s="5" t="s">
        <v>37</v>
      </c>
      <c r="H13" s="5" t="s">
        <v>38</v>
      </c>
      <c r="I13" s="7" t="n">
        <v>26700</v>
      </c>
      <c r="J13" s="8" t="s">
        <v>31</v>
      </c>
      <c r="K13" s="9" t="n">
        <v>1</v>
      </c>
      <c r="L13" s="30"/>
      <c r="M13" s="40" t="n">
        <f aca="false">S01!M13+L13</f>
        <v>0</v>
      </c>
      <c r="N13" s="32" t="n">
        <f aca="false">IFERROR(M13/K13,0)</f>
        <v>0</v>
      </c>
      <c r="O13" s="41" t="n">
        <f aca="false">S01!N13</f>
        <v>0</v>
      </c>
      <c r="P13" s="32" t="n">
        <f aca="false">N13-O13</f>
        <v>0</v>
      </c>
      <c r="Q13" s="33"/>
      <c r="R13" s="33"/>
      <c r="S13" s="33"/>
      <c r="T13" s="34"/>
      <c r="U13" s="41" t="n">
        <f aca="false">S01!T13</f>
        <v>0</v>
      </c>
      <c r="V13" s="32" t="n">
        <f aca="false">T13-U13</f>
        <v>0</v>
      </c>
      <c r="W13" s="32" t="n">
        <f aca="false">N13-T13</f>
        <v>0</v>
      </c>
      <c r="X13" s="35"/>
    </row>
    <row r="14" customFormat="false" ht="21.75" hidden="false" customHeight="true" outlineLevel="0" collapsed="false">
      <c r="B14" s="10" t="n">
        <v>10</v>
      </c>
      <c r="C14" s="6" t="s">
        <v>13</v>
      </c>
      <c r="D14" s="10" t="s">
        <v>32</v>
      </c>
      <c r="E14" s="10" t="s">
        <v>27</v>
      </c>
      <c r="F14" s="10" t="s">
        <v>28</v>
      </c>
      <c r="G14" s="10" t="s">
        <v>39</v>
      </c>
      <c r="H14" s="10" t="s">
        <v>40</v>
      </c>
      <c r="I14" s="11" t="n">
        <v>480000</v>
      </c>
      <c r="J14" s="12" t="s">
        <v>41</v>
      </c>
      <c r="K14" s="13" t="n">
        <v>320</v>
      </c>
      <c r="L14" s="30"/>
      <c r="M14" s="42" t="n">
        <f aca="false">S01!M14+L14</f>
        <v>0</v>
      </c>
      <c r="N14" s="37" t="n">
        <f aca="false">IFERROR(M14/K14,0)</f>
        <v>0</v>
      </c>
      <c r="O14" s="43" t="n">
        <f aca="false">S01!N14</f>
        <v>0</v>
      </c>
      <c r="P14" s="37" t="n">
        <f aca="false">N14-O14</f>
        <v>0</v>
      </c>
      <c r="Q14" s="33"/>
      <c r="R14" s="33"/>
      <c r="S14" s="33"/>
      <c r="T14" s="34"/>
      <c r="U14" s="43" t="n">
        <f aca="false">S01!T14</f>
        <v>0</v>
      </c>
      <c r="V14" s="37" t="n">
        <f aca="false">T14-U14</f>
        <v>0</v>
      </c>
      <c r="W14" s="37" t="n">
        <f aca="false">N14-T14</f>
        <v>0</v>
      </c>
      <c r="X14" s="35"/>
    </row>
    <row r="15" customFormat="false" ht="21.75" hidden="false" customHeight="true" outlineLevel="0" collapsed="false">
      <c r="B15" s="5" t="n">
        <v>11</v>
      </c>
      <c r="C15" s="6" t="s">
        <v>13</v>
      </c>
      <c r="D15" s="5" t="s">
        <v>32</v>
      </c>
      <c r="E15" s="5" t="s">
        <v>27</v>
      </c>
      <c r="F15" s="5" t="s">
        <v>28</v>
      </c>
      <c r="G15" s="5" t="s">
        <v>42</v>
      </c>
      <c r="H15" s="5" t="s">
        <v>43</v>
      </c>
      <c r="I15" s="7" t="n">
        <v>300000</v>
      </c>
      <c r="J15" s="8" t="s">
        <v>31</v>
      </c>
      <c r="K15" s="9" t="n">
        <v>1</v>
      </c>
      <c r="L15" s="30"/>
      <c r="M15" s="40" t="n">
        <f aca="false">S01!M15+L15</f>
        <v>0</v>
      </c>
      <c r="N15" s="32" t="n">
        <f aca="false">IFERROR(M15/K15,0)</f>
        <v>0</v>
      </c>
      <c r="O15" s="41" t="n">
        <f aca="false">S01!N15</f>
        <v>0</v>
      </c>
      <c r="P15" s="32" t="n">
        <f aca="false">N15-O15</f>
        <v>0</v>
      </c>
      <c r="Q15" s="33"/>
      <c r="R15" s="33"/>
      <c r="S15" s="33"/>
      <c r="T15" s="34"/>
      <c r="U15" s="41" t="n">
        <f aca="false">S01!T15</f>
        <v>0</v>
      </c>
      <c r="V15" s="32" t="n">
        <f aca="false">T15-U15</f>
        <v>0</v>
      </c>
      <c r="W15" s="32" t="n">
        <f aca="false">N15-T15</f>
        <v>0</v>
      </c>
      <c r="X15" s="35"/>
    </row>
    <row r="16" customFormat="false" ht="21.75" hidden="false" customHeight="true" outlineLevel="0" collapsed="false">
      <c r="B16" s="10" t="n">
        <v>12</v>
      </c>
      <c r="C16" s="6" t="s">
        <v>13</v>
      </c>
      <c r="D16" s="10" t="s">
        <v>44</v>
      </c>
      <c r="E16" s="10" t="s">
        <v>15</v>
      </c>
      <c r="F16" s="10" t="s">
        <v>16</v>
      </c>
      <c r="G16" s="10" t="s">
        <v>17</v>
      </c>
      <c r="H16" s="10" t="s">
        <v>45</v>
      </c>
      <c r="I16" s="11" t="n">
        <v>1000000</v>
      </c>
      <c r="J16" s="12" t="s">
        <v>19</v>
      </c>
      <c r="K16" s="13" t="n">
        <v>500</v>
      </c>
      <c r="L16" s="30"/>
      <c r="M16" s="42" t="n">
        <f aca="false">S01!M16+L16</f>
        <v>0</v>
      </c>
      <c r="N16" s="37" t="n">
        <f aca="false">IFERROR(M16/K16,0)</f>
        <v>0</v>
      </c>
      <c r="O16" s="43" t="n">
        <f aca="false">S01!N16</f>
        <v>0</v>
      </c>
      <c r="P16" s="37" t="n">
        <f aca="false">N16-O16</f>
        <v>0</v>
      </c>
      <c r="Q16" s="33"/>
      <c r="R16" s="33"/>
      <c r="S16" s="33"/>
      <c r="T16" s="34"/>
      <c r="U16" s="43" t="n">
        <f aca="false">S01!T16</f>
        <v>0</v>
      </c>
      <c r="V16" s="37" t="n">
        <f aca="false">T16-U16</f>
        <v>0</v>
      </c>
      <c r="W16" s="37" t="n">
        <f aca="false">N16-T16</f>
        <v>0</v>
      </c>
      <c r="X16" s="35"/>
    </row>
    <row r="17" customFormat="false" ht="21.75" hidden="false" customHeight="true" outlineLevel="0" collapsed="false">
      <c r="B17" s="5" t="n">
        <v>13</v>
      </c>
      <c r="C17" s="6" t="s">
        <v>13</v>
      </c>
      <c r="D17" s="5" t="s">
        <v>44</v>
      </c>
      <c r="E17" s="5" t="s">
        <v>15</v>
      </c>
      <c r="F17" s="5" t="s">
        <v>16</v>
      </c>
      <c r="G17" s="5" t="s">
        <v>46</v>
      </c>
      <c r="H17" s="5" t="s">
        <v>47</v>
      </c>
      <c r="I17" s="7" t="n">
        <v>739200</v>
      </c>
      <c r="J17" s="8" t="s">
        <v>19</v>
      </c>
      <c r="K17" s="9" t="n">
        <v>370</v>
      </c>
      <c r="L17" s="30"/>
      <c r="M17" s="40" t="n">
        <f aca="false">S01!M17+L17</f>
        <v>0</v>
      </c>
      <c r="N17" s="32" t="n">
        <f aca="false">IFERROR(M17/K17,0)</f>
        <v>0</v>
      </c>
      <c r="O17" s="41" t="n">
        <f aca="false">S01!N17</f>
        <v>0</v>
      </c>
      <c r="P17" s="32" t="n">
        <f aca="false">N17-O17</f>
        <v>0</v>
      </c>
      <c r="Q17" s="33"/>
      <c r="R17" s="33"/>
      <c r="S17" s="33"/>
      <c r="T17" s="34"/>
      <c r="U17" s="41" t="n">
        <f aca="false">S01!T17</f>
        <v>0</v>
      </c>
      <c r="V17" s="32" t="n">
        <f aca="false">T17-U17</f>
        <v>0</v>
      </c>
      <c r="W17" s="32" t="n">
        <f aca="false">N17-T17</f>
        <v>0</v>
      </c>
      <c r="X17" s="35"/>
    </row>
    <row r="18" customFormat="false" ht="21.75" hidden="false" customHeight="true" outlineLevel="0" collapsed="false">
      <c r="B18" s="10" t="n">
        <v>14</v>
      </c>
      <c r="C18" s="6" t="s">
        <v>13</v>
      </c>
      <c r="D18" s="10" t="s">
        <v>48</v>
      </c>
      <c r="E18" s="10" t="s">
        <v>15</v>
      </c>
      <c r="F18" s="10" t="s">
        <v>16</v>
      </c>
      <c r="G18" s="10" t="s">
        <v>46</v>
      </c>
      <c r="H18" s="10" t="s">
        <v>49</v>
      </c>
      <c r="I18" s="11" t="n">
        <v>1276800</v>
      </c>
      <c r="J18" s="12" t="s">
        <v>19</v>
      </c>
      <c r="K18" s="13" t="n">
        <v>638</v>
      </c>
      <c r="L18" s="30"/>
      <c r="M18" s="42" t="n">
        <f aca="false">S01!M18+L18</f>
        <v>0</v>
      </c>
      <c r="N18" s="37" t="n">
        <f aca="false">IFERROR(M18/K18,0)</f>
        <v>0</v>
      </c>
      <c r="O18" s="43" t="n">
        <f aca="false">S01!N18</f>
        <v>0</v>
      </c>
      <c r="P18" s="37" t="n">
        <f aca="false">N18-O18</f>
        <v>0</v>
      </c>
      <c r="Q18" s="33"/>
      <c r="R18" s="33"/>
      <c r="S18" s="33"/>
      <c r="T18" s="34"/>
      <c r="U18" s="43" t="n">
        <f aca="false">S01!T18</f>
        <v>0</v>
      </c>
      <c r="V18" s="37" t="n">
        <f aca="false">T18-U18</f>
        <v>0</v>
      </c>
      <c r="W18" s="37" t="n">
        <f aca="false">N18-T18</f>
        <v>0</v>
      </c>
      <c r="X18" s="35"/>
    </row>
    <row r="19" customFormat="false" ht="21.75" hidden="false" customHeight="true" outlineLevel="0" collapsed="false">
      <c r="B19" s="5" t="n">
        <v>15</v>
      </c>
      <c r="C19" s="6" t="s">
        <v>13</v>
      </c>
      <c r="D19" s="5" t="s">
        <v>50</v>
      </c>
      <c r="E19" s="5" t="s">
        <v>15</v>
      </c>
      <c r="F19" s="5" t="s">
        <v>16</v>
      </c>
      <c r="G19" s="5" t="s">
        <v>17</v>
      </c>
      <c r="H19" s="5" t="s">
        <v>51</v>
      </c>
      <c r="I19" s="7" t="n">
        <v>5796360</v>
      </c>
      <c r="J19" s="8" t="s">
        <v>19</v>
      </c>
      <c r="K19" s="9" t="n">
        <v>2898</v>
      </c>
      <c r="L19" s="30"/>
      <c r="M19" s="40" t="n">
        <f aca="false">S01!M19+L19</f>
        <v>0</v>
      </c>
      <c r="N19" s="32" t="n">
        <f aca="false">IFERROR(M19/K19,0)</f>
        <v>0</v>
      </c>
      <c r="O19" s="41" t="n">
        <f aca="false">S01!N19</f>
        <v>0</v>
      </c>
      <c r="P19" s="32" t="n">
        <f aca="false">N19-O19</f>
        <v>0</v>
      </c>
      <c r="Q19" s="33"/>
      <c r="R19" s="33"/>
      <c r="S19" s="33"/>
      <c r="T19" s="34"/>
      <c r="U19" s="41" t="n">
        <f aca="false">S01!T19</f>
        <v>0</v>
      </c>
      <c r="V19" s="32" t="n">
        <f aca="false">T19-U19</f>
        <v>0</v>
      </c>
      <c r="W19" s="32" t="n">
        <f aca="false">N19-T19</f>
        <v>0</v>
      </c>
      <c r="X19" s="35"/>
    </row>
    <row r="20" customFormat="false" ht="21.75" hidden="false" customHeight="true" outlineLevel="0" collapsed="false">
      <c r="B20" s="10" t="n">
        <v>16</v>
      </c>
      <c r="C20" s="6" t="s">
        <v>13</v>
      </c>
      <c r="D20" s="10" t="s">
        <v>50</v>
      </c>
      <c r="E20" s="10" t="s">
        <v>20</v>
      </c>
      <c r="F20" s="10" t="s">
        <v>21</v>
      </c>
      <c r="G20" s="10" t="s">
        <v>52</v>
      </c>
      <c r="H20" s="10" t="s">
        <v>52</v>
      </c>
      <c r="I20" s="11" t="n">
        <v>340000</v>
      </c>
      <c r="J20" s="12" t="s">
        <v>24</v>
      </c>
      <c r="K20" s="13" t="n">
        <v>1</v>
      </c>
      <c r="L20" s="30"/>
      <c r="M20" s="42" t="n">
        <f aca="false">S01!M20+L20</f>
        <v>0</v>
      </c>
      <c r="N20" s="37" t="n">
        <f aca="false">IFERROR(M20/K20,0)</f>
        <v>0</v>
      </c>
      <c r="O20" s="43" t="n">
        <f aca="false">S01!N20</f>
        <v>0</v>
      </c>
      <c r="P20" s="37" t="n">
        <f aca="false">N20-O20</f>
        <v>0</v>
      </c>
      <c r="Q20" s="33"/>
      <c r="R20" s="33"/>
      <c r="S20" s="33"/>
      <c r="T20" s="34"/>
      <c r="U20" s="43" t="n">
        <f aca="false">S01!T20</f>
        <v>0</v>
      </c>
      <c r="V20" s="37" t="n">
        <f aca="false">T20-U20</f>
        <v>0</v>
      </c>
      <c r="W20" s="37" t="n">
        <f aca="false">N20-T20</f>
        <v>0</v>
      </c>
      <c r="X20" s="35"/>
    </row>
    <row r="21" customFormat="false" ht="21.75" hidden="false" customHeight="true" outlineLevel="0" collapsed="false">
      <c r="B21" s="5" t="n">
        <v>17</v>
      </c>
      <c r="C21" s="6" t="s">
        <v>13</v>
      </c>
      <c r="D21" s="5" t="s">
        <v>53</v>
      </c>
      <c r="E21" s="5" t="s">
        <v>54</v>
      </c>
      <c r="F21" s="5" t="s">
        <v>55</v>
      </c>
      <c r="G21" s="5" t="s">
        <v>56</v>
      </c>
      <c r="H21" s="5" t="s">
        <v>57</v>
      </c>
      <c r="I21" s="7" t="n">
        <v>397934</v>
      </c>
      <c r="J21" s="8" t="s">
        <v>19</v>
      </c>
      <c r="K21" s="9" t="n">
        <v>133</v>
      </c>
      <c r="L21" s="30"/>
      <c r="M21" s="40" t="n">
        <f aca="false">S01!M21+L21</f>
        <v>0</v>
      </c>
      <c r="N21" s="32" t="n">
        <f aca="false">IFERROR(M21/K21,0)</f>
        <v>0</v>
      </c>
      <c r="O21" s="41" t="n">
        <f aca="false">S01!N21</f>
        <v>0</v>
      </c>
      <c r="P21" s="32" t="n">
        <f aca="false">N21-O21</f>
        <v>0</v>
      </c>
      <c r="Q21" s="33"/>
      <c r="R21" s="33"/>
      <c r="S21" s="33"/>
      <c r="T21" s="34"/>
      <c r="U21" s="41" t="n">
        <f aca="false">S01!T21</f>
        <v>0</v>
      </c>
      <c r="V21" s="32" t="n">
        <f aca="false">T21-U21</f>
        <v>0</v>
      </c>
      <c r="W21" s="32" t="n">
        <f aca="false">N21-T21</f>
        <v>0</v>
      </c>
      <c r="X21" s="35"/>
    </row>
    <row r="22" customFormat="false" ht="21.75" hidden="false" customHeight="true" outlineLevel="0" collapsed="false">
      <c r="B22" s="10" t="n">
        <v>18</v>
      </c>
      <c r="C22" s="6" t="s">
        <v>13</v>
      </c>
      <c r="D22" s="10" t="s">
        <v>53</v>
      </c>
      <c r="E22" s="10" t="s">
        <v>54</v>
      </c>
      <c r="F22" s="10" t="s">
        <v>55</v>
      </c>
      <c r="G22" s="10"/>
      <c r="H22" s="10" t="s">
        <v>58</v>
      </c>
      <c r="I22" s="11" t="n">
        <v>207575</v>
      </c>
      <c r="J22" s="12" t="s">
        <v>19</v>
      </c>
      <c r="K22" s="13" t="n">
        <v>69</v>
      </c>
      <c r="L22" s="30"/>
      <c r="M22" s="42" t="n">
        <f aca="false">S01!M22+L22</f>
        <v>0</v>
      </c>
      <c r="N22" s="37" t="n">
        <f aca="false">IFERROR(M22/K22,0)</f>
        <v>0</v>
      </c>
      <c r="O22" s="43" t="n">
        <f aca="false">S01!N22</f>
        <v>0</v>
      </c>
      <c r="P22" s="37" t="n">
        <f aca="false">N22-O22</f>
        <v>0</v>
      </c>
      <c r="Q22" s="33"/>
      <c r="R22" s="33"/>
      <c r="S22" s="33"/>
      <c r="T22" s="34"/>
      <c r="U22" s="43" t="n">
        <f aca="false">S01!T22</f>
        <v>0</v>
      </c>
      <c r="V22" s="37" t="n">
        <f aca="false">T22-U22</f>
        <v>0</v>
      </c>
      <c r="W22" s="37" t="n">
        <f aca="false">N22-T22</f>
        <v>0</v>
      </c>
      <c r="X22" s="35"/>
    </row>
    <row r="23" customFormat="false" ht="21.75" hidden="false" customHeight="true" outlineLevel="0" collapsed="false">
      <c r="B23" s="5" t="n">
        <v>19</v>
      </c>
      <c r="C23" s="6" t="s">
        <v>13</v>
      </c>
      <c r="D23" s="5" t="s">
        <v>53</v>
      </c>
      <c r="E23" s="5" t="s">
        <v>20</v>
      </c>
      <c r="F23" s="5" t="s">
        <v>21</v>
      </c>
      <c r="G23" s="5" t="s">
        <v>52</v>
      </c>
      <c r="H23" s="5" t="s">
        <v>52</v>
      </c>
      <c r="I23" s="7" t="n">
        <v>2200000</v>
      </c>
      <c r="J23" s="8" t="s">
        <v>24</v>
      </c>
      <c r="K23" s="9" t="n">
        <v>4</v>
      </c>
      <c r="L23" s="30"/>
      <c r="M23" s="40" t="n">
        <f aca="false">S01!M23+L23</f>
        <v>0</v>
      </c>
      <c r="N23" s="32" t="n">
        <f aca="false">IFERROR(M23/K23,0)</f>
        <v>0</v>
      </c>
      <c r="O23" s="41" t="n">
        <f aca="false">S01!N23</f>
        <v>0</v>
      </c>
      <c r="P23" s="32" t="n">
        <f aca="false">N23-O23</f>
        <v>0</v>
      </c>
      <c r="Q23" s="33"/>
      <c r="R23" s="33"/>
      <c r="S23" s="33"/>
      <c r="T23" s="34"/>
      <c r="U23" s="41" t="n">
        <f aca="false">S01!T23</f>
        <v>0</v>
      </c>
      <c r="V23" s="32" t="n">
        <f aca="false">T23-U23</f>
        <v>0</v>
      </c>
      <c r="W23" s="32" t="n">
        <f aca="false">N23-T23</f>
        <v>0</v>
      </c>
      <c r="X23" s="35"/>
    </row>
    <row r="24" customFormat="false" ht="21.75" hidden="false" customHeight="true" outlineLevel="0" collapsed="false">
      <c r="B24" s="10" t="n">
        <v>20</v>
      </c>
      <c r="C24" s="6" t="s">
        <v>13</v>
      </c>
      <c r="D24" s="10" t="s">
        <v>53</v>
      </c>
      <c r="E24" s="10" t="s">
        <v>15</v>
      </c>
      <c r="F24" s="10" t="s">
        <v>16</v>
      </c>
      <c r="G24" s="10" t="s">
        <v>25</v>
      </c>
      <c r="H24" s="10" t="s">
        <v>59</v>
      </c>
      <c r="I24" s="11" t="n">
        <v>300000</v>
      </c>
      <c r="J24" s="12" t="s">
        <v>19</v>
      </c>
      <c r="K24" s="13" t="n">
        <v>100</v>
      </c>
      <c r="L24" s="30"/>
      <c r="M24" s="42" t="n">
        <f aca="false">S01!M24+L24</f>
        <v>0</v>
      </c>
      <c r="N24" s="37" t="n">
        <f aca="false">IFERROR(M24/K24,0)</f>
        <v>0</v>
      </c>
      <c r="O24" s="43" t="n">
        <f aca="false">S01!N24</f>
        <v>0</v>
      </c>
      <c r="P24" s="37" t="n">
        <f aca="false">N24-O24</f>
        <v>0</v>
      </c>
      <c r="Q24" s="33"/>
      <c r="R24" s="33"/>
      <c r="S24" s="33"/>
      <c r="T24" s="34"/>
      <c r="U24" s="43" t="n">
        <f aca="false">S01!T24</f>
        <v>0</v>
      </c>
      <c r="V24" s="37" t="n">
        <f aca="false">T24-U24</f>
        <v>0</v>
      </c>
      <c r="W24" s="37" t="n">
        <f aca="false">N24-T24</f>
        <v>0</v>
      </c>
      <c r="X24" s="35"/>
    </row>
    <row r="25" customFormat="false" ht="21.75" hidden="false" customHeight="true" outlineLevel="0" collapsed="false">
      <c r="B25" s="5" t="n">
        <v>21</v>
      </c>
      <c r="C25" s="6" t="s">
        <v>13</v>
      </c>
      <c r="D25" s="5" t="s">
        <v>53</v>
      </c>
      <c r="E25" s="5" t="s">
        <v>27</v>
      </c>
      <c r="F25" s="5" t="s">
        <v>28</v>
      </c>
      <c r="G25" s="5" t="s">
        <v>29</v>
      </c>
      <c r="H25" s="5" t="s">
        <v>60</v>
      </c>
      <c r="I25" s="7" t="n">
        <v>250000</v>
      </c>
      <c r="J25" s="8" t="s">
        <v>31</v>
      </c>
      <c r="K25" s="9" t="n">
        <v>3</v>
      </c>
      <c r="L25" s="30"/>
      <c r="M25" s="40" t="n">
        <f aca="false">S01!M25+L25</f>
        <v>0</v>
      </c>
      <c r="N25" s="32" t="n">
        <f aca="false">IFERROR(M25/K25,0)</f>
        <v>0</v>
      </c>
      <c r="O25" s="41" t="n">
        <f aca="false">S01!N25</f>
        <v>0</v>
      </c>
      <c r="P25" s="32" t="n">
        <f aca="false">N25-O25</f>
        <v>0</v>
      </c>
      <c r="Q25" s="33"/>
      <c r="R25" s="33"/>
      <c r="S25" s="33"/>
      <c r="T25" s="34"/>
      <c r="U25" s="41" t="n">
        <f aca="false">S01!T25</f>
        <v>0</v>
      </c>
      <c r="V25" s="32" t="n">
        <f aca="false">T25-U25</f>
        <v>0</v>
      </c>
      <c r="W25" s="32" t="n">
        <f aca="false">N25-T25</f>
        <v>0</v>
      </c>
      <c r="X25" s="35"/>
    </row>
    <row r="26" customFormat="false" ht="21.75" hidden="false" customHeight="true" outlineLevel="0" collapsed="false">
      <c r="B26" s="10" t="n">
        <v>22</v>
      </c>
      <c r="C26" s="6" t="s">
        <v>13</v>
      </c>
      <c r="D26" s="10" t="s">
        <v>53</v>
      </c>
      <c r="E26" s="10" t="s">
        <v>27</v>
      </c>
      <c r="F26" s="10" t="s">
        <v>28</v>
      </c>
      <c r="G26" s="10" t="s">
        <v>61</v>
      </c>
      <c r="H26" s="10" t="s">
        <v>62</v>
      </c>
      <c r="I26" s="11" t="n">
        <v>25000</v>
      </c>
      <c r="J26" s="12" t="s">
        <v>31</v>
      </c>
      <c r="K26" s="13" t="n">
        <v>3</v>
      </c>
      <c r="L26" s="30"/>
      <c r="M26" s="42" t="n">
        <f aca="false">S01!M26+L26</f>
        <v>0</v>
      </c>
      <c r="N26" s="37" t="n">
        <f aca="false">IFERROR(M26/K26,0)</f>
        <v>0</v>
      </c>
      <c r="O26" s="43" t="n">
        <f aca="false">S01!N26</f>
        <v>0</v>
      </c>
      <c r="P26" s="37" t="n">
        <f aca="false">N26-O26</f>
        <v>0</v>
      </c>
      <c r="Q26" s="33"/>
      <c r="R26" s="33"/>
      <c r="S26" s="33"/>
      <c r="T26" s="34"/>
      <c r="U26" s="43" t="n">
        <f aca="false">S01!T26</f>
        <v>0</v>
      </c>
      <c r="V26" s="37" t="n">
        <f aca="false">T26-U26</f>
        <v>0</v>
      </c>
      <c r="W26" s="37" t="n">
        <f aca="false">N26-T26</f>
        <v>0</v>
      </c>
      <c r="X26" s="35"/>
    </row>
    <row r="27" customFormat="false" ht="21.75" hidden="false" customHeight="true" outlineLevel="0" collapsed="false">
      <c r="B27" s="5" t="n">
        <v>23</v>
      </c>
      <c r="C27" s="6" t="s">
        <v>13</v>
      </c>
      <c r="D27" s="5" t="s">
        <v>53</v>
      </c>
      <c r="E27" s="5" t="s">
        <v>27</v>
      </c>
      <c r="F27" s="5" t="s">
        <v>28</v>
      </c>
      <c r="G27" s="5" t="s">
        <v>37</v>
      </c>
      <c r="H27" s="5" t="s">
        <v>63</v>
      </c>
      <c r="I27" s="7" t="n">
        <v>38000</v>
      </c>
      <c r="J27" s="8" t="s">
        <v>31</v>
      </c>
      <c r="K27" s="9" t="n">
        <v>1</v>
      </c>
      <c r="L27" s="30"/>
      <c r="M27" s="40" t="n">
        <f aca="false">S01!M27+L27</f>
        <v>0</v>
      </c>
      <c r="N27" s="32" t="n">
        <f aca="false">IFERROR(M27/K27,0)</f>
        <v>0</v>
      </c>
      <c r="O27" s="41" t="n">
        <f aca="false">S01!N27</f>
        <v>0</v>
      </c>
      <c r="P27" s="32" t="n">
        <f aca="false">N27-O27</f>
        <v>0</v>
      </c>
      <c r="Q27" s="33"/>
      <c r="R27" s="33"/>
      <c r="S27" s="33"/>
      <c r="T27" s="34"/>
      <c r="U27" s="41" t="n">
        <f aca="false">S01!T27</f>
        <v>0</v>
      </c>
      <c r="V27" s="32" t="n">
        <f aca="false">T27-U27</f>
        <v>0</v>
      </c>
      <c r="W27" s="32" t="n">
        <f aca="false">N27-T27</f>
        <v>0</v>
      </c>
      <c r="X27" s="35"/>
    </row>
    <row r="28" customFormat="false" ht="21.75" hidden="false" customHeight="true" outlineLevel="0" collapsed="false">
      <c r="B28" s="10" t="n">
        <v>24</v>
      </c>
      <c r="C28" s="6" t="s">
        <v>13</v>
      </c>
      <c r="D28" s="10" t="s">
        <v>53</v>
      </c>
      <c r="E28" s="10" t="s">
        <v>27</v>
      </c>
      <c r="F28" s="10" t="s">
        <v>28</v>
      </c>
      <c r="G28" s="10" t="s">
        <v>39</v>
      </c>
      <c r="H28" s="10" t="s">
        <v>64</v>
      </c>
      <c r="I28" s="11" t="n">
        <v>10560000</v>
      </c>
      <c r="J28" s="12" t="s">
        <v>41</v>
      </c>
      <c r="K28" s="13" t="n">
        <v>7040</v>
      </c>
      <c r="L28" s="30"/>
      <c r="M28" s="42" t="n">
        <f aca="false">S01!M28+L28</f>
        <v>0</v>
      </c>
      <c r="N28" s="37" t="n">
        <f aca="false">IFERROR(M28/K28,0)</f>
        <v>0</v>
      </c>
      <c r="O28" s="43" t="n">
        <f aca="false">S01!N28</f>
        <v>0</v>
      </c>
      <c r="P28" s="37" t="n">
        <f aca="false">N28-O28</f>
        <v>0</v>
      </c>
      <c r="Q28" s="33"/>
      <c r="R28" s="33"/>
      <c r="S28" s="33"/>
      <c r="T28" s="34"/>
      <c r="U28" s="43" t="n">
        <f aca="false">S01!T28</f>
        <v>0</v>
      </c>
      <c r="V28" s="37" t="n">
        <f aca="false">T28-U28</f>
        <v>0</v>
      </c>
      <c r="W28" s="37" t="n">
        <f aca="false">N28-T28</f>
        <v>0</v>
      </c>
      <c r="X28" s="35"/>
    </row>
    <row r="29" customFormat="false" ht="21.75" hidden="false" customHeight="true" outlineLevel="0" collapsed="false">
      <c r="B29" s="5" t="n">
        <v>25</v>
      </c>
      <c r="C29" s="6" t="s">
        <v>13</v>
      </c>
      <c r="D29" s="5" t="s">
        <v>53</v>
      </c>
      <c r="E29" s="5" t="s">
        <v>27</v>
      </c>
      <c r="F29" s="5" t="s">
        <v>28</v>
      </c>
      <c r="G29" s="5" t="s">
        <v>65</v>
      </c>
      <c r="H29" s="5" t="s">
        <v>66</v>
      </c>
      <c r="I29" s="7" t="n">
        <v>144000</v>
      </c>
      <c r="J29" s="8" t="s">
        <v>19</v>
      </c>
      <c r="K29" s="9" t="n">
        <v>270</v>
      </c>
      <c r="L29" s="30"/>
      <c r="M29" s="40" t="n">
        <f aca="false">S01!M29+L29</f>
        <v>0</v>
      </c>
      <c r="N29" s="32" t="n">
        <f aca="false">IFERROR(M29/K29,0)</f>
        <v>0</v>
      </c>
      <c r="O29" s="41" t="n">
        <f aca="false">S01!N29</f>
        <v>0</v>
      </c>
      <c r="P29" s="32" t="n">
        <f aca="false">N29-O29</f>
        <v>0</v>
      </c>
      <c r="Q29" s="33"/>
      <c r="R29" s="33"/>
      <c r="S29" s="33"/>
      <c r="T29" s="34"/>
      <c r="U29" s="41" t="n">
        <f aca="false">S01!T29</f>
        <v>0</v>
      </c>
      <c r="V29" s="32" t="n">
        <f aca="false">T29-U29</f>
        <v>0</v>
      </c>
      <c r="W29" s="32" t="n">
        <f aca="false">N29-T29</f>
        <v>0</v>
      </c>
      <c r="X29" s="35"/>
    </row>
    <row r="30" customFormat="false" ht="21.75" hidden="false" customHeight="true" outlineLevel="0" collapsed="false">
      <c r="B30" s="10" t="n">
        <v>26</v>
      </c>
      <c r="C30" s="6" t="s">
        <v>13</v>
      </c>
      <c r="D30" s="10" t="s">
        <v>53</v>
      </c>
      <c r="E30" s="10" t="s">
        <v>27</v>
      </c>
      <c r="F30" s="10" t="s">
        <v>28</v>
      </c>
      <c r="G30" s="10" t="s">
        <v>42</v>
      </c>
      <c r="H30" s="10" t="s">
        <v>67</v>
      </c>
      <c r="I30" s="11" t="n">
        <v>800000</v>
      </c>
      <c r="J30" s="12" t="s">
        <v>31</v>
      </c>
      <c r="K30" s="13" t="n">
        <v>1</v>
      </c>
      <c r="L30" s="30"/>
      <c r="M30" s="42" t="n">
        <f aca="false">S01!M30+L30</f>
        <v>0</v>
      </c>
      <c r="N30" s="37" t="n">
        <f aca="false">IFERROR(M30/K30,0)</f>
        <v>0</v>
      </c>
      <c r="O30" s="43" t="n">
        <f aca="false">S01!N30</f>
        <v>0</v>
      </c>
      <c r="P30" s="37" t="n">
        <f aca="false">N30-O30</f>
        <v>0</v>
      </c>
      <c r="Q30" s="33"/>
      <c r="R30" s="33"/>
      <c r="S30" s="33"/>
      <c r="T30" s="34"/>
      <c r="U30" s="43" t="n">
        <f aca="false">S01!T30</f>
        <v>0</v>
      </c>
      <c r="V30" s="37" t="n">
        <f aca="false">T30-U30</f>
        <v>0</v>
      </c>
      <c r="W30" s="37" t="n">
        <f aca="false">N30-T30</f>
        <v>0</v>
      </c>
      <c r="X30" s="35"/>
    </row>
    <row r="31" customFormat="false" ht="21.75" hidden="false" customHeight="true" outlineLevel="0" collapsed="false">
      <c r="B31" s="5" t="n">
        <v>27</v>
      </c>
      <c r="C31" s="6" t="s">
        <v>13</v>
      </c>
      <c r="D31" s="5" t="s">
        <v>68</v>
      </c>
      <c r="E31" s="5" t="s">
        <v>15</v>
      </c>
      <c r="F31" s="5" t="s">
        <v>16</v>
      </c>
      <c r="G31" s="5" t="s">
        <v>17</v>
      </c>
      <c r="H31" s="5" t="s">
        <v>69</v>
      </c>
      <c r="I31" s="7" t="n">
        <v>1733306</v>
      </c>
      <c r="J31" s="8" t="s">
        <v>19</v>
      </c>
      <c r="K31" s="9" t="n">
        <v>867</v>
      </c>
      <c r="L31" s="30"/>
      <c r="M31" s="40" t="n">
        <f aca="false">S01!M31+L31</f>
        <v>0</v>
      </c>
      <c r="N31" s="32" t="n">
        <f aca="false">IFERROR(M31/K31,0)</f>
        <v>0</v>
      </c>
      <c r="O31" s="41" t="n">
        <f aca="false">S01!N31</f>
        <v>0</v>
      </c>
      <c r="P31" s="32" t="n">
        <f aca="false">N31-O31</f>
        <v>0</v>
      </c>
      <c r="Q31" s="33"/>
      <c r="R31" s="33"/>
      <c r="S31" s="33"/>
      <c r="T31" s="34"/>
      <c r="U31" s="41" t="n">
        <f aca="false">S01!T31</f>
        <v>0</v>
      </c>
      <c r="V31" s="32" t="n">
        <f aca="false">T31-U31</f>
        <v>0</v>
      </c>
      <c r="W31" s="32" t="n">
        <f aca="false">N31-T31</f>
        <v>0</v>
      </c>
      <c r="X31" s="35"/>
    </row>
    <row r="32" customFormat="false" ht="21.75" hidden="false" customHeight="true" outlineLevel="0" collapsed="false">
      <c r="B32" s="10" t="n">
        <v>28</v>
      </c>
      <c r="C32" s="6" t="s">
        <v>13</v>
      </c>
      <c r="D32" s="10" t="s">
        <v>68</v>
      </c>
      <c r="E32" s="10" t="s">
        <v>20</v>
      </c>
      <c r="F32" s="10" t="s">
        <v>21</v>
      </c>
      <c r="G32" s="10" t="s">
        <v>52</v>
      </c>
      <c r="H32" s="10" t="s">
        <v>52</v>
      </c>
      <c r="I32" s="11" t="n">
        <v>670000</v>
      </c>
      <c r="J32" s="12" t="s">
        <v>24</v>
      </c>
      <c r="K32" s="13" t="n">
        <v>1</v>
      </c>
      <c r="L32" s="30"/>
      <c r="M32" s="42" t="n">
        <f aca="false">S01!M32+L32</f>
        <v>0</v>
      </c>
      <c r="N32" s="37" t="n">
        <f aca="false">IFERROR(M32/K32,0)</f>
        <v>0</v>
      </c>
      <c r="O32" s="43" t="n">
        <f aca="false">S01!N32</f>
        <v>0</v>
      </c>
      <c r="P32" s="37" t="n">
        <f aca="false">N32-O32</f>
        <v>0</v>
      </c>
      <c r="Q32" s="33"/>
      <c r="R32" s="33"/>
      <c r="S32" s="33"/>
      <c r="T32" s="34"/>
      <c r="U32" s="43" t="n">
        <f aca="false">S01!T32</f>
        <v>0</v>
      </c>
      <c r="V32" s="37" t="n">
        <f aca="false">T32-U32</f>
        <v>0</v>
      </c>
      <c r="W32" s="37" t="n">
        <f aca="false">N32-T32</f>
        <v>0</v>
      </c>
      <c r="X32" s="35"/>
    </row>
    <row r="33" customFormat="false" ht="21.75" hidden="false" customHeight="true" outlineLevel="0" collapsed="false">
      <c r="B33" s="5" t="n">
        <v>29</v>
      </c>
      <c r="C33" s="6" t="s">
        <v>13</v>
      </c>
      <c r="D33" s="5" t="s">
        <v>68</v>
      </c>
      <c r="E33" s="5" t="s">
        <v>54</v>
      </c>
      <c r="F33" s="5" t="s">
        <v>55</v>
      </c>
      <c r="G33" s="5" t="s">
        <v>70</v>
      </c>
      <c r="H33" s="5" t="s">
        <v>71</v>
      </c>
      <c r="I33" s="7" t="n">
        <v>2500000</v>
      </c>
      <c r="J33" s="8" t="s">
        <v>31</v>
      </c>
      <c r="K33" s="9" t="n">
        <v>5</v>
      </c>
      <c r="L33" s="30"/>
      <c r="M33" s="40" t="n">
        <f aca="false">S01!M33+L33</f>
        <v>0</v>
      </c>
      <c r="N33" s="32" t="n">
        <f aca="false">IFERROR(M33/K33,0)</f>
        <v>0</v>
      </c>
      <c r="O33" s="41" t="n">
        <f aca="false">S01!N33</f>
        <v>0</v>
      </c>
      <c r="P33" s="32" t="n">
        <f aca="false">N33-O33</f>
        <v>0</v>
      </c>
      <c r="Q33" s="33"/>
      <c r="R33" s="33"/>
      <c r="S33" s="33"/>
      <c r="T33" s="34"/>
      <c r="U33" s="41" t="n">
        <f aca="false">S01!T33</f>
        <v>0</v>
      </c>
      <c r="V33" s="32" t="n">
        <f aca="false">T33-U33</f>
        <v>0</v>
      </c>
      <c r="W33" s="32" t="n">
        <f aca="false">N33-T33</f>
        <v>0</v>
      </c>
      <c r="X33" s="35"/>
    </row>
    <row r="34" customFormat="false" ht="21.75" hidden="false" customHeight="true" outlineLevel="0" collapsed="false">
      <c r="B34" s="10" t="n">
        <v>30</v>
      </c>
      <c r="C34" s="6" t="s">
        <v>13</v>
      </c>
      <c r="D34" s="10" t="s">
        <v>68</v>
      </c>
      <c r="E34" s="10" t="s">
        <v>15</v>
      </c>
      <c r="F34" s="10" t="s">
        <v>16</v>
      </c>
      <c r="G34" s="10" t="s">
        <v>25</v>
      </c>
      <c r="H34" s="10" t="s">
        <v>72</v>
      </c>
      <c r="I34" s="11" t="n">
        <v>800000</v>
      </c>
      <c r="J34" s="12" t="s">
        <v>19</v>
      </c>
      <c r="K34" s="13" t="n">
        <v>267</v>
      </c>
      <c r="L34" s="30"/>
      <c r="M34" s="42" t="n">
        <f aca="false">S01!M34+L34</f>
        <v>0</v>
      </c>
      <c r="N34" s="37" t="n">
        <f aca="false">IFERROR(M34/K34,0)</f>
        <v>0</v>
      </c>
      <c r="O34" s="43" t="n">
        <f aca="false">S01!N34</f>
        <v>0</v>
      </c>
      <c r="P34" s="37" t="n">
        <f aca="false">N34-O34</f>
        <v>0</v>
      </c>
      <c r="Q34" s="33"/>
      <c r="R34" s="33"/>
      <c r="S34" s="33"/>
      <c r="T34" s="34"/>
      <c r="U34" s="43" t="n">
        <f aca="false">S01!T34</f>
        <v>0</v>
      </c>
      <c r="V34" s="37" t="n">
        <f aca="false">T34-U34</f>
        <v>0</v>
      </c>
      <c r="W34" s="37" t="n">
        <f aca="false">N34-T34</f>
        <v>0</v>
      </c>
      <c r="X34" s="35"/>
    </row>
    <row r="35" customFormat="false" ht="21.75" hidden="false" customHeight="true" outlineLevel="0" collapsed="false">
      <c r="B35" s="5" t="n">
        <v>31</v>
      </c>
      <c r="C35" s="6" t="s">
        <v>13</v>
      </c>
      <c r="D35" s="5" t="s">
        <v>68</v>
      </c>
      <c r="E35" s="5" t="s">
        <v>27</v>
      </c>
      <c r="F35" s="5" t="s">
        <v>28</v>
      </c>
      <c r="G35" s="5" t="s">
        <v>29</v>
      </c>
      <c r="H35" s="5" t="s">
        <v>73</v>
      </c>
      <c r="I35" s="7" t="n">
        <v>195000</v>
      </c>
      <c r="J35" s="8" t="s">
        <v>31</v>
      </c>
      <c r="K35" s="9" t="n">
        <v>2</v>
      </c>
      <c r="L35" s="30"/>
      <c r="M35" s="40" t="n">
        <f aca="false">S01!M35+L35</f>
        <v>0</v>
      </c>
      <c r="N35" s="32" t="n">
        <f aca="false">IFERROR(M35/K35,0)</f>
        <v>0</v>
      </c>
      <c r="O35" s="41" t="n">
        <f aca="false">S01!N35</f>
        <v>0</v>
      </c>
      <c r="P35" s="32" t="n">
        <f aca="false">N35-O35</f>
        <v>0</v>
      </c>
      <c r="Q35" s="33"/>
      <c r="R35" s="33"/>
      <c r="S35" s="33"/>
      <c r="T35" s="34"/>
      <c r="U35" s="41" t="n">
        <f aca="false">S01!T35</f>
        <v>0</v>
      </c>
      <c r="V35" s="32" t="n">
        <f aca="false">T35-U35</f>
        <v>0</v>
      </c>
      <c r="W35" s="32" t="n">
        <f aca="false">N35-T35</f>
        <v>0</v>
      </c>
      <c r="X35" s="35"/>
    </row>
    <row r="36" customFormat="false" ht="21.75" hidden="false" customHeight="true" outlineLevel="0" collapsed="false">
      <c r="B36" s="10" t="n">
        <v>32</v>
      </c>
      <c r="C36" s="6" t="s">
        <v>13</v>
      </c>
      <c r="D36" s="10" t="s">
        <v>68</v>
      </c>
      <c r="E36" s="10" t="s">
        <v>27</v>
      </c>
      <c r="F36" s="10" t="s">
        <v>28</v>
      </c>
      <c r="G36" s="10" t="s">
        <v>61</v>
      </c>
      <c r="H36" s="10" t="s">
        <v>74</v>
      </c>
      <c r="I36" s="11" t="n">
        <v>50000</v>
      </c>
      <c r="J36" s="12" t="s">
        <v>31</v>
      </c>
      <c r="K36" s="13" t="n">
        <v>2</v>
      </c>
      <c r="L36" s="30"/>
      <c r="M36" s="42" t="n">
        <f aca="false">S01!M36+L36</f>
        <v>0</v>
      </c>
      <c r="N36" s="37" t="n">
        <f aca="false">IFERROR(M36/K36,0)</f>
        <v>0</v>
      </c>
      <c r="O36" s="43" t="n">
        <f aca="false">S01!N36</f>
        <v>0</v>
      </c>
      <c r="P36" s="37" t="n">
        <f aca="false">N36-O36</f>
        <v>0</v>
      </c>
      <c r="Q36" s="33"/>
      <c r="R36" s="33"/>
      <c r="S36" s="33"/>
      <c r="T36" s="34"/>
      <c r="U36" s="43" t="n">
        <f aca="false">S01!T36</f>
        <v>0</v>
      </c>
      <c r="V36" s="37" t="n">
        <f aca="false">T36-U36</f>
        <v>0</v>
      </c>
      <c r="W36" s="37" t="n">
        <f aca="false">N36-T36</f>
        <v>0</v>
      </c>
      <c r="X36" s="35"/>
    </row>
    <row r="37" customFormat="false" ht="21.75" hidden="false" customHeight="true" outlineLevel="0" collapsed="false">
      <c r="B37" s="5" t="n">
        <v>33</v>
      </c>
      <c r="C37" s="6" t="s">
        <v>13</v>
      </c>
      <c r="D37" s="5" t="s">
        <v>68</v>
      </c>
      <c r="E37" s="5" t="s">
        <v>27</v>
      </c>
      <c r="F37" s="5" t="s">
        <v>28</v>
      </c>
      <c r="G37" s="5" t="s">
        <v>37</v>
      </c>
      <c r="H37" s="5" t="s">
        <v>75</v>
      </c>
      <c r="I37" s="7" t="n">
        <v>245000</v>
      </c>
      <c r="J37" s="8" t="s">
        <v>31</v>
      </c>
      <c r="K37" s="9" t="n">
        <v>5</v>
      </c>
      <c r="L37" s="30"/>
      <c r="M37" s="40" t="n">
        <f aca="false">S01!M37+L37</f>
        <v>0</v>
      </c>
      <c r="N37" s="32" t="n">
        <f aca="false">IFERROR(M37/K37,0)</f>
        <v>0</v>
      </c>
      <c r="O37" s="41" t="n">
        <f aca="false">S01!N37</f>
        <v>0</v>
      </c>
      <c r="P37" s="32" t="n">
        <f aca="false">N37-O37</f>
        <v>0</v>
      </c>
      <c r="Q37" s="33"/>
      <c r="R37" s="33"/>
      <c r="S37" s="33"/>
      <c r="T37" s="34"/>
      <c r="U37" s="41" t="n">
        <f aca="false">S01!T37</f>
        <v>0</v>
      </c>
      <c r="V37" s="32" t="n">
        <f aca="false">T37-U37</f>
        <v>0</v>
      </c>
      <c r="W37" s="32" t="n">
        <f aca="false">N37-T37</f>
        <v>0</v>
      </c>
      <c r="X37" s="35"/>
    </row>
    <row r="38" customFormat="false" ht="21.75" hidden="false" customHeight="true" outlineLevel="0" collapsed="false">
      <c r="B38" s="10" t="n">
        <v>34</v>
      </c>
      <c r="C38" s="6" t="s">
        <v>13</v>
      </c>
      <c r="D38" s="10" t="s">
        <v>68</v>
      </c>
      <c r="E38" s="10" t="s">
        <v>27</v>
      </c>
      <c r="F38" s="10" t="s">
        <v>28</v>
      </c>
      <c r="G38" s="10" t="s">
        <v>42</v>
      </c>
      <c r="H38" s="10" t="s">
        <v>76</v>
      </c>
      <c r="I38" s="11" t="n">
        <v>1000000</v>
      </c>
      <c r="J38" s="12" t="s">
        <v>31</v>
      </c>
      <c r="K38" s="13" t="n">
        <v>1</v>
      </c>
      <c r="L38" s="30"/>
      <c r="M38" s="42" t="n">
        <f aca="false">S01!M38+L38</f>
        <v>0</v>
      </c>
      <c r="N38" s="37" t="n">
        <f aca="false">IFERROR(M38/K38,0)</f>
        <v>0</v>
      </c>
      <c r="O38" s="43" t="n">
        <f aca="false">S01!N38</f>
        <v>0</v>
      </c>
      <c r="P38" s="37" t="n">
        <f aca="false">N38-O38</f>
        <v>0</v>
      </c>
      <c r="Q38" s="33"/>
      <c r="R38" s="33"/>
      <c r="S38" s="33"/>
      <c r="T38" s="34"/>
      <c r="U38" s="43" t="n">
        <f aca="false">S01!T38</f>
        <v>0</v>
      </c>
      <c r="V38" s="37" t="n">
        <f aca="false">T38-U38</f>
        <v>0</v>
      </c>
      <c r="W38" s="37" t="n">
        <f aca="false">N38-T38</f>
        <v>0</v>
      </c>
      <c r="X38" s="35"/>
    </row>
    <row r="39" customFormat="false" ht="21.75" hidden="false" customHeight="true" outlineLevel="0" collapsed="false">
      <c r="B39" s="5" t="n">
        <v>35</v>
      </c>
      <c r="C39" s="6" t="s">
        <v>13</v>
      </c>
      <c r="D39" s="5" t="s">
        <v>77</v>
      </c>
      <c r="E39" s="5" t="s">
        <v>15</v>
      </c>
      <c r="F39" s="5" t="s">
        <v>16</v>
      </c>
      <c r="G39" s="5" t="s">
        <v>17</v>
      </c>
      <c r="H39" s="5" t="s">
        <v>78</v>
      </c>
      <c r="I39" s="7" t="n">
        <v>5024032</v>
      </c>
      <c r="J39" s="8" t="s">
        <v>19</v>
      </c>
      <c r="K39" s="9" t="n">
        <v>2512</v>
      </c>
      <c r="L39" s="30"/>
      <c r="M39" s="40" t="n">
        <f aca="false">S01!M39+L39</f>
        <v>0</v>
      </c>
      <c r="N39" s="32" t="n">
        <f aca="false">IFERROR(M39/K39,0)</f>
        <v>0</v>
      </c>
      <c r="O39" s="41" t="n">
        <f aca="false">S01!N39</f>
        <v>0</v>
      </c>
      <c r="P39" s="32" t="n">
        <f aca="false">N39-O39</f>
        <v>0</v>
      </c>
      <c r="Q39" s="33"/>
      <c r="R39" s="33"/>
      <c r="S39" s="33"/>
      <c r="T39" s="34"/>
      <c r="U39" s="41" t="n">
        <f aca="false">S01!T39</f>
        <v>0</v>
      </c>
      <c r="V39" s="32" t="n">
        <f aca="false">T39-U39</f>
        <v>0</v>
      </c>
      <c r="W39" s="32" t="n">
        <f aca="false">N39-T39</f>
        <v>0</v>
      </c>
      <c r="X39" s="35"/>
    </row>
    <row r="40" customFormat="false" ht="21.75" hidden="false" customHeight="true" outlineLevel="0" collapsed="false">
      <c r="B40" s="10" t="n">
        <v>36</v>
      </c>
      <c r="C40" s="6" t="s">
        <v>13</v>
      </c>
      <c r="D40" s="10" t="s">
        <v>77</v>
      </c>
      <c r="E40" s="10" t="s">
        <v>20</v>
      </c>
      <c r="F40" s="10" t="s">
        <v>21</v>
      </c>
      <c r="G40" s="10" t="s">
        <v>52</v>
      </c>
      <c r="H40" s="10" t="s">
        <v>52</v>
      </c>
      <c r="I40" s="11" t="n">
        <v>400000</v>
      </c>
      <c r="J40" s="12" t="s">
        <v>24</v>
      </c>
      <c r="K40" s="13" t="n">
        <v>1</v>
      </c>
      <c r="L40" s="30"/>
      <c r="M40" s="42" t="n">
        <f aca="false">S01!M40+L40</f>
        <v>0</v>
      </c>
      <c r="N40" s="37" t="n">
        <f aca="false">IFERROR(M40/K40,0)</f>
        <v>0</v>
      </c>
      <c r="O40" s="43" t="n">
        <f aca="false">S01!N40</f>
        <v>0</v>
      </c>
      <c r="P40" s="37" t="n">
        <f aca="false">N40-O40</f>
        <v>0</v>
      </c>
      <c r="Q40" s="33"/>
      <c r="R40" s="33"/>
      <c r="S40" s="33"/>
      <c r="T40" s="34"/>
      <c r="U40" s="43" t="n">
        <f aca="false">S01!T40</f>
        <v>0</v>
      </c>
      <c r="V40" s="37" t="n">
        <f aca="false">T40-U40</f>
        <v>0</v>
      </c>
      <c r="W40" s="37" t="n">
        <f aca="false">N40-T40</f>
        <v>0</v>
      </c>
      <c r="X40" s="35"/>
    </row>
    <row r="41" customFormat="false" ht="21.75" hidden="false" customHeight="true" outlineLevel="0" collapsed="false">
      <c r="B41" s="5" t="n">
        <v>37</v>
      </c>
      <c r="C41" s="6" t="s">
        <v>13</v>
      </c>
      <c r="D41" s="5" t="s">
        <v>79</v>
      </c>
      <c r="E41" s="5" t="s">
        <v>15</v>
      </c>
      <c r="F41" s="5" t="s">
        <v>16</v>
      </c>
      <c r="G41" s="5" t="s">
        <v>17</v>
      </c>
      <c r="H41" s="5" t="s">
        <v>80</v>
      </c>
      <c r="I41" s="7" t="n">
        <v>6000000</v>
      </c>
      <c r="J41" s="8" t="s">
        <v>19</v>
      </c>
      <c r="K41" s="9" t="n">
        <v>3000</v>
      </c>
      <c r="L41" s="30"/>
      <c r="M41" s="40" t="n">
        <f aca="false">S01!M41+L41</f>
        <v>0</v>
      </c>
      <c r="N41" s="32" t="n">
        <f aca="false">IFERROR(M41/K41,0)</f>
        <v>0</v>
      </c>
      <c r="O41" s="41" t="n">
        <f aca="false">S01!N41</f>
        <v>0</v>
      </c>
      <c r="P41" s="32" t="n">
        <f aca="false">N41-O41</f>
        <v>0</v>
      </c>
      <c r="Q41" s="33"/>
      <c r="R41" s="33"/>
      <c r="S41" s="33"/>
      <c r="T41" s="34"/>
      <c r="U41" s="41" t="n">
        <f aca="false">S01!T41</f>
        <v>0</v>
      </c>
      <c r="V41" s="32" t="n">
        <f aca="false">T41-U41</f>
        <v>0</v>
      </c>
      <c r="W41" s="32" t="n">
        <f aca="false">N41-T41</f>
        <v>0</v>
      </c>
      <c r="X41" s="35"/>
    </row>
    <row r="42" customFormat="false" ht="21.75" hidden="false" customHeight="true" outlineLevel="0" collapsed="false">
      <c r="B42" s="10" t="n">
        <v>38</v>
      </c>
      <c r="C42" s="6" t="s">
        <v>13</v>
      </c>
      <c r="D42" s="10" t="s">
        <v>79</v>
      </c>
      <c r="E42" s="10" t="s">
        <v>54</v>
      </c>
      <c r="F42" s="10" t="s">
        <v>55</v>
      </c>
      <c r="G42" s="10" t="s">
        <v>56</v>
      </c>
      <c r="H42" s="10" t="s">
        <v>81</v>
      </c>
      <c r="I42" s="11" t="n">
        <v>232266</v>
      </c>
      <c r="J42" s="12" t="s">
        <v>19</v>
      </c>
      <c r="K42" s="13" t="n">
        <v>77</v>
      </c>
      <c r="L42" s="30"/>
      <c r="M42" s="42" t="n">
        <f aca="false">S01!M42+L42</f>
        <v>0</v>
      </c>
      <c r="N42" s="37" t="n">
        <f aca="false">IFERROR(M42/K42,0)</f>
        <v>0</v>
      </c>
      <c r="O42" s="43" t="n">
        <f aca="false">S01!N42</f>
        <v>0</v>
      </c>
      <c r="P42" s="37" t="n">
        <f aca="false">N42-O42</f>
        <v>0</v>
      </c>
      <c r="Q42" s="33"/>
      <c r="R42" s="33"/>
      <c r="S42" s="33"/>
      <c r="T42" s="34"/>
      <c r="U42" s="43" t="n">
        <f aca="false">S01!T42</f>
        <v>0</v>
      </c>
      <c r="V42" s="37" t="n">
        <f aca="false">T42-U42</f>
        <v>0</v>
      </c>
      <c r="W42" s="37" t="n">
        <f aca="false">N42-T42</f>
        <v>0</v>
      </c>
      <c r="X42" s="35"/>
    </row>
    <row r="43" customFormat="false" ht="21.75" hidden="false" customHeight="true" outlineLevel="0" collapsed="false">
      <c r="B43" s="5" t="n">
        <v>39</v>
      </c>
      <c r="C43" s="6" t="s">
        <v>13</v>
      </c>
      <c r="D43" s="5" t="s">
        <v>79</v>
      </c>
      <c r="E43" s="5" t="s">
        <v>54</v>
      </c>
      <c r="F43" s="5" t="s">
        <v>55</v>
      </c>
      <c r="G43" s="5"/>
      <c r="H43" s="5" t="s">
        <v>82</v>
      </c>
      <c r="I43" s="7" t="n">
        <v>1055025</v>
      </c>
      <c r="J43" s="8" t="s">
        <v>19</v>
      </c>
      <c r="K43" s="9" t="n">
        <v>352</v>
      </c>
      <c r="L43" s="30"/>
      <c r="M43" s="40" t="n">
        <f aca="false">S01!M43+L43</f>
        <v>0</v>
      </c>
      <c r="N43" s="32" t="n">
        <f aca="false">IFERROR(M43/K43,0)</f>
        <v>0</v>
      </c>
      <c r="O43" s="41" t="n">
        <f aca="false">S01!N43</f>
        <v>0</v>
      </c>
      <c r="P43" s="32" t="n">
        <f aca="false">N43-O43</f>
        <v>0</v>
      </c>
      <c r="Q43" s="33"/>
      <c r="R43" s="33"/>
      <c r="S43" s="33"/>
      <c r="T43" s="34"/>
      <c r="U43" s="41" t="n">
        <f aca="false">S01!T43</f>
        <v>0</v>
      </c>
      <c r="V43" s="32" t="n">
        <f aca="false">T43-U43</f>
        <v>0</v>
      </c>
      <c r="W43" s="32" t="n">
        <f aca="false">N43-T43</f>
        <v>0</v>
      </c>
      <c r="X43" s="35"/>
    </row>
    <row r="44" customFormat="false" ht="21.75" hidden="false" customHeight="true" outlineLevel="0" collapsed="false">
      <c r="B44" s="10" t="n">
        <v>40</v>
      </c>
      <c r="C44" s="6" t="s">
        <v>13</v>
      </c>
      <c r="D44" s="10" t="s">
        <v>79</v>
      </c>
      <c r="E44" s="10" t="s">
        <v>54</v>
      </c>
      <c r="F44" s="10" t="s">
        <v>55</v>
      </c>
      <c r="G44" s="10"/>
      <c r="H44" s="10" t="s">
        <v>83</v>
      </c>
      <c r="I44" s="11" t="n">
        <v>1004535</v>
      </c>
      <c r="J44" s="12" t="s">
        <v>19</v>
      </c>
      <c r="K44" s="13" t="n">
        <v>335</v>
      </c>
      <c r="L44" s="30"/>
      <c r="M44" s="42" t="n">
        <f aca="false">S01!M44+L44</f>
        <v>0</v>
      </c>
      <c r="N44" s="37" t="n">
        <f aca="false">IFERROR(M44/K44,0)</f>
        <v>0</v>
      </c>
      <c r="O44" s="43" t="n">
        <f aca="false">S01!N44</f>
        <v>0</v>
      </c>
      <c r="P44" s="37" t="n">
        <f aca="false">N44-O44</f>
        <v>0</v>
      </c>
      <c r="Q44" s="33"/>
      <c r="R44" s="33"/>
      <c r="S44" s="33"/>
      <c r="T44" s="34"/>
      <c r="U44" s="43" t="n">
        <f aca="false">S01!T44</f>
        <v>0</v>
      </c>
      <c r="V44" s="37" t="n">
        <f aca="false">T44-U44</f>
        <v>0</v>
      </c>
      <c r="W44" s="37" t="n">
        <f aca="false">N44-T44</f>
        <v>0</v>
      </c>
      <c r="X44" s="35"/>
    </row>
    <row r="45" customFormat="false" ht="21.75" hidden="false" customHeight="true" outlineLevel="0" collapsed="false">
      <c r="B45" s="5" t="n">
        <v>41</v>
      </c>
      <c r="C45" s="6" t="s">
        <v>13</v>
      </c>
      <c r="D45" s="5" t="s">
        <v>79</v>
      </c>
      <c r="E45" s="5" t="s">
        <v>54</v>
      </c>
      <c r="F45" s="5" t="s">
        <v>55</v>
      </c>
      <c r="G45" s="5"/>
      <c r="H45" s="5" t="s">
        <v>84</v>
      </c>
      <c r="I45" s="7" t="n">
        <v>793830</v>
      </c>
      <c r="J45" s="8" t="s">
        <v>19</v>
      </c>
      <c r="K45" s="9" t="n">
        <v>265</v>
      </c>
      <c r="L45" s="30"/>
      <c r="M45" s="40" t="n">
        <f aca="false">S01!M45+L45</f>
        <v>0</v>
      </c>
      <c r="N45" s="32" t="n">
        <f aca="false">IFERROR(M45/K45,0)</f>
        <v>0</v>
      </c>
      <c r="O45" s="41" t="n">
        <f aca="false">S01!N45</f>
        <v>0</v>
      </c>
      <c r="P45" s="32" t="n">
        <f aca="false">N45-O45</f>
        <v>0</v>
      </c>
      <c r="Q45" s="33"/>
      <c r="R45" s="33"/>
      <c r="S45" s="33"/>
      <c r="T45" s="34"/>
      <c r="U45" s="41" t="n">
        <f aca="false">S01!T45</f>
        <v>0</v>
      </c>
      <c r="V45" s="32" t="n">
        <f aca="false">T45-U45</f>
        <v>0</v>
      </c>
      <c r="W45" s="32" t="n">
        <f aca="false">N45-T45</f>
        <v>0</v>
      </c>
      <c r="X45" s="35"/>
    </row>
    <row r="46" customFormat="false" ht="21.75" hidden="false" customHeight="true" outlineLevel="0" collapsed="false">
      <c r="B46" s="10" t="n">
        <v>42</v>
      </c>
      <c r="C46" s="6" t="s">
        <v>13</v>
      </c>
      <c r="D46" s="10" t="s">
        <v>79</v>
      </c>
      <c r="E46" s="10" t="s">
        <v>20</v>
      </c>
      <c r="F46" s="10" t="s">
        <v>21</v>
      </c>
      <c r="G46" s="10" t="s">
        <v>52</v>
      </c>
      <c r="H46" s="10" t="s">
        <v>52</v>
      </c>
      <c r="I46" s="11" t="n">
        <v>2000000</v>
      </c>
      <c r="J46" s="12" t="s">
        <v>24</v>
      </c>
      <c r="K46" s="13" t="n">
        <v>4</v>
      </c>
      <c r="L46" s="30"/>
      <c r="M46" s="42" t="n">
        <f aca="false">S01!M46+L46</f>
        <v>0</v>
      </c>
      <c r="N46" s="37" t="n">
        <f aca="false">IFERROR(M46/K46,0)</f>
        <v>0</v>
      </c>
      <c r="O46" s="43" t="n">
        <f aca="false">S01!N46</f>
        <v>0</v>
      </c>
      <c r="P46" s="37" t="n">
        <f aca="false">N46-O46</f>
        <v>0</v>
      </c>
      <c r="Q46" s="33"/>
      <c r="R46" s="33"/>
      <c r="S46" s="33"/>
      <c r="T46" s="34"/>
      <c r="U46" s="43" t="n">
        <f aca="false">S01!T46</f>
        <v>0</v>
      </c>
      <c r="V46" s="37" t="n">
        <f aca="false">T46-U46</f>
        <v>0</v>
      </c>
      <c r="W46" s="37" t="n">
        <f aca="false">N46-T46</f>
        <v>0</v>
      </c>
      <c r="X46" s="35"/>
    </row>
    <row r="47" customFormat="false" ht="21.75" hidden="false" customHeight="true" outlineLevel="0" collapsed="false">
      <c r="B47" s="5" t="n">
        <v>43</v>
      </c>
      <c r="C47" s="6" t="s">
        <v>13</v>
      </c>
      <c r="D47" s="5" t="s">
        <v>79</v>
      </c>
      <c r="E47" s="5" t="s">
        <v>15</v>
      </c>
      <c r="F47" s="5" t="s">
        <v>16</v>
      </c>
      <c r="G47" s="5" t="s">
        <v>25</v>
      </c>
      <c r="H47" s="5" t="s">
        <v>85</v>
      </c>
      <c r="I47" s="7" t="n">
        <v>200000</v>
      </c>
      <c r="J47" s="8" t="s">
        <v>19</v>
      </c>
      <c r="K47" s="9" t="n">
        <v>67</v>
      </c>
      <c r="L47" s="30"/>
      <c r="M47" s="40" t="n">
        <f aca="false">S01!M47+L47</f>
        <v>0</v>
      </c>
      <c r="N47" s="32" t="n">
        <f aca="false">IFERROR(M47/K47,0)</f>
        <v>0</v>
      </c>
      <c r="O47" s="41" t="n">
        <f aca="false">S01!N47</f>
        <v>0</v>
      </c>
      <c r="P47" s="32" t="n">
        <f aca="false">N47-O47</f>
        <v>0</v>
      </c>
      <c r="Q47" s="33"/>
      <c r="R47" s="33"/>
      <c r="S47" s="33"/>
      <c r="T47" s="34"/>
      <c r="U47" s="41" t="n">
        <f aca="false">S01!T47</f>
        <v>0</v>
      </c>
      <c r="V47" s="32" t="n">
        <f aca="false">T47-U47</f>
        <v>0</v>
      </c>
      <c r="W47" s="32" t="n">
        <f aca="false">N47-T47</f>
        <v>0</v>
      </c>
      <c r="X47" s="35"/>
    </row>
    <row r="48" customFormat="false" ht="21.75" hidden="false" customHeight="true" outlineLevel="0" collapsed="false">
      <c r="B48" s="10" t="n">
        <v>44</v>
      </c>
      <c r="C48" s="6" t="s">
        <v>13</v>
      </c>
      <c r="D48" s="10" t="s">
        <v>79</v>
      </c>
      <c r="E48" s="10" t="s">
        <v>27</v>
      </c>
      <c r="F48" s="10" t="s">
        <v>28</v>
      </c>
      <c r="G48" s="10" t="s">
        <v>29</v>
      </c>
      <c r="H48" s="10" t="s">
        <v>86</v>
      </c>
      <c r="I48" s="11" t="n">
        <v>580000</v>
      </c>
      <c r="J48" s="12" t="s">
        <v>31</v>
      </c>
      <c r="K48" s="13" t="n">
        <v>7</v>
      </c>
      <c r="L48" s="30"/>
      <c r="M48" s="42" t="n">
        <f aca="false">S01!M48+L48</f>
        <v>0</v>
      </c>
      <c r="N48" s="37" t="n">
        <f aca="false">IFERROR(M48/K48,0)</f>
        <v>0</v>
      </c>
      <c r="O48" s="43" t="n">
        <f aca="false">S01!N48</f>
        <v>0</v>
      </c>
      <c r="P48" s="37" t="n">
        <f aca="false">N48-O48</f>
        <v>0</v>
      </c>
      <c r="Q48" s="33"/>
      <c r="R48" s="33"/>
      <c r="S48" s="33"/>
      <c r="T48" s="34"/>
      <c r="U48" s="43" t="n">
        <f aca="false">S01!T48</f>
        <v>0</v>
      </c>
      <c r="V48" s="37" t="n">
        <f aca="false">T48-U48</f>
        <v>0</v>
      </c>
      <c r="W48" s="37" t="n">
        <f aca="false">N48-T48</f>
        <v>0</v>
      </c>
      <c r="X48" s="35"/>
    </row>
    <row r="49" customFormat="false" ht="21.75" hidden="false" customHeight="true" outlineLevel="0" collapsed="false">
      <c r="B49" s="5" t="n">
        <v>45</v>
      </c>
      <c r="C49" s="6" t="s">
        <v>13</v>
      </c>
      <c r="D49" s="5" t="s">
        <v>79</v>
      </c>
      <c r="E49" s="5" t="s">
        <v>27</v>
      </c>
      <c r="F49" s="5" t="s">
        <v>28</v>
      </c>
      <c r="G49" s="5" t="s">
        <v>39</v>
      </c>
      <c r="H49" s="5" t="s">
        <v>87</v>
      </c>
      <c r="I49" s="7" t="n">
        <v>4000000</v>
      </c>
      <c r="J49" s="8" t="s">
        <v>41</v>
      </c>
      <c r="K49" s="9" t="n">
        <v>2667</v>
      </c>
      <c r="L49" s="30"/>
      <c r="M49" s="40" t="n">
        <f aca="false">S01!M49+L49</f>
        <v>0</v>
      </c>
      <c r="N49" s="32" t="n">
        <f aca="false">IFERROR(M49/K49,0)</f>
        <v>0</v>
      </c>
      <c r="O49" s="41" t="n">
        <f aca="false">S01!N49</f>
        <v>0</v>
      </c>
      <c r="P49" s="32" t="n">
        <f aca="false">N49-O49</f>
        <v>0</v>
      </c>
      <c r="Q49" s="33"/>
      <c r="R49" s="33"/>
      <c r="S49" s="33"/>
      <c r="T49" s="34"/>
      <c r="U49" s="41" t="n">
        <f aca="false">S01!T49</f>
        <v>0</v>
      </c>
      <c r="V49" s="32" t="n">
        <f aca="false">T49-U49</f>
        <v>0</v>
      </c>
      <c r="W49" s="32" t="n">
        <f aca="false">N49-T49</f>
        <v>0</v>
      </c>
      <c r="X49" s="35"/>
    </row>
    <row r="50" customFormat="false" ht="21.75" hidden="false" customHeight="true" outlineLevel="0" collapsed="false">
      <c r="B50" s="10" t="n">
        <v>46</v>
      </c>
      <c r="C50" s="6" t="s">
        <v>13</v>
      </c>
      <c r="D50" s="10" t="s">
        <v>88</v>
      </c>
      <c r="E50" s="10" t="s">
        <v>20</v>
      </c>
      <c r="F50" s="10" t="s">
        <v>21</v>
      </c>
      <c r="G50" s="10" t="s">
        <v>52</v>
      </c>
      <c r="H50" s="10" t="s">
        <v>52</v>
      </c>
      <c r="I50" s="11" t="n">
        <v>655000</v>
      </c>
      <c r="J50" s="12" t="s">
        <v>24</v>
      </c>
      <c r="K50" s="13" t="n">
        <v>1</v>
      </c>
      <c r="L50" s="30"/>
      <c r="M50" s="42" t="n">
        <f aca="false">S01!M50+L50</f>
        <v>0</v>
      </c>
      <c r="N50" s="37" t="n">
        <f aca="false">IFERROR(M50/K50,0)</f>
        <v>0</v>
      </c>
      <c r="O50" s="43" t="n">
        <f aca="false">S01!N50</f>
        <v>0</v>
      </c>
      <c r="P50" s="37" t="n">
        <f aca="false">N50-O50</f>
        <v>0</v>
      </c>
      <c r="Q50" s="33"/>
      <c r="R50" s="33"/>
      <c r="S50" s="33"/>
      <c r="T50" s="34"/>
      <c r="U50" s="43" t="n">
        <f aca="false">S01!T50</f>
        <v>0</v>
      </c>
      <c r="V50" s="37" t="n">
        <f aca="false">T50-U50</f>
        <v>0</v>
      </c>
      <c r="W50" s="37" t="n">
        <f aca="false">N50-T50</f>
        <v>0</v>
      </c>
      <c r="X50" s="35"/>
    </row>
    <row r="51" customFormat="false" ht="21.75" hidden="false" customHeight="true" outlineLevel="0" collapsed="false">
      <c r="B51" s="5" t="n">
        <v>47</v>
      </c>
      <c r="C51" s="6" t="s">
        <v>13</v>
      </c>
      <c r="D51" s="5" t="s">
        <v>89</v>
      </c>
      <c r="E51" s="5" t="s">
        <v>54</v>
      </c>
      <c r="F51" s="5" t="s">
        <v>55</v>
      </c>
      <c r="G51" s="5" t="s">
        <v>56</v>
      </c>
      <c r="H51" s="5" t="s">
        <v>90</v>
      </c>
      <c r="I51" s="7" t="n">
        <v>5182920</v>
      </c>
      <c r="J51" s="8" t="s">
        <v>19</v>
      </c>
      <c r="K51" s="9" t="n">
        <v>1728</v>
      </c>
      <c r="L51" s="30"/>
      <c r="M51" s="40" t="n">
        <f aca="false">S01!M51+L51</f>
        <v>0</v>
      </c>
      <c r="N51" s="32" t="n">
        <f aca="false">IFERROR(M51/K51,0)</f>
        <v>0</v>
      </c>
      <c r="O51" s="41" t="n">
        <f aca="false">S01!N51</f>
        <v>0</v>
      </c>
      <c r="P51" s="32" t="n">
        <f aca="false">N51-O51</f>
        <v>0</v>
      </c>
      <c r="Q51" s="33"/>
      <c r="R51" s="33"/>
      <c r="S51" s="33"/>
      <c r="T51" s="34"/>
      <c r="U51" s="41" t="n">
        <f aca="false">S01!T51</f>
        <v>0</v>
      </c>
      <c r="V51" s="32" t="n">
        <f aca="false">T51-U51</f>
        <v>0</v>
      </c>
      <c r="W51" s="32" t="n">
        <f aca="false">N51-T51</f>
        <v>0</v>
      </c>
      <c r="X51" s="35"/>
    </row>
    <row r="52" customFormat="false" ht="21.75" hidden="false" customHeight="true" outlineLevel="0" collapsed="false">
      <c r="B52" s="10" t="n">
        <v>48</v>
      </c>
      <c r="C52" s="6" t="s">
        <v>13</v>
      </c>
      <c r="D52" s="10" t="s">
        <v>89</v>
      </c>
      <c r="E52" s="10" t="s">
        <v>54</v>
      </c>
      <c r="F52" s="10" t="s">
        <v>55</v>
      </c>
      <c r="G52" s="10"/>
      <c r="H52" s="10" t="s">
        <v>91</v>
      </c>
      <c r="I52" s="11" t="n">
        <v>152818</v>
      </c>
      <c r="J52" s="12" t="s">
        <v>19</v>
      </c>
      <c r="K52" s="13" t="n">
        <v>51</v>
      </c>
      <c r="L52" s="30"/>
      <c r="M52" s="42" t="n">
        <f aca="false">S01!M52+L52</f>
        <v>0</v>
      </c>
      <c r="N52" s="37" t="n">
        <f aca="false">IFERROR(M52/K52,0)</f>
        <v>0</v>
      </c>
      <c r="O52" s="43" t="n">
        <f aca="false">S01!N52</f>
        <v>0</v>
      </c>
      <c r="P52" s="37" t="n">
        <f aca="false">N52-O52</f>
        <v>0</v>
      </c>
      <c r="Q52" s="33"/>
      <c r="R52" s="33"/>
      <c r="S52" s="33"/>
      <c r="T52" s="34"/>
      <c r="U52" s="43" t="n">
        <f aca="false">S01!T52</f>
        <v>0</v>
      </c>
      <c r="V52" s="37" t="n">
        <f aca="false">T52-U52</f>
        <v>0</v>
      </c>
      <c r="W52" s="37" t="n">
        <f aca="false">N52-T52</f>
        <v>0</v>
      </c>
      <c r="X52" s="35"/>
    </row>
    <row r="53" customFormat="false" ht="21.75" hidden="false" customHeight="true" outlineLevel="0" collapsed="false">
      <c r="B53" s="5" t="n">
        <v>49</v>
      </c>
      <c r="C53" s="6" t="s">
        <v>13</v>
      </c>
      <c r="D53" s="5" t="s">
        <v>89</v>
      </c>
      <c r="E53" s="5" t="s">
        <v>54</v>
      </c>
      <c r="F53" s="5" t="s">
        <v>55</v>
      </c>
      <c r="G53" s="5"/>
      <c r="H53" s="5" t="s">
        <v>92</v>
      </c>
      <c r="I53" s="7" t="n">
        <v>1418000</v>
      </c>
      <c r="J53" s="8" t="s">
        <v>19</v>
      </c>
      <c r="K53" s="9" t="n">
        <v>473</v>
      </c>
      <c r="L53" s="30"/>
      <c r="M53" s="40" t="n">
        <f aca="false">S01!M53+L53</f>
        <v>0</v>
      </c>
      <c r="N53" s="32" t="n">
        <f aca="false">IFERROR(M53/K53,0)</f>
        <v>0</v>
      </c>
      <c r="O53" s="41" t="n">
        <f aca="false">S01!N53</f>
        <v>0</v>
      </c>
      <c r="P53" s="32" t="n">
        <f aca="false">N53-O53</f>
        <v>0</v>
      </c>
      <c r="Q53" s="33"/>
      <c r="R53" s="33"/>
      <c r="S53" s="33"/>
      <c r="T53" s="34"/>
      <c r="U53" s="41" t="n">
        <f aca="false">S01!T53</f>
        <v>0</v>
      </c>
      <c r="V53" s="32" t="n">
        <f aca="false">T53-U53</f>
        <v>0</v>
      </c>
      <c r="W53" s="32" t="n">
        <f aca="false">N53-T53</f>
        <v>0</v>
      </c>
      <c r="X53" s="35"/>
    </row>
    <row r="54" customFormat="false" ht="21.75" hidden="false" customHeight="true" outlineLevel="0" collapsed="false">
      <c r="B54" s="10" t="n">
        <v>50</v>
      </c>
      <c r="C54" s="6" t="s">
        <v>13</v>
      </c>
      <c r="D54" s="10" t="s">
        <v>89</v>
      </c>
      <c r="E54" s="10" t="s">
        <v>54</v>
      </c>
      <c r="F54" s="10" t="s">
        <v>55</v>
      </c>
      <c r="G54" s="10" t="s">
        <v>70</v>
      </c>
      <c r="H54" s="10" t="s">
        <v>93</v>
      </c>
      <c r="I54" s="11" t="n">
        <v>800000</v>
      </c>
      <c r="J54" s="12" t="s">
        <v>19</v>
      </c>
      <c r="K54" s="13" t="n">
        <v>400</v>
      </c>
      <c r="L54" s="30"/>
      <c r="M54" s="42" t="n">
        <f aca="false">S01!M54+L54</f>
        <v>0</v>
      </c>
      <c r="N54" s="37" t="n">
        <f aca="false">IFERROR(M54/K54,0)</f>
        <v>0</v>
      </c>
      <c r="O54" s="43" t="n">
        <f aca="false">S01!N54</f>
        <v>0</v>
      </c>
      <c r="P54" s="37" t="n">
        <f aca="false">N54-O54</f>
        <v>0</v>
      </c>
      <c r="Q54" s="33"/>
      <c r="R54" s="33"/>
      <c r="S54" s="33"/>
      <c r="T54" s="34"/>
      <c r="U54" s="43" t="n">
        <f aca="false">S01!T54</f>
        <v>0</v>
      </c>
      <c r="V54" s="37" t="n">
        <f aca="false">T54-U54</f>
        <v>0</v>
      </c>
      <c r="W54" s="37" t="n">
        <f aca="false">N54-T54</f>
        <v>0</v>
      </c>
      <c r="X54" s="35"/>
    </row>
    <row r="55" customFormat="false" ht="21.75" hidden="false" customHeight="true" outlineLevel="0" collapsed="false">
      <c r="B55" s="5" t="n">
        <v>51</v>
      </c>
      <c r="C55" s="6" t="s">
        <v>13</v>
      </c>
      <c r="D55" s="5" t="s">
        <v>89</v>
      </c>
      <c r="E55" s="5" t="s">
        <v>20</v>
      </c>
      <c r="F55" s="5" t="s">
        <v>21</v>
      </c>
      <c r="G55" s="5" t="s">
        <v>52</v>
      </c>
      <c r="H55" s="5" t="s">
        <v>52</v>
      </c>
      <c r="I55" s="7" t="n">
        <v>3700000</v>
      </c>
      <c r="J55" s="8" t="s">
        <v>24</v>
      </c>
      <c r="K55" s="9" t="n">
        <v>7</v>
      </c>
      <c r="L55" s="30"/>
      <c r="M55" s="40" t="n">
        <f aca="false">S01!M55+L55</f>
        <v>0</v>
      </c>
      <c r="N55" s="32" t="n">
        <f aca="false">IFERROR(M55/K55,0)</f>
        <v>0</v>
      </c>
      <c r="O55" s="41" t="n">
        <f aca="false">S01!N55</f>
        <v>0</v>
      </c>
      <c r="P55" s="32" t="n">
        <f aca="false">N55-O55</f>
        <v>0</v>
      </c>
      <c r="Q55" s="33"/>
      <c r="R55" s="33"/>
      <c r="S55" s="33"/>
      <c r="T55" s="34"/>
      <c r="U55" s="41" t="n">
        <f aca="false">S01!T55</f>
        <v>0</v>
      </c>
      <c r="V55" s="32" t="n">
        <f aca="false">T55-U55</f>
        <v>0</v>
      </c>
      <c r="W55" s="32" t="n">
        <f aca="false">N55-T55</f>
        <v>0</v>
      </c>
      <c r="X55" s="35"/>
    </row>
    <row r="56" customFormat="false" ht="21.75" hidden="false" customHeight="true" outlineLevel="0" collapsed="false">
      <c r="B56" s="10" t="n">
        <v>52</v>
      </c>
      <c r="C56" s="6" t="s">
        <v>13</v>
      </c>
      <c r="D56" s="10" t="s">
        <v>89</v>
      </c>
      <c r="E56" s="10" t="s">
        <v>27</v>
      </c>
      <c r="F56" s="10" t="s">
        <v>28</v>
      </c>
      <c r="G56" s="10" t="s">
        <v>29</v>
      </c>
      <c r="H56" s="10" t="s">
        <v>94</v>
      </c>
      <c r="I56" s="11" t="n">
        <v>705000</v>
      </c>
      <c r="J56" s="12" t="s">
        <v>31</v>
      </c>
      <c r="K56" s="13" t="n">
        <v>3</v>
      </c>
      <c r="L56" s="30"/>
      <c r="M56" s="42" t="n">
        <f aca="false">S01!M56+L56</f>
        <v>0</v>
      </c>
      <c r="N56" s="37" t="n">
        <f aca="false">IFERROR(M56/K56,0)</f>
        <v>0</v>
      </c>
      <c r="O56" s="43" t="n">
        <f aca="false">S01!N56</f>
        <v>0</v>
      </c>
      <c r="P56" s="37" t="n">
        <f aca="false">N56-O56</f>
        <v>0</v>
      </c>
      <c r="Q56" s="33"/>
      <c r="R56" s="33"/>
      <c r="S56" s="33"/>
      <c r="T56" s="34"/>
      <c r="U56" s="43" t="n">
        <f aca="false">S01!T56</f>
        <v>0</v>
      </c>
      <c r="V56" s="37" t="n">
        <f aca="false">T56-U56</f>
        <v>0</v>
      </c>
      <c r="W56" s="37" t="n">
        <f aca="false">N56-T56</f>
        <v>0</v>
      </c>
      <c r="X56" s="35"/>
    </row>
    <row r="57" customFormat="false" ht="21.75" hidden="false" customHeight="true" outlineLevel="0" collapsed="false">
      <c r="B57" s="5" t="n">
        <v>53</v>
      </c>
      <c r="C57" s="6" t="s">
        <v>13</v>
      </c>
      <c r="D57" s="5" t="s">
        <v>89</v>
      </c>
      <c r="E57" s="5" t="s">
        <v>27</v>
      </c>
      <c r="F57" s="5" t="s">
        <v>28</v>
      </c>
      <c r="G57" s="5" t="s">
        <v>65</v>
      </c>
      <c r="H57" s="5" t="s">
        <v>95</v>
      </c>
      <c r="I57" s="7" t="n">
        <v>372000</v>
      </c>
      <c r="J57" s="8" t="s">
        <v>19</v>
      </c>
      <c r="K57" s="9" t="n">
        <v>124</v>
      </c>
      <c r="L57" s="30"/>
      <c r="M57" s="40" t="n">
        <f aca="false">S01!M57+L57</f>
        <v>0</v>
      </c>
      <c r="N57" s="32" t="n">
        <f aca="false">IFERROR(M57/K57,0)</f>
        <v>0</v>
      </c>
      <c r="O57" s="41" t="n">
        <f aca="false">S01!N57</f>
        <v>0</v>
      </c>
      <c r="P57" s="32" t="n">
        <f aca="false">N57-O57</f>
        <v>0</v>
      </c>
      <c r="Q57" s="33"/>
      <c r="R57" s="33"/>
      <c r="S57" s="33"/>
      <c r="T57" s="34"/>
      <c r="U57" s="41" t="n">
        <f aca="false">S01!T57</f>
        <v>0</v>
      </c>
      <c r="V57" s="32" t="n">
        <f aca="false">T57-U57</f>
        <v>0</v>
      </c>
      <c r="W57" s="32" t="n">
        <f aca="false">N57-T57</f>
        <v>0</v>
      </c>
      <c r="X57" s="35"/>
    </row>
    <row r="58" customFormat="false" ht="21.75" hidden="false" customHeight="true" outlineLevel="0" collapsed="false">
      <c r="B58" s="10" t="n">
        <v>54</v>
      </c>
      <c r="C58" s="15" t="s">
        <v>96</v>
      </c>
      <c r="D58" s="10" t="s">
        <v>97</v>
      </c>
      <c r="E58" s="10" t="s">
        <v>15</v>
      </c>
      <c r="F58" s="10" t="s">
        <v>16</v>
      </c>
      <c r="G58" s="10" t="s">
        <v>17</v>
      </c>
      <c r="H58" s="10" t="s">
        <v>98</v>
      </c>
      <c r="I58" s="11" t="n">
        <v>10000000</v>
      </c>
      <c r="J58" s="12" t="s">
        <v>19</v>
      </c>
      <c r="K58" s="13" t="n">
        <v>5000</v>
      </c>
      <c r="L58" s="30"/>
      <c r="M58" s="42" t="n">
        <f aca="false">S01!M58+L58</f>
        <v>0</v>
      </c>
      <c r="N58" s="37" t="n">
        <f aca="false">IFERROR(M58/K58,0)</f>
        <v>0</v>
      </c>
      <c r="O58" s="43" t="n">
        <f aca="false">S01!N58</f>
        <v>0</v>
      </c>
      <c r="P58" s="37" t="n">
        <f aca="false">N58-O58</f>
        <v>0</v>
      </c>
      <c r="Q58" s="33"/>
      <c r="R58" s="33"/>
      <c r="S58" s="33"/>
      <c r="T58" s="34"/>
      <c r="U58" s="43" t="n">
        <f aca="false">S01!T58</f>
        <v>0</v>
      </c>
      <c r="V58" s="37" t="n">
        <f aca="false">T58-U58</f>
        <v>0</v>
      </c>
      <c r="W58" s="37" t="n">
        <f aca="false">N58-T58</f>
        <v>0</v>
      </c>
      <c r="X58" s="35"/>
    </row>
    <row r="59" customFormat="false" ht="21.75" hidden="false" customHeight="true" outlineLevel="0" collapsed="false">
      <c r="B59" s="5" t="n">
        <v>55</v>
      </c>
      <c r="C59" s="15" t="s">
        <v>96</v>
      </c>
      <c r="D59" s="5" t="s">
        <v>97</v>
      </c>
      <c r="E59" s="5" t="s">
        <v>20</v>
      </c>
      <c r="F59" s="5" t="s">
        <v>21</v>
      </c>
      <c r="G59" s="5" t="s">
        <v>22</v>
      </c>
      <c r="H59" s="5" t="s">
        <v>99</v>
      </c>
      <c r="I59" s="7" t="n">
        <v>2000000</v>
      </c>
      <c r="J59" s="8" t="s">
        <v>24</v>
      </c>
      <c r="K59" s="9" t="n">
        <v>4</v>
      </c>
      <c r="L59" s="30"/>
      <c r="M59" s="40" t="n">
        <f aca="false">S01!M59+L59</f>
        <v>0</v>
      </c>
      <c r="N59" s="32" t="n">
        <f aca="false">IFERROR(M59/K59,0)</f>
        <v>0</v>
      </c>
      <c r="O59" s="41" t="n">
        <f aca="false">S01!N59</f>
        <v>0</v>
      </c>
      <c r="P59" s="32" t="n">
        <f aca="false">N59-O59</f>
        <v>0</v>
      </c>
      <c r="Q59" s="33"/>
      <c r="R59" s="33"/>
      <c r="S59" s="33"/>
      <c r="T59" s="34"/>
      <c r="U59" s="41" t="n">
        <f aca="false">S01!T59</f>
        <v>0</v>
      </c>
      <c r="V59" s="32" t="n">
        <f aca="false">T59-U59</f>
        <v>0</v>
      </c>
      <c r="W59" s="32" t="n">
        <f aca="false">N59-T59</f>
        <v>0</v>
      </c>
      <c r="X59" s="35"/>
    </row>
    <row r="60" customFormat="false" ht="21.75" hidden="false" customHeight="true" outlineLevel="0" collapsed="false">
      <c r="B60" s="10" t="n">
        <v>56</v>
      </c>
      <c r="C60" s="15" t="s">
        <v>96</v>
      </c>
      <c r="D60" s="10" t="s">
        <v>97</v>
      </c>
      <c r="E60" s="10" t="s">
        <v>27</v>
      </c>
      <c r="F60" s="10" t="s">
        <v>28</v>
      </c>
      <c r="G60" s="10" t="s">
        <v>37</v>
      </c>
      <c r="H60" s="10" t="s">
        <v>100</v>
      </c>
      <c r="I60" s="11" t="n">
        <v>300000</v>
      </c>
      <c r="J60" s="12" t="s">
        <v>31</v>
      </c>
      <c r="K60" s="13" t="n">
        <v>1</v>
      </c>
      <c r="L60" s="30"/>
      <c r="M60" s="42" t="n">
        <f aca="false">S01!M60+L60</f>
        <v>0</v>
      </c>
      <c r="N60" s="37" t="n">
        <f aca="false">IFERROR(M60/K60,0)</f>
        <v>0</v>
      </c>
      <c r="O60" s="43" t="n">
        <f aca="false">S01!N60</f>
        <v>0</v>
      </c>
      <c r="P60" s="37" t="n">
        <f aca="false">N60-O60</f>
        <v>0</v>
      </c>
      <c r="Q60" s="33"/>
      <c r="R60" s="33"/>
      <c r="S60" s="33"/>
      <c r="T60" s="34"/>
      <c r="U60" s="43" t="n">
        <f aca="false">S01!T60</f>
        <v>0</v>
      </c>
      <c r="V60" s="37" t="n">
        <f aca="false">T60-U60</f>
        <v>0</v>
      </c>
      <c r="W60" s="37" t="n">
        <f aca="false">N60-T60</f>
        <v>0</v>
      </c>
      <c r="X60" s="35"/>
    </row>
    <row r="61" customFormat="false" ht="21.75" hidden="false" customHeight="true" outlineLevel="0" collapsed="false">
      <c r="B61" s="5" t="n">
        <v>57</v>
      </c>
      <c r="C61" s="15" t="s">
        <v>96</v>
      </c>
      <c r="D61" s="5" t="s">
        <v>97</v>
      </c>
      <c r="E61" s="5" t="s">
        <v>54</v>
      </c>
      <c r="F61" s="5" t="s">
        <v>55</v>
      </c>
      <c r="G61" s="5" t="s">
        <v>70</v>
      </c>
      <c r="H61" s="5" t="s">
        <v>101</v>
      </c>
      <c r="I61" s="7" t="n">
        <v>100000</v>
      </c>
      <c r="J61" s="8" t="s">
        <v>31</v>
      </c>
      <c r="K61" s="9" t="n">
        <v>200</v>
      </c>
      <c r="L61" s="30"/>
      <c r="M61" s="40" t="n">
        <f aca="false">S01!M61+L61</f>
        <v>0</v>
      </c>
      <c r="N61" s="32" t="n">
        <f aca="false">IFERROR(M61/K61,0)</f>
        <v>0</v>
      </c>
      <c r="O61" s="41" t="n">
        <f aca="false">S01!N61</f>
        <v>0</v>
      </c>
      <c r="P61" s="32" t="n">
        <f aca="false">N61-O61</f>
        <v>0</v>
      </c>
      <c r="Q61" s="33"/>
      <c r="R61" s="33"/>
      <c r="S61" s="33"/>
      <c r="T61" s="34"/>
      <c r="U61" s="41" t="n">
        <f aca="false">S01!T61</f>
        <v>0</v>
      </c>
      <c r="V61" s="32" t="n">
        <f aca="false">T61-U61</f>
        <v>0</v>
      </c>
      <c r="W61" s="32" t="n">
        <f aca="false">N61-T61</f>
        <v>0</v>
      </c>
      <c r="X61" s="35"/>
    </row>
    <row r="62" customFormat="false" ht="21.75" hidden="false" customHeight="true" outlineLevel="0" collapsed="false">
      <c r="B62" s="10" t="n">
        <v>58</v>
      </c>
      <c r="C62" s="15" t="s">
        <v>96</v>
      </c>
      <c r="D62" s="10" t="s">
        <v>102</v>
      </c>
      <c r="E62" s="10" t="s">
        <v>15</v>
      </c>
      <c r="F62" s="10" t="s">
        <v>16</v>
      </c>
      <c r="G62" s="10" t="s">
        <v>17</v>
      </c>
      <c r="H62" s="10" t="s">
        <v>103</v>
      </c>
      <c r="I62" s="11" t="n">
        <v>3000000</v>
      </c>
      <c r="J62" s="12" t="s">
        <v>19</v>
      </c>
      <c r="K62" s="13" t="n">
        <v>1500</v>
      </c>
      <c r="L62" s="30"/>
      <c r="M62" s="42" t="n">
        <f aca="false">S01!M62+L62</f>
        <v>0</v>
      </c>
      <c r="N62" s="37" t="n">
        <f aca="false">IFERROR(M62/K62,0)</f>
        <v>0</v>
      </c>
      <c r="O62" s="43" t="n">
        <f aca="false">S01!N62</f>
        <v>0</v>
      </c>
      <c r="P62" s="37" t="n">
        <f aca="false">N62-O62</f>
        <v>0</v>
      </c>
      <c r="Q62" s="33"/>
      <c r="R62" s="33"/>
      <c r="S62" s="33"/>
      <c r="T62" s="34"/>
      <c r="U62" s="43" t="n">
        <f aca="false">S01!T62</f>
        <v>0</v>
      </c>
      <c r="V62" s="37" t="n">
        <f aca="false">T62-U62</f>
        <v>0</v>
      </c>
      <c r="W62" s="37" t="n">
        <f aca="false">N62-T62</f>
        <v>0</v>
      </c>
      <c r="X62" s="35"/>
    </row>
    <row r="63" customFormat="false" ht="21.75" hidden="false" customHeight="true" outlineLevel="0" collapsed="false">
      <c r="B63" s="5" t="n">
        <v>59</v>
      </c>
      <c r="C63" s="15" t="s">
        <v>96</v>
      </c>
      <c r="D63" s="5" t="s">
        <v>102</v>
      </c>
      <c r="E63" s="5" t="s">
        <v>20</v>
      </c>
      <c r="F63" s="5" t="s">
        <v>21</v>
      </c>
      <c r="G63" s="5" t="s">
        <v>22</v>
      </c>
      <c r="H63" s="5" t="s">
        <v>104</v>
      </c>
      <c r="I63" s="7" t="n">
        <v>5000000</v>
      </c>
      <c r="J63" s="8" t="s">
        <v>31</v>
      </c>
      <c r="K63" s="9" t="n">
        <v>1</v>
      </c>
      <c r="L63" s="30"/>
      <c r="M63" s="40" t="n">
        <f aca="false">S01!M63+L63</f>
        <v>0</v>
      </c>
      <c r="N63" s="32" t="n">
        <f aca="false">IFERROR(M63/K63,0)</f>
        <v>0</v>
      </c>
      <c r="O63" s="41" t="n">
        <f aca="false">S01!N63</f>
        <v>0</v>
      </c>
      <c r="P63" s="32" t="n">
        <f aca="false">N63-O63</f>
        <v>0</v>
      </c>
      <c r="Q63" s="33"/>
      <c r="R63" s="33"/>
      <c r="S63" s="33"/>
      <c r="T63" s="34"/>
      <c r="U63" s="41" t="n">
        <f aca="false">S01!T63</f>
        <v>0</v>
      </c>
      <c r="V63" s="32" t="n">
        <f aca="false">T63-U63</f>
        <v>0</v>
      </c>
      <c r="W63" s="32" t="n">
        <f aca="false">N63-T63</f>
        <v>0</v>
      </c>
      <c r="X63" s="35"/>
    </row>
    <row r="64" customFormat="false" ht="21.75" hidden="false" customHeight="true" outlineLevel="0" collapsed="false">
      <c r="B64" s="10" t="n">
        <v>60</v>
      </c>
      <c r="C64" s="15" t="s">
        <v>96</v>
      </c>
      <c r="D64" s="10" t="s">
        <v>105</v>
      </c>
      <c r="E64" s="10" t="s">
        <v>15</v>
      </c>
      <c r="F64" s="10" t="s">
        <v>16</v>
      </c>
      <c r="G64" s="10" t="s">
        <v>17</v>
      </c>
      <c r="H64" s="10" t="s">
        <v>106</v>
      </c>
      <c r="I64" s="11" t="n">
        <v>3000000</v>
      </c>
      <c r="J64" s="12" t="s">
        <v>19</v>
      </c>
      <c r="K64" s="13" t="n">
        <v>1500</v>
      </c>
      <c r="L64" s="30"/>
      <c r="M64" s="42" t="n">
        <f aca="false">S01!M64+L64</f>
        <v>0</v>
      </c>
      <c r="N64" s="37" t="n">
        <f aca="false">IFERROR(M64/K64,0)</f>
        <v>0</v>
      </c>
      <c r="O64" s="43" t="n">
        <f aca="false">S01!N64</f>
        <v>0</v>
      </c>
      <c r="P64" s="37" t="n">
        <f aca="false">N64-O64</f>
        <v>0</v>
      </c>
      <c r="Q64" s="33"/>
      <c r="R64" s="33"/>
      <c r="S64" s="33"/>
      <c r="T64" s="34"/>
      <c r="U64" s="43" t="n">
        <f aca="false">S01!T64</f>
        <v>0</v>
      </c>
      <c r="V64" s="37" t="n">
        <f aca="false">T64-U64</f>
        <v>0</v>
      </c>
      <c r="W64" s="37" t="n">
        <f aca="false">N64-T64</f>
        <v>0</v>
      </c>
      <c r="X64" s="35"/>
    </row>
    <row r="65" customFormat="false" ht="21.75" hidden="false" customHeight="true" outlineLevel="0" collapsed="false">
      <c r="B65" s="5" t="n">
        <v>61</v>
      </c>
      <c r="C65" s="15" t="s">
        <v>96</v>
      </c>
      <c r="D65" s="5" t="s">
        <v>105</v>
      </c>
      <c r="E65" s="5" t="s">
        <v>20</v>
      </c>
      <c r="F65" s="5" t="s">
        <v>21</v>
      </c>
      <c r="G65" s="5" t="s">
        <v>22</v>
      </c>
      <c r="H65" s="5" t="s">
        <v>107</v>
      </c>
      <c r="I65" s="7" t="n">
        <v>3000000</v>
      </c>
      <c r="J65" s="8" t="s">
        <v>24</v>
      </c>
      <c r="K65" s="9" t="n">
        <v>6</v>
      </c>
      <c r="L65" s="30"/>
      <c r="M65" s="40" t="n">
        <f aca="false">S01!M65+L65</f>
        <v>0</v>
      </c>
      <c r="N65" s="32" t="n">
        <f aca="false">IFERROR(M65/K65,0)</f>
        <v>0</v>
      </c>
      <c r="O65" s="41" t="n">
        <f aca="false">S01!N65</f>
        <v>0</v>
      </c>
      <c r="P65" s="32" t="n">
        <f aca="false">N65-O65</f>
        <v>0</v>
      </c>
      <c r="Q65" s="33"/>
      <c r="R65" s="33"/>
      <c r="S65" s="33"/>
      <c r="T65" s="34"/>
      <c r="U65" s="41" t="n">
        <f aca="false">S01!T65</f>
        <v>0</v>
      </c>
      <c r="V65" s="32" t="n">
        <f aca="false">T65-U65</f>
        <v>0</v>
      </c>
      <c r="W65" s="32" t="n">
        <f aca="false">N65-T65</f>
        <v>0</v>
      </c>
      <c r="X65" s="35"/>
    </row>
    <row r="66" customFormat="false" ht="21.75" hidden="false" customHeight="true" outlineLevel="0" collapsed="false">
      <c r="B66" s="10" t="n">
        <v>62</v>
      </c>
      <c r="C66" s="15" t="s">
        <v>96</v>
      </c>
      <c r="D66" s="10" t="s">
        <v>108</v>
      </c>
      <c r="E66" s="10" t="s">
        <v>15</v>
      </c>
      <c r="F66" s="10" t="s">
        <v>16</v>
      </c>
      <c r="G66" s="10" t="s">
        <v>17</v>
      </c>
      <c r="H66" s="10" t="s">
        <v>109</v>
      </c>
      <c r="I66" s="11" t="n">
        <v>6000000</v>
      </c>
      <c r="J66" s="12" t="s">
        <v>19</v>
      </c>
      <c r="K66" s="13" t="n">
        <v>3000</v>
      </c>
      <c r="L66" s="30"/>
      <c r="M66" s="42" t="n">
        <f aca="false">S01!M66+L66</f>
        <v>0</v>
      </c>
      <c r="N66" s="37" t="n">
        <f aca="false">IFERROR(M66/K66,0)</f>
        <v>0</v>
      </c>
      <c r="O66" s="43" t="n">
        <f aca="false">S01!N66</f>
        <v>0</v>
      </c>
      <c r="P66" s="37" t="n">
        <f aca="false">N66-O66</f>
        <v>0</v>
      </c>
      <c r="Q66" s="33"/>
      <c r="R66" s="33"/>
      <c r="S66" s="33"/>
      <c r="T66" s="34"/>
      <c r="U66" s="43" t="n">
        <f aca="false">S01!T66</f>
        <v>0</v>
      </c>
      <c r="V66" s="37" t="n">
        <f aca="false">T66-U66</f>
        <v>0</v>
      </c>
      <c r="W66" s="37" t="n">
        <f aca="false">N66-T66</f>
        <v>0</v>
      </c>
      <c r="X66" s="35"/>
    </row>
    <row r="67" customFormat="false" ht="21.75" hidden="false" customHeight="true" outlineLevel="0" collapsed="false">
      <c r="B67" s="5" t="n">
        <v>63</v>
      </c>
      <c r="C67" s="15" t="s">
        <v>96</v>
      </c>
      <c r="D67" s="5" t="s">
        <v>108</v>
      </c>
      <c r="E67" s="5" t="s">
        <v>20</v>
      </c>
      <c r="F67" s="5" t="s">
        <v>21</v>
      </c>
      <c r="G67" s="5" t="s">
        <v>22</v>
      </c>
      <c r="H67" s="5" t="s">
        <v>110</v>
      </c>
      <c r="I67" s="7" t="n">
        <v>6000000</v>
      </c>
      <c r="J67" s="8" t="s">
        <v>24</v>
      </c>
      <c r="K67" s="9" t="n">
        <v>12</v>
      </c>
      <c r="L67" s="30"/>
      <c r="M67" s="40" t="n">
        <f aca="false">S01!M67+L67</f>
        <v>0</v>
      </c>
      <c r="N67" s="32" t="n">
        <f aca="false">IFERROR(M67/K67,0)</f>
        <v>0</v>
      </c>
      <c r="O67" s="41" t="n">
        <f aca="false">S01!N67</f>
        <v>0</v>
      </c>
      <c r="P67" s="32" t="n">
        <f aca="false">N67-O67</f>
        <v>0</v>
      </c>
      <c r="Q67" s="33"/>
      <c r="R67" s="33"/>
      <c r="S67" s="33"/>
      <c r="T67" s="34"/>
      <c r="U67" s="41" t="n">
        <f aca="false">S01!T67</f>
        <v>0</v>
      </c>
      <c r="V67" s="32" t="n">
        <f aca="false">T67-U67</f>
        <v>0</v>
      </c>
      <c r="W67" s="32" t="n">
        <f aca="false">N67-T67</f>
        <v>0</v>
      </c>
      <c r="X67" s="35"/>
    </row>
    <row r="68" customFormat="false" ht="21.75" hidden="false" customHeight="true" outlineLevel="0" collapsed="false">
      <c r="B68" s="10" t="n">
        <v>64</v>
      </c>
      <c r="C68" s="15" t="s">
        <v>96</v>
      </c>
      <c r="D68" s="10" t="s">
        <v>111</v>
      </c>
      <c r="E68" s="10" t="s">
        <v>15</v>
      </c>
      <c r="F68" s="10" t="s">
        <v>16</v>
      </c>
      <c r="G68" s="10" t="s">
        <v>17</v>
      </c>
      <c r="H68" s="10" t="s">
        <v>112</v>
      </c>
      <c r="I68" s="11" t="n">
        <v>3000000</v>
      </c>
      <c r="J68" s="12" t="s">
        <v>19</v>
      </c>
      <c r="K68" s="13" t="n">
        <v>1500</v>
      </c>
      <c r="L68" s="30"/>
      <c r="M68" s="42" t="n">
        <f aca="false">S01!M68+L68</f>
        <v>0</v>
      </c>
      <c r="N68" s="37" t="n">
        <f aca="false">IFERROR(M68/K68,0)</f>
        <v>0</v>
      </c>
      <c r="O68" s="43" t="n">
        <f aca="false">S01!N68</f>
        <v>0</v>
      </c>
      <c r="P68" s="37" t="n">
        <f aca="false">N68-O68</f>
        <v>0</v>
      </c>
      <c r="Q68" s="33"/>
      <c r="R68" s="33"/>
      <c r="S68" s="33"/>
      <c r="T68" s="34"/>
      <c r="U68" s="43" t="n">
        <f aca="false">S01!T68</f>
        <v>0</v>
      </c>
      <c r="V68" s="37" t="n">
        <f aca="false">T68-U68</f>
        <v>0</v>
      </c>
      <c r="W68" s="37" t="n">
        <f aca="false">N68-T68</f>
        <v>0</v>
      </c>
      <c r="X68" s="35"/>
    </row>
    <row r="69" customFormat="false" ht="21.75" hidden="false" customHeight="true" outlineLevel="0" collapsed="false">
      <c r="B69" s="5" t="n">
        <v>65</v>
      </c>
      <c r="C69" s="15" t="s">
        <v>96</v>
      </c>
      <c r="D69" s="5" t="s">
        <v>113</v>
      </c>
      <c r="E69" s="5" t="s">
        <v>15</v>
      </c>
      <c r="F69" s="5" t="s">
        <v>16</v>
      </c>
      <c r="G69" s="5" t="s">
        <v>17</v>
      </c>
      <c r="H69" s="5" t="s">
        <v>114</v>
      </c>
      <c r="I69" s="7" t="n">
        <v>1000000</v>
      </c>
      <c r="J69" s="8" t="s">
        <v>19</v>
      </c>
      <c r="K69" s="9" t="n">
        <v>500</v>
      </c>
      <c r="L69" s="30"/>
      <c r="M69" s="40" t="n">
        <f aca="false">S01!M69+L69</f>
        <v>0</v>
      </c>
      <c r="N69" s="32" t="n">
        <f aca="false">IFERROR(M69/K69,0)</f>
        <v>0</v>
      </c>
      <c r="O69" s="41" t="n">
        <f aca="false">S01!N69</f>
        <v>0</v>
      </c>
      <c r="P69" s="32" t="n">
        <f aca="false">N69-O69</f>
        <v>0</v>
      </c>
      <c r="Q69" s="33"/>
      <c r="R69" s="33"/>
      <c r="S69" s="33"/>
      <c r="T69" s="34"/>
      <c r="U69" s="41" t="n">
        <f aca="false">S01!T69</f>
        <v>0</v>
      </c>
      <c r="V69" s="32" t="n">
        <f aca="false">T69-U69</f>
        <v>0</v>
      </c>
      <c r="W69" s="32" t="n">
        <f aca="false">N69-T69</f>
        <v>0</v>
      </c>
      <c r="X69" s="35"/>
    </row>
    <row r="70" customFormat="false" ht="21.75" hidden="false" customHeight="true" outlineLevel="0" collapsed="false">
      <c r="B70" s="10" t="n">
        <v>66</v>
      </c>
      <c r="C70" s="15" t="s">
        <v>96</v>
      </c>
      <c r="D70" s="10" t="s">
        <v>115</v>
      </c>
      <c r="E70" s="10" t="s">
        <v>15</v>
      </c>
      <c r="F70" s="10" t="s">
        <v>16</v>
      </c>
      <c r="G70" s="10" t="s">
        <v>17</v>
      </c>
      <c r="H70" s="10" t="s">
        <v>116</v>
      </c>
      <c r="I70" s="11" t="n">
        <v>1000000</v>
      </c>
      <c r="J70" s="12" t="s">
        <v>19</v>
      </c>
      <c r="K70" s="13" t="n">
        <v>500</v>
      </c>
      <c r="L70" s="30"/>
      <c r="M70" s="42" t="n">
        <f aca="false">S01!M70+L70</f>
        <v>0</v>
      </c>
      <c r="N70" s="37" t="n">
        <f aca="false">IFERROR(M70/K70,0)</f>
        <v>0</v>
      </c>
      <c r="O70" s="43" t="n">
        <f aca="false">S01!N70</f>
        <v>0</v>
      </c>
      <c r="P70" s="37" t="n">
        <f aca="false">N70-O70</f>
        <v>0</v>
      </c>
      <c r="Q70" s="33"/>
      <c r="R70" s="33"/>
      <c r="S70" s="33"/>
      <c r="T70" s="34"/>
      <c r="U70" s="43" t="n">
        <f aca="false">S01!T70</f>
        <v>0</v>
      </c>
      <c r="V70" s="37" t="n">
        <f aca="false">T70-U70</f>
        <v>0</v>
      </c>
      <c r="W70" s="37" t="n">
        <f aca="false">N70-T70</f>
        <v>0</v>
      </c>
      <c r="X70" s="35"/>
    </row>
    <row r="71" customFormat="false" ht="21.75" hidden="false" customHeight="true" outlineLevel="0" collapsed="false">
      <c r="B71" s="5" t="n">
        <v>67</v>
      </c>
      <c r="C71" s="15" t="s">
        <v>96</v>
      </c>
      <c r="D71" s="5" t="s">
        <v>117</v>
      </c>
      <c r="E71" s="5" t="s">
        <v>15</v>
      </c>
      <c r="F71" s="5" t="s">
        <v>16</v>
      </c>
      <c r="G71" s="5" t="s">
        <v>17</v>
      </c>
      <c r="H71" s="5" t="s">
        <v>118</v>
      </c>
      <c r="I71" s="7" t="n">
        <v>6600000</v>
      </c>
      <c r="J71" s="8" t="s">
        <v>19</v>
      </c>
      <c r="K71" s="9" t="n">
        <v>3300</v>
      </c>
      <c r="L71" s="30"/>
      <c r="M71" s="40" t="n">
        <f aca="false">S01!M71+L71</f>
        <v>0</v>
      </c>
      <c r="N71" s="32" t="n">
        <f aca="false">IFERROR(M71/K71,0)</f>
        <v>0</v>
      </c>
      <c r="O71" s="41" t="n">
        <f aca="false">S01!N71</f>
        <v>0</v>
      </c>
      <c r="P71" s="32" t="n">
        <f aca="false">N71-O71</f>
        <v>0</v>
      </c>
      <c r="Q71" s="33"/>
      <c r="R71" s="33"/>
      <c r="S71" s="33"/>
      <c r="T71" s="34"/>
      <c r="U71" s="41" t="n">
        <f aca="false">S01!T71</f>
        <v>0</v>
      </c>
      <c r="V71" s="32" t="n">
        <f aca="false">T71-U71</f>
        <v>0</v>
      </c>
      <c r="W71" s="32" t="n">
        <f aca="false">N71-T71</f>
        <v>0</v>
      </c>
      <c r="X71" s="35"/>
    </row>
    <row r="72" customFormat="false" ht="21.75" hidden="false" customHeight="true" outlineLevel="0" collapsed="false">
      <c r="B72" s="10" t="n">
        <v>68</v>
      </c>
      <c r="C72" s="16" t="s">
        <v>119</v>
      </c>
      <c r="D72" s="10" t="s">
        <v>120</v>
      </c>
      <c r="E72" s="10" t="s">
        <v>15</v>
      </c>
      <c r="F72" s="10" t="s">
        <v>16</v>
      </c>
      <c r="G72" s="10" t="s">
        <v>17</v>
      </c>
      <c r="H72" s="10" t="s">
        <v>121</v>
      </c>
      <c r="I72" s="11" t="n">
        <v>1805475</v>
      </c>
      <c r="J72" s="12" t="s">
        <v>19</v>
      </c>
      <c r="K72" s="13" t="n">
        <v>903</v>
      </c>
      <c r="L72" s="30"/>
      <c r="M72" s="42" t="n">
        <f aca="false">S01!M72+L72</f>
        <v>0</v>
      </c>
      <c r="N72" s="37" t="n">
        <f aca="false">IFERROR(M72/K72,0)</f>
        <v>0</v>
      </c>
      <c r="O72" s="43" t="n">
        <f aca="false">S01!N72</f>
        <v>0</v>
      </c>
      <c r="P72" s="37" t="n">
        <f aca="false">N72-O72</f>
        <v>0</v>
      </c>
      <c r="Q72" s="33"/>
      <c r="R72" s="33"/>
      <c r="S72" s="33"/>
      <c r="T72" s="34"/>
      <c r="U72" s="43" t="n">
        <f aca="false">S01!T72</f>
        <v>0</v>
      </c>
      <c r="V72" s="37" t="n">
        <f aca="false">T72-U72</f>
        <v>0</v>
      </c>
      <c r="W72" s="37" t="n">
        <f aca="false">N72-T72</f>
        <v>0</v>
      </c>
      <c r="X72" s="35"/>
    </row>
    <row r="73" customFormat="false" ht="21.75" hidden="false" customHeight="true" outlineLevel="0" collapsed="false">
      <c r="B73" s="5" t="n">
        <v>69</v>
      </c>
      <c r="C73" s="16" t="s">
        <v>119</v>
      </c>
      <c r="D73" s="5" t="s">
        <v>120</v>
      </c>
      <c r="E73" s="5" t="s">
        <v>15</v>
      </c>
      <c r="F73" s="5" t="s">
        <v>16</v>
      </c>
      <c r="G73" s="5" t="s">
        <v>17</v>
      </c>
      <c r="H73" s="5" t="s">
        <v>122</v>
      </c>
      <c r="I73" s="7" t="n">
        <v>2587200</v>
      </c>
      <c r="J73" s="8" t="s">
        <v>19</v>
      </c>
      <c r="K73" s="9" t="n">
        <v>1294</v>
      </c>
      <c r="L73" s="30"/>
      <c r="M73" s="40" t="n">
        <f aca="false">S01!M73+L73</f>
        <v>0</v>
      </c>
      <c r="N73" s="32" t="n">
        <f aca="false">IFERROR(M73/K73,0)</f>
        <v>0</v>
      </c>
      <c r="O73" s="41" t="n">
        <f aca="false">S01!N73</f>
        <v>0</v>
      </c>
      <c r="P73" s="32" t="n">
        <f aca="false">N73-O73</f>
        <v>0</v>
      </c>
      <c r="Q73" s="33"/>
      <c r="R73" s="33"/>
      <c r="S73" s="33"/>
      <c r="T73" s="34"/>
      <c r="U73" s="41" t="n">
        <f aca="false">S01!T73</f>
        <v>0</v>
      </c>
      <c r="V73" s="32" t="n">
        <f aca="false">T73-U73</f>
        <v>0</v>
      </c>
      <c r="W73" s="32" t="n">
        <f aca="false">N73-T73</f>
        <v>0</v>
      </c>
      <c r="X73" s="35"/>
    </row>
    <row r="74" customFormat="false" ht="21.75" hidden="false" customHeight="true" outlineLevel="0" collapsed="false">
      <c r="B74" s="10" t="n">
        <v>70</v>
      </c>
      <c r="C74" s="16" t="s">
        <v>119</v>
      </c>
      <c r="D74" s="10" t="s">
        <v>120</v>
      </c>
      <c r="E74" s="10" t="s">
        <v>20</v>
      </c>
      <c r="F74" s="10" t="s">
        <v>21</v>
      </c>
      <c r="G74" s="10" t="s">
        <v>22</v>
      </c>
      <c r="H74" s="10" t="s">
        <v>52</v>
      </c>
      <c r="I74" s="11" t="n">
        <v>3500000</v>
      </c>
      <c r="J74" s="12" t="s">
        <v>24</v>
      </c>
      <c r="K74" s="13" t="n">
        <v>7</v>
      </c>
      <c r="L74" s="30"/>
      <c r="M74" s="42" t="n">
        <f aca="false">S01!M74+L74</f>
        <v>0</v>
      </c>
      <c r="N74" s="37" t="n">
        <f aca="false">IFERROR(M74/K74,0)</f>
        <v>0</v>
      </c>
      <c r="O74" s="43" t="n">
        <f aca="false">S01!N74</f>
        <v>0</v>
      </c>
      <c r="P74" s="37" t="n">
        <f aca="false">N74-O74</f>
        <v>0</v>
      </c>
      <c r="Q74" s="33"/>
      <c r="R74" s="33"/>
      <c r="S74" s="33"/>
      <c r="T74" s="34"/>
      <c r="U74" s="43" t="n">
        <f aca="false">S01!T74</f>
        <v>0</v>
      </c>
      <c r="V74" s="37" t="n">
        <f aca="false">T74-U74</f>
        <v>0</v>
      </c>
      <c r="W74" s="37" t="n">
        <f aca="false">N74-T74</f>
        <v>0</v>
      </c>
      <c r="X74" s="35"/>
    </row>
    <row r="75" customFormat="false" ht="21.75" hidden="false" customHeight="true" outlineLevel="0" collapsed="false">
      <c r="B75" s="5" t="n">
        <v>71</v>
      </c>
      <c r="C75" s="16" t="s">
        <v>119</v>
      </c>
      <c r="D75" s="5" t="s">
        <v>120</v>
      </c>
      <c r="E75" s="5" t="s">
        <v>27</v>
      </c>
      <c r="F75" s="5" t="s">
        <v>28</v>
      </c>
      <c r="G75" s="5" t="s">
        <v>123</v>
      </c>
      <c r="H75" s="5" t="s">
        <v>124</v>
      </c>
      <c r="I75" s="7" t="n">
        <v>870000</v>
      </c>
      <c r="J75" s="8" t="s">
        <v>31</v>
      </c>
      <c r="K75" s="9" t="n">
        <v>4</v>
      </c>
      <c r="L75" s="30"/>
      <c r="M75" s="40" t="n">
        <f aca="false">S01!M75+L75</f>
        <v>0</v>
      </c>
      <c r="N75" s="32" t="n">
        <f aca="false">IFERROR(M75/K75,0)</f>
        <v>0</v>
      </c>
      <c r="O75" s="41" t="n">
        <f aca="false">S01!N75</f>
        <v>0</v>
      </c>
      <c r="P75" s="32" t="n">
        <f aca="false">N75-O75</f>
        <v>0</v>
      </c>
      <c r="Q75" s="33"/>
      <c r="R75" s="33"/>
      <c r="S75" s="33"/>
      <c r="T75" s="34"/>
      <c r="U75" s="41" t="n">
        <f aca="false">S01!T75</f>
        <v>0</v>
      </c>
      <c r="V75" s="32" t="n">
        <f aca="false">T75-U75</f>
        <v>0</v>
      </c>
      <c r="W75" s="32" t="n">
        <f aca="false">N75-T75</f>
        <v>0</v>
      </c>
      <c r="X75" s="35"/>
    </row>
    <row r="76" customFormat="false" ht="21.75" hidden="false" customHeight="true" outlineLevel="0" collapsed="false">
      <c r="B76" s="10" t="n">
        <v>72</v>
      </c>
      <c r="C76" s="16" t="s">
        <v>119</v>
      </c>
      <c r="D76" s="10" t="s">
        <v>120</v>
      </c>
      <c r="E76" s="10" t="s">
        <v>15</v>
      </c>
      <c r="F76" s="10" t="s">
        <v>16</v>
      </c>
      <c r="G76" s="10" t="s">
        <v>125</v>
      </c>
      <c r="H76" s="10" t="s">
        <v>126</v>
      </c>
      <c r="I76" s="11" t="n">
        <v>500000</v>
      </c>
      <c r="J76" s="12" t="s">
        <v>19</v>
      </c>
      <c r="K76" s="13" t="n">
        <v>167</v>
      </c>
      <c r="L76" s="30"/>
      <c r="M76" s="42" t="n">
        <f aca="false">S01!M76+L76</f>
        <v>0</v>
      </c>
      <c r="N76" s="37" t="n">
        <f aca="false">IFERROR(M76/K76,0)</f>
        <v>0</v>
      </c>
      <c r="O76" s="43" t="n">
        <f aca="false">S01!N76</f>
        <v>0</v>
      </c>
      <c r="P76" s="37" t="n">
        <f aca="false">N76-O76</f>
        <v>0</v>
      </c>
      <c r="Q76" s="33"/>
      <c r="R76" s="33"/>
      <c r="S76" s="33"/>
      <c r="T76" s="34"/>
      <c r="U76" s="43" t="n">
        <f aca="false">S01!T76</f>
        <v>0</v>
      </c>
      <c r="V76" s="37" t="n">
        <f aca="false">T76-U76</f>
        <v>0</v>
      </c>
      <c r="W76" s="37" t="n">
        <f aca="false">N76-T76</f>
        <v>0</v>
      </c>
      <c r="X76" s="35"/>
    </row>
    <row r="77" customFormat="false" ht="25.5" hidden="false" customHeight="true" outlineLevel="0" collapsed="false">
      <c r="B77" s="17" t="s">
        <v>127</v>
      </c>
      <c r="C77" s="17"/>
      <c r="D77" s="17"/>
      <c r="E77" s="17"/>
      <c r="F77" s="17"/>
      <c r="G77" s="17"/>
      <c r="H77" s="17"/>
      <c r="I77" s="18" t="n">
        <f aca="false">SUM(I5:I76)</f>
        <v>130262675</v>
      </c>
      <c r="J77" s="17"/>
      <c r="K77" s="17"/>
      <c r="L77" s="38" t="n">
        <f aca="false">SUM(L5:L76)</f>
        <v>0</v>
      </c>
      <c r="M77" s="38" t="n">
        <f aca="false">SUM(M5:M76)</f>
        <v>0</v>
      </c>
      <c r="N77" s="39" t="n">
        <f aca="false">IFERROR(SUMPRODUCT(N5:N76,I5:I76)/I77,0)</f>
        <v>0</v>
      </c>
      <c r="O77" s="39" t="n">
        <f aca="false">IFERROR(SUMPRODUCT(O5:O76,I5:I76)/I77,0)</f>
        <v>0</v>
      </c>
      <c r="P77" s="39" t="n">
        <f aca="false">N77-O77</f>
        <v>0</v>
      </c>
      <c r="Q77" s="18" t="n">
        <f aca="false">SUM(Q5:Q76)</f>
        <v>0</v>
      </c>
      <c r="R77" s="18" t="n">
        <f aca="false">SUM(R5:R76)</f>
        <v>0</v>
      </c>
      <c r="S77" s="18" t="n">
        <f aca="false">SUM(S5:S76)</f>
        <v>0</v>
      </c>
      <c r="T77" s="39" t="n">
        <f aca="false">IFERROR(SUMPRODUCT(T5:T76,I5:I76)/I77,0)</f>
        <v>0</v>
      </c>
      <c r="U77" s="39" t="n">
        <f aca="false">IFERROR(SUMPRODUCT(U5:U76,I5:I76)/I77,0)</f>
        <v>0</v>
      </c>
      <c r="V77" s="39" t="n">
        <f aca="false">T77-U77</f>
        <v>0</v>
      </c>
      <c r="W77" s="39" t="n">
        <f aca="false">N77-T77</f>
        <v>0</v>
      </c>
      <c r="X77" s="17"/>
    </row>
  </sheetData>
  <sheetProtection sheet="true" password="cbbe"/>
  <mergeCells count="6">
    <mergeCell ref="B2:X2"/>
    <mergeCell ref="C3:D3"/>
    <mergeCell ref="E3:I3"/>
    <mergeCell ref="J3:P3"/>
    <mergeCell ref="Q3:V3"/>
    <mergeCell ref="W3:X3"/>
  </mergeCells>
  <conditionalFormatting sqref="P5:P7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V5:V76">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W5:W76">
    <cfRule type="cellIs" priority="6" operator="greaterThan" aboveAverage="0" equalAverage="0" bottom="0" percent="0" rank="0" text="" dxfId="0">
      <formula>0.05</formula>
    </cfRule>
    <cfRule type="cellIs" priority="7" operator="lessThan" aboveAverage="0" equalAverage="0" bottom="0" percent="0" rank="0" text="" dxfId="1">
      <formula>-0.05</formula>
    </cfRule>
    <cfRule type="cellIs" priority="8" operator="between" aboveAverage="0" equalAverage="0" bottom="0" percent="0" rank="0" text="" dxfId="2">
      <formula>-0.05</formula>
      <formula>0.05</formula>
    </cfRule>
  </conditionalFormatting>
  <conditionalFormatting sqref="N5:N76">
    <cfRule type="dataBar" priority="9">
      <dataBar showValue="1" minLength="10" maxLength="90">
        <cfvo type="num" val="0"/>
        <cfvo type="num" val="1"/>
        <color rgb="FF1B7D46"/>
      </dataBar>
      <extLst>
        <ext xmlns:x14="http://schemas.microsoft.com/office/spreadsheetml/2009/9/main" uri="{B025F937-C7B1-47D3-B67F-A62EFF666E3E}">
          <x14:id>{881FD568-B920-4162-8A23-5659FB869736}</x14:id>
        </ext>
      </extLst>
    </cfRule>
  </conditionalFormatting>
  <conditionalFormatting sqref="T5:T76">
    <cfRule type="dataBar" priority="10">
      <dataBar showValue="1" minLength="10" maxLength="90">
        <cfvo type="num" val="0"/>
        <cfvo type="num" val="1"/>
        <color rgb="FFD4820A"/>
      </dataBar>
      <extLst>
        <ext xmlns:x14="http://schemas.microsoft.com/office/spreadsheetml/2009/9/main" uri="{B025F937-C7B1-47D3-B67F-A62EFF666E3E}">
          <x14:id>{295124B1-9AA0-468F-9C4B-79E0FC9272A7}</x14:id>
        </ext>
      </extLst>
    </cfRule>
  </conditionalFormatting>
  <dataValidations count="2">
    <dataValidation allowBlank="true" error="Valeur entre 0% et 100%" errorStyle="stop" errorTitle="Invalide" operator="between" prompt="Entrez 0.25 pour 25%" promptTitle="Avancement %" showDropDown="false" showErrorMessage="false" showInputMessage="false" sqref="T5:T76" type="decimal">
      <formula1>0</formula1>
      <formula2>1</formula2>
    </dataValidation>
    <dataValidation allowBlank="true" error="Quantité doit être &gt;= 0" errorStyle="stop" errorTitle="Invalide" operator="greaterThanOrEqual" prompt="Entrez la quantité réalisée cette semaine" promptTitle="Qté Réalisée" showDropDown="false" showErrorMessage="false" showInputMessage="false" sqref="L5:L7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81FD568-B920-4162-8A23-5659FB869736}">
            <x14:dataBar minLength="10" maxLength="90" axisPosition="none" gradient="true">
              <x14:cfvo type="num">
                <xm:f>0</xm:f>
              </x14:cfvo>
              <x14:cfvo type="num">
                <xm:f>1</xm:f>
              </x14:cfvo>
              <x14:negativeFillColor rgb="FF1B7D46"/>
              <x14:axisColor rgb="FF000000"/>
            </x14:dataBar>
          </x14:cfRule>
          <xm:sqref>N5:N76</xm:sqref>
        </x14:conditionalFormatting>
        <x14:conditionalFormatting xmlns:xm="http://schemas.microsoft.com/office/excel/2006/main">
          <x14:cfRule type="dataBar" id="{295124B1-9AA0-468F-9C4B-79E0FC9272A7}">
            <x14:dataBar minLength="10" maxLength="90" axisPosition="none" gradient="true">
              <x14:cfvo type="num">
                <xm:f>0</xm:f>
              </x14:cfvo>
              <x14:cfvo type="num">
                <xm:f>1</xm:f>
              </x14:cfvo>
              <x14:negativeFillColor rgb="FFD4820A"/>
              <x14:axisColor rgb="FF000000"/>
            </x14:dataBar>
          </x14:cfRule>
          <xm:sqref>T5:T76</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14"/>
    <col collapsed="false" customWidth="true" hidden="false" outlineLevel="0" max="4" min="4" style="0" width="18"/>
    <col collapsed="false" customWidth="true" hidden="false" outlineLevel="0" max="5" min="5" style="0" width="9"/>
    <col collapsed="false" customWidth="true" hidden="false" outlineLevel="0" max="6" min="6" style="0" width="32"/>
    <col collapsed="false" customWidth="true" hidden="false" outlineLevel="0" max="7" min="7" style="0" width="28"/>
    <col collapsed="false" customWidth="true" hidden="false" outlineLevel="0" max="8" min="8" style="0" width="34"/>
    <col collapsed="false" customWidth="true" hidden="false" outlineLevel="0" max="9" min="9" style="0" width="14"/>
    <col collapsed="false" customWidth="true" hidden="false" outlineLevel="0" max="10" min="10" style="0" width="8"/>
    <col collapsed="false" customWidth="true" hidden="false" outlineLevel="0" max="11" min="11" style="0" width="12"/>
    <col collapsed="false" customWidth="true" hidden="false" outlineLevel="0" max="16" min="12" style="0" width="14"/>
    <col collapsed="false" customWidth="true" hidden="false" outlineLevel="0" max="19" min="17" style="0" width="16"/>
    <col collapsed="false" customWidth="true" hidden="false" outlineLevel="0" max="23" min="20" style="0" width="14"/>
    <col collapsed="false" customWidth="true" hidden="false" outlineLevel="0" max="24" min="24" style="0" width="24"/>
  </cols>
  <sheetData>
    <row r="1" customFormat="false" ht="15" hidden="false" customHeight="true" outlineLevel="0" collapsed="false"/>
    <row r="2" customFormat="false" ht="31.5" hidden="false" customHeight="true" outlineLevel="0" collapsed="false">
      <c r="B2" s="1" t="s">
        <v>166</v>
      </c>
      <c r="C2" s="1"/>
      <c r="D2" s="1"/>
      <c r="E2" s="1"/>
      <c r="F2" s="1"/>
      <c r="G2" s="1"/>
      <c r="H2" s="1"/>
      <c r="I2" s="1"/>
      <c r="J2" s="1"/>
      <c r="K2" s="1"/>
      <c r="L2" s="1"/>
      <c r="M2" s="1"/>
      <c r="N2" s="1"/>
      <c r="O2" s="1"/>
      <c r="P2" s="1"/>
      <c r="Q2" s="1"/>
      <c r="R2" s="1"/>
      <c r="S2" s="1"/>
      <c r="T2" s="1"/>
      <c r="U2" s="1"/>
      <c r="V2" s="1"/>
      <c r="W2" s="1"/>
      <c r="X2" s="1"/>
    </row>
    <row r="3" customFormat="false" ht="21.75" hidden="false" customHeight="true" outlineLevel="0" collapsed="false">
      <c r="B3" s="21" t="s">
        <v>148</v>
      </c>
      <c r="C3" s="22"/>
      <c r="D3" s="22"/>
      <c r="E3" s="23" t="s">
        <v>149</v>
      </c>
      <c r="F3" s="23"/>
      <c r="G3" s="23"/>
      <c r="H3" s="23"/>
      <c r="I3" s="23"/>
      <c r="J3" s="24" t="s">
        <v>133</v>
      </c>
      <c r="K3" s="24"/>
      <c r="L3" s="24"/>
      <c r="M3" s="24"/>
      <c r="N3" s="24"/>
      <c r="O3" s="24"/>
      <c r="P3" s="24"/>
      <c r="Q3" s="25" t="s">
        <v>150</v>
      </c>
      <c r="R3" s="25"/>
      <c r="S3" s="25"/>
      <c r="T3" s="25"/>
      <c r="U3" s="25"/>
      <c r="V3" s="25"/>
      <c r="W3" s="26" t="s">
        <v>151</v>
      </c>
      <c r="X3" s="26"/>
    </row>
    <row r="4" customFormat="false" ht="27.75" hidden="false" customHeight="true" outlineLevel="0" collapsed="false">
      <c r="B4" s="4" t="s">
        <v>3</v>
      </c>
      <c r="C4" s="4" t="s">
        <v>4</v>
      </c>
      <c r="D4" s="4" t="s">
        <v>5</v>
      </c>
      <c r="E4" s="4" t="s">
        <v>6</v>
      </c>
      <c r="F4" s="4" t="s">
        <v>7</v>
      </c>
      <c r="G4" s="4" t="s">
        <v>8</v>
      </c>
      <c r="H4" s="4" t="s">
        <v>9</v>
      </c>
      <c r="I4" s="4" t="s">
        <v>10</v>
      </c>
      <c r="J4" s="27" t="s">
        <v>11</v>
      </c>
      <c r="K4" s="27" t="s">
        <v>12</v>
      </c>
      <c r="L4" s="27" t="s">
        <v>152</v>
      </c>
      <c r="M4" s="27" t="s">
        <v>153</v>
      </c>
      <c r="N4" s="27" t="s">
        <v>154</v>
      </c>
      <c r="O4" s="27" t="s">
        <v>155</v>
      </c>
      <c r="P4" s="27" t="s">
        <v>156</v>
      </c>
      <c r="Q4" s="28" t="s">
        <v>157</v>
      </c>
      <c r="R4" s="28" t="s">
        <v>158</v>
      </c>
      <c r="S4" s="28" t="s">
        <v>159</v>
      </c>
      <c r="T4" s="28" t="s">
        <v>160</v>
      </c>
      <c r="U4" s="28" t="s">
        <v>161</v>
      </c>
      <c r="V4" s="28" t="s">
        <v>162</v>
      </c>
      <c r="W4" s="29" t="s">
        <v>163</v>
      </c>
      <c r="X4" s="29" t="s">
        <v>164</v>
      </c>
    </row>
    <row r="5" customFormat="false" ht="21.75" hidden="false" customHeight="true" outlineLevel="0" collapsed="false">
      <c r="B5" s="5" t="n">
        <v>1</v>
      </c>
      <c r="C5" s="6" t="s">
        <v>13</v>
      </c>
      <c r="D5" s="5" t="s">
        <v>14</v>
      </c>
      <c r="E5" s="5" t="s">
        <v>15</v>
      </c>
      <c r="F5" s="5" t="s">
        <v>16</v>
      </c>
      <c r="G5" s="5" t="s">
        <v>17</v>
      </c>
      <c r="H5" s="5" t="s">
        <v>18</v>
      </c>
      <c r="I5" s="7" t="n">
        <v>2091568</v>
      </c>
      <c r="J5" s="8" t="s">
        <v>19</v>
      </c>
      <c r="K5" s="9" t="n">
        <v>1046</v>
      </c>
      <c r="L5" s="30"/>
      <c r="M5" s="40" t="n">
        <f aca="false">S02!M5+L5</f>
        <v>0</v>
      </c>
      <c r="N5" s="32" t="n">
        <f aca="false">IFERROR(M5/K5,0)</f>
        <v>0</v>
      </c>
      <c r="O5" s="41" t="n">
        <f aca="false">S02!N5</f>
        <v>0</v>
      </c>
      <c r="P5" s="32" t="n">
        <f aca="false">N5-O5</f>
        <v>0</v>
      </c>
      <c r="Q5" s="33"/>
      <c r="R5" s="33"/>
      <c r="S5" s="33"/>
      <c r="T5" s="34"/>
      <c r="U5" s="41" t="n">
        <f aca="false">S02!T5</f>
        <v>0</v>
      </c>
      <c r="V5" s="32" t="n">
        <f aca="false">T5-U5</f>
        <v>0</v>
      </c>
      <c r="W5" s="32" t="n">
        <f aca="false">N5-T5</f>
        <v>0</v>
      </c>
      <c r="X5" s="35"/>
    </row>
    <row r="6" customFormat="false" ht="21.75" hidden="false" customHeight="true" outlineLevel="0" collapsed="false">
      <c r="B6" s="10" t="n">
        <v>2</v>
      </c>
      <c r="C6" s="6" t="s">
        <v>13</v>
      </c>
      <c r="D6" s="10" t="s">
        <v>14</v>
      </c>
      <c r="E6" s="10" t="s">
        <v>20</v>
      </c>
      <c r="F6" s="10" t="s">
        <v>21</v>
      </c>
      <c r="G6" s="10" t="s">
        <v>22</v>
      </c>
      <c r="H6" s="10" t="s">
        <v>23</v>
      </c>
      <c r="I6" s="11" t="n">
        <v>78000</v>
      </c>
      <c r="J6" s="12" t="s">
        <v>24</v>
      </c>
      <c r="K6" s="13" t="n">
        <v>1</v>
      </c>
      <c r="L6" s="30"/>
      <c r="M6" s="42" t="n">
        <f aca="false">S02!M6+L6</f>
        <v>0</v>
      </c>
      <c r="N6" s="37" t="n">
        <f aca="false">IFERROR(M6/K6,0)</f>
        <v>0</v>
      </c>
      <c r="O6" s="43" t="n">
        <f aca="false">S02!N6</f>
        <v>0</v>
      </c>
      <c r="P6" s="37" t="n">
        <f aca="false">N6-O6</f>
        <v>0</v>
      </c>
      <c r="Q6" s="33"/>
      <c r="R6" s="33"/>
      <c r="S6" s="33"/>
      <c r="T6" s="34"/>
      <c r="U6" s="43" t="n">
        <f aca="false">S02!T6</f>
        <v>0</v>
      </c>
      <c r="V6" s="37" t="n">
        <f aca="false">T6-U6</f>
        <v>0</v>
      </c>
      <c r="W6" s="37" t="n">
        <f aca="false">N6-T6</f>
        <v>0</v>
      </c>
      <c r="X6" s="35"/>
    </row>
    <row r="7" customFormat="false" ht="21.75" hidden="false" customHeight="true" outlineLevel="0" collapsed="false">
      <c r="B7" s="5" t="n">
        <v>3</v>
      </c>
      <c r="C7" s="6" t="s">
        <v>13</v>
      </c>
      <c r="D7" s="5" t="s">
        <v>14</v>
      </c>
      <c r="E7" s="5" t="s">
        <v>15</v>
      </c>
      <c r="F7" s="5" t="s">
        <v>16</v>
      </c>
      <c r="G7" s="5" t="s">
        <v>25</v>
      </c>
      <c r="H7" s="5" t="s">
        <v>26</v>
      </c>
      <c r="I7" s="7" t="n">
        <v>126000</v>
      </c>
      <c r="J7" s="8" t="s">
        <v>19</v>
      </c>
      <c r="K7" s="9" t="n">
        <v>42</v>
      </c>
      <c r="L7" s="30"/>
      <c r="M7" s="40" t="n">
        <f aca="false">S02!M7+L7</f>
        <v>0</v>
      </c>
      <c r="N7" s="32" t="n">
        <f aca="false">IFERROR(M7/K7,0)</f>
        <v>0</v>
      </c>
      <c r="O7" s="41" t="n">
        <f aca="false">S02!N7</f>
        <v>0</v>
      </c>
      <c r="P7" s="32" t="n">
        <f aca="false">N7-O7</f>
        <v>0</v>
      </c>
      <c r="Q7" s="33"/>
      <c r="R7" s="33"/>
      <c r="S7" s="33"/>
      <c r="T7" s="34"/>
      <c r="U7" s="41" t="n">
        <f aca="false">S02!T7</f>
        <v>0</v>
      </c>
      <c r="V7" s="32" t="n">
        <f aca="false">T7-U7</f>
        <v>0</v>
      </c>
      <c r="W7" s="32" t="n">
        <f aca="false">N7-T7</f>
        <v>0</v>
      </c>
      <c r="X7" s="35"/>
    </row>
    <row r="8" customFormat="false" ht="21.75" hidden="false" customHeight="true" outlineLevel="0" collapsed="false">
      <c r="B8" s="10" t="n">
        <v>4</v>
      </c>
      <c r="C8" s="6" t="s">
        <v>13</v>
      </c>
      <c r="D8" s="10" t="s">
        <v>14</v>
      </c>
      <c r="E8" s="10" t="s">
        <v>27</v>
      </c>
      <c r="F8" s="10" t="s">
        <v>28</v>
      </c>
      <c r="G8" s="10" t="s">
        <v>29</v>
      </c>
      <c r="H8" s="10" t="s">
        <v>30</v>
      </c>
      <c r="I8" s="11" t="n">
        <v>165500</v>
      </c>
      <c r="J8" s="12" t="s">
        <v>31</v>
      </c>
      <c r="K8" s="13" t="n">
        <v>3</v>
      </c>
      <c r="L8" s="30"/>
      <c r="M8" s="42" t="n">
        <f aca="false">S02!M8+L8</f>
        <v>0</v>
      </c>
      <c r="N8" s="37" t="n">
        <f aca="false">IFERROR(M8/K8,0)</f>
        <v>0</v>
      </c>
      <c r="O8" s="43" t="n">
        <f aca="false">S02!N8</f>
        <v>0</v>
      </c>
      <c r="P8" s="37" t="n">
        <f aca="false">N8-O8</f>
        <v>0</v>
      </c>
      <c r="Q8" s="33"/>
      <c r="R8" s="33"/>
      <c r="S8" s="33"/>
      <c r="T8" s="34"/>
      <c r="U8" s="43" t="n">
        <f aca="false">S02!T8</f>
        <v>0</v>
      </c>
      <c r="V8" s="37" t="n">
        <f aca="false">T8-U8</f>
        <v>0</v>
      </c>
      <c r="W8" s="37" t="n">
        <f aca="false">N8-T8</f>
        <v>0</v>
      </c>
      <c r="X8" s="35"/>
    </row>
    <row r="9" customFormat="false" ht="21.75" hidden="false" customHeight="true" outlineLevel="0" collapsed="false">
      <c r="B9" s="5" t="n">
        <v>5</v>
      </c>
      <c r="C9" s="6" t="s">
        <v>13</v>
      </c>
      <c r="D9" s="5" t="s">
        <v>32</v>
      </c>
      <c r="E9" s="5" t="s">
        <v>15</v>
      </c>
      <c r="F9" s="5" t="s">
        <v>16</v>
      </c>
      <c r="G9" s="5" t="s">
        <v>17</v>
      </c>
      <c r="H9" s="5" t="s">
        <v>33</v>
      </c>
      <c r="I9" s="7" t="n">
        <v>1000000</v>
      </c>
      <c r="J9" s="8" t="s">
        <v>19</v>
      </c>
      <c r="K9" s="9" t="n">
        <v>500</v>
      </c>
      <c r="L9" s="30"/>
      <c r="M9" s="40" t="n">
        <f aca="false">S02!M9+L9</f>
        <v>0</v>
      </c>
      <c r="N9" s="32" t="n">
        <f aca="false">IFERROR(M9/K9,0)</f>
        <v>0</v>
      </c>
      <c r="O9" s="41" t="n">
        <f aca="false">S02!N9</f>
        <v>0</v>
      </c>
      <c r="P9" s="32" t="n">
        <f aca="false">N9-O9</f>
        <v>0</v>
      </c>
      <c r="Q9" s="33"/>
      <c r="R9" s="33"/>
      <c r="S9" s="33"/>
      <c r="T9" s="34"/>
      <c r="U9" s="41" t="n">
        <f aca="false">S02!T9</f>
        <v>0</v>
      </c>
      <c r="V9" s="32" t="n">
        <f aca="false">T9-U9</f>
        <v>0</v>
      </c>
      <c r="W9" s="32" t="n">
        <f aca="false">N9-T9</f>
        <v>0</v>
      </c>
      <c r="X9" s="35"/>
    </row>
    <row r="10" customFormat="false" ht="21.75" hidden="false" customHeight="true" outlineLevel="0" collapsed="false">
      <c r="B10" s="10" t="n">
        <v>6</v>
      </c>
      <c r="C10" s="6" t="s">
        <v>13</v>
      </c>
      <c r="D10" s="10" t="s">
        <v>32</v>
      </c>
      <c r="E10" s="10" t="s">
        <v>15</v>
      </c>
      <c r="F10" s="10" t="s">
        <v>16</v>
      </c>
      <c r="G10" s="10"/>
      <c r="H10" s="10" t="s">
        <v>34</v>
      </c>
      <c r="I10" s="11" t="n">
        <v>846731</v>
      </c>
      <c r="J10" s="12" t="s">
        <v>19</v>
      </c>
      <c r="K10" s="13" t="n">
        <v>423</v>
      </c>
      <c r="L10" s="30"/>
      <c r="M10" s="42" t="n">
        <f aca="false">S02!M10+L10</f>
        <v>0</v>
      </c>
      <c r="N10" s="37" t="n">
        <f aca="false">IFERROR(M10/K10,0)</f>
        <v>0</v>
      </c>
      <c r="O10" s="43" t="n">
        <f aca="false">S02!N10</f>
        <v>0</v>
      </c>
      <c r="P10" s="37" t="n">
        <f aca="false">N10-O10</f>
        <v>0</v>
      </c>
      <c r="Q10" s="33"/>
      <c r="R10" s="33"/>
      <c r="S10" s="33"/>
      <c r="T10" s="34"/>
      <c r="U10" s="43" t="n">
        <f aca="false">S02!T10</f>
        <v>0</v>
      </c>
      <c r="V10" s="37" t="n">
        <f aca="false">T10-U10</f>
        <v>0</v>
      </c>
      <c r="W10" s="37" t="n">
        <f aca="false">N10-T10</f>
        <v>0</v>
      </c>
      <c r="X10" s="35"/>
    </row>
    <row r="11" customFormat="false" ht="21.75" hidden="false" customHeight="true" outlineLevel="0" collapsed="false">
      <c r="B11" s="5" t="n">
        <v>7</v>
      </c>
      <c r="C11" s="6" t="s">
        <v>13</v>
      </c>
      <c r="D11" s="5" t="s">
        <v>32</v>
      </c>
      <c r="E11" s="5" t="s">
        <v>15</v>
      </c>
      <c r="F11" s="5" t="s">
        <v>16</v>
      </c>
      <c r="G11" s="5" t="s">
        <v>25</v>
      </c>
      <c r="H11" s="5" t="s">
        <v>35</v>
      </c>
      <c r="I11" s="7" t="n">
        <v>200000</v>
      </c>
      <c r="J11" s="8" t="s">
        <v>19</v>
      </c>
      <c r="K11" s="9" t="n">
        <v>67</v>
      </c>
      <c r="L11" s="30"/>
      <c r="M11" s="40" t="n">
        <f aca="false">S02!M11+L11</f>
        <v>0</v>
      </c>
      <c r="N11" s="32" t="n">
        <f aca="false">IFERROR(M11/K11,0)</f>
        <v>0</v>
      </c>
      <c r="O11" s="41" t="n">
        <f aca="false">S02!N11</f>
        <v>0</v>
      </c>
      <c r="P11" s="32" t="n">
        <f aca="false">N11-O11</f>
        <v>0</v>
      </c>
      <c r="Q11" s="33"/>
      <c r="R11" s="33"/>
      <c r="S11" s="33"/>
      <c r="T11" s="34"/>
      <c r="U11" s="41" t="n">
        <f aca="false">S02!T11</f>
        <v>0</v>
      </c>
      <c r="V11" s="32" t="n">
        <f aca="false">T11-U11</f>
        <v>0</v>
      </c>
      <c r="W11" s="32" t="n">
        <f aca="false">N11-T11</f>
        <v>0</v>
      </c>
      <c r="X11" s="35"/>
    </row>
    <row r="12" customFormat="false" ht="21.75" hidden="false" customHeight="true" outlineLevel="0" collapsed="false">
      <c r="B12" s="10" t="n">
        <v>8</v>
      </c>
      <c r="C12" s="6" t="s">
        <v>13</v>
      </c>
      <c r="D12" s="10" t="s">
        <v>32</v>
      </c>
      <c r="E12" s="10" t="s">
        <v>27</v>
      </c>
      <c r="F12" s="10" t="s">
        <v>28</v>
      </c>
      <c r="G12" s="10" t="s">
        <v>29</v>
      </c>
      <c r="H12" s="10" t="s">
        <v>36</v>
      </c>
      <c r="I12" s="11" t="n">
        <v>141900</v>
      </c>
      <c r="J12" s="12" t="s">
        <v>31</v>
      </c>
      <c r="K12" s="13" t="n">
        <v>3</v>
      </c>
      <c r="L12" s="30"/>
      <c r="M12" s="42" t="n">
        <f aca="false">S02!M12+L12</f>
        <v>0</v>
      </c>
      <c r="N12" s="37" t="n">
        <f aca="false">IFERROR(M12/K12,0)</f>
        <v>0</v>
      </c>
      <c r="O12" s="43" t="n">
        <f aca="false">S02!N12</f>
        <v>0</v>
      </c>
      <c r="P12" s="37" t="n">
        <f aca="false">N12-O12</f>
        <v>0</v>
      </c>
      <c r="Q12" s="33"/>
      <c r="R12" s="33"/>
      <c r="S12" s="33"/>
      <c r="T12" s="34"/>
      <c r="U12" s="43" t="n">
        <f aca="false">S02!T12</f>
        <v>0</v>
      </c>
      <c r="V12" s="37" t="n">
        <f aca="false">T12-U12</f>
        <v>0</v>
      </c>
      <c r="W12" s="37" t="n">
        <f aca="false">N12-T12</f>
        <v>0</v>
      </c>
      <c r="X12" s="35"/>
    </row>
    <row r="13" customFormat="false" ht="21.75" hidden="false" customHeight="true" outlineLevel="0" collapsed="false">
      <c r="B13" s="5" t="n">
        <v>9</v>
      </c>
      <c r="C13" s="6" t="s">
        <v>13</v>
      </c>
      <c r="D13" s="5" t="s">
        <v>32</v>
      </c>
      <c r="E13" s="5" t="s">
        <v>27</v>
      </c>
      <c r="F13" s="5" t="s">
        <v>28</v>
      </c>
      <c r="G13" s="5" t="s">
        <v>37</v>
      </c>
      <c r="H13" s="5" t="s">
        <v>38</v>
      </c>
      <c r="I13" s="7" t="n">
        <v>26700</v>
      </c>
      <c r="J13" s="8" t="s">
        <v>31</v>
      </c>
      <c r="K13" s="9" t="n">
        <v>1</v>
      </c>
      <c r="L13" s="30"/>
      <c r="M13" s="40" t="n">
        <f aca="false">S02!M13+L13</f>
        <v>0</v>
      </c>
      <c r="N13" s="32" t="n">
        <f aca="false">IFERROR(M13/K13,0)</f>
        <v>0</v>
      </c>
      <c r="O13" s="41" t="n">
        <f aca="false">S02!N13</f>
        <v>0</v>
      </c>
      <c r="P13" s="32" t="n">
        <f aca="false">N13-O13</f>
        <v>0</v>
      </c>
      <c r="Q13" s="33"/>
      <c r="R13" s="33"/>
      <c r="S13" s="33"/>
      <c r="T13" s="34"/>
      <c r="U13" s="41" t="n">
        <f aca="false">S02!T13</f>
        <v>0</v>
      </c>
      <c r="V13" s="32" t="n">
        <f aca="false">T13-U13</f>
        <v>0</v>
      </c>
      <c r="W13" s="32" t="n">
        <f aca="false">N13-T13</f>
        <v>0</v>
      </c>
      <c r="X13" s="35"/>
    </row>
    <row r="14" customFormat="false" ht="21.75" hidden="false" customHeight="true" outlineLevel="0" collapsed="false">
      <c r="B14" s="10" t="n">
        <v>10</v>
      </c>
      <c r="C14" s="6" t="s">
        <v>13</v>
      </c>
      <c r="D14" s="10" t="s">
        <v>32</v>
      </c>
      <c r="E14" s="10" t="s">
        <v>27</v>
      </c>
      <c r="F14" s="10" t="s">
        <v>28</v>
      </c>
      <c r="G14" s="10" t="s">
        <v>39</v>
      </c>
      <c r="H14" s="10" t="s">
        <v>40</v>
      </c>
      <c r="I14" s="11" t="n">
        <v>480000</v>
      </c>
      <c r="J14" s="12" t="s">
        <v>41</v>
      </c>
      <c r="K14" s="13" t="n">
        <v>320</v>
      </c>
      <c r="L14" s="30"/>
      <c r="M14" s="42" t="n">
        <f aca="false">S02!M14+L14</f>
        <v>0</v>
      </c>
      <c r="N14" s="37" t="n">
        <f aca="false">IFERROR(M14/K14,0)</f>
        <v>0</v>
      </c>
      <c r="O14" s="43" t="n">
        <f aca="false">S02!N14</f>
        <v>0</v>
      </c>
      <c r="P14" s="37" t="n">
        <f aca="false">N14-O14</f>
        <v>0</v>
      </c>
      <c r="Q14" s="33"/>
      <c r="R14" s="33"/>
      <c r="S14" s="33"/>
      <c r="T14" s="34"/>
      <c r="U14" s="43" t="n">
        <f aca="false">S02!T14</f>
        <v>0</v>
      </c>
      <c r="V14" s="37" t="n">
        <f aca="false">T14-U14</f>
        <v>0</v>
      </c>
      <c r="W14" s="37" t="n">
        <f aca="false">N14-T14</f>
        <v>0</v>
      </c>
      <c r="X14" s="35"/>
    </row>
    <row r="15" customFormat="false" ht="21.75" hidden="false" customHeight="true" outlineLevel="0" collapsed="false">
      <c r="B15" s="5" t="n">
        <v>11</v>
      </c>
      <c r="C15" s="6" t="s">
        <v>13</v>
      </c>
      <c r="D15" s="5" t="s">
        <v>32</v>
      </c>
      <c r="E15" s="5" t="s">
        <v>27</v>
      </c>
      <c r="F15" s="5" t="s">
        <v>28</v>
      </c>
      <c r="G15" s="5" t="s">
        <v>42</v>
      </c>
      <c r="H15" s="5" t="s">
        <v>43</v>
      </c>
      <c r="I15" s="7" t="n">
        <v>300000</v>
      </c>
      <c r="J15" s="8" t="s">
        <v>31</v>
      </c>
      <c r="K15" s="9" t="n">
        <v>1</v>
      </c>
      <c r="L15" s="30"/>
      <c r="M15" s="40" t="n">
        <f aca="false">S02!M15+L15</f>
        <v>0</v>
      </c>
      <c r="N15" s="32" t="n">
        <f aca="false">IFERROR(M15/K15,0)</f>
        <v>0</v>
      </c>
      <c r="O15" s="41" t="n">
        <f aca="false">S02!N15</f>
        <v>0</v>
      </c>
      <c r="P15" s="32" t="n">
        <f aca="false">N15-O15</f>
        <v>0</v>
      </c>
      <c r="Q15" s="33"/>
      <c r="R15" s="33"/>
      <c r="S15" s="33"/>
      <c r="T15" s="34"/>
      <c r="U15" s="41" t="n">
        <f aca="false">S02!T15</f>
        <v>0</v>
      </c>
      <c r="V15" s="32" t="n">
        <f aca="false">T15-U15</f>
        <v>0</v>
      </c>
      <c r="W15" s="32" t="n">
        <f aca="false">N15-T15</f>
        <v>0</v>
      </c>
      <c r="X15" s="35"/>
    </row>
    <row r="16" customFormat="false" ht="21.75" hidden="false" customHeight="true" outlineLevel="0" collapsed="false">
      <c r="B16" s="10" t="n">
        <v>12</v>
      </c>
      <c r="C16" s="6" t="s">
        <v>13</v>
      </c>
      <c r="D16" s="10" t="s">
        <v>44</v>
      </c>
      <c r="E16" s="10" t="s">
        <v>15</v>
      </c>
      <c r="F16" s="10" t="s">
        <v>16</v>
      </c>
      <c r="G16" s="10" t="s">
        <v>17</v>
      </c>
      <c r="H16" s="10" t="s">
        <v>45</v>
      </c>
      <c r="I16" s="11" t="n">
        <v>1000000</v>
      </c>
      <c r="J16" s="12" t="s">
        <v>19</v>
      </c>
      <c r="K16" s="13" t="n">
        <v>500</v>
      </c>
      <c r="L16" s="30"/>
      <c r="M16" s="42" t="n">
        <f aca="false">S02!M16+L16</f>
        <v>0</v>
      </c>
      <c r="N16" s="37" t="n">
        <f aca="false">IFERROR(M16/K16,0)</f>
        <v>0</v>
      </c>
      <c r="O16" s="43" t="n">
        <f aca="false">S02!N16</f>
        <v>0</v>
      </c>
      <c r="P16" s="37" t="n">
        <f aca="false">N16-O16</f>
        <v>0</v>
      </c>
      <c r="Q16" s="33"/>
      <c r="R16" s="33"/>
      <c r="S16" s="33"/>
      <c r="T16" s="34"/>
      <c r="U16" s="43" t="n">
        <f aca="false">S02!T16</f>
        <v>0</v>
      </c>
      <c r="V16" s="37" t="n">
        <f aca="false">T16-U16</f>
        <v>0</v>
      </c>
      <c r="W16" s="37" t="n">
        <f aca="false">N16-T16</f>
        <v>0</v>
      </c>
      <c r="X16" s="35"/>
    </row>
    <row r="17" customFormat="false" ht="21.75" hidden="false" customHeight="true" outlineLevel="0" collapsed="false">
      <c r="B17" s="5" t="n">
        <v>13</v>
      </c>
      <c r="C17" s="6" t="s">
        <v>13</v>
      </c>
      <c r="D17" s="5" t="s">
        <v>44</v>
      </c>
      <c r="E17" s="5" t="s">
        <v>15</v>
      </c>
      <c r="F17" s="5" t="s">
        <v>16</v>
      </c>
      <c r="G17" s="5" t="s">
        <v>46</v>
      </c>
      <c r="H17" s="5" t="s">
        <v>47</v>
      </c>
      <c r="I17" s="7" t="n">
        <v>739200</v>
      </c>
      <c r="J17" s="8" t="s">
        <v>19</v>
      </c>
      <c r="K17" s="9" t="n">
        <v>370</v>
      </c>
      <c r="L17" s="30"/>
      <c r="M17" s="40" t="n">
        <f aca="false">S02!M17+L17</f>
        <v>0</v>
      </c>
      <c r="N17" s="32" t="n">
        <f aca="false">IFERROR(M17/K17,0)</f>
        <v>0</v>
      </c>
      <c r="O17" s="41" t="n">
        <f aca="false">S02!N17</f>
        <v>0</v>
      </c>
      <c r="P17" s="32" t="n">
        <f aca="false">N17-O17</f>
        <v>0</v>
      </c>
      <c r="Q17" s="33"/>
      <c r="R17" s="33"/>
      <c r="S17" s="33"/>
      <c r="T17" s="34"/>
      <c r="U17" s="41" t="n">
        <f aca="false">S02!T17</f>
        <v>0</v>
      </c>
      <c r="V17" s="32" t="n">
        <f aca="false">T17-U17</f>
        <v>0</v>
      </c>
      <c r="W17" s="32" t="n">
        <f aca="false">N17-T17</f>
        <v>0</v>
      </c>
      <c r="X17" s="35"/>
    </row>
    <row r="18" customFormat="false" ht="21.75" hidden="false" customHeight="true" outlineLevel="0" collapsed="false">
      <c r="B18" s="10" t="n">
        <v>14</v>
      </c>
      <c r="C18" s="6" t="s">
        <v>13</v>
      </c>
      <c r="D18" s="10" t="s">
        <v>48</v>
      </c>
      <c r="E18" s="10" t="s">
        <v>15</v>
      </c>
      <c r="F18" s="10" t="s">
        <v>16</v>
      </c>
      <c r="G18" s="10" t="s">
        <v>46</v>
      </c>
      <c r="H18" s="10" t="s">
        <v>49</v>
      </c>
      <c r="I18" s="11" t="n">
        <v>1276800</v>
      </c>
      <c r="J18" s="12" t="s">
        <v>19</v>
      </c>
      <c r="K18" s="13" t="n">
        <v>638</v>
      </c>
      <c r="L18" s="30"/>
      <c r="M18" s="42" t="n">
        <f aca="false">S02!M18+L18</f>
        <v>0</v>
      </c>
      <c r="N18" s="37" t="n">
        <f aca="false">IFERROR(M18/K18,0)</f>
        <v>0</v>
      </c>
      <c r="O18" s="43" t="n">
        <f aca="false">S02!N18</f>
        <v>0</v>
      </c>
      <c r="P18" s="37" t="n">
        <f aca="false">N18-O18</f>
        <v>0</v>
      </c>
      <c r="Q18" s="33"/>
      <c r="R18" s="33"/>
      <c r="S18" s="33"/>
      <c r="T18" s="34"/>
      <c r="U18" s="43" t="n">
        <f aca="false">S02!T18</f>
        <v>0</v>
      </c>
      <c r="V18" s="37" t="n">
        <f aca="false">T18-U18</f>
        <v>0</v>
      </c>
      <c r="W18" s="37" t="n">
        <f aca="false">N18-T18</f>
        <v>0</v>
      </c>
      <c r="X18" s="35"/>
    </row>
    <row r="19" customFormat="false" ht="21.75" hidden="false" customHeight="true" outlineLevel="0" collapsed="false">
      <c r="B19" s="5" t="n">
        <v>15</v>
      </c>
      <c r="C19" s="6" t="s">
        <v>13</v>
      </c>
      <c r="D19" s="5" t="s">
        <v>50</v>
      </c>
      <c r="E19" s="5" t="s">
        <v>15</v>
      </c>
      <c r="F19" s="5" t="s">
        <v>16</v>
      </c>
      <c r="G19" s="5" t="s">
        <v>17</v>
      </c>
      <c r="H19" s="5" t="s">
        <v>51</v>
      </c>
      <c r="I19" s="7" t="n">
        <v>5796360</v>
      </c>
      <c r="J19" s="8" t="s">
        <v>19</v>
      </c>
      <c r="K19" s="9" t="n">
        <v>2898</v>
      </c>
      <c r="L19" s="30"/>
      <c r="M19" s="40" t="n">
        <f aca="false">S02!M19+L19</f>
        <v>0</v>
      </c>
      <c r="N19" s="32" t="n">
        <f aca="false">IFERROR(M19/K19,0)</f>
        <v>0</v>
      </c>
      <c r="O19" s="41" t="n">
        <f aca="false">S02!N19</f>
        <v>0</v>
      </c>
      <c r="P19" s="32" t="n">
        <f aca="false">N19-O19</f>
        <v>0</v>
      </c>
      <c r="Q19" s="33"/>
      <c r="R19" s="33"/>
      <c r="S19" s="33"/>
      <c r="T19" s="34"/>
      <c r="U19" s="41" t="n">
        <f aca="false">S02!T19</f>
        <v>0</v>
      </c>
      <c r="V19" s="32" t="n">
        <f aca="false">T19-U19</f>
        <v>0</v>
      </c>
      <c r="W19" s="32" t="n">
        <f aca="false">N19-T19</f>
        <v>0</v>
      </c>
      <c r="X19" s="35"/>
    </row>
    <row r="20" customFormat="false" ht="21.75" hidden="false" customHeight="true" outlineLevel="0" collapsed="false">
      <c r="B20" s="10" t="n">
        <v>16</v>
      </c>
      <c r="C20" s="6" t="s">
        <v>13</v>
      </c>
      <c r="D20" s="10" t="s">
        <v>50</v>
      </c>
      <c r="E20" s="10" t="s">
        <v>20</v>
      </c>
      <c r="F20" s="10" t="s">
        <v>21</v>
      </c>
      <c r="G20" s="10" t="s">
        <v>52</v>
      </c>
      <c r="H20" s="10" t="s">
        <v>52</v>
      </c>
      <c r="I20" s="11" t="n">
        <v>340000</v>
      </c>
      <c r="J20" s="12" t="s">
        <v>24</v>
      </c>
      <c r="K20" s="13" t="n">
        <v>1</v>
      </c>
      <c r="L20" s="30"/>
      <c r="M20" s="42" t="n">
        <f aca="false">S02!M20+L20</f>
        <v>0</v>
      </c>
      <c r="N20" s="37" t="n">
        <f aca="false">IFERROR(M20/K20,0)</f>
        <v>0</v>
      </c>
      <c r="O20" s="43" t="n">
        <f aca="false">S02!N20</f>
        <v>0</v>
      </c>
      <c r="P20" s="37" t="n">
        <f aca="false">N20-O20</f>
        <v>0</v>
      </c>
      <c r="Q20" s="33"/>
      <c r="R20" s="33"/>
      <c r="S20" s="33"/>
      <c r="T20" s="34"/>
      <c r="U20" s="43" t="n">
        <f aca="false">S02!T20</f>
        <v>0</v>
      </c>
      <c r="V20" s="37" t="n">
        <f aca="false">T20-U20</f>
        <v>0</v>
      </c>
      <c r="W20" s="37" t="n">
        <f aca="false">N20-T20</f>
        <v>0</v>
      </c>
      <c r="X20" s="35"/>
    </row>
    <row r="21" customFormat="false" ht="21.75" hidden="false" customHeight="true" outlineLevel="0" collapsed="false">
      <c r="B21" s="5" t="n">
        <v>17</v>
      </c>
      <c r="C21" s="6" t="s">
        <v>13</v>
      </c>
      <c r="D21" s="5" t="s">
        <v>53</v>
      </c>
      <c r="E21" s="5" t="s">
        <v>54</v>
      </c>
      <c r="F21" s="5" t="s">
        <v>55</v>
      </c>
      <c r="G21" s="5" t="s">
        <v>56</v>
      </c>
      <c r="H21" s="5" t="s">
        <v>57</v>
      </c>
      <c r="I21" s="7" t="n">
        <v>397934</v>
      </c>
      <c r="J21" s="8" t="s">
        <v>19</v>
      </c>
      <c r="K21" s="9" t="n">
        <v>133</v>
      </c>
      <c r="L21" s="30"/>
      <c r="M21" s="40" t="n">
        <f aca="false">S02!M21+L21</f>
        <v>0</v>
      </c>
      <c r="N21" s="32" t="n">
        <f aca="false">IFERROR(M21/K21,0)</f>
        <v>0</v>
      </c>
      <c r="O21" s="41" t="n">
        <f aca="false">S02!N21</f>
        <v>0</v>
      </c>
      <c r="P21" s="32" t="n">
        <f aca="false">N21-O21</f>
        <v>0</v>
      </c>
      <c r="Q21" s="33"/>
      <c r="R21" s="33"/>
      <c r="S21" s="33"/>
      <c r="T21" s="34"/>
      <c r="U21" s="41" t="n">
        <f aca="false">S02!T21</f>
        <v>0</v>
      </c>
      <c r="V21" s="32" t="n">
        <f aca="false">T21-U21</f>
        <v>0</v>
      </c>
      <c r="W21" s="32" t="n">
        <f aca="false">N21-T21</f>
        <v>0</v>
      </c>
      <c r="X21" s="35"/>
    </row>
    <row r="22" customFormat="false" ht="21.75" hidden="false" customHeight="true" outlineLevel="0" collapsed="false">
      <c r="B22" s="10" t="n">
        <v>18</v>
      </c>
      <c r="C22" s="6" t="s">
        <v>13</v>
      </c>
      <c r="D22" s="10" t="s">
        <v>53</v>
      </c>
      <c r="E22" s="10" t="s">
        <v>54</v>
      </c>
      <c r="F22" s="10" t="s">
        <v>55</v>
      </c>
      <c r="G22" s="10"/>
      <c r="H22" s="10" t="s">
        <v>58</v>
      </c>
      <c r="I22" s="11" t="n">
        <v>207575</v>
      </c>
      <c r="J22" s="12" t="s">
        <v>19</v>
      </c>
      <c r="K22" s="13" t="n">
        <v>69</v>
      </c>
      <c r="L22" s="30"/>
      <c r="M22" s="42" t="n">
        <f aca="false">S02!M22+L22</f>
        <v>0</v>
      </c>
      <c r="N22" s="37" t="n">
        <f aca="false">IFERROR(M22/K22,0)</f>
        <v>0</v>
      </c>
      <c r="O22" s="43" t="n">
        <f aca="false">S02!N22</f>
        <v>0</v>
      </c>
      <c r="P22" s="37" t="n">
        <f aca="false">N22-O22</f>
        <v>0</v>
      </c>
      <c r="Q22" s="33"/>
      <c r="R22" s="33"/>
      <c r="S22" s="33"/>
      <c r="T22" s="34"/>
      <c r="U22" s="43" t="n">
        <f aca="false">S02!T22</f>
        <v>0</v>
      </c>
      <c r="V22" s="37" t="n">
        <f aca="false">T22-U22</f>
        <v>0</v>
      </c>
      <c r="W22" s="37" t="n">
        <f aca="false">N22-T22</f>
        <v>0</v>
      </c>
      <c r="X22" s="35"/>
    </row>
    <row r="23" customFormat="false" ht="21.75" hidden="false" customHeight="true" outlineLevel="0" collapsed="false">
      <c r="B23" s="5" t="n">
        <v>19</v>
      </c>
      <c r="C23" s="6" t="s">
        <v>13</v>
      </c>
      <c r="D23" s="5" t="s">
        <v>53</v>
      </c>
      <c r="E23" s="5" t="s">
        <v>20</v>
      </c>
      <c r="F23" s="5" t="s">
        <v>21</v>
      </c>
      <c r="G23" s="5" t="s">
        <v>52</v>
      </c>
      <c r="H23" s="5" t="s">
        <v>52</v>
      </c>
      <c r="I23" s="7" t="n">
        <v>2200000</v>
      </c>
      <c r="J23" s="8" t="s">
        <v>24</v>
      </c>
      <c r="K23" s="9" t="n">
        <v>4</v>
      </c>
      <c r="L23" s="30"/>
      <c r="M23" s="40" t="n">
        <f aca="false">S02!M23+L23</f>
        <v>0</v>
      </c>
      <c r="N23" s="32" t="n">
        <f aca="false">IFERROR(M23/K23,0)</f>
        <v>0</v>
      </c>
      <c r="O23" s="41" t="n">
        <f aca="false">S02!N23</f>
        <v>0</v>
      </c>
      <c r="P23" s="32" t="n">
        <f aca="false">N23-O23</f>
        <v>0</v>
      </c>
      <c r="Q23" s="33"/>
      <c r="R23" s="33"/>
      <c r="S23" s="33"/>
      <c r="T23" s="34"/>
      <c r="U23" s="41" t="n">
        <f aca="false">S02!T23</f>
        <v>0</v>
      </c>
      <c r="V23" s="32" t="n">
        <f aca="false">T23-U23</f>
        <v>0</v>
      </c>
      <c r="W23" s="32" t="n">
        <f aca="false">N23-T23</f>
        <v>0</v>
      </c>
      <c r="X23" s="35"/>
    </row>
    <row r="24" customFormat="false" ht="21.75" hidden="false" customHeight="true" outlineLevel="0" collapsed="false">
      <c r="B24" s="10" t="n">
        <v>20</v>
      </c>
      <c r="C24" s="6" t="s">
        <v>13</v>
      </c>
      <c r="D24" s="10" t="s">
        <v>53</v>
      </c>
      <c r="E24" s="10" t="s">
        <v>15</v>
      </c>
      <c r="F24" s="10" t="s">
        <v>16</v>
      </c>
      <c r="G24" s="10" t="s">
        <v>25</v>
      </c>
      <c r="H24" s="44" t="s">
        <v>59</v>
      </c>
      <c r="I24" s="11" t="n">
        <v>300000</v>
      </c>
      <c r="J24" s="12" t="s">
        <v>19</v>
      </c>
      <c r="K24" s="13" t="n">
        <v>100</v>
      </c>
      <c r="L24" s="30"/>
      <c r="M24" s="42" t="n">
        <f aca="false">S02!M24+L24</f>
        <v>0</v>
      </c>
      <c r="N24" s="37" t="n">
        <f aca="false">IFERROR(M24/K24,0)</f>
        <v>0</v>
      </c>
      <c r="O24" s="43" t="n">
        <f aca="false">S02!N24</f>
        <v>0</v>
      </c>
      <c r="P24" s="37" t="n">
        <f aca="false">N24-O24</f>
        <v>0</v>
      </c>
      <c r="Q24" s="33"/>
      <c r="R24" s="33"/>
      <c r="S24" s="33"/>
      <c r="T24" s="34"/>
      <c r="U24" s="43" t="n">
        <f aca="false">S02!T24</f>
        <v>0</v>
      </c>
      <c r="V24" s="37" t="n">
        <f aca="false">T24-U24</f>
        <v>0</v>
      </c>
      <c r="W24" s="37" t="n">
        <f aca="false">N24-T24</f>
        <v>0</v>
      </c>
      <c r="X24" s="35"/>
    </row>
    <row r="25" customFormat="false" ht="21.75" hidden="false" customHeight="true" outlineLevel="0" collapsed="false">
      <c r="B25" s="5" t="n">
        <v>21</v>
      </c>
      <c r="C25" s="6" t="s">
        <v>13</v>
      </c>
      <c r="D25" s="5" t="s">
        <v>53</v>
      </c>
      <c r="E25" s="5" t="s">
        <v>27</v>
      </c>
      <c r="F25" s="5" t="s">
        <v>28</v>
      </c>
      <c r="G25" s="5" t="s">
        <v>29</v>
      </c>
      <c r="H25" s="5" t="s">
        <v>60</v>
      </c>
      <c r="I25" s="7" t="n">
        <v>250000</v>
      </c>
      <c r="J25" s="8" t="s">
        <v>31</v>
      </c>
      <c r="K25" s="9" t="n">
        <v>3</v>
      </c>
      <c r="L25" s="30"/>
      <c r="M25" s="40" t="n">
        <f aca="false">S02!M25+L25</f>
        <v>0</v>
      </c>
      <c r="N25" s="32" t="n">
        <f aca="false">IFERROR(M25/K25,0)</f>
        <v>0</v>
      </c>
      <c r="O25" s="41" t="n">
        <f aca="false">S02!N25</f>
        <v>0</v>
      </c>
      <c r="P25" s="32" t="n">
        <f aca="false">N25-O25</f>
        <v>0</v>
      </c>
      <c r="Q25" s="33"/>
      <c r="R25" s="33"/>
      <c r="S25" s="33"/>
      <c r="T25" s="34"/>
      <c r="U25" s="41" t="n">
        <f aca="false">S02!T25</f>
        <v>0</v>
      </c>
      <c r="V25" s="32" t="n">
        <f aca="false">T25-U25</f>
        <v>0</v>
      </c>
      <c r="W25" s="32" t="n">
        <f aca="false">N25-T25</f>
        <v>0</v>
      </c>
      <c r="X25" s="35"/>
    </row>
    <row r="26" customFormat="false" ht="21.75" hidden="false" customHeight="true" outlineLevel="0" collapsed="false">
      <c r="B26" s="10" t="n">
        <v>22</v>
      </c>
      <c r="C26" s="6" t="s">
        <v>13</v>
      </c>
      <c r="D26" s="10" t="s">
        <v>53</v>
      </c>
      <c r="E26" s="10" t="s">
        <v>27</v>
      </c>
      <c r="F26" s="10" t="s">
        <v>28</v>
      </c>
      <c r="G26" s="10" t="s">
        <v>61</v>
      </c>
      <c r="H26" s="10" t="s">
        <v>62</v>
      </c>
      <c r="I26" s="11" t="n">
        <v>25000</v>
      </c>
      <c r="J26" s="12" t="s">
        <v>31</v>
      </c>
      <c r="K26" s="13" t="n">
        <v>3</v>
      </c>
      <c r="L26" s="30"/>
      <c r="M26" s="42" t="n">
        <f aca="false">S02!M26+L26</f>
        <v>0</v>
      </c>
      <c r="N26" s="37" t="n">
        <f aca="false">IFERROR(M26/K26,0)</f>
        <v>0</v>
      </c>
      <c r="O26" s="43" t="n">
        <f aca="false">S02!N26</f>
        <v>0</v>
      </c>
      <c r="P26" s="37" t="n">
        <f aca="false">N26-O26</f>
        <v>0</v>
      </c>
      <c r="Q26" s="33"/>
      <c r="R26" s="33"/>
      <c r="S26" s="33"/>
      <c r="T26" s="34"/>
      <c r="U26" s="43" t="n">
        <f aca="false">S02!T26</f>
        <v>0</v>
      </c>
      <c r="V26" s="37" t="n">
        <f aca="false">T26-U26</f>
        <v>0</v>
      </c>
      <c r="W26" s="37" t="n">
        <f aca="false">N26-T26</f>
        <v>0</v>
      </c>
      <c r="X26" s="35"/>
    </row>
    <row r="27" customFormat="false" ht="21.75" hidden="false" customHeight="true" outlineLevel="0" collapsed="false">
      <c r="B27" s="5" t="n">
        <v>23</v>
      </c>
      <c r="C27" s="6" t="s">
        <v>13</v>
      </c>
      <c r="D27" s="5" t="s">
        <v>53</v>
      </c>
      <c r="E27" s="5" t="s">
        <v>27</v>
      </c>
      <c r="F27" s="5" t="s">
        <v>28</v>
      </c>
      <c r="G27" s="5" t="s">
        <v>37</v>
      </c>
      <c r="H27" s="14" t="s">
        <v>63</v>
      </c>
      <c r="I27" s="7" t="n">
        <v>38000</v>
      </c>
      <c r="J27" s="8" t="s">
        <v>31</v>
      </c>
      <c r="K27" s="9" t="n">
        <v>1</v>
      </c>
      <c r="L27" s="30"/>
      <c r="M27" s="40" t="n">
        <f aca="false">S02!M27+L27</f>
        <v>0</v>
      </c>
      <c r="N27" s="32" t="n">
        <f aca="false">IFERROR(M27/K27,0)</f>
        <v>0</v>
      </c>
      <c r="O27" s="41" t="n">
        <f aca="false">S02!N27</f>
        <v>0</v>
      </c>
      <c r="P27" s="32" t="n">
        <f aca="false">N27-O27</f>
        <v>0</v>
      </c>
      <c r="Q27" s="33"/>
      <c r="R27" s="33"/>
      <c r="S27" s="33"/>
      <c r="T27" s="34"/>
      <c r="U27" s="41" t="n">
        <f aca="false">S02!T27</f>
        <v>0</v>
      </c>
      <c r="V27" s="32" t="n">
        <f aca="false">T27-U27</f>
        <v>0</v>
      </c>
      <c r="W27" s="32" t="n">
        <f aca="false">N27-T27</f>
        <v>0</v>
      </c>
      <c r="X27" s="35"/>
    </row>
    <row r="28" customFormat="false" ht="21.75" hidden="false" customHeight="true" outlineLevel="0" collapsed="false">
      <c r="B28" s="10" t="n">
        <v>24</v>
      </c>
      <c r="C28" s="6" t="s">
        <v>13</v>
      </c>
      <c r="D28" s="10" t="s">
        <v>53</v>
      </c>
      <c r="E28" s="10" t="s">
        <v>27</v>
      </c>
      <c r="F28" s="10" t="s">
        <v>28</v>
      </c>
      <c r="G28" s="10" t="s">
        <v>39</v>
      </c>
      <c r="H28" s="10" t="s">
        <v>64</v>
      </c>
      <c r="I28" s="11" t="n">
        <v>10560000</v>
      </c>
      <c r="J28" s="12" t="s">
        <v>41</v>
      </c>
      <c r="K28" s="13" t="n">
        <v>7040</v>
      </c>
      <c r="L28" s="30"/>
      <c r="M28" s="42" t="n">
        <f aca="false">S02!M28+L28</f>
        <v>0</v>
      </c>
      <c r="N28" s="37" t="n">
        <f aca="false">IFERROR(M28/K28,0)</f>
        <v>0</v>
      </c>
      <c r="O28" s="43" t="n">
        <f aca="false">S02!N28</f>
        <v>0</v>
      </c>
      <c r="P28" s="37" t="n">
        <f aca="false">N28-O28</f>
        <v>0</v>
      </c>
      <c r="Q28" s="33"/>
      <c r="R28" s="33"/>
      <c r="S28" s="33"/>
      <c r="T28" s="34"/>
      <c r="U28" s="43" t="n">
        <f aca="false">S02!T28</f>
        <v>0</v>
      </c>
      <c r="V28" s="37" t="n">
        <f aca="false">T28-U28</f>
        <v>0</v>
      </c>
      <c r="W28" s="37" t="n">
        <f aca="false">N28-T28</f>
        <v>0</v>
      </c>
      <c r="X28" s="35"/>
    </row>
    <row r="29" customFormat="false" ht="21.75" hidden="false" customHeight="true" outlineLevel="0" collapsed="false">
      <c r="B29" s="5" t="n">
        <v>25</v>
      </c>
      <c r="C29" s="6" t="s">
        <v>13</v>
      </c>
      <c r="D29" s="5" t="s">
        <v>53</v>
      </c>
      <c r="E29" s="5" t="s">
        <v>27</v>
      </c>
      <c r="F29" s="5" t="s">
        <v>28</v>
      </c>
      <c r="G29" s="5" t="s">
        <v>65</v>
      </c>
      <c r="H29" s="5" t="s">
        <v>66</v>
      </c>
      <c r="I29" s="7" t="n">
        <v>144000</v>
      </c>
      <c r="J29" s="8" t="s">
        <v>19</v>
      </c>
      <c r="K29" s="9" t="n">
        <v>270</v>
      </c>
      <c r="L29" s="30"/>
      <c r="M29" s="40" t="n">
        <f aca="false">S02!M29+L29</f>
        <v>0</v>
      </c>
      <c r="N29" s="32" t="n">
        <f aca="false">IFERROR(M29/K29,0)</f>
        <v>0</v>
      </c>
      <c r="O29" s="41" t="n">
        <f aca="false">S02!N29</f>
        <v>0</v>
      </c>
      <c r="P29" s="32" t="n">
        <f aca="false">N29-O29</f>
        <v>0</v>
      </c>
      <c r="Q29" s="33"/>
      <c r="R29" s="33"/>
      <c r="S29" s="33"/>
      <c r="T29" s="34"/>
      <c r="U29" s="41" t="n">
        <f aca="false">S02!T29</f>
        <v>0</v>
      </c>
      <c r="V29" s="32" t="n">
        <f aca="false">T29-U29</f>
        <v>0</v>
      </c>
      <c r="W29" s="32" t="n">
        <f aca="false">N29-T29</f>
        <v>0</v>
      </c>
      <c r="X29" s="35"/>
    </row>
    <row r="30" customFormat="false" ht="21.75" hidden="false" customHeight="true" outlineLevel="0" collapsed="false">
      <c r="B30" s="10" t="n">
        <v>26</v>
      </c>
      <c r="C30" s="6" t="s">
        <v>13</v>
      </c>
      <c r="D30" s="10" t="s">
        <v>53</v>
      </c>
      <c r="E30" s="10" t="s">
        <v>27</v>
      </c>
      <c r="F30" s="10" t="s">
        <v>28</v>
      </c>
      <c r="G30" s="10" t="s">
        <v>42</v>
      </c>
      <c r="H30" s="10" t="s">
        <v>67</v>
      </c>
      <c r="I30" s="11" t="n">
        <v>800000</v>
      </c>
      <c r="J30" s="12" t="s">
        <v>31</v>
      </c>
      <c r="K30" s="13" t="n">
        <v>1</v>
      </c>
      <c r="L30" s="30"/>
      <c r="M30" s="42" t="n">
        <f aca="false">S02!M30+L30</f>
        <v>0</v>
      </c>
      <c r="N30" s="37" t="n">
        <f aca="false">IFERROR(M30/K30,0)</f>
        <v>0</v>
      </c>
      <c r="O30" s="43" t="n">
        <f aca="false">S02!N30</f>
        <v>0</v>
      </c>
      <c r="P30" s="37" t="n">
        <f aca="false">N30-O30</f>
        <v>0</v>
      </c>
      <c r="Q30" s="33"/>
      <c r="R30" s="33"/>
      <c r="S30" s="33"/>
      <c r="T30" s="34"/>
      <c r="U30" s="43" t="n">
        <f aca="false">S02!T30</f>
        <v>0</v>
      </c>
      <c r="V30" s="37" t="n">
        <f aca="false">T30-U30</f>
        <v>0</v>
      </c>
      <c r="W30" s="37" t="n">
        <f aca="false">N30-T30</f>
        <v>0</v>
      </c>
      <c r="X30" s="35"/>
    </row>
    <row r="31" customFormat="false" ht="21.75" hidden="false" customHeight="true" outlineLevel="0" collapsed="false">
      <c r="B31" s="5" t="n">
        <v>27</v>
      </c>
      <c r="C31" s="6" t="s">
        <v>13</v>
      </c>
      <c r="D31" s="5" t="s">
        <v>68</v>
      </c>
      <c r="E31" s="5" t="s">
        <v>15</v>
      </c>
      <c r="F31" s="5" t="s">
        <v>16</v>
      </c>
      <c r="G31" s="5" t="s">
        <v>17</v>
      </c>
      <c r="H31" s="5" t="s">
        <v>69</v>
      </c>
      <c r="I31" s="7" t="n">
        <v>1733306</v>
      </c>
      <c r="J31" s="8" t="s">
        <v>19</v>
      </c>
      <c r="K31" s="9" t="n">
        <v>867</v>
      </c>
      <c r="L31" s="30"/>
      <c r="M31" s="40" t="n">
        <f aca="false">S02!M31+L31</f>
        <v>0</v>
      </c>
      <c r="N31" s="32" t="n">
        <f aca="false">IFERROR(M31/K31,0)</f>
        <v>0</v>
      </c>
      <c r="O31" s="41" t="n">
        <f aca="false">S02!N31</f>
        <v>0</v>
      </c>
      <c r="P31" s="32" t="n">
        <f aca="false">N31-O31</f>
        <v>0</v>
      </c>
      <c r="Q31" s="33"/>
      <c r="R31" s="33"/>
      <c r="S31" s="33"/>
      <c r="T31" s="34"/>
      <c r="U31" s="41" t="n">
        <f aca="false">S02!T31</f>
        <v>0</v>
      </c>
      <c r="V31" s="32" t="n">
        <f aca="false">T31-U31</f>
        <v>0</v>
      </c>
      <c r="W31" s="32" t="n">
        <f aca="false">N31-T31</f>
        <v>0</v>
      </c>
      <c r="X31" s="35"/>
    </row>
    <row r="32" customFormat="false" ht="21.75" hidden="false" customHeight="true" outlineLevel="0" collapsed="false">
      <c r="B32" s="10" t="n">
        <v>28</v>
      </c>
      <c r="C32" s="6" t="s">
        <v>13</v>
      </c>
      <c r="D32" s="10" t="s">
        <v>68</v>
      </c>
      <c r="E32" s="10" t="s">
        <v>20</v>
      </c>
      <c r="F32" s="10" t="s">
        <v>21</v>
      </c>
      <c r="G32" s="10" t="s">
        <v>52</v>
      </c>
      <c r="H32" s="10" t="s">
        <v>52</v>
      </c>
      <c r="I32" s="11" t="n">
        <v>670000</v>
      </c>
      <c r="J32" s="12" t="s">
        <v>24</v>
      </c>
      <c r="K32" s="13" t="n">
        <v>1</v>
      </c>
      <c r="L32" s="30"/>
      <c r="M32" s="42" t="n">
        <f aca="false">S02!M32+L32</f>
        <v>0</v>
      </c>
      <c r="N32" s="37" t="n">
        <f aca="false">IFERROR(M32/K32,0)</f>
        <v>0</v>
      </c>
      <c r="O32" s="43" t="n">
        <f aca="false">S02!N32</f>
        <v>0</v>
      </c>
      <c r="P32" s="37" t="n">
        <f aca="false">N32-O32</f>
        <v>0</v>
      </c>
      <c r="Q32" s="33"/>
      <c r="R32" s="33"/>
      <c r="S32" s="33"/>
      <c r="T32" s="34"/>
      <c r="U32" s="43" t="n">
        <f aca="false">S02!T32</f>
        <v>0</v>
      </c>
      <c r="V32" s="37" t="n">
        <f aca="false">T32-U32</f>
        <v>0</v>
      </c>
      <c r="W32" s="37" t="n">
        <f aca="false">N32-T32</f>
        <v>0</v>
      </c>
      <c r="X32" s="35"/>
    </row>
    <row r="33" customFormat="false" ht="21.75" hidden="false" customHeight="true" outlineLevel="0" collapsed="false">
      <c r="B33" s="5" t="n">
        <v>29</v>
      </c>
      <c r="C33" s="6" t="s">
        <v>13</v>
      </c>
      <c r="D33" s="5" t="s">
        <v>68</v>
      </c>
      <c r="E33" s="5" t="s">
        <v>54</v>
      </c>
      <c r="F33" s="5" t="s">
        <v>55</v>
      </c>
      <c r="G33" s="5" t="s">
        <v>70</v>
      </c>
      <c r="H33" s="5" t="s">
        <v>71</v>
      </c>
      <c r="I33" s="7" t="n">
        <v>2500000</v>
      </c>
      <c r="J33" s="8" t="s">
        <v>31</v>
      </c>
      <c r="K33" s="9" t="n">
        <v>5</v>
      </c>
      <c r="L33" s="30"/>
      <c r="M33" s="40" t="n">
        <f aca="false">S02!M33+L33</f>
        <v>0</v>
      </c>
      <c r="N33" s="32" t="n">
        <f aca="false">IFERROR(M33/K33,0)</f>
        <v>0</v>
      </c>
      <c r="O33" s="41" t="n">
        <f aca="false">S02!N33</f>
        <v>0</v>
      </c>
      <c r="P33" s="32" t="n">
        <f aca="false">N33-O33</f>
        <v>0</v>
      </c>
      <c r="Q33" s="33"/>
      <c r="R33" s="33"/>
      <c r="S33" s="33"/>
      <c r="T33" s="34"/>
      <c r="U33" s="41" t="n">
        <f aca="false">S02!T33</f>
        <v>0</v>
      </c>
      <c r="V33" s="32" t="n">
        <f aca="false">T33-U33</f>
        <v>0</v>
      </c>
      <c r="W33" s="32" t="n">
        <f aca="false">N33-T33</f>
        <v>0</v>
      </c>
      <c r="X33" s="35"/>
    </row>
    <row r="34" customFormat="false" ht="21.75" hidden="false" customHeight="true" outlineLevel="0" collapsed="false">
      <c r="B34" s="10" t="n">
        <v>30</v>
      </c>
      <c r="C34" s="6" t="s">
        <v>13</v>
      </c>
      <c r="D34" s="10" t="s">
        <v>68</v>
      </c>
      <c r="E34" s="10" t="s">
        <v>15</v>
      </c>
      <c r="F34" s="10" t="s">
        <v>16</v>
      </c>
      <c r="G34" s="10" t="s">
        <v>25</v>
      </c>
      <c r="H34" s="10" t="s">
        <v>72</v>
      </c>
      <c r="I34" s="11" t="n">
        <v>800000</v>
      </c>
      <c r="J34" s="12" t="s">
        <v>19</v>
      </c>
      <c r="K34" s="13" t="n">
        <v>267</v>
      </c>
      <c r="L34" s="30"/>
      <c r="M34" s="42" t="n">
        <f aca="false">S02!M34+L34</f>
        <v>0</v>
      </c>
      <c r="N34" s="37" t="n">
        <f aca="false">IFERROR(M34/K34,0)</f>
        <v>0</v>
      </c>
      <c r="O34" s="43" t="n">
        <f aca="false">S02!N34</f>
        <v>0</v>
      </c>
      <c r="P34" s="37" t="n">
        <f aca="false">N34-O34</f>
        <v>0</v>
      </c>
      <c r="Q34" s="33"/>
      <c r="R34" s="33"/>
      <c r="S34" s="33"/>
      <c r="T34" s="34"/>
      <c r="U34" s="43" t="n">
        <f aca="false">S02!T34</f>
        <v>0</v>
      </c>
      <c r="V34" s="37" t="n">
        <f aca="false">T34-U34</f>
        <v>0</v>
      </c>
      <c r="W34" s="37" t="n">
        <f aca="false">N34-T34</f>
        <v>0</v>
      </c>
      <c r="X34" s="35"/>
    </row>
    <row r="35" customFormat="false" ht="21.75" hidden="false" customHeight="true" outlineLevel="0" collapsed="false">
      <c r="B35" s="5" t="n">
        <v>31</v>
      </c>
      <c r="C35" s="6" t="s">
        <v>13</v>
      </c>
      <c r="D35" s="5" t="s">
        <v>68</v>
      </c>
      <c r="E35" s="5" t="s">
        <v>27</v>
      </c>
      <c r="F35" s="5" t="s">
        <v>28</v>
      </c>
      <c r="G35" s="5" t="s">
        <v>29</v>
      </c>
      <c r="H35" s="5" t="s">
        <v>73</v>
      </c>
      <c r="I35" s="7" t="n">
        <v>195000</v>
      </c>
      <c r="J35" s="8" t="s">
        <v>31</v>
      </c>
      <c r="K35" s="9" t="n">
        <v>2</v>
      </c>
      <c r="L35" s="30"/>
      <c r="M35" s="40" t="n">
        <f aca="false">S02!M35+L35</f>
        <v>0</v>
      </c>
      <c r="N35" s="32" t="n">
        <f aca="false">IFERROR(M35/K35,0)</f>
        <v>0</v>
      </c>
      <c r="O35" s="41" t="n">
        <f aca="false">S02!N35</f>
        <v>0</v>
      </c>
      <c r="P35" s="32" t="n">
        <f aca="false">N35-O35</f>
        <v>0</v>
      </c>
      <c r="Q35" s="33"/>
      <c r="R35" s="33"/>
      <c r="S35" s="33"/>
      <c r="T35" s="34"/>
      <c r="U35" s="41" t="n">
        <f aca="false">S02!T35</f>
        <v>0</v>
      </c>
      <c r="V35" s="32" t="n">
        <f aca="false">T35-U35</f>
        <v>0</v>
      </c>
      <c r="W35" s="32" t="n">
        <f aca="false">N35-T35</f>
        <v>0</v>
      </c>
      <c r="X35" s="35"/>
    </row>
    <row r="36" customFormat="false" ht="21.75" hidden="false" customHeight="true" outlineLevel="0" collapsed="false">
      <c r="B36" s="10" t="n">
        <v>32</v>
      </c>
      <c r="C36" s="6" t="s">
        <v>13</v>
      </c>
      <c r="D36" s="10" t="s">
        <v>68</v>
      </c>
      <c r="E36" s="10" t="s">
        <v>27</v>
      </c>
      <c r="F36" s="10" t="s">
        <v>28</v>
      </c>
      <c r="G36" s="10" t="s">
        <v>61</v>
      </c>
      <c r="H36" s="10" t="s">
        <v>74</v>
      </c>
      <c r="I36" s="11" t="n">
        <v>50000</v>
      </c>
      <c r="J36" s="12" t="s">
        <v>31</v>
      </c>
      <c r="K36" s="13" t="n">
        <v>2</v>
      </c>
      <c r="L36" s="30"/>
      <c r="M36" s="42" t="n">
        <f aca="false">S02!M36+L36</f>
        <v>0</v>
      </c>
      <c r="N36" s="37" t="n">
        <f aca="false">IFERROR(M36/K36,0)</f>
        <v>0</v>
      </c>
      <c r="O36" s="43" t="n">
        <f aca="false">S02!N36</f>
        <v>0</v>
      </c>
      <c r="P36" s="37" t="n">
        <f aca="false">N36-O36</f>
        <v>0</v>
      </c>
      <c r="Q36" s="33"/>
      <c r="R36" s="33"/>
      <c r="S36" s="33"/>
      <c r="T36" s="34"/>
      <c r="U36" s="43" t="n">
        <f aca="false">S02!T36</f>
        <v>0</v>
      </c>
      <c r="V36" s="37" t="n">
        <f aca="false">T36-U36</f>
        <v>0</v>
      </c>
      <c r="W36" s="37" t="n">
        <f aca="false">N36-T36</f>
        <v>0</v>
      </c>
      <c r="X36" s="35"/>
    </row>
    <row r="37" customFormat="false" ht="21.75" hidden="false" customHeight="true" outlineLevel="0" collapsed="false">
      <c r="B37" s="5" t="n">
        <v>33</v>
      </c>
      <c r="C37" s="6" t="s">
        <v>13</v>
      </c>
      <c r="D37" s="5" t="s">
        <v>68</v>
      </c>
      <c r="E37" s="5" t="s">
        <v>27</v>
      </c>
      <c r="F37" s="5" t="s">
        <v>28</v>
      </c>
      <c r="G37" s="5" t="s">
        <v>37</v>
      </c>
      <c r="H37" s="14" t="s">
        <v>75</v>
      </c>
      <c r="I37" s="7" t="n">
        <v>245000</v>
      </c>
      <c r="J37" s="8" t="s">
        <v>31</v>
      </c>
      <c r="K37" s="9" t="n">
        <v>5</v>
      </c>
      <c r="L37" s="30"/>
      <c r="M37" s="40" t="n">
        <f aca="false">S02!M37+L37</f>
        <v>0</v>
      </c>
      <c r="N37" s="32" t="n">
        <f aca="false">IFERROR(M37/K37,0)</f>
        <v>0</v>
      </c>
      <c r="O37" s="41" t="n">
        <f aca="false">S02!N37</f>
        <v>0</v>
      </c>
      <c r="P37" s="32" t="n">
        <f aca="false">N37-O37</f>
        <v>0</v>
      </c>
      <c r="Q37" s="33"/>
      <c r="R37" s="33"/>
      <c r="S37" s="33"/>
      <c r="T37" s="34"/>
      <c r="U37" s="41" t="n">
        <f aca="false">S02!T37</f>
        <v>0</v>
      </c>
      <c r="V37" s="32" t="n">
        <f aca="false">T37-U37</f>
        <v>0</v>
      </c>
      <c r="W37" s="32" t="n">
        <f aca="false">N37-T37</f>
        <v>0</v>
      </c>
      <c r="X37" s="35"/>
    </row>
    <row r="38" customFormat="false" ht="21.75" hidden="false" customHeight="true" outlineLevel="0" collapsed="false">
      <c r="B38" s="10" t="n">
        <v>34</v>
      </c>
      <c r="C38" s="6" t="s">
        <v>13</v>
      </c>
      <c r="D38" s="10" t="s">
        <v>68</v>
      </c>
      <c r="E38" s="10" t="s">
        <v>27</v>
      </c>
      <c r="F38" s="10" t="s">
        <v>28</v>
      </c>
      <c r="G38" s="10" t="s">
        <v>42</v>
      </c>
      <c r="H38" s="10" t="s">
        <v>76</v>
      </c>
      <c r="I38" s="11" t="n">
        <v>1000000</v>
      </c>
      <c r="J38" s="12" t="s">
        <v>31</v>
      </c>
      <c r="K38" s="13" t="n">
        <v>1</v>
      </c>
      <c r="L38" s="30"/>
      <c r="M38" s="42" t="n">
        <f aca="false">S02!M38+L38</f>
        <v>0</v>
      </c>
      <c r="N38" s="37" t="n">
        <f aca="false">IFERROR(M38/K38,0)</f>
        <v>0</v>
      </c>
      <c r="O38" s="43" t="n">
        <f aca="false">S02!N38</f>
        <v>0</v>
      </c>
      <c r="P38" s="37" t="n">
        <f aca="false">N38-O38</f>
        <v>0</v>
      </c>
      <c r="Q38" s="33"/>
      <c r="R38" s="33"/>
      <c r="S38" s="33"/>
      <c r="T38" s="34"/>
      <c r="U38" s="43" t="n">
        <f aca="false">S02!T38</f>
        <v>0</v>
      </c>
      <c r="V38" s="37" t="n">
        <f aca="false">T38-U38</f>
        <v>0</v>
      </c>
      <c r="W38" s="37" t="n">
        <f aca="false">N38-T38</f>
        <v>0</v>
      </c>
      <c r="X38" s="35"/>
    </row>
    <row r="39" customFormat="false" ht="21.75" hidden="false" customHeight="true" outlineLevel="0" collapsed="false">
      <c r="B39" s="5" t="n">
        <v>35</v>
      </c>
      <c r="C39" s="6" t="s">
        <v>13</v>
      </c>
      <c r="D39" s="5" t="s">
        <v>77</v>
      </c>
      <c r="E39" s="5" t="s">
        <v>15</v>
      </c>
      <c r="F39" s="5" t="s">
        <v>16</v>
      </c>
      <c r="G39" s="5" t="s">
        <v>17</v>
      </c>
      <c r="H39" s="5" t="s">
        <v>78</v>
      </c>
      <c r="I39" s="7" t="n">
        <v>5024032</v>
      </c>
      <c r="J39" s="8" t="s">
        <v>19</v>
      </c>
      <c r="K39" s="9" t="n">
        <v>2512</v>
      </c>
      <c r="L39" s="30"/>
      <c r="M39" s="40" t="n">
        <f aca="false">S02!M39+L39</f>
        <v>0</v>
      </c>
      <c r="N39" s="32" t="n">
        <f aca="false">IFERROR(M39/K39,0)</f>
        <v>0</v>
      </c>
      <c r="O39" s="41" t="n">
        <f aca="false">S02!N39</f>
        <v>0</v>
      </c>
      <c r="P39" s="32" t="n">
        <f aca="false">N39-O39</f>
        <v>0</v>
      </c>
      <c r="Q39" s="33"/>
      <c r="R39" s="33"/>
      <c r="S39" s="33"/>
      <c r="T39" s="34"/>
      <c r="U39" s="41" t="n">
        <f aca="false">S02!T39</f>
        <v>0</v>
      </c>
      <c r="V39" s="32" t="n">
        <f aca="false">T39-U39</f>
        <v>0</v>
      </c>
      <c r="W39" s="32" t="n">
        <f aca="false">N39-T39</f>
        <v>0</v>
      </c>
      <c r="X39" s="35"/>
    </row>
    <row r="40" customFormat="false" ht="21.75" hidden="false" customHeight="true" outlineLevel="0" collapsed="false">
      <c r="B40" s="10" t="n">
        <v>36</v>
      </c>
      <c r="C40" s="6" t="s">
        <v>13</v>
      </c>
      <c r="D40" s="10" t="s">
        <v>77</v>
      </c>
      <c r="E40" s="10" t="s">
        <v>20</v>
      </c>
      <c r="F40" s="10" t="s">
        <v>21</v>
      </c>
      <c r="G40" s="10" t="s">
        <v>52</v>
      </c>
      <c r="H40" s="10" t="s">
        <v>52</v>
      </c>
      <c r="I40" s="11" t="n">
        <v>400000</v>
      </c>
      <c r="J40" s="12" t="s">
        <v>24</v>
      </c>
      <c r="K40" s="13" t="n">
        <v>1</v>
      </c>
      <c r="L40" s="30"/>
      <c r="M40" s="42" t="n">
        <f aca="false">S02!M40+L40</f>
        <v>0</v>
      </c>
      <c r="N40" s="37" t="n">
        <f aca="false">IFERROR(M40/K40,0)</f>
        <v>0</v>
      </c>
      <c r="O40" s="43" t="n">
        <f aca="false">S02!N40</f>
        <v>0</v>
      </c>
      <c r="P40" s="37" t="n">
        <f aca="false">N40-O40</f>
        <v>0</v>
      </c>
      <c r="Q40" s="33"/>
      <c r="R40" s="33"/>
      <c r="S40" s="33"/>
      <c r="T40" s="34"/>
      <c r="U40" s="43" t="n">
        <f aca="false">S02!T40</f>
        <v>0</v>
      </c>
      <c r="V40" s="37" t="n">
        <f aca="false">T40-U40</f>
        <v>0</v>
      </c>
      <c r="W40" s="37" t="n">
        <f aca="false">N40-T40</f>
        <v>0</v>
      </c>
      <c r="X40" s="35"/>
    </row>
    <row r="41" customFormat="false" ht="21.75" hidden="false" customHeight="true" outlineLevel="0" collapsed="false">
      <c r="B41" s="5" t="n">
        <v>37</v>
      </c>
      <c r="C41" s="6" t="s">
        <v>13</v>
      </c>
      <c r="D41" s="5" t="s">
        <v>79</v>
      </c>
      <c r="E41" s="5" t="s">
        <v>15</v>
      </c>
      <c r="F41" s="5" t="s">
        <v>16</v>
      </c>
      <c r="G41" s="5" t="s">
        <v>17</v>
      </c>
      <c r="H41" s="5" t="s">
        <v>80</v>
      </c>
      <c r="I41" s="7" t="n">
        <v>6000000</v>
      </c>
      <c r="J41" s="8" t="s">
        <v>19</v>
      </c>
      <c r="K41" s="9" t="n">
        <v>3000</v>
      </c>
      <c r="L41" s="30"/>
      <c r="M41" s="40" t="n">
        <f aca="false">S02!M41+L41</f>
        <v>0</v>
      </c>
      <c r="N41" s="32" t="n">
        <f aca="false">IFERROR(M41/K41,0)</f>
        <v>0</v>
      </c>
      <c r="O41" s="41" t="n">
        <f aca="false">S02!N41</f>
        <v>0</v>
      </c>
      <c r="P41" s="32" t="n">
        <f aca="false">N41-O41</f>
        <v>0</v>
      </c>
      <c r="Q41" s="33"/>
      <c r="R41" s="33"/>
      <c r="S41" s="33"/>
      <c r="T41" s="34"/>
      <c r="U41" s="41" t="n">
        <f aca="false">S02!T41</f>
        <v>0</v>
      </c>
      <c r="V41" s="32" t="n">
        <f aca="false">T41-U41</f>
        <v>0</v>
      </c>
      <c r="W41" s="32" t="n">
        <f aca="false">N41-T41</f>
        <v>0</v>
      </c>
      <c r="X41" s="35"/>
    </row>
    <row r="42" customFormat="false" ht="21.75" hidden="false" customHeight="true" outlineLevel="0" collapsed="false">
      <c r="B42" s="10" t="n">
        <v>38</v>
      </c>
      <c r="C42" s="6" t="s">
        <v>13</v>
      </c>
      <c r="D42" s="10" t="s">
        <v>79</v>
      </c>
      <c r="E42" s="10" t="s">
        <v>54</v>
      </c>
      <c r="F42" s="10" t="s">
        <v>55</v>
      </c>
      <c r="G42" s="10" t="s">
        <v>56</v>
      </c>
      <c r="H42" s="10" t="s">
        <v>81</v>
      </c>
      <c r="I42" s="11" t="n">
        <v>232266</v>
      </c>
      <c r="J42" s="12" t="s">
        <v>19</v>
      </c>
      <c r="K42" s="13" t="n">
        <v>77</v>
      </c>
      <c r="L42" s="30"/>
      <c r="M42" s="42" t="n">
        <f aca="false">S02!M42+L42</f>
        <v>0</v>
      </c>
      <c r="N42" s="37" t="n">
        <f aca="false">IFERROR(M42/K42,0)</f>
        <v>0</v>
      </c>
      <c r="O42" s="43" t="n">
        <f aca="false">S02!N42</f>
        <v>0</v>
      </c>
      <c r="P42" s="37" t="n">
        <f aca="false">N42-O42</f>
        <v>0</v>
      </c>
      <c r="Q42" s="33"/>
      <c r="R42" s="33"/>
      <c r="S42" s="33"/>
      <c r="T42" s="34"/>
      <c r="U42" s="43" t="n">
        <f aca="false">S02!T42</f>
        <v>0</v>
      </c>
      <c r="V42" s="37" t="n">
        <f aca="false">T42-U42</f>
        <v>0</v>
      </c>
      <c r="W42" s="37" t="n">
        <f aca="false">N42-T42</f>
        <v>0</v>
      </c>
      <c r="X42" s="35"/>
    </row>
    <row r="43" customFormat="false" ht="21.75" hidden="false" customHeight="true" outlineLevel="0" collapsed="false">
      <c r="B43" s="5" t="n">
        <v>39</v>
      </c>
      <c r="C43" s="6" t="s">
        <v>13</v>
      </c>
      <c r="D43" s="5" t="s">
        <v>79</v>
      </c>
      <c r="E43" s="5" t="s">
        <v>54</v>
      </c>
      <c r="F43" s="5" t="s">
        <v>55</v>
      </c>
      <c r="G43" s="5"/>
      <c r="H43" s="5" t="s">
        <v>82</v>
      </c>
      <c r="I43" s="7" t="n">
        <v>1055025</v>
      </c>
      <c r="J43" s="8" t="s">
        <v>19</v>
      </c>
      <c r="K43" s="9" t="n">
        <v>352</v>
      </c>
      <c r="L43" s="30"/>
      <c r="M43" s="40" t="n">
        <f aca="false">S02!M43+L43</f>
        <v>0</v>
      </c>
      <c r="N43" s="32" t="n">
        <f aca="false">IFERROR(M43/K43,0)</f>
        <v>0</v>
      </c>
      <c r="O43" s="41" t="n">
        <f aca="false">S02!N43</f>
        <v>0</v>
      </c>
      <c r="P43" s="32" t="n">
        <f aca="false">N43-O43</f>
        <v>0</v>
      </c>
      <c r="Q43" s="33"/>
      <c r="R43" s="33"/>
      <c r="S43" s="33"/>
      <c r="T43" s="34"/>
      <c r="U43" s="41" t="n">
        <f aca="false">S02!T43</f>
        <v>0</v>
      </c>
      <c r="V43" s="32" t="n">
        <f aca="false">T43-U43</f>
        <v>0</v>
      </c>
      <c r="W43" s="32" t="n">
        <f aca="false">N43-T43</f>
        <v>0</v>
      </c>
      <c r="X43" s="35"/>
    </row>
    <row r="44" customFormat="false" ht="21.75" hidden="false" customHeight="true" outlineLevel="0" collapsed="false">
      <c r="B44" s="10" t="n">
        <v>40</v>
      </c>
      <c r="C44" s="6" t="s">
        <v>13</v>
      </c>
      <c r="D44" s="10" t="s">
        <v>79</v>
      </c>
      <c r="E44" s="10" t="s">
        <v>54</v>
      </c>
      <c r="F44" s="10" t="s">
        <v>55</v>
      </c>
      <c r="G44" s="10"/>
      <c r="H44" s="10" t="s">
        <v>83</v>
      </c>
      <c r="I44" s="11" t="n">
        <v>1004535</v>
      </c>
      <c r="J44" s="12" t="s">
        <v>19</v>
      </c>
      <c r="K44" s="13" t="n">
        <v>335</v>
      </c>
      <c r="L44" s="30"/>
      <c r="M44" s="42" t="n">
        <f aca="false">S02!M44+L44</f>
        <v>0</v>
      </c>
      <c r="N44" s="37" t="n">
        <f aca="false">IFERROR(M44/K44,0)</f>
        <v>0</v>
      </c>
      <c r="O44" s="43" t="n">
        <f aca="false">S02!N44</f>
        <v>0</v>
      </c>
      <c r="P44" s="37" t="n">
        <f aca="false">N44-O44</f>
        <v>0</v>
      </c>
      <c r="Q44" s="33"/>
      <c r="R44" s="33"/>
      <c r="S44" s="33"/>
      <c r="T44" s="34"/>
      <c r="U44" s="43" t="n">
        <f aca="false">S02!T44</f>
        <v>0</v>
      </c>
      <c r="V44" s="37" t="n">
        <f aca="false">T44-U44</f>
        <v>0</v>
      </c>
      <c r="W44" s="37" t="n">
        <f aca="false">N44-T44</f>
        <v>0</v>
      </c>
      <c r="X44" s="35"/>
    </row>
    <row r="45" customFormat="false" ht="21.75" hidden="false" customHeight="true" outlineLevel="0" collapsed="false">
      <c r="B45" s="5" t="n">
        <v>41</v>
      </c>
      <c r="C45" s="6" t="s">
        <v>13</v>
      </c>
      <c r="D45" s="5" t="s">
        <v>79</v>
      </c>
      <c r="E45" s="5" t="s">
        <v>54</v>
      </c>
      <c r="F45" s="5" t="s">
        <v>55</v>
      </c>
      <c r="G45" s="5"/>
      <c r="H45" s="5" t="s">
        <v>84</v>
      </c>
      <c r="I45" s="7" t="n">
        <v>793830</v>
      </c>
      <c r="J45" s="8" t="s">
        <v>19</v>
      </c>
      <c r="K45" s="9" t="n">
        <v>265</v>
      </c>
      <c r="L45" s="30"/>
      <c r="M45" s="40" t="n">
        <f aca="false">S02!M45+L45</f>
        <v>0</v>
      </c>
      <c r="N45" s="32" t="n">
        <f aca="false">IFERROR(M45/K45,0)</f>
        <v>0</v>
      </c>
      <c r="O45" s="41" t="n">
        <f aca="false">S02!N45</f>
        <v>0</v>
      </c>
      <c r="P45" s="32" t="n">
        <f aca="false">N45-O45</f>
        <v>0</v>
      </c>
      <c r="Q45" s="33"/>
      <c r="R45" s="33"/>
      <c r="S45" s="33"/>
      <c r="T45" s="34"/>
      <c r="U45" s="41" t="n">
        <f aca="false">S02!T45</f>
        <v>0</v>
      </c>
      <c r="V45" s="32" t="n">
        <f aca="false">T45-U45</f>
        <v>0</v>
      </c>
      <c r="W45" s="32" t="n">
        <f aca="false">N45-T45</f>
        <v>0</v>
      </c>
      <c r="X45" s="35"/>
    </row>
    <row r="46" customFormat="false" ht="21.75" hidden="false" customHeight="true" outlineLevel="0" collapsed="false">
      <c r="B46" s="10" t="n">
        <v>42</v>
      </c>
      <c r="C46" s="6" t="s">
        <v>13</v>
      </c>
      <c r="D46" s="10" t="s">
        <v>79</v>
      </c>
      <c r="E46" s="10" t="s">
        <v>20</v>
      </c>
      <c r="F46" s="10" t="s">
        <v>21</v>
      </c>
      <c r="G46" s="10" t="s">
        <v>52</v>
      </c>
      <c r="H46" s="10" t="s">
        <v>52</v>
      </c>
      <c r="I46" s="11" t="n">
        <v>2000000</v>
      </c>
      <c r="J46" s="12" t="s">
        <v>24</v>
      </c>
      <c r="K46" s="13" t="n">
        <v>4</v>
      </c>
      <c r="L46" s="30"/>
      <c r="M46" s="42" t="n">
        <f aca="false">S02!M46+L46</f>
        <v>0</v>
      </c>
      <c r="N46" s="37" t="n">
        <f aca="false">IFERROR(M46/K46,0)</f>
        <v>0</v>
      </c>
      <c r="O46" s="43" t="n">
        <f aca="false">S02!N46</f>
        <v>0</v>
      </c>
      <c r="P46" s="37" t="n">
        <f aca="false">N46-O46</f>
        <v>0</v>
      </c>
      <c r="Q46" s="33"/>
      <c r="R46" s="33"/>
      <c r="S46" s="33"/>
      <c r="T46" s="34"/>
      <c r="U46" s="43" t="n">
        <f aca="false">S02!T46</f>
        <v>0</v>
      </c>
      <c r="V46" s="37" t="n">
        <f aca="false">T46-U46</f>
        <v>0</v>
      </c>
      <c r="W46" s="37" t="n">
        <f aca="false">N46-T46</f>
        <v>0</v>
      </c>
      <c r="X46" s="35"/>
    </row>
    <row r="47" customFormat="false" ht="21.75" hidden="false" customHeight="true" outlineLevel="0" collapsed="false">
      <c r="B47" s="5" t="n">
        <v>43</v>
      </c>
      <c r="C47" s="6" t="s">
        <v>13</v>
      </c>
      <c r="D47" s="5" t="s">
        <v>79</v>
      </c>
      <c r="E47" s="5" t="s">
        <v>15</v>
      </c>
      <c r="F47" s="5" t="s">
        <v>16</v>
      </c>
      <c r="G47" s="5" t="s">
        <v>25</v>
      </c>
      <c r="H47" s="14" t="s">
        <v>85</v>
      </c>
      <c r="I47" s="7" t="n">
        <v>200000</v>
      </c>
      <c r="J47" s="8" t="s">
        <v>19</v>
      </c>
      <c r="K47" s="9" t="n">
        <v>67</v>
      </c>
      <c r="L47" s="30"/>
      <c r="M47" s="40" t="n">
        <f aca="false">S02!M47+L47</f>
        <v>0</v>
      </c>
      <c r="N47" s="32" t="n">
        <f aca="false">IFERROR(M47/K47,0)</f>
        <v>0</v>
      </c>
      <c r="O47" s="41" t="n">
        <f aca="false">S02!N47</f>
        <v>0</v>
      </c>
      <c r="P47" s="32" t="n">
        <f aca="false">N47-O47</f>
        <v>0</v>
      </c>
      <c r="Q47" s="33"/>
      <c r="R47" s="33"/>
      <c r="S47" s="33"/>
      <c r="T47" s="34"/>
      <c r="U47" s="41" t="n">
        <f aca="false">S02!T47</f>
        <v>0</v>
      </c>
      <c r="V47" s="32" t="n">
        <f aca="false">T47-U47</f>
        <v>0</v>
      </c>
      <c r="W47" s="32" t="n">
        <f aca="false">N47-T47</f>
        <v>0</v>
      </c>
      <c r="X47" s="35"/>
    </row>
    <row r="48" customFormat="false" ht="21.75" hidden="false" customHeight="true" outlineLevel="0" collapsed="false">
      <c r="B48" s="10" t="n">
        <v>44</v>
      </c>
      <c r="C48" s="6" t="s">
        <v>13</v>
      </c>
      <c r="D48" s="10" t="s">
        <v>79</v>
      </c>
      <c r="E48" s="10" t="s">
        <v>27</v>
      </c>
      <c r="F48" s="10" t="s">
        <v>28</v>
      </c>
      <c r="G48" s="10" t="s">
        <v>29</v>
      </c>
      <c r="H48" s="10" t="s">
        <v>86</v>
      </c>
      <c r="I48" s="11" t="n">
        <v>580000</v>
      </c>
      <c r="J48" s="12" t="s">
        <v>31</v>
      </c>
      <c r="K48" s="13" t="n">
        <v>7</v>
      </c>
      <c r="L48" s="30"/>
      <c r="M48" s="42" t="n">
        <f aca="false">S02!M48+L48</f>
        <v>0</v>
      </c>
      <c r="N48" s="37" t="n">
        <f aca="false">IFERROR(M48/K48,0)</f>
        <v>0</v>
      </c>
      <c r="O48" s="43" t="n">
        <f aca="false">S02!N48</f>
        <v>0</v>
      </c>
      <c r="P48" s="37" t="n">
        <f aca="false">N48-O48</f>
        <v>0</v>
      </c>
      <c r="Q48" s="33"/>
      <c r="R48" s="33"/>
      <c r="S48" s="33"/>
      <c r="T48" s="34"/>
      <c r="U48" s="43" t="n">
        <f aca="false">S02!T48</f>
        <v>0</v>
      </c>
      <c r="V48" s="37" t="n">
        <f aca="false">T48-U48</f>
        <v>0</v>
      </c>
      <c r="W48" s="37" t="n">
        <f aca="false">N48-T48</f>
        <v>0</v>
      </c>
      <c r="X48" s="35"/>
    </row>
    <row r="49" customFormat="false" ht="21.75" hidden="false" customHeight="true" outlineLevel="0" collapsed="false">
      <c r="B49" s="5" t="n">
        <v>45</v>
      </c>
      <c r="C49" s="6" t="s">
        <v>13</v>
      </c>
      <c r="D49" s="5" t="s">
        <v>79</v>
      </c>
      <c r="E49" s="5" t="s">
        <v>27</v>
      </c>
      <c r="F49" s="5" t="s">
        <v>28</v>
      </c>
      <c r="G49" s="5" t="s">
        <v>39</v>
      </c>
      <c r="H49" s="5" t="s">
        <v>87</v>
      </c>
      <c r="I49" s="7" t="n">
        <v>4000000</v>
      </c>
      <c r="J49" s="8" t="s">
        <v>41</v>
      </c>
      <c r="K49" s="9" t="n">
        <v>2667</v>
      </c>
      <c r="L49" s="30"/>
      <c r="M49" s="40" t="n">
        <f aca="false">S02!M49+L49</f>
        <v>0</v>
      </c>
      <c r="N49" s="32" t="n">
        <f aca="false">IFERROR(M49/K49,0)</f>
        <v>0</v>
      </c>
      <c r="O49" s="41" t="n">
        <f aca="false">S02!N49</f>
        <v>0</v>
      </c>
      <c r="P49" s="32" t="n">
        <f aca="false">N49-O49</f>
        <v>0</v>
      </c>
      <c r="Q49" s="33"/>
      <c r="R49" s="33"/>
      <c r="S49" s="33"/>
      <c r="T49" s="34"/>
      <c r="U49" s="41" t="n">
        <f aca="false">S02!T49</f>
        <v>0</v>
      </c>
      <c r="V49" s="32" t="n">
        <f aca="false">T49-U49</f>
        <v>0</v>
      </c>
      <c r="W49" s="32" t="n">
        <f aca="false">N49-T49</f>
        <v>0</v>
      </c>
      <c r="X49" s="35"/>
    </row>
    <row r="50" customFormat="false" ht="21.75" hidden="false" customHeight="true" outlineLevel="0" collapsed="false">
      <c r="B50" s="10" t="n">
        <v>46</v>
      </c>
      <c r="C50" s="6" t="s">
        <v>13</v>
      </c>
      <c r="D50" s="10" t="s">
        <v>88</v>
      </c>
      <c r="E50" s="10" t="s">
        <v>20</v>
      </c>
      <c r="F50" s="10" t="s">
        <v>21</v>
      </c>
      <c r="G50" s="10" t="s">
        <v>52</v>
      </c>
      <c r="H50" s="10" t="s">
        <v>52</v>
      </c>
      <c r="I50" s="11" t="n">
        <v>655000</v>
      </c>
      <c r="J50" s="12" t="s">
        <v>24</v>
      </c>
      <c r="K50" s="13" t="n">
        <v>1</v>
      </c>
      <c r="L50" s="30"/>
      <c r="M50" s="42" t="n">
        <f aca="false">S02!M50+L50</f>
        <v>0</v>
      </c>
      <c r="N50" s="37" t="n">
        <f aca="false">IFERROR(M50/K50,0)</f>
        <v>0</v>
      </c>
      <c r="O50" s="43" t="n">
        <f aca="false">S02!N50</f>
        <v>0</v>
      </c>
      <c r="P50" s="37" t="n">
        <f aca="false">N50-O50</f>
        <v>0</v>
      </c>
      <c r="Q50" s="33"/>
      <c r="R50" s="33"/>
      <c r="S50" s="33"/>
      <c r="T50" s="34"/>
      <c r="U50" s="43" t="n">
        <f aca="false">S02!T50</f>
        <v>0</v>
      </c>
      <c r="V50" s="37" t="n">
        <f aca="false">T50-U50</f>
        <v>0</v>
      </c>
      <c r="W50" s="37" t="n">
        <f aca="false">N50-T50</f>
        <v>0</v>
      </c>
      <c r="X50" s="35"/>
    </row>
    <row r="51" customFormat="false" ht="21.75" hidden="false" customHeight="true" outlineLevel="0" collapsed="false">
      <c r="B51" s="5" t="n">
        <v>47</v>
      </c>
      <c r="C51" s="6" t="s">
        <v>13</v>
      </c>
      <c r="D51" s="5" t="s">
        <v>89</v>
      </c>
      <c r="E51" s="5" t="s">
        <v>54</v>
      </c>
      <c r="F51" s="5" t="s">
        <v>55</v>
      </c>
      <c r="G51" s="5" t="s">
        <v>56</v>
      </c>
      <c r="H51" s="5" t="s">
        <v>90</v>
      </c>
      <c r="I51" s="7" t="n">
        <v>5182920</v>
      </c>
      <c r="J51" s="8" t="s">
        <v>19</v>
      </c>
      <c r="K51" s="9" t="n">
        <v>1728</v>
      </c>
      <c r="L51" s="30"/>
      <c r="M51" s="40" t="n">
        <f aca="false">S02!M51+L51</f>
        <v>0</v>
      </c>
      <c r="N51" s="32" t="n">
        <f aca="false">IFERROR(M51/K51,0)</f>
        <v>0</v>
      </c>
      <c r="O51" s="41" t="n">
        <f aca="false">S02!N51</f>
        <v>0</v>
      </c>
      <c r="P51" s="32" t="n">
        <f aca="false">N51-O51</f>
        <v>0</v>
      </c>
      <c r="Q51" s="33"/>
      <c r="R51" s="33"/>
      <c r="S51" s="33"/>
      <c r="T51" s="34"/>
      <c r="U51" s="41" t="n">
        <f aca="false">S02!T51</f>
        <v>0</v>
      </c>
      <c r="V51" s="32" t="n">
        <f aca="false">T51-U51</f>
        <v>0</v>
      </c>
      <c r="W51" s="32" t="n">
        <f aca="false">N51-T51</f>
        <v>0</v>
      </c>
      <c r="X51" s="35"/>
    </row>
    <row r="52" customFormat="false" ht="21.75" hidden="false" customHeight="true" outlineLevel="0" collapsed="false">
      <c r="B52" s="10" t="n">
        <v>48</v>
      </c>
      <c r="C52" s="6" t="s">
        <v>13</v>
      </c>
      <c r="D52" s="10" t="s">
        <v>89</v>
      </c>
      <c r="E52" s="10" t="s">
        <v>54</v>
      </c>
      <c r="F52" s="10" t="s">
        <v>55</v>
      </c>
      <c r="G52" s="10"/>
      <c r="H52" s="10" t="s">
        <v>91</v>
      </c>
      <c r="I52" s="11" t="n">
        <v>152818</v>
      </c>
      <c r="J52" s="12" t="s">
        <v>19</v>
      </c>
      <c r="K52" s="13" t="n">
        <v>51</v>
      </c>
      <c r="L52" s="30"/>
      <c r="M52" s="42" t="n">
        <f aca="false">S02!M52+L52</f>
        <v>0</v>
      </c>
      <c r="N52" s="37" t="n">
        <f aca="false">IFERROR(M52/K52,0)</f>
        <v>0</v>
      </c>
      <c r="O52" s="43" t="n">
        <f aca="false">S02!N52</f>
        <v>0</v>
      </c>
      <c r="P52" s="37" t="n">
        <f aca="false">N52-O52</f>
        <v>0</v>
      </c>
      <c r="Q52" s="33"/>
      <c r="R52" s="33"/>
      <c r="S52" s="33"/>
      <c r="T52" s="34"/>
      <c r="U52" s="43" t="n">
        <f aca="false">S02!T52</f>
        <v>0</v>
      </c>
      <c r="V52" s="37" t="n">
        <f aca="false">T52-U52</f>
        <v>0</v>
      </c>
      <c r="W52" s="37" t="n">
        <f aca="false">N52-T52</f>
        <v>0</v>
      </c>
      <c r="X52" s="35"/>
    </row>
    <row r="53" customFormat="false" ht="21.75" hidden="false" customHeight="true" outlineLevel="0" collapsed="false">
      <c r="B53" s="5" t="n">
        <v>49</v>
      </c>
      <c r="C53" s="6" t="s">
        <v>13</v>
      </c>
      <c r="D53" s="5" t="s">
        <v>89</v>
      </c>
      <c r="E53" s="5" t="s">
        <v>54</v>
      </c>
      <c r="F53" s="5" t="s">
        <v>55</v>
      </c>
      <c r="G53" s="5"/>
      <c r="H53" s="5" t="s">
        <v>92</v>
      </c>
      <c r="I53" s="7" t="n">
        <v>1418000</v>
      </c>
      <c r="J53" s="8" t="s">
        <v>19</v>
      </c>
      <c r="K53" s="9" t="n">
        <v>473</v>
      </c>
      <c r="L53" s="30"/>
      <c r="M53" s="40" t="n">
        <f aca="false">S02!M53+L53</f>
        <v>0</v>
      </c>
      <c r="N53" s="32" t="n">
        <f aca="false">IFERROR(M53/K53,0)</f>
        <v>0</v>
      </c>
      <c r="O53" s="41" t="n">
        <f aca="false">S02!N53</f>
        <v>0</v>
      </c>
      <c r="P53" s="32" t="n">
        <f aca="false">N53-O53</f>
        <v>0</v>
      </c>
      <c r="Q53" s="33"/>
      <c r="R53" s="33"/>
      <c r="S53" s="33"/>
      <c r="T53" s="34"/>
      <c r="U53" s="41" t="n">
        <f aca="false">S02!T53</f>
        <v>0</v>
      </c>
      <c r="V53" s="32" t="n">
        <f aca="false">T53-U53</f>
        <v>0</v>
      </c>
      <c r="W53" s="32" t="n">
        <f aca="false">N53-T53</f>
        <v>0</v>
      </c>
      <c r="X53" s="35"/>
    </row>
    <row r="54" customFormat="false" ht="21.75" hidden="false" customHeight="true" outlineLevel="0" collapsed="false">
      <c r="B54" s="10" t="n">
        <v>50</v>
      </c>
      <c r="C54" s="6" t="s">
        <v>13</v>
      </c>
      <c r="D54" s="10" t="s">
        <v>89</v>
      </c>
      <c r="E54" s="10" t="s">
        <v>54</v>
      </c>
      <c r="F54" s="10" t="s">
        <v>55</v>
      </c>
      <c r="G54" s="10" t="s">
        <v>70</v>
      </c>
      <c r="H54" s="10" t="s">
        <v>93</v>
      </c>
      <c r="I54" s="11" t="n">
        <v>800000</v>
      </c>
      <c r="J54" s="12" t="s">
        <v>19</v>
      </c>
      <c r="K54" s="13" t="n">
        <v>400</v>
      </c>
      <c r="L54" s="30"/>
      <c r="M54" s="42" t="n">
        <f aca="false">S02!M54+L54</f>
        <v>0</v>
      </c>
      <c r="N54" s="37" t="n">
        <f aca="false">IFERROR(M54/K54,0)</f>
        <v>0</v>
      </c>
      <c r="O54" s="43" t="n">
        <f aca="false">S02!N54</f>
        <v>0</v>
      </c>
      <c r="P54" s="37" t="n">
        <f aca="false">N54-O54</f>
        <v>0</v>
      </c>
      <c r="Q54" s="33"/>
      <c r="R54" s="33"/>
      <c r="S54" s="33"/>
      <c r="T54" s="34"/>
      <c r="U54" s="43" t="n">
        <f aca="false">S02!T54</f>
        <v>0</v>
      </c>
      <c r="V54" s="37" t="n">
        <f aca="false">T54-U54</f>
        <v>0</v>
      </c>
      <c r="W54" s="37" t="n">
        <f aca="false">N54-T54</f>
        <v>0</v>
      </c>
      <c r="X54" s="35"/>
    </row>
    <row r="55" customFormat="false" ht="21.75" hidden="false" customHeight="true" outlineLevel="0" collapsed="false">
      <c r="B55" s="5" t="n">
        <v>51</v>
      </c>
      <c r="C55" s="6" t="s">
        <v>13</v>
      </c>
      <c r="D55" s="5" t="s">
        <v>89</v>
      </c>
      <c r="E55" s="5" t="s">
        <v>20</v>
      </c>
      <c r="F55" s="5" t="s">
        <v>21</v>
      </c>
      <c r="G55" s="5" t="s">
        <v>52</v>
      </c>
      <c r="H55" s="5" t="s">
        <v>52</v>
      </c>
      <c r="I55" s="7" t="n">
        <v>3700000</v>
      </c>
      <c r="J55" s="8" t="s">
        <v>24</v>
      </c>
      <c r="K55" s="9" t="n">
        <v>7</v>
      </c>
      <c r="L55" s="30"/>
      <c r="M55" s="40" t="n">
        <f aca="false">S02!M55+L55</f>
        <v>0</v>
      </c>
      <c r="N55" s="32" t="n">
        <f aca="false">IFERROR(M55/K55,0)</f>
        <v>0</v>
      </c>
      <c r="O55" s="41" t="n">
        <f aca="false">S02!N55</f>
        <v>0</v>
      </c>
      <c r="P55" s="32" t="n">
        <f aca="false">N55-O55</f>
        <v>0</v>
      </c>
      <c r="Q55" s="33"/>
      <c r="R55" s="33"/>
      <c r="S55" s="33"/>
      <c r="T55" s="34"/>
      <c r="U55" s="41" t="n">
        <f aca="false">S02!T55</f>
        <v>0</v>
      </c>
      <c r="V55" s="32" t="n">
        <f aca="false">T55-U55</f>
        <v>0</v>
      </c>
      <c r="W55" s="32" t="n">
        <f aca="false">N55-T55</f>
        <v>0</v>
      </c>
      <c r="X55" s="35"/>
    </row>
    <row r="56" customFormat="false" ht="21.75" hidden="false" customHeight="true" outlineLevel="0" collapsed="false">
      <c r="B56" s="10" t="n">
        <v>52</v>
      </c>
      <c r="C56" s="6" t="s">
        <v>13</v>
      </c>
      <c r="D56" s="10" t="s">
        <v>89</v>
      </c>
      <c r="E56" s="10" t="s">
        <v>27</v>
      </c>
      <c r="F56" s="10" t="s">
        <v>28</v>
      </c>
      <c r="G56" s="10" t="s">
        <v>29</v>
      </c>
      <c r="H56" s="10" t="s">
        <v>94</v>
      </c>
      <c r="I56" s="11" t="n">
        <v>705000</v>
      </c>
      <c r="J56" s="12" t="s">
        <v>31</v>
      </c>
      <c r="K56" s="13" t="n">
        <v>3</v>
      </c>
      <c r="L56" s="30"/>
      <c r="M56" s="42" t="n">
        <f aca="false">S02!M56+L56</f>
        <v>0</v>
      </c>
      <c r="N56" s="37" t="n">
        <f aca="false">IFERROR(M56/K56,0)</f>
        <v>0</v>
      </c>
      <c r="O56" s="43" t="n">
        <f aca="false">S02!N56</f>
        <v>0</v>
      </c>
      <c r="P56" s="37" t="n">
        <f aca="false">N56-O56</f>
        <v>0</v>
      </c>
      <c r="Q56" s="33"/>
      <c r="R56" s="33"/>
      <c r="S56" s="33"/>
      <c r="T56" s="34"/>
      <c r="U56" s="43" t="n">
        <f aca="false">S02!T56</f>
        <v>0</v>
      </c>
      <c r="V56" s="37" t="n">
        <f aca="false">T56-U56</f>
        <v>0</v>
      </c>
      <c r="W56" s="37" t="n">
        <f aca="false">N56-T56</f>
        <v>0</v>
      </c>
      <c r="X56" s="35"/>
    </row>
    <row r="57" customFormat="false" ht="21.75" hidden="false" customHeight="true" outlineLevel="0" collapsed="false">
      <c r="B57" s="5" t="n">
        <v>53</v>
      </c>
      <c r="C57" s="6" t="s">
        <v>13</v>
      </c>
      <c r="D57" s="5" t="s">
        <v>89</v>
      </c>
      <c r="E57" s="5" t="s">
        <v>27</v>
      </c>
      <c r="F57" s="5" t="s">
        <v>28</v>
      </c>
      <c r="G57" s="5" t="s">
        <v>65</v>
      </c>
      <c r="H57" s="5" t="s">
        <v>95</v>
      </c>
      <c r="I57" s="7" t="n">
        <v>372000</v>
      </c>
      <c r="J57" s="8" t="s">
        <v>19</v>
      </c>
      <c r="K57" s="9" t="n">
        <v>124</v>
      </c>
      <c r="L57" s="30"/>
      <c r="M57" s="40" t="n">
        <f aca="false">S02!M57+L57</f>
        <v>0</v>
      </c>
      <c r="N57" s="32" t="n">
        <f aca="false">IFERROR(M57/K57,0)</f>
        <v>0</v>
      </c>
      <c r="O57" s="41" t="n">
        <f aca="false">S02!N57</f>
        <v>0</v>
      </c>
      <c r="P57" s="32" t="n">
        <f aca="false">N57-O57</f>
        <v>0</v>
      </c>
      <c r="Q57" s="33"/>
      <c r="R57" s="33"/>
      <c r="S57" s="33"/>
      <c r="T57" s="34"/>
      <c r="U57" s="41" t="n">
        <f aca="false">S02!T57</f>
        <v>0</v>
      </c>
      <c r="V57" s="32" t="n">
        <f aca="false">T57-U57</f>
        <v>0</v>
      </c>
      <c r="W57" s="32" t="n">
        <f aca="false">N57-T57</f>
        <v>0</v>
      </c>
      <c r="X57" s="35"/>
    </row>
    <row r="58" customFormat="false" ht="21.75" hidden="false" customHeight="true" outlineLevel="0" collapsed="false">
      <c r="B58" s="10" t="n">
        <v>54</v>
      </c>
      <c r="C58" s="15" t="s">
        <v>96</v>
      </c>
      <c r="D58" s="10" t="s">
        <v>97</v>
      </c>
      <c r="E58" s="10" t="s">
        <v>15</v>
      </c>
      <c r="F58" s="10" t="s">
        <v>16</v>
      </c>
      <c r="G58" s="10" t="s">
        <v>17</v>
      </c>
      <c r="H58" s="10" t="s">
        <v>98</v>
      </c>
      <c r="I58" s="11" t="n">
        <v>10000000</v>
      </c>
      <c r="J58" s="12" t="s">
        <v>19</v>
      </c>
      <c r="K58" s="13" t="n">
        <v>5000</v>
      </c>
      <c r="L58" s="30"/>
      <c r="M58" s="42" t="n">
        <f aca="false">S02!M58+L58</f>
        <v>0</v>
      </c>
      <c r="N58" s="37" t="n">
        <f aca="false">IFERROR(M58/K58,0)</f>
        <v>0</v>
      </c>
      <c r="O58" s="43" t="n">
        <f aca="false">S02!N58</f>
        <v>0</v>
      </c>
      <c r="P58" s="37" t="n">
        <f aca="false">N58-O58</f>
        <v>0</v>
      </c>
      <c r="Q58" s="33"/>
      <c r="R58" s="33"/>
      <c r="S58" s="33"/>
      <c r="T58" s="34"/>
      <c r="U58" s="43" t="n">
        <f aca="false">S02!T58</f>
        <v>0</v>
      </c>
      <c r="V58" s="37" t="n">
        <f aca="false">T58-U58</f>
        <v>0</v>
      </c>
      <c r="W58" s="37" t="n">
        <f aca="false">N58-T58</f>
        <v>0</v>
      </c>
      <c r="X58" s="35"/>
    </row>
    <row r="59" customFormat="false" ht="21.75" hidden="false" customHeight="true" outlineLevel="0" collapsed="false">
      <c r="B59" s="5" t="n">
        <v>55</v>
      </c>
      <c r="C59" s="15" t="s">
        <v>96</v>
      </c>
      <c r="D59" s="5" t="s">
        <v>97</v>
      </c>
      <c r="E59" s="5" t="s">
        <v>20</v>
      </c>
      <c r="F59" s="5" t="s">
        <v>21</v>
      </c>
      <c r="G59" s="5" t="s">
        <v>22</v>
      </c>
      <c r="H59" s="5" t="s">
        <v>99</v>
      </c>
      <c r="I59" s="7" t="n">
        <v>2000000</v>
      </c>
      <c r="J59" s="8" t="s">
        <v>24</v>
      </c>
      <c r="K59" s="9" t="n">
        <v>4</v>
      </c>
      <c r="L59" s="30"/>
      <c r="M59" s="40" t="n">
        <f aca="false">S02!M59+L59</f>
        <v>0</v>
      </c>
      <c r="N59" s="32" t="n">
        <f aca="false">IFERROR(M59/K59,0)</f>
        <v>0</v>
      </c>
      <c r="O59" s="41" t="n">
        <f aca="false">S02!N59</f>
        <v>0</v>
      </c>
      <c r="P59" s="32" t="n">
        <f aca="false">N59-O59</f>
        <v>0</v>
      </c>
      <c r="Q59" s="33"/>
      <c r="R59" s="33"/>
      <c r="S59" s="33"/>
      <c r="T59" s="34"/>
      <c r="U59" s="41" t="n">
        <f aca="false">S02!T59</f>
        <v>0</v>
      </c>
      <c r="V59" s="32" t="n">
        <f aca="false">T59-U59</f>
        <v>0</v>
      </c>
      <c r="W59" s="32" t="n">
        <f aca="false">N59-T59</f>
        <v>0</v>
      </c>
      <c r="X59" s="35"/>
    </row>
    <row r="60" customFormat="false" ht="21.75" hidden="false" customHeight="true" outlineLevel="0" collapsed="false">
      <c r="B60" s="10" t="n">
        <v>56</v>
      </c>
      <c r="C60" s="15" t="s">
        <v>96</v>
      </c>
      <c r="D60" s="10" t="s">
        <v>97</v>
      </c>
      <c r="E60" s="10" t="s">
        <v>27</v>
      </c>
      <c r="F60" s="10" t="s">
        <v>28</v>
      </c>
      <c r="G60" s="10" t="s">
        <v>37</v>
      </c>
      <c r="H60" s="10" t="s">
        <v>100</v>
      </c>
      <c r="I60" s="11" t="n">
        <v>300000</v>
      </c>
      <c r="J60" s="12" t="s">
        <v>31</v>
      </c>
      <c r="K60" s="13" t="n">
        <v>1</v>
      </c>
      <c r="L60" s="30"/>
      <c r="M60" s="42" t="n">
        <f aca="false">S02!M60+L60</f>
        <v>0</v>
      </c>
      <c r="N60" s="37" t="n">
        <f aca="false">IFERROR(M60/K60,0)</f>
        <v>0</v>
      </c>
      <c r="O60" s="43" t="n">
        <f aca="false">S02!N60</f>
        <v>0</v>
      </c>
      <c r="P60" s="37" t="n">
        <f aca="false">N60-O60</f>
        <v>0</v>
      </c>
      <c r="Q60" s="33"/>
      <c r="R60" s="33"/>
      <c r="S60" s="33"/>
      <c r="T60" s="34"/>
      <c r="U60" s="43" t="n">
        <f aca="false">S02!T60</f>
        <v>0</v>
      </c>
      <c r="V60" s="37" t="n">
        <f aca="false">T60-U60</f>
        <v>0</v>
      </c>
      <c r="W60" s="37" t="n">
        <f aca="false">N60-T60</f>
        <v>0</v>
      </c>
      <c r="X60" s="35"/>
    </row>
    <row r="61" customFormat="false" ht="21.75" hidden="false" customHeight="true" outlineLevel="0" collapsed="false">
      <c r="B61" s="5" t="n">
        <v>57</v>
      </c>
      <c r="C61" s="15" t="s">
        <v>96</v>
      </c>
      <c r="D61" s="5" t="s">
        <v>97</v>
      </c>
      <c r="E61" s="5" t="s">
        <v>54</v>
      </c>
      <c r="F61" s="5" t="s">
        <v>55</v>
      </c>
      <c r="G61" s="5" t="s">
        <v>70</v>
      </c>
      <c r="H61" s="5" t="s">
        <v>101</v>
      </c>
      <c r="I61" s="7" t="n">
        <v>100000</v>
      </c>
      <c r="J61" s="8" t="s">
        <v>31</v>
      </c>
      <c r="K61" s="9" t="n">
        <v>200</v>
      </c>
      <c r="L61" s="30"/>
      <c r="M61" s="40" t="n">
        <f aca="false">S02!M61+L61</f>
        <v>0</v>
      </c>
      <c r="N61" s="32" t="n">
        <f aca="false">IFERROR(M61/K61,0)</f>
        <v>0</v>
      </c>
      <c r="O61" s="41" t="n">
        <f aca="false">S02!N61</f>
        <v>0</v>
      </c>
      <c r="P61" s="32" t="n">
        <f aca="false">N61-O61</f>
        <v>0</v>
      </c>
      <c r="Q61" s="33"/>
      <c r="R61" s="33"/>
      <c r="S61" s="33"/>
      <c r="T61" s="34"/>
      <c r="U61" s="41" t="n">
        <f aca="false">S02!T61</f>
        <v>0</v>
      </c>
      <c r="V61" s="32" t="n">
        <f aca="false">T61-U61</f>
        <v>0</v>
      </c>
      <c r="W61" s="32" t="n">
        <f aca="false">N61-T61</f>
        <v>0</v>
      </c>
      <c r="X61" s="35"/>
    </row>
    <row r="62" customFormat="false" ht="21.75" hidden="false" customHeight="true" outlineLevel="0" collapsed="false">
      <c r="B62" s="10" t="n">
        <v>58</v>
      </c>
      <c r="C62" s="15" t="s">
        <v>96</v>
      </c>
      <c r="D62" s="10" t="s">
        <v>102</v>
      </c>
      <c r="E62" s="10" t="s">
        <v>15</v>
      </c>
      <c r="F62" s="10" t="s">
        <v>16</v>
      </c>
      <c r="G62" s="10" t="s">
        <v>17</v>
      </c>
      <c r="H62" s="10" t="s">
        <v>103</v>
      </c>
      <c r="I62" s="11" t="n">
        <v>3000000</v>
      </c>
      <c r="J62" s="12" t="s">
        <v>19</v>
      </c>
      <c r="K62" s="13" t="n">
        <v>1500</v>
      </c>
      <c r="L62" s="30"/>
      <c r="M62" s="42" t="n">
        <f aca="false">S02!M62+L62</f>
        <v>0</v>
      </c>
      <c r="N62" s="37" t="n">
        <f aca="false">IFERROR(M62/K62,0)</f>
        <v>0</v>
      </c>
      <c r="O62" s="43" t="n">
        <f aca="false">S02!N62</f>
        <v>0</v>
      </c>
      <c r="P62" s="37" t="n">
        <f aca="false">N62-O62</f>
        <v>0</v>
      </c>
      <c r="Q62" s="33"/>
      <c r="R62" s="33"/>
      <c r="S62" s="33"/>
      <c r="T62" s="34"/>
      <c r="U62" s="43" t="n">
        <f aca="false">S02!T62</f>
        <v>0</v>
      </c>
      <c r="V62" s="37" t="n">
        <f aca="false">T62-U62</f>
        <v>0</v>
      </c>
      <c r="W62" s="37" t="n">
        <f aca="false">N62-T62</f>
        <v>0</v>
      </c>
      <c r="X62" s="35"/>
    </row>
    <row r="63" customFormat="false" ht="21.75" hidden="false" customHeight="true" outlineLevel="0" collapsed="false">
      <c r="B63" s="5" t="n">
        <v>59</v>
      </c>
      <c r="C63" s="15" t="s">
        <v>96</v>
      </c>
      <c r="D63" s="5" t="s">
        <v>102</v>
      </c>
      <c r="E63" s="5" t="s">
        <v>20</v>
      </c>
      <c r="F63" s="5" t="s">
        <v>21</v>
      </c>
      <c r="G63" s="5" t="s">
        <v>22</v>
      </c>
      <c r="H63" s="5" t="s">
        <v>104</v>
      </c>
      <c r="I63" s="7" t="n">
        <v>5000000</v>
      </c>
      <c r="J63" s="8" t="s">
        <v>31</v>
      </c>
      <c r="K63" s="9" t="n">
        <v>1</v>
      </c>
      <c r="L63" s="30"/>
      <c r="M63" s="40" t="n">
        <f aca="false">S02!M63+L63</f>
        <v>0</v>
      </c>
      <c r="N63" s="32" t="n">
        <f aca="false">IFERROR(M63/K63,0)</f>
        <v>0</v>
      </c>
      <c r="O63" s="41" t="n">
        <f aca="false">S02!N63</f>
        <v>0</v>
      </c>
      <c r="P63" s="32" t="n">
        <f aca="false">N63-O63</f>
        <v>0</v>
      </c>
      <c r="Q63" s="33"/>
      <c r="R63" s="33"/>
      <c r="S63" s="33"/>
      <c r="T63" s="34"/>
      <c r="U63" s="41" t="n">
        <f aca="false">S02!T63</f>
        <v>0</v>
      </c>
      <c r="V63" s="32" t="n">
        <f aca="false">T63-U63</f>
        <v>0</v>
      </c>
      <c r="W63" s="32" t="n">
        <f aca="false">N63-T63</f>
        <v>0</v>
      </c>
      <c r="X63" s="35"/>
    </row>
    <row r="64" customFormat="false" ht="21.75" hidden="false" customHeight="true" outlineLevel="0" collapsed="false">
      <c r="B64" s="10" t="n">
        <v>60</v>
      </c>
      <c r="C64" s="15" t="s">
        <v>96</v>
      </c>
      <c r="D64" s="10" t="s">
        <v>105</v>
      </c>
      <c r="E64" s="10" t="s">
        <v>15</v>
      </c>
      <c r="F64" s="10" t="s">
        <v>16</v>
      </c>
      <c r="G64" s="10" t="s">
        <v>17</v>
      </c>
      <c r="H64" s="10" t="s">
        <v>106</v>
      </c>
      <c r="I64" s="11" t="n">
        <v>3000000</v>
      </c>
      <c r="J64" s="12" t="s">
        <v>19</v>
      </c>
      <c r="K64" s="13" t="n">
        <v>1500</v>
      </c>
      <c r="L64" s="30"/>
      <c r="M64" s="42" t="n">
        <f aca="false">S02!M64+L64</f>
        <v>0</v>
      </c>
      <c r="N64" s="37" t="n">
        <f aca="false">IFERROR(M64/K64,0)</f>
        <v>0</v>
      </c>
      <c r="O64" s="43" t="n">
        <f aca="false">S02!N64</f>
        <v>0</v>
      </c>
      <c r="P64" s="37" t="n">
        <f aca="false">N64-O64</f>
        <v>0</v>
      </c>
      <c r="Q64" s="33"/>
      <c r="R64" s="33"/>
      <c r="S64" s="33"/>
      <c r="T64" s="34"/>
      <c r="U64" s="43" t="n">
        <f aca="false">S02!T64</f>
        <v>0</v>
      </c>
      <c r="V64" s="37" t="n">
        <f aca="false">T64-U64</f>
        <v>0</v>
      </c>
      <c r="W64" s="37" t="n">
        <f aca="false">N64-T64</f>
        <v>0</v>
      </c>
      <c r="X64" s="35"/>
    </row>
    <row r="65" customFormat="false" ht="21.75" hidden="false" customHeight="true" outlineLevel="0" collapsed="false">
      <c r="B65" s="5" t="n">
        <v>61</v>
      </c>
      <c r="C65" s="15" t="s">
        <v>96</v>
      </c>
      <c r="D65" s="5" t="s">
        <v>105</v>
      </c>
      <c r="E65" s="5" t="s">
        <v>20</v>
      </c>
      <c r="F65" s="5" t="s">
        <v>21</v>
      </c>
      <c r="G65" s="5" t="s">
        <v>22</v>
      </c>
      <c r="H65" s="5" t="s">
        <v>107</v>
      </c>
      <c r="I65" s="7" t="n">
        <v>3000000</v>
      </c>
      <c r="J65" s="8" t="s">
        <v>24</v>
      </c>
      <c r="K65" s="9" t="n">
        <v>6</v>
      </c>
      <c r="L65" s="30"/>
      <c r="M65" s="40" t="n">
        <f aca="false">S02!M65+L65</f>
        <v>0</v>
      </c>
      <c r="N65" s="32" t="n">
        <f aca="false">IFERROR(M65/K65,0)</f>
        <v>0</v>
      </c>
      <c r="O65" s="41" t="n">
        <f aca="false">S02!N65</f>
        <v>0</v>
      </c>
      <c r="P65" s="32" t="n">
        <f aca="false">N65-O65</f>
        <v>0</v>
      </c>
      <c r="Q65" s="33"/>
      <c r="R65" s="33"/>
      <c r="S65" s="33"/>
      <c r="T65" s="34"/>
      <c r="U65" s="41" t="n">
        <f aca="false">S02!T65</f>
        <v>0</v>
      </c>
      <c r="V65" s="32" t="n">
        <f aca="false">T65-U65</f>
        <v>0</v>
      </c>
      <c r="W65" s="32" t="n">
        <f aca="false">N65-T65</f>
        <v>0</v>
      </c>
      <c r="X65" s="35"/>
    </row>
    <row r="66" customFormat="false" ht="21.75" hidden="false" customHeight="true" outlineLevel="0" collapsed="false">
      <c r="B66" s="10" t="n">
        <v>62</v>
      </c>
      <c r="C66" s="15" t="s">
        <v>96</v>
      </c>
      <c r="D66" s="10" t="s">
        <v>108</v>
      </c>
      <c r="E66" s="10" t="s">
        <v>15</v>
      </c>
      <c r="F66" s="10" t="s">
        <v>16</v>
      </c>
      <c r="G66" s="10" t="s">
        <v>17</v>
      </c>
      <c r="H66" s="10" t="s">
        <v>109</v>
      </c>
      <c r="I66" s="11" t="n">
        <v>6000000</v>
      </c>
      <c r="J66" s="12" t="s">
        <v>19</v>
      </c>
      <c r="K66" s="13" t="n">
        <v>3000</v>
      </c>
      <c r="L66" s="30"/>
      <c r="M66" s="42" t="n">
        <f aca="false">S02!M66+L66</f>
        <v>0</v>
      </c>
      <c r="N66" s="37" t="n">
        <f aca="false">IFERROR(M66/K66,0)</f>
        <v>0</v>
      </c>
      <c r="O66" s="43" t="n">
        <f aca="false">S02!N66</f>
        <v>0</v>
      </c>
      <c r="P66" s="37" t="n">
        <f aca="false">N66-O66</f>
        <v>0</v>
      </c>
      <c r="Q66" s="33"/>
      <c r="R66" s="33"/>
      <c r="S66" s="33"/>
      <c r="T66" s="34"/>
      <c r="U66" s="43" t="n">
        <f aca="false">S02!T66</f>
        <v>0</v>
      </c>
      <c r="V66" s="37" t="n">
        <f aca="false">T66-U66</f>
        <v>0</v>
      </c>
      <c r="W66" s="37" t="n">
        <f aca="false">N66-T66</f>
        <v>0</v>
      </c>
      <c r="X66" s="35"/>
    </row>
    <row r="67" customFormat="false" ht="21.75" hidden="false" customHeight="true" outlineLevel="0" collapsed="false">
      <c r="B67" s="5" t="n">
        <v>63</v>
      </c>
      <c r="C67" s="15" t="s">
        <v>96</v>
      </c>
      <c r="D67" s="5" t="s">
        <v>108</v>
      </c>
      <c r="E67" s="5" t="s">
        <v>20</v>
      </c>
      <c r="F67" s="5" t="s">
        <v>21</v>
      </c>
      <c r="G67" s="5" t="s">
        <v>22</v>
      </c>
      <c r="H67" s="5" t="s">
        <v>110</v>
      </c>
      <c r="I67" s="7" t="n">
        <v>6000000</v>
      </c>
      <c r="J67" s="8" t="s">
        <v>24</v>
      </c>
      <c r="K67" s="9" t="n">
        <v>12</v>
      </c>
      <c r="L67" s="30"/>
      <c r="M67" s="40" t="n">
        <f aca="false">S02!M67+L67</f>
        <v>0</v>
      </c>
      <c r="N67" s="32" t="n">
        <f aca="false">IFERROR(M67/K67,0)</f>
        <v>0</v>
      </c>
      <c r="O67" s="41" t="n">
        <f aca="false">S02!N67</f>
        <v>0</v>
      </c>
      <c r="P67" s="32" t="n">
        <f aca="false">N67-O67</f>
        <v>0</v>
      </c>
      <c r="Q67" s="33"/>
      <c r="R67" s="33"/>
      <c r="S67" s="33"/>
      <c r="T67" s="34"/>
      <c r="U67" s="41" t="n">
        <f aca="false">S02!T67</f>
        <v>0</v>
      </c>
      <c r="V67" s="32" t="n">
        <f aca="false">T67-U67</f>
        <v>0</v>
      </c>
      <c r="W67" s="32" t="n">
        <f aca="false">N67-T67</f>
        <v>0</v>
      </c>
      <c r="X67" s="35"/>
    </row>
    <row r="68" customFormat="false" ht="21.75" hidden="false" customHeight="true" outlineLevel="0" collapsed="false">
      <c r="B68" s="10" t="n">
        <v>64</v>
      </c>
      <c r="C68" s="15" t="s">
        <v>96</v>
      </c>
      <c r="D68" s="10" t="s">
        <v>111</v>
      </c>
      <c r="E68" s="10" t="s">
        <v>15</v>
      </c>
      <c r="F68" s="10" t="s">
        <v>16</v>
      </c>
      <c r="G68" s="10" t="s">
        <v>17</v>
      </c>
      <c r="H68" s="10" t="s">
        <v>112</v>
      </c>
      <c r="I68" s="11" t="n">
        <v>3000000</v>
      </c>
      <c r="J68" s="12" t="s">
        <v>19</v>
      </c>
      <c r="K68" s="13" t="n">
        <v>1500</v>
      </c>
      <c r="L68" s="30"/>
      <c r="M68" s="42" t="n">
        <f aca="false">S02!M68+L68</f>
        <v>0</v>
      </c>
      <c r="N68" s="37" t="n">
        <f aca="false">IFERROR(M68/K68,0)</f>
        <v>0</v>
      </c>
      <c r="O68" s="43" t="n">
        <f aca="false">S02!N68</f>
        <v>0</v>
      </c>
      <c r="P68" s="37" t="n">
        <f aca="false">N68-O68</f>
        <v>0</v>
      </c>
      <c r="Q68" s="33"/>
      <c r="R68" s="33"/>
      <c r="S68" s="33"/>
      <c r="T68" s="34"/>
      <c r="U68" s="43" t="n">
        <f aca="false">S02!T68</f>
        <v>0</v>
      </c>
      <c r="V68" s="37" t="n">
        <f aca="false">T68-U68</f>
        <v>0</v>
      </c>
      <c r="W68" s="37" t="n">
        <f aca="false">N68-T68</f>
        <v>0</v>
      </c>
      <c r="X68" s="35"/>
    </row>
    <row r="69" customFormat="false" ht="21.75" hidden="false" customHeight="true" outlineLevel="0" collapsed="false">
      <c r="B69" s="5" t="n">
        <v>65</v>
      </c>
      <c r="C69" s="15" t="s">
        <v>96</v>
      </c>
      <c r="D69" s="5" t="s">
        <v>113</v>
      </c>
      <c r="E69" s="5" t="s">
        <v>15</v>
      </c>
      <c r="F69" s="5" t="s">
        <v>16</v>
      </c>
      <c r="G69" s="5" t="s">
        <v>17</v>
      </c>
      <c r="H69" s="5" t="s">
        <v>114</v>
      </c>
      <c r="I69" s="7" t="n">
        <v>1000000</v>
      </c>
      <c r="J69" s="8" t="s">
        <v>19</v>
      </c>
      <c r="K69" s="9" t="n">
        <v>500</v>
      </c>
      <c r="L69" s="30"/>
      <c r="M69" s="40" t="n">
        <f aca="false">S02!M69+L69</f>
        <v>0</v>
      </c>
      <c r="N69" s="32" t="n">
        <f aca="false">IFERROR(M69/K69,0)</f>
        <v>0</v>
      </c>
      <c r="O69" s="41" t="n">
        <f aca="false">S02!N69</f>
        <v>0</v>
      </c>
      <c r="P69" s="32" t="n">
        <f aca="false">N69-O69</f>
        <v>0</v>
      </c>
      <c r="Q69" s="33"/>
      <c r="R69" s="33"/>
      <c r="S69" s="33"/>
      <c r="T69" s="34"/>
      <c r="U69" s="41" t="n">
        <f aca="false">S02!T69</f>
        <v>0</v>
      </c>
      <c r="V69" s="32" t="n">
        <f aca="false">T69-U69</f>
        <v>0</v>
      </c>
      <c r="W69" s="32" t="n">
        <f aca="false">N69-T69</f>
        <v>0</v>
      </c>
      <c r="X69" s="35"/>
    </row>
    <row r="70" customFormat="false" ht="21.75" hidden="false" customHeight="true" outlineLevel="0" collapsed="false">
      <c r="B70" s="10" t="n">
        <v>66</v>
      </c>
      <c r="C70" s="15" t="s">
        <v>96</v>
      </c>
      <c r="D70" s="10" t="s">
        <v>115</v>
      </c>
      <c r="E70" s="10" t="s">
        <v>15</v>
      </c>
      <c r="F70" s="10" t="s">
        <v>16</v>
      </c>
      <c r="G70" s="10" t="s">
        <v>17</v>
      </c>
      <c r="H70" s="10" t="s">
        <v>116</v>
      </c>
      <c r="I70" s="11" t="n">
        <v>1000000</v>
      </c>
      <c r="J70" s="12" t="s">
        <v>19</v>
      </c>
      <c r="K70" s="13" t="n">
        <v>500</v>
      </c>
      <c r="L70" s="30"/>
      <c r="M70" s="42" t="n">
        <f aca="false">S02!M70+L70</f>
        <v>0</v>
      </c>
      <c r="N70" s="37" t="n">
        <f aca="false">IFERROR(M70/K70,0)</f>
        <v>0</v>
      </c>
      <c r="O70" s="43" t="n">
        <f aca="false">S02!N70</f>
        <v>0</v>
      </c>
      <c r="P70" s="37" t="n">
        <f aca="false">N70-O70</f>
        <v>0</v>
      </c>
      <c r="Q70" s="33"/>
      <c r="R70" s="33"/>
      <c r="S70" s="33"/>
      <c r="T70" s="34"/>
      <c r="U70" s="43" t="n">
        <f aca="false">S02!T70</f>
        <v>0</v>
      </c>
      <c r="V70" s="37" t="n">
        <f aca="false">T70-U70</f>
        <v>0</v>
      </c>
      <c r="W70" s="37" t="n">
        <f aca="false">N70-T70</f>
        <v>0</v>
      </c>
      <c r="X70" s="35"/>
    </row>
    <row r="71" customFormat="false" ht="21.75" hidden="false" customHeight="true" outlineLevel="0" collapsed="false">
      <c r="B71" s="5" t="n">
        <v>67</v>
      </c>
      <c r="C71" s="15" t="s">
        <v>96</v>
      </c>
      <c r="D71" s="5" t="s">
        <v>117</v>
      </c>
      <c r="E71" s="5" t="s">
        <v>15</v>
      </c>
      <c r="F71" s="5" t="s">
        <v>16</v>
      </c>
      <c r="G71" s="5" t="s">
        <v>17</v>
      </c>
      <c r="H71" s="5" t="s">
        <v>118</v>
      </c>
      <c r="I71" s="7" t="n">
        <v>6600000</v>
      </c>
      <c r="J71" s="8" t="s">
        <v>19</v>
      </c>
      <c r="K71" s="9" t="n">
        <v>3300</v>
      </c>
      <c r="L71" s="30"/>
      <c r="M71" s="40" t="n">
        <f aca="false">S02!M71+L71</f>
        <v>0</v>
      </c>
      <c r="N71" s="32" t="n">
        <f aca="false">IFERROR(M71/K71,0)</f>
        <v>0</v>
      </c>
      <c r="O71" s="41" t="n">
        <f aca="false">S02!N71</f>
        <v>0</v>
      </c>
      <c r="P71" s="32" t="n">
        <f aca="false">N71-O71</f>
        <v>0</v>
      </c>
      <c r="Q71" s="33"/>
      <c r="R71" s="33"/>
      <c r="S71" s="33"/>
      <c r="T71" s="34"/>
      <c r="U71" s="41" t="n">
        <f aca="false">S02!T71</f>
        <v>0</v>
      </c>
      <c r="V71" s="32" t="n">
        <f aca="false">T71-U71</f>
        <v>0</v>
      </c>
      <c r="W71" s="32" t="n">
        <f aca="false">N71-T71</f>
        <v>0</v>
      </c>
      <c r="X71" s="35"/>
    </row>
    <row r="72" customFormat="false" ht="21.75" hidden="false" customHeight="true" outlineLevel="0" collapsed="false">
      <c r="B72" s="10" t="n">
        <v>68</v>
      </c>
      <c r="C72" s="16" t="s">
        <v>119</v>
      </c>
      <c r="D72" s="10" t="s">
        <v>120</v>
      </c>
      <c r="E72" s="10" t="s">
        <v>15</v>
      </c>
      <c r="F72" s="10" t="s">
        <v>16</v>
      </c>
      <c r="G72" s="10" t="s">
        <v>17</v>
      </c>
      <c r="H72" s="10" t="s">
        <v>121</v>
      </c>
      <c r="I72" s="11" t="n">
        <v>1805475</v>
      </c>
      <c r="J72" s="12" t="s">
        <v>19</v>
      </c>
      <c r="K72" s="13" t="n">
        <v>903</v>
      </c>
      <c r="L72" s="30"/>
      <c r="M72" s="42" t="n">
        <f aca="false">S02!M72+L72</f>
        <v>0</v>
      </c>
      <c r="N72" s="37" t="n">
        <f aca="false">IFERROR(M72/K72,0)</f>
        <v>0</v>
      </c>
      <c r="O72" s="43" t="n">
        <f aca="false">S02!N72</f>
        <v>0</v>
      </c>
      <c r="P72" s="37" t="n">
        <f aca="false">N72-O72</f>
        <v>0</v>
      </c>
      <c r="Q72" s="33"/>
      <c r="R72" s="33"/>
      <c r="S72" s="33"/>
      <c r="T72" s="34"/>
      <c r="U72" s="43" t="n">
        <f aca="false">S02!T72</f>
        <v>0</v>
      </c>
      <c r="V72" s="37" t="n">
        <f aca="false">T72-U72</f>
        <v>0</v>
      </c>
      <c r="W72" s="37" t="n">
        <f aca="false">N72-T72</f>
        <v>0</v>
      </c>
      <c r="X72" s="35"/>
    </row>
    <row r="73" customFormat="false" ht="21.75" hidden="false" customHeight="true" outlineLevel="0" collapsed="false">
      <c r="B73" s="5" t="n">
        <v>69</v>
      </c>
      <c r="C73" s="16" t="s">
        <v>119</v>
      </c>
      <c r="D73" s="5" t="s">
        <v>120</v>
      </c>
      <c r="E73" s="5" t="s">
        <v>15</v>
      </c>
      <c r="F73" s="5" t="s">
        <v>16</v>
      </c>
      <c r="G73" s="5" t="s">
        <v>17</v>
      </c>
      <c r="H73" s="5" t="s">
        <v>122</v>
      </c>
      <c r="I73" s="7" t="n">
        <v>2587200</v>
      </c>
      <c r="J73" s="8" t="s">
        <v>19</v>
      </c>
      <c r="K73" s="9" t="n">
        <v>1294</v>
      </c>
      <c r="L73" s="30"/>
      <c r="M73" s="40" t="n">
        <f aca="false">S02!M73+L73</f>
        <v>0</v>
      </c>
      <c r="N73" s="32" t="n">
        <f aca="false">IFERROR(M73/K73,0)</f>
        <v>0</v>
      </c>
      <c r="O73" s="41" t="n">
        <f aca="false">S02!N73</f>
        <v>0</v>
      </c>
      <c r="P73" s="32" t="n">
        <f aca="false">N73-O73</f>
        <v>0</v>
      </c>
      <c r="Q73" s="33"/>
      <c r="R73" s="33"/>
      <c r="S73" s="33"/>
      <c r="T73" s="34"/>
      <c r="U73" s="41" t="n">
        <f aca="false">S02!T73</f>
        <v>0</v>
      </c>
      <c r="V73" s="32" t="n">
        <f aca="false">T73-U73</f>
        <v>0</v>
      </c>
      <c r="W73" s="32" t="n">
        <f aca="false">N73-T73</f>
        <v>0</v>
      </c>
      <c r="X73" s="35"/>
    </row>
    <row r="74" customFormat="false" ht="21.75" hidden="false" customHeight="true" outlineLevel="0" collapsed="false">
      <c r="B74" s="10" t="n">
        <v>70</v>
      </c>
      <c r="C74" s="16" t="s">
        <v>119</v>
      </c>
      <c r="D74" s="10" t="s">
        <v>120</v>
      </c>
      <c r="E74" s="10" t="s">
        <v>20</v>
      </c>
      <c r="F74" s="10" t="s">
        <v>21</v>
      </c>
      <c r="G74" s="10" t="s">
        <v>22</v>
      </c>
      <c r="H74" s="10" t="s">
        <v>52</v>
      </c>
      <c r="I74" s="11" t="n">
        <v>3500000</v>
      </c>
      <c r="J74" s="12" t="s">
        <v>24</v>
      </c>
      <c r="K74" s="13" t="n">
        <v>7</v>
      </c>
      <c r="L74" s="30"/>
      <c r="M74" s="42" t="n">
        <f aca="false">S02!M74+L74</f>
        <v>0</v>
      </c>
      <c r="N74" s="37" t="n">
        <f aca="false">IFERROR(M74/K74,0)</f>
        <v>0</v>
      </c>
      <c r="O74" s="43" t="n">
        <f aca="false">S02!N74</f>
        <v>0</v>
      </c>
      <c r="P74" s="37" t="n">
        <f aca="false">N74-O74</f>
        <v>0</v>
      </c>
      <c r="Q74" s="33"/>
      <c r="R74" s="33"/>
      <c r="S74" s="33"/>
      <c r="T74" s="34"/>
      <c r="U74" s="43" t="n">
        <f aca="false">S02!T74</f>
        <v>0</v>
      </c>
      <c r="V74" s="37" t="n">
        <f aca="false">T74-U74</f>
        <v>0</v>
      </c>
      <c r="W74" s="37" t="n">
        <f aca="false">N74-T74</f>
        <v>0</v>
      </c>
      <c r="X74" s="35"/>
    </row>
    <row r="75" customFormat="false" ht="21.75" hidden="false" customHeight="true" outlineLevel="0" collapsed="false">
      <c r="B75" s="5" t="n">
        <v>71</v>
      </c>
      <c r="C75" s="16" t="s">
        <v>119</v>
      </c>
      <c r="D75" s="5" t="s">
        <v>120</v>
      </c>
      <c r="E75" s="5" t="s">
        <v>27</v>
      </c>
      <c r="F75" s="5" t="s">
        <v>28</v>
      </c>
      <c r="G75" s="5" t="s">
        <v>123</v>
      </c>
      <c r="H75" s="5" t="s">
        <v>124</v>
      </c>
      <c r="I75" s="7" t="n">
        <v>870000</v>
      </c>
      <c r="J75" s="8" t="s">
        <v>31</v>
      </c>
      <c r="K75" s="9" t="n">
        <v>4</v>
      </c>
      <c r="L75" s="30"/>
      <c r="M75" s="40" t="n">
        <f aca="false">S02!M75+L75</f>
        <v>0</v>
      </c>
      <c r="N75" s="32" t="n">
        <f aca="false">IFERROR(M75/K75,0)</f>
        <v>0</v>
      </c>
      <c r="O75" s="41" t="n">
        <f aca="false">S02!N75</f>
        <v>0</v>
      </c>
      <c r="P75" s="32" t="n">
        <f aca="false">N75-O75</f>
        <v>0</v>
      </c>
      <c r="Q75" s="33"/>
      <c r="R75" s="33"/>
      <c r="S75" s="33"/>
      <c r="T75" s="34"/>
      <c r="U75" s="41" t="n">
        <f aca="false">S02!T75</f>
        <v>0</v>
      </c>
      <c r="V75" s="32" t="n">
        <f aca="false">T75-U75</f>
        <v>0</v>
      </c>
      <c r="W75" s="32" t="n">
        <f aca="false">N75-T75</f>
        <v>0</v>
      </c>
      <c r="X75" s="35"/>
    </row>
    <row r="76" customFormat="false" ht="21.75" hidden="false" customHeight="true" outlineLevel="0" collapsed="false">
      <c r="B76" s="10" t="n">
        <v>72</v>
      </c>
      <c r="C76" s="16" t="s">
        <v>119</v>
      </c>
      <c r="D76" s="10" t="s">
        <v>120</v>
      </c>
      <c r="E76" s="10" t="s">
        <v>15</v>
      </c>
      <c r="F76" s="10" t="s">
        <v>16</v>
      </c>
      <c r="G76" s="10" t="s">
        <v>125</v>
      </c>
      <c r="H76" s="10" t="s">
        <v>126</v>
      </c>
      <c r="I76" s="11" t="n">
        <v>500000</v>
      </c>
      <c r="J76" s="12" t="s">
        <v>19</v>
      </c>
      <c r="K76" s="13" t="n">
        <v>167</v>
      </c>
      <c r="L76" s="30"/>
      <c r="M76" s="42" t="n">
        <f aca="false">S02!M76+L76</f>
        <v>0</v>
      </c>
      <c r="N76" s="37" t="n">
        <f aca="false">IFERROR(M76/K76,0)</f>
        <v>0</v>
      </c>
      <c r="O76" s="43" t="n">
        <f aca="false">S02!N76</f>
        <v>0</v>
      </c>
      <c r="P76" s="37" t="n">
        <f aca="false">N76-O76</f>
        <v>0</v>
      </c>
      <c r="Q76" s="33"/>
      <c r="R76" s="33"/>
      <c r="S76" s="33"/>
      <c r="T76" s="34"/>
      <c r="U76" s="43" t="n">
        <f aca="false">S02!T76</f>
        <v>0</v>
      </c>
      <c r="V76" s="37" t="n">
        <f aca="false">T76-U76</f>
        <v>0</v>
      </c>
      <c r="W76" s="37" t="n">
        <f aca="false">N76-T76</f>
        <v>0</v>
      </c>
      <c r="X76" s="35"/>
    </row>
    <row r="77" customFormat="false" ht="25.5" hidden="false" customHeight="true" outlineLevel="0" collapsed="false">
      <c r="B77" s="17" t="s">
        <v>127</v>
      </c>
      <c r="C77" s="17"/>
      <c r="D77" s="17"/>
      <c r="E77" s="17"/>
      <c r="F77" s="17"/>
      <c r="G77" s="17"/>
      <c r="H77" s="17"/>
      <c r="I77" s="18" t="n">
        <f aca="false">SUM(I5:I76)</f>
        <v>130262675</v>
      </c>
      <c r="J77" s="17"/>
      <c r="K77" s="17"/>
      <c r="L77" s="38" t="n">
        <f aca="false">SUM(L5:L76)</f>
        <v>0</v>
      </c>
      <c r="M77" s="38" t="n">
        <f aca="false">SUM(M5:M76)</f>
        <v>0</v>
      </c>
      <c r="N77" s="39" t="n">
        <f aca="false">IFERROR(SUMPRODUCT(N5:N76,I5:I76)/I77,0)</f>
        <v>0</v>
      </c>
      <c r="O77" s="39" t="n">
        <f aca="false">IFERROR(SUMPRODUCT(O5:O76,I5:I76)/I77,0)</f>
        <v>0</v>
      </c>
      <c r="P77" s="39" t="n">
        <f aca="false">N77-O77</f>
        <v>0</v>
      </c>
      <c r="Q77" s="18" t="n">
        <f aca="false">SUM(Q5:Q76)</f>
        <v>0</v>
      </c>
      <c r="R77" s="18" t="n">
        <f aca="false">SUM(R5:R76)</f>
        <v>0</v>
      </c>
      <c r="S77" s="18" t="n">
        <f aca="false">SUM(S5:S76)</f>
        <v>0</v>
      </c>
      <c r="T77" s="39" t="n">
        <f aca="false">IFERROR(SUMPRODUCT(T5:T76,I5:I76)/I77,0)</f>
        <v>0</v>
      </c>
      <c r="U77" s="39" t="n">
        <f aca="false">IFERROR(SUMPRODUCT(U5:U76,I5:I76)/I77,0)</f>
        <v>0</v>
      </c>
      <c r="V77" s="39" t="n">
        <f aca="false">T77-U77</f>
        <v>0</v>
      </c>
      <c r="W77" s="39" t="n">
        <f aca="false">N77-T77</f>
        <v>0</v>
      </c>
      <c r="X77" s="17"/>
    </row>
  </sheetData>
  <sheetProtection sheet="true" password="cbbe"/>
  <mergeCells count="6">
    <mergeCell ref="B2:X2"/>
    <mergeCell ref="C3:D3"/>
    <mergeCell ref="E3:I3"/>
    <mergeCell ref="J3:P3"/>
    <mergeCell ref="Q3:V3"/>
    <mergeCell ref="W3:X3"/>
  </mergeCells>
  <conditionalFormatting sqref="P5:P7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V5:V76">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W5:W76">
    <cfRule type="cellIs" priority="6" operator="greaterThan" aboveAverage="0" equalAverage="0" bottom="0" percent="0" rank="0" text="" dxfId="0">
      <formula>0.05</formula>
    </cfRule>
    <cfRule type="cellIs" priority="7" operator="lessThan" aboveAverage="0" equalAverage="0" bottom="0" percent="0" rank="0" text="" dxfId="1">
      <formula>-0.05</formula>
    </cfRule>
    <cfRule type="cellIs" priority="8" operator="between" aboveAverage="0" equalAverage="0" bottom="0" percent="0" rank="0" text="" dxfId="2">
      <formula>-0.05</formula>
      <formula>0.05</formula>
    </cfRule>
  </conditionalFormatting>
  <conditionalFormatting sqref="N5:N76">
    <cfRule type="dataBar" priority="9">
      <dataBar showValue="1" minLength="10" maxLength="90">
        <cfvo type="num" val="0"/>
        <cfvo type="num" val="1"/>
        <color rgb="FF1B7D46"/>
      </dataBar>
      <extLst>
        <ext xmlns:x14="http://schemas.microsoft.com/office/spreadsheetml/2009/9/main" uri="{B025F937-C7B1-47D3-B67F-A62EFF666E3E}">
          <x14:id>{C6E04066-3EC4-4FD0-99D8-DDE6D152B096}</x14:id>
        </ext>
      </extLst>
    </cfRule>
  </conditionalFormatting>
  <conditionalFormatting sqref="T5:T76">
    <cfRule type="dataBar" priority="10">
      <dataBar showValue="1" minLength="10" maxLength="90">
        <cfvo type="num" val="0"/>
        <cfvo type="num" val="1"/>
        <color rgb="FFD4820A"/>
      </dataBar>
      <extLst>
        <ext xmlns:x14="http://schemas.microsoft.com/office/spreadsheetml/2009/9/main" uri="{B025F937-C7B1-47D3-B67F-A62EFF666E3E}">
          <x14:id>{4F9926A1-C470-42DF-A4FC-CD3DEEBE1E54}</x14:id>
        </ext>
      </extLst>
    </cfRule>
  </conditionalFormatting>
  <dataValidations count="2">
    <dataValidation allowBlank="true" error="Valeur entre 0% et 100%" errorStyle="stop" errorTitle="Invalide" operator="between" prompt="Entrez 0.25 pour 25%" promptTitle="Avancement %" showDropDown="false" showErrorMessage="false" showInputMessage="false" sqref="T5:T76" type="decimal">
      <formula1>0</formula1>
      <formula2>1</formula2>
    </dataValidation>
    <dataValidation allowBlank="true" error="Quantité doit être &gt;= 0" errorStyle="stop" errorTitle="Invalide" operator="greaterThanOrEqual" prompt="Entrez la quantité réalisée cette semaine" promptTitle="Qté Réalisée" showDropDown="false" showErrorMessage="false" showInputMessage="false" sqref="L5:L7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C6E04066-3EC4-4FD0-99D8-DDE6D152B096}">
            <x14:dataBar minLength="10" maxLength="90" axisPosition="none" gradient="true">
              <x14:cfvo type="num">
                <xm:f>0</xm:f>
              </x14:cfvo>
              <x14:cfvo type="num">
                <xm:f>1</xm:f>
              </x14:cfvo>
              <x14:negativeFillColor rgb="FF1B7D46"/>
              <x14:axisColor rgb="FF000000"/>
            </x14:dataBar>
          </x14:cfRule>
          <xm:sqref>N5:N76</xm:sqref>
        </x14:conditionalFormatting>
        <x14:conditionalFormatting xmlns:xm="http://schemas.microsoft.com/office/excel/2006/main">
          <x14:cfRule type="dataBar" id="{4F9926A1-C470-42DF-A4FC-CD3DEEBE1E54}">
            <x14:dataBar minLength="10" maxLength="90" axisPosition="none" gradient="true">
              <x14:cfvo type="num">
                <xm:f>0</xm:f>
              </x14:cfvo>
              <x14:cfvo type="num">
                <xm:f>1</xm:f>
              </x14:cfvo>
              <x14:negativeFillColor rgb="FFD4820A"/>
              <x14:axisColor rgb="FF000000"/>
            </x14:dataBar>
          </x14:cfRule>
          <xm:sqref>T5:T76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14"/>
    <col collapsed="false" customWidth="true" hidden="false" outlineLevel="0" max="4" min="4" style="0" width="18"/>
    <col collapsed="false" customWidth="true" hidden="false" outlineLevel="0" max="5" min="5" style="0" width="9"/>
    <col collapsed="false" customWidth="true" hidden="false" outlineLevel="0" max="6" min="6" style="0" width="32"/>
    <col collapsed="false" customWidth="true" hidden="false" outlineLevel="0" max="7" min="7" style="0" width="28"/>
    <col collapsed="false" customWidth="true" hidden="false" outlineLevel="0" max="8" min="8" style="0" width="34"/>
    <col collapsed="false" customWidth="true" hidden="false" outlineLevel="0" max="9" min="9" style="0" width="14"/>
    <col collapsed="false" customWidth="true" hidden="false" outlineLevel="0" max="10" min="10" style="0" width="8"/>
    <col collapsed="false" customWidth="true" hidden="false" outlineLevel="0" max="11" min="11" style="0" width="12"/>
    <col collapsed="false" customWidth="true" hidden="false" outlineLevel="0" max="16" min="12" style="0" width="14"/>
    <col collapsed="false" customWidth="true" hidden="false" outlineLevel="0" max="19" min="17" style="0" width="16"/>
    <col collapsed="false" customWidth="true" hidden="false" outlineLevel="0" max="23" min="20" style="0" width="14"/>
    <col collapsed="false" customWidth="true" hidden="false" outlineLevel="0" max="24" min="24" style="0" width="24"/>
  </cols>
  <sheetData>
    <row r="1" customFormat="false" ht="15" hidden="false" customHeight="true" outlineLevel="0" collapsed="false"/>
    <row r="2" customFormat="false" ht="31.5" hidden="false" customHeight="true" outlineLevel="0" collapsed="false">
      <c r="B2" s="1" t="s">
        <v>167</v>
      </c>
      <c r="C2" s="1"/>
      <c r="D2" s="1"/>
      <c r="E2" s="1"/>
      <c r="F2" s="1"/>
      <c r="G2" s="1"/>
      <c r="H2" s="1"/>
      <c r="I2" s="1"/>
      <c r="J2" s="1"/>
      <c r="K2" s="1"/>
      <c r="L2" s="1"/>
      <c r="M2" s="1"/>
      <c r="N2" s="1"/>
      <c r="O2" s="1"/>
      <c r="P2" s="1"/>
      <c r="Q2" s="1"/>
      <c r="R2" s="1"/>
      <c r="S2" s="1"/>
      <c r="T2" s="1"/>
      <c r="U2" s="1"/>
      <c r="V2" s="1"/>
      <c r="W2" s="1"/>
      <c r="X2" s="1"/>
    </row>
    <row r="3" customFormat="false" ht="21.75" hidden="false" customHeight="true" outlineLevel="0" collapsed="false">
      <c r="B3" s="21" t="s">
        <v>148</v>
      </c>
      <c r="C3" s="22"/>
      <c r="D3" s="22"/>
      <c r="E3" s="23" t="s">
        <v>149</v>
      </c>
      <c r="F3" s="23"/>
      <c r="G3" s="23"/>
      <c r="H3" s="23"/>
      <c r="I3" s="23"/>
      <c r="J3" s="24" t="s">
        <v>133</v>
      </c>
      <c r="K3" s="24"/>
      <c r="L3" s="24"/>
      <c r="M3" s="24"/>
      <c r="N3" s="24"/>
      <c r="O3" s="24"/>
      <c r="P3" s="24"/>
      <c r="Q3" s="25" t="s">
        <v>150</v>
      </c>
      <c r="R3" s="25"/>
      <c r="S3" s="25"/>
      <c r="T3" s="25"/>
      <c r="U3" s="25"/>
      <c r="V3" s="25"/>
      <c r="W3" s="26" t="s">
        <v>151</v>
      </c>
      <c r="X3" s="26"/>
    </row>
    <row r="4" customFormat="false" ht="27.75" hidden="false" customHeight="true" outlineLevel="0" collapsed="false">
      <c r="B4" s="4" t="s">
        <v>3</v>
      </c>
      <c r="C4" s="4" t="s">
        <v>4</v>
      </c>
      <c r="D4" s="4" t="s">
        <v>5</v>
      </c>
      <c r="E4" s="4" t="s">
        <v>6</v>
      </c>
      <c r="F4" s="4" t="s">
        <v>7</v>
      </c>
      <c r="G4" s="4" t="s">
        <v>8</v>
      </c>
      <c r="H4" s="4" t="s">
        <v>9</v>
      </c>
      <c r="I4" s="4" t="s">
        <v>10</v>
      </c>
      <c r="J4" s="27" t="s">
        <v>11</v>
      </c>
      <c r="K4" s="27" t="s">
        <v>12</v>
      </c>
      <c r="L4" s="27" t="s">
        <v>152</v>
      </c>
      <c r="M4" s="27" t="s">
        <v>153</v>
      </c>
      <c r="N4" s="27" t="s">
        <v>154</v>
      </c>
      <c r="O4" s="27" t="s">
        <v>155</v>
      </c>
      <c r="P4" s="27" t="s">
        <v>156</v>
      </c>
      <c r="Q4" s="28" t="s">
        <v>157</v>
      </c>
      <c r="R4" s="28" t="s">
        <v>158</v>
      </c>
      <c r="S4" s="28" t="s">
        <v>159</v>
      </c>
      <c r="T4" s="28" t="s">
        <v>160</v>
      </c>
      <c r="U4" s="28" t="s">
        <v>161</v>
      </c>
      <c r="V4" s="28" t="s">
        <v>162</v>
      </c>
      <c r="W4" s="29" t="s">
        <v>163</v>
      </c>
      <c r="X4" s="29" t="s">
        <v>164</v>
      </c>
    </row>
    <row r="5" customFormat="false" ht="21.75" hidden="false" customHeight="true" outlineLevel="0" collapsed="false">
      <c r="B5" s="5" t="n">
        <v>1</v>
      </c>
      <c r="C5" s="6" t="s">
        <v>13</v>
      </c>
      <c r="D5" s="5" t="s">
        <v>14</v>
      </c>
      <c r="E5" s="5" t="s">
        <v>15</v>
      </c>
      <c r="F5" s="5" t="s">
        <v>16</v>
      </c>
      <c r="G5" s="5" t="s">
        <v>17</v>
      </c>
      <c r="H5" s="5" t="s">
        <v>18</v>
      </c>
      <c r="I5" s="7" t="n">
        <v>2091568</v>
      </c>
      <c r="J5" s="8" t="s">
        <v>19</v>
      </c>
      <c r="K5" s="9" t="n">
        <v>1046</v>
      </c>
      <c r="L5" s="30"/>
      <c r="M5" s="40" t="n">
        <f aca="false">S03!M5+L5</f>
        <v>0</v>
      </c>
      <c r="N5" s="32" t="n">
        <f aca="false">IFERROR(M5/K5,0)</f>
        <v>0</v>
      </c>
      <c r="O5" s="41" t="n">
        <f aca="false">S03!N5</f>
        <v>0</v>
      </c>
      <c r="P5" s="32" t="n">
        <f aca="false">N5-O5</f>
        <v>0</v>
      </c>
      <c r="Q5" s="33"/>
      <c r="R5" s="33"/>
      <c r="S5" s="33"/>
      <c r="T5" s="34"/>
      <c r="U5" s="41" t="n">
        <f aca="false">S03!T5</f>
        <v>0</v>
      </c>
      <c r="V5" s="32" t="n">
        <f aca="false">T5-U5</f>
        <v>0</v>
      </c>
      <c r="W5" s="32" t="n">
        <f aca="false">N5-T5</f>
        <v>0</v>
      </c>
      <c r="X5" s="35"/>
    </row>
    <row r="6" customFormat="false" ht="21.75" hidden="false" customHeight="true" outlineLevel="0" collapsed="false">
      <c r="B6" s="10" t="n">
        <v>2</v>
      </c>
      <c r="C6" s="6" t="s">
        <v>13</v>
      </c>
      <c r="D6" s="10" t="s">
        <v>14</v>
      </c>
      <c r="E6" s="10" t="s">
        <v>20</v>
      </c>
      <c r="F6" s="10" t="s">
        <v>21</v>
      </c>
      <c r="G6" s="10" t="s">
        <v>22</v>
      </c>
      <c r="H6" s="10" t="s">
        <v>23</v>
      </c>
      <c r="I6" s="11" t="n">
        <v>78000</v>
      </c>
      <c r="J6" s="12" t="s">
        <v>24</v>
      </c>
      <c r="K6" s="13" t="n">
        <v>1</v>
      </c>
      <c r="L6" s="30"/>
      <c r="M6" s="42" t="n">
        <f aca="false">S03!M6+L6</f>
        <v>0</v>
      </c>
      <c r="N6" s="37" t="n">
        <f aca="false">IFERROR(M6/K6,0)</f>
        <v>0</v>
      </c>
      <c r="O6" s="43" t="n">
        <f aca="false">S03!N6</f>
        <v>0</v>
      </c>
      <c r="P6" s="37" t="n">
        <f aca="false">N6-O6</f>
        <v>0</v>
      </c>
      <c r="Q6" s="33"/>
      <c r="R6" s="33"/>
      <c r="S6" s="33"/>
      <c r="T6" s="34"/>
      <c r="U6" s="43" t="n">
        <f aca="false">S03!T6</f>
        <v>0</v>
      </c>
      <c r="V6" s="37" t="n">
        <f aca="false">T6-U6</f>
        <v>0</v>
      </c>
      <c r="W6" s="37" t="n">
        <f aca="false">N6-T6</f>
        <v>0</v>
      </c>
      <c r="X6" s="35"/>
    </row>
    <row r="7" customFormat="false" ht="21.75" hidden="false" customHeight="true" outlineLevel="0" collapsed="false">
      <c r="B7" s="5" t="n">
        <v>3</v>
      </c>
      <c r="C7" s="6" t="s">
        <v>13</v>
      </c>
      <c r="D7" s="5" t="s">
        <v>14</v>
      </c>
      <c r="E7" s="5" t="s">
        <v>15</v>
      </c>
      <c r="F7" s="5" t="s">
        <v>16</v>
      </c>
      <c r="G7" s="5" t="s">
        <v>25</v>
      </c>
      <c r="H7" s="5" t="s">
        <v>26</v>
      </c>
      <c r="I7" s="7" t="n">
        <v>126000</v>
      </c>
      <c r="J7" s="8" t="s">
        <v>19</v>
      </c>
      <c r="K7" s="9" t="n">
        <v>42</v>
      </c>
      <c r="L7" s="30"/>
      <c r="M7" s="40" t="n">
        <f aca="false">S03!M7+L7</f>
        <v>0</v>
      </c>
      <c r="N7" s="32" t="n">
        <f aca="false">IFERROR(M7/K7,0)</f>
        <v>0</v>
      </c>
      <c r="O7" s="41" t="n">
        <f aca="false">S03!N7</f>
        <v>0</v>
      </c>
      <c r="P7" s="32" t="n">
        <f aca="false">N7-O7</f>
        <v>0</v>
      </c>
      <c r="Q7" s="33"/>
      <c r="R7" s="33"/>
      <c r="S7" s="33"/>
      <c r="T7" s="34"/>
      <c r="U7" s="41" t="n">
        <f aca="false">S03!T7</f>
        <v>0</v>
      </c>
      <c r="V7" s="32" t="n">
        <f aca="false">T7-U7</f>
        <v>0</v>
      </c>
      <c r="W7" s="32" t="n">
        <f aca="false">N7-T7</f>
        <v>0</v>
      </c>
      <c r="X7" s="35"/>
    </row>
    <row r="8" customFormat="false" ht="21.75" hidden="false" customHeight="true" outlineLevel="0" collapsed="false">
      <c r="B8" s="10" t="n">
        <v>4</v>
      </c>
      <c r="C8" s="6" t="s">
        <v>13</v>
      </c>
      <c r="D8" s="10" t="s">
        <v>14</v>
      </c>
      <c r="E8" s="10" t="s">
        <v>27</v>
      </c>
      <c r="F8" s="10" t="s">
        <v>28</v>
      </c>
      <c r="G8" s="10" t="s">
        <v>29</v>
      </c>
      <c r="H8" s="10" t="s">
        <v>30</v>
      </c>
      <c r="I8" s="11" t="n">
        <v>165500</v>
      </c>
      <c r="J8" s="12" t="s">
        <v>31</v>
      </c>
      <c r="K8" s="13" t="n">
        <v>3</v>
      </c>
      <c r="L8" s="30"/>
      <c r="M8" s="42" t="n">
        <f aca="false">S03!M8+L8</f>
        <v>0</v>
      </c>
      <c r="N8" s="37" t="n">
        <f aca="false">IFERROR(M8/K8,0)</f>
        <v>0</v>
      </c>
      <c r="O8" s="43" t="n">
        <f aca="false">S03!N8</f>
        <v>0</v>
      </c>
      <c r="P8" s="37" t="n">
        <f aca="false">N8-O8</f>
        <v>0</v>
      </c>
      <c r="Q8" s="33"/>
      <c r="R8" s="33"/>
      <c r="S8" s="33"/>
      <c r="T8" s="34"/>
      <c r="U8" s="43" t="n">
        <f aca="false">S03!T8</f>
        <v>0</v>
      </c>
      <c r="V8" s="37" t="n">
        <f aca="false">T8-U8</f>
        <v>0</v>
      </c>
      <c r="W8" s="37" t="n">
        <f aca="false">N8-T8</f>
        <v>0</v>
      </c>
      <c r="X8" s="35"/>
    </row>
    <row r="9" customFormat="false" ht="21.75" hidden="false" customHeight="true" outlineLevel="0" collapsed="false">
      <c r="B9" s="5" t="n">
        <v>5</v>
      </c>
      <c r="C9" s="6" t="s">
        <v>13</v>
      </c>
      <c r="D9" s="5" t="s">
        <v>32</v>
      </c>
      <c r="E9" s="5" t="s">
        <v>15</v>
      </c>
      <c r="F9" s="5" t="s">
        <v>16</v>
      </c>
      <c r="G9" s="5" t="s">
        <v>17</v>
      </c>
      <c r="H9" s="5" t="s">
        <v>33</v>
      </c>
      <c r="I9" s="7" t="n">
        <v>1000000</v>
      </c>
      <c r="J9" s="8" t="s">
        <v>19</v>
      </c>
      <c r="K9" s="9" t="n">
        <v>500</v>
      </c>
      <c r="L9" s="30"/>
      <c r="M9" s="40" t="n">
        <f aca="false">S03!M9+L9</f>
        <v>0</v>
      </c>
      <c r="N9" s="32" t="n">
        <f aca="false">IFERROR(M9/K9,0)</f>
        <v>0</v>
      </c>
      <c r="O9" s="41" t="n">
        <f aca="false">S03!N9</f>
        <v>0</v>
      </c>
      <c r="P9" s="32" t="n">
        <f aca="false">N9-O9</f>
        <v>0</v>
      </c>
      <c r="Q9" s="33"/>
      <c r="R9" s="33"/>
      <c r="S9" s="33"/>
      <c r="T9" s="34"/>
      <c r="U9" s="41" t="n">
        <f aca="false">S03!T9</f>
        <v>0</v>
      </c>
      <c r="V9" s="32" t="n">
        <f aca="false">T9-U9</f>
        <v>0</v>
      </c>
      <c r="W9" s="32" t="n">
        <f aca="false">N9-T9</f>
        <v>0</v>
      </c>
      <c r="X9" s="35"/>
    </row>
    <row r="10" customFormat="false" ht="21.75" hidden="false" customHeight="true" outlineLevel="0" collapsed="false">
      <c r="B10" s="10" t="n">
        <v>6</v>
      </c>
      <c r="C10" s="6" t="s">
        <v>13</v>
      </c>
      <c r="D10" s="10" t="s">
        <v>32</v>
      </c>
      <c r="E10" s="10" t="s">
        <v>15</v>
      </c>
      <c r="F10" s="10" t="s">
        <v>16</v>
      </c>
      <c r="G10" s="10"/>
      <c r="H10" s="10" t="s">
        <v>34</v>
      </c>
      <c r="I10" s="11" t="n">
        <v>846731</v>
      </c>
      <c r="J10" s="12" t="s">
        <v>19</v>
      </c>
      <c r="K10" s="13" t="n">
        <v>423</v>
      </c>
      <c r="L10" s="30"/>
      <c r="M10" s="42" t="n">
        <f aca="false">S03!M10+L10</f>
        <v>0</v>
      </c>
      <c r="N10" s="37" t="n">
        <f aca="false">IFERROR(M10/K10,0)</f>
        <v>0</v>
      </c>
      <c r="O10" s="43" t="n">
        <f aca="false">S03!N10</f>
        <v>0</v>
      </c>
      <c r="P10" s="37" t="n">
        <f aca="false">N10-O10</f>
        <v>0</v>
      </c>
      <c r="Q10" s="33"/>
      <c r="R10" s="33"/>
      <c r="S10" s="33"/>
      <c r="T10" s="34"/>
      <c r="U10" s="43" t="n">
        <f aca="false">S03!T10</f>
        <v>0</v>
      </c>
      <c r="V10" s="37" t="n">
        <f aca="false">T10-U10</f>
        <v>0</v>
      </c>
      <c r="W10" s="37" t="n">
        <f aca="false">N10-T10</f>
        <v>0</v>
      </c>
      <c r="X10" s="35"/>
    </row>
    <row r="11" customFormat="false" ht="21.75" hidden="false" customHeight="true" outlineLevel="0" collapsed="false">
      <c r="B11" s="5" t="n">
        <v>7</v>
      </c>
      <c r="C11" s="6" t="s">
        <v>13</v>
      </c>
      <c r="D11" s="5" t="s">
        <v>32</v>
      </c>
      <c r="E11" s="5" t="s">
        <v>15</v>
      </c>
      <c r="F11" s="5" t="s">
        <v>16</v>
      </c>
      <c r="G11" s="5" t="s">
        <v>25</v>
      </c>
      <c r="H11" s="5" t="s">
        <v>35</v>
      </c>
      <c r="I11" s="7" t="n">
        <v>200000</v>
      </c>
      <c r="J11" s="8" t="s">
        <v>19</v>
      </c>
      <c r="K11" s="9" t="n">
        <v>67</v>
      </c>
      <c r="L11" s="30"/>
      <c r="M11" s="40" t="n">
        <f aca="false">S03!M11+L11</f>
        <v>0</v>
      </c>
      <c r="N11" s="32" t="n">
        <f aca="false">IFERROR(M11/K11,0)</f>
        <v>0</v>
      </c>
      <c r="O11" s="41" t="n">
        <f aca="false">S03!N11</f>
        <v>0</v>
      </c>
      <c r="P11" s="32" t="n">
        <f aca="false">N11-O11</f>
        <v>0</v>
      </c>
      <c r="Q11" s="33"/>
      <c r="R11" s="33"/>
      <c r="S11" s="33"/>
      <c r="T11" s="34"/>
      <c r="U11" s="41" t="n">
        <f aca="false">S03!T11</f>
        <v>0</v>
      </c>
      <c r="V11" s="32" t="n">
        <f aca="false">T11-U11</f>
        <v>0</v>
      </c>
      <c r="W11" s="32" t="n">
        <f aca="false">N11-T11</f>
        <v>0</v>
      </c>
      <c r="X11" s="35"/>
    </row>
    <row r="12" customFormat="false" ht="21.75" hidden="false" customHeight="true" outlineLevel="0" collapsed="false">
      <c r="B12" s="10" t="n">
        <v>8</v>
      </c>
      <c r="C12" s="6" t="s">
        <v>13</v>
      </c>
      <c r="D12" s="10" t="s">
        <v>32</v>
      </c>
      <c r="E12" s="10" t="s">
        <v>27</v>
      </c>
      <c r="F12" s="10" t="s">
        <v>28</v>
      </c>
      <c r="G12" s="10" t="s">
        <v>29</v>
      </c>
      <c r="H12" s="10" t="s">
        <v>36</v>
      </c>
      <c r="I12" s="11" t="n">
        <v>141900</v>
      </c>
      <c r="J12" s="12" t="s">
        <v>31</v>
      </c>
      <c r="K12" s="13" t="n">
        <v>3</v>
      </c>
      <c r="L12" s="30"/>
      <c r="M12" s="42" t="n">
        <f aca="false">S03!M12+L12</f>
        <v>0</v>
      </c>
      <c r="N12" s="37" t="n">
        <f aca="false">IFERROR(M12/K12,0)</f>
        <v>0</v>
      </c>
      <c r="O12" s="43" t="n">
        <f aca="false">S03!N12</f>
        <v>0</v>
      </c>
      <c r="P12" s="37" t="n">
        <f aca="false">N12-O12</f>
        <v>0</v>
      </c>
      <c r="Q12" s="33"/>
      <c r="R12" s="33"/>
      <c r="S12" s="33"/>
      <c r="T12" s="34"/>
      <c r="U12" s="43" t="n">
        <f aca="false">S03!T12</f>
        <v>0</v>
      </c>
      <c r="V12" s="37" t="n">
        <f aca="false">T12-U12</f>
        <v>0</v>
      </c>
      <c r="W12" s="37" t="n">
        <f aca="false">N12-T12</f>
        <v>0</v>
      </c>
      <c r="X12" s="35"/>
    </row>
    <row r="13" customFormat="false" ht="21.75" hidden="false" customHeight="true" outlineLevel="0" collapsed="false">
      <c r="B13" s="5" t="n">
        <v>9</v>
      </c>
      <c r="C13" s="6" t="s">
        <v>13</v>
      </c>
      <c r="D13" s="5" t="s">
        <v>32</v>
      </c>
      <c r="E13" s="5" t="s">
        <v>27</v>
      </c>
      <c r="F13" s="5" t="s">
        <v>28</v>
      </c>
      <c r="G13" s="5" t="s">
        <v>37</v>
      </c>
      <c r="H13" s="5" t="s">
        <v>38</v>
      </c>
      <c r="I13" s="7" t="n">
        <v>26700</v>
      </c>
      <c r="J13" s="8" t="s">
        <v>31</v>
      </c>
      <c r="K13" s="9" t="n">
        <v>1</v>
      </c>
      <c r="L13" s="30"/>
      <c r="M13" s="40" t="n">
        <f aca="false">S03!M13+L13</f>
        <v>0</v>
      </c>
      <c r="N13" s="32" t="n">
        <f aca="false">IFERROR(M13/K13,0)</f>
        <v>0</v>
      </c>
      <c r="O13" s="41" t="n">
        <f aca="false">S03!N13</f>
        <v>0</v>
      </c>
      <c r="P13" s="32" t="n">
        <f aca="false">N13-O13</f>
        <v>0</v>
      </c>
      <c r="Q13" s="33"/>
      <c r="R13" s="33"/>
      <c r="S13" s="33"/>
      <c r="T13" s="34"/>
      <c r="U13" s="41" t="n">
        <f aca="false">S03!T13</f>
        <v>0</v>
      </c>
      <c r="V13" s="32" t="n">
        <f aca="false">T13-U13</f>
        <v>0</v>
      </c>
      <c r="W13" s="32" t="n">
        <f aca="false">N13-T13</f>
        <v>0</v>
      </c>
      <c r="X13" s="35"/>
    </row>
    <row r="14" customFormat="false" ht="21.75" hidden="false" customHeight="true" outlineLevel="0" collapsed="false">
      <c r="B14" s="10" t="n">
        <v>10</v>
      </c>
      <c r="C14" s="6" t="s">
        <v>13</v>
      </c>
      <c r="D14" s="10" t="s">
        <v>32</v>
      </c>
      <c r="E14" s="10" t="s">
        <v>27</v>
      </c>
      <c r="F14" s="10" t="s">
        <v>28</v>
      </c>
      <c r="G14" s="10" t="s">
        <v>39</v>
      </c>
      <c r="H14" s="10" t="s">
        <v>40</v>
      </c>
      <c r="I14" s="11" t="n">
        <v>480000</v>
      </c>
      <c r="J14" s="12" t="s">
        <v>41</v>
      </c>
      <c r="K14" s="13" t="n">
        <v>320</v>
      </c>
      <c r="L14" s="30"/>
      <c r="M14" s="42" t="n">
        <f aca="false">S03!M14+L14</f>
        <v>0</v>
      </c>
      <c r="N14" s="37" t="n">
        <f aca="false">IFERROR(M14/K14,0)</f>
        <v>0</v>
      </c>
      <c r="O14" s="43" t="n">
        <f aca="false">S03!N14</f>
        <v>0</v>
      </c>
      <c r="P14" s="37" t="n">
        <f aca="false">N14-O14</f>
        <v>0</v>
      </c>
      <c r="Q14" s="33"/>
      <c r="R14" s="33"/>
      <c r="S14" s="33"/>
      <c r="T14" s="34"/>
      <c r="U14" s="43" t="n">
        <f aca="false">S03!T14</f>
        <v>0</v>
      </c>
      <c r="V14" s="37" t="n">
        <f aca="false">T14-U14</f>
        <v>0</v>
      </c>
      <c r="W14" s="37" t="n">
        <f aca="false">N14-T14</f>
        <v>0</v>
      </c>
      <c r="X14" s="35"/>
    </row>
    <row r="15" customFormat="false" ht="21.75" hidden="false" customHeight="true" outlineLevel="0" collapsed="false">
      <c r="B15" s="5" t="n">
        <v>11</v>
      </c>
      <c r="C15" s="6" t="s">
        <v>13</v>
      </c>
      <c r="D15" s="5" t="s">
        <v>32</v>
      </c>
      <c r="E15" s="5" t="s">
        <v>27</v>
      </c>
      <c r="F15" s="5" t="s">
        <v>28</v>
      </c>
      <c r="G15" s="5" t="s">
        <v>42</v>
      </c>
      <c r="H15" s="14" t="s">
        <v>43</v>
      </c>
      <c r="I15" s="7" t="n">
        <v>300000</v>
      </c>
      <c r="J15" s="8" t="s">
        <v>31</v>
      </c>
      <c r="K15" s="9" t="n">
        <v>1</v>
      </c>
      <c r="L15" s="30"/>
      <c r="M15" s="40" t="n">
        <f aca="false">S03!M15+L15</f>
        <v>0</v>
      </c>
      <c r="N15" s="32" t="n">
        <f aca="false">IFERROR(M15/K15,0)</f>
        <v>0</v>
      </c>
      <c r="O15" s="41" t="n">
        <f aca="false">S03!N15</f>
        <v>0</v>
      </c>
      <c r="P15" s="32" t="n">
        <f aca="false">N15-O15</f>
        <v>0</v>
      </c>
      <c r="Q15" s="33"/>
      <c r="R15" s="33"/>
      <c r="S15" s="33"/>
      <c r="T15" s="34"/>
      <c r="U15" s="41" t="n">
        <f aca="false">S03!T15</f>
        <v>0</v>
      </c>
      <c r="V15" s="32" t="n">
        <f aca="false">T15-U15</f>
        <v>0</v>
      </c>
      <c r="W15" s="32" t="n">
        <f aca="false">N15-T15</f>
        <v>0</v>
      </c>
      <c r="X15" s="35"/>
    </row>
    <row r="16" customFormat="false" ht="21.75" hidden="false" customHeight="true" outlineLevel="0" collapsed="false">
      <c r="B16" s="10" t="n">
        <v>12</v>
      </c>
      <c r="C16" s="6" t="s">
        <v>13</v>
      </c>
      <c r="D16" s="10" t="s">
        <v>44</v>
      </c>
      <c r="E16" s="10" t="s">
        <v>15</v>
      </c>
      <c r="F16" s="10" t="s">
        <v>16</v>
      </c>
      <c r="G16" s="10" t="s">
        <v>17</v>
      </c>
      <c r="H16" s="10" t="s">
        <v>45</v>
      </c>
      <c r="I16" s="11" t="n">
        <v>1000000</v>
      </c>
      <c r="J16" s="12" t="s">
        <v>19</v>
      </c>
      <c r="K16" s="13" t="n">
        <v>500</v>
      </c>
      <c r="L16" s="30"/>
      <c r="M16" s="42" t="n">
        <f aca="false">S03!M16+L16</f>
        <v>0</v>
      </c>
      <c r="N16" s="37" t="n">
        <f aca="false">IFERROR(M16/K16,0)</f>
        <v>0</v>
      </c>
      <c r="O16" s="43" t="n">
        <f aca="false">S03!N16</f>
        <v>0</v>
      </c>
      <c r="P16" s="37" t="n">
        <f aca="false">N16-O16</f>
        <v>0</v>
      </c>
      <c r="Q16" s="33"/>
      <c r="R16" s="33"/>
      <c r="S16" s="33"/>
      <c r="T16" s="34"/>
      <c r="U16" s="43" t="n">
        <f aca="false">S03!T16</f>
        <v>0</v>
      </c>
      <c r="V16" s="37" t="n">
        <f aca="false">T16-U16</f>
        <v>0</v>
      </c>
      <c r="W16" s="37" t="n">
        <f aca="false">N16-T16</f>
        <v>0</v>
      </c>
      <c r="X16" s="35"/>
    </row>
    <row r="17" customFormat="false" ht="21.75" hidden="false" customHeight="true" outlineLevel="0" collapsed="false">
      <c r="B17" s="5" t="n">
        <v>13</v>
      </c>
      <c r="C17" s="6" t="s">
        <v>13</v>
      </c>
      <c r="D17" s="5" t="s">
        <v>44</v>
      </c>
      <c r="E17" s="5" t="s">
        <v>15</v>
      </c>
      <c r="F17" s="5" t="s">
        <v>16</v>
      </c>
      <c r="G17" s="5" t="s">
        <v>46</v>
      </c>
      <c r="H17" s="5" t="s">
        <v>47</v>
      </c>
      <c r="I17" s="7" t="n">
        <v>739200</v>
      </c>
      <c r="J17" s="8" t="s">
        <v>19</v>
      </c>
      <c r="K17" s="9" t="n">
        <v>370</v>
      </c>
      <c r="L17" s="30"/>
      <c r="M17" s="40" t="n">
        <f aca="false">S03!M17+L17</f>
        <v>0</v>
      </c>
      <c r="N17" s="32" t="n">
        <f aca="false">IFERROR(M17/K17,0)</f>
        <v>0</v>
      </c>
      <c r="O17" s="41" t="n">
        <f aca="false">S03!N17</f>
        <v>0</v>
      </c>
      <c r="P17" s="32" t="n">
        <f aca="false">N17-O17</f>
        <v>0</v>
      </c>
      <c r="Q17" s="33"/>
      <c r="R17" s="33"/>
      <c r="S17" s="33"/>
      <c r="T17" s="34"/>
      <c r="U17" s="41" t="n">
        <f aca="false">S03!T17</f>
        <v>0</v>
      </c>
      <c r="V17" s="32" t="n">
        <f aca="false">T17-U17</f>
        <v>0</v>
      </c>
      <c r="W17" s="32" t="n">
        <f aca="false">N17-T17</f>
        <v>0</v>
      </c>
      <c r="X17" s="35"/>
    </row>
    <row r="18" customFormat="false" ht="21.75" hidden="false" customHeight="true" outlineLevel="0" collapsed="false">
      <c r="B18" s="10" t="n">
        <v>14</v>
      </c>
      <c r="C18" s="6" t="s">
        <v>13</v>
      </c>
      <c r="D18" s="10" t="s">
        <v>48</v>
      </c>
      <c r="E18" s="10" t="s">
        <v>15</v>
      </c>
      <c r="F18" s="10" t="s">
        <v>16</v>
      </c>
      <c r="G18" s="10" t="s">
        <v>46</v>
      </c>
      <c r="H18" s="10" t="s">
        <v>49</v>
      </c>
      <c r="I18" s="11" t="n">
        <v>1276800</v>
      </c>
      <c r="J18" s="12" t="s">
        <v>19</v>
      </c>
      <c r="K18" s="13" t="n">
        <v>638</v>
      </c>
      <c r="L18" s="30"/>
      <c r="M18" s="42" t="n">
        <f aca="false">S03!M18+L18</f>
        <v>0</v>
      </c>
      <c r="N18" s="37" t="n">
        <f aca="false">IFERROR(M18/K18,0)</f>
        <v>0</v>
      </c>
      <c r="O18" s="43" t="n">
        <f aca="false">S03!N18</f>
        <v>0</v>
      </c>
      <c r="P18" s="37" t="n">
        <f aca="false">N18-O18</f>
        <v>0</v>
      </c>
      <c r="Q18" s="33"/>
      <c r="R18" s="33"/>
      <c r="S18" s="33"/>
      <c r="T18" s="34"/>
      <c r="U18" s="43" t="n">
        <f aca="false">S03!T18</f>
        <v>0</v>
      </c>
      <c r="V18" s="37" t="n">
        <f aca="false">T18-U18</f>
        <v>0</v>
      </c>
      <c r="W18" s="37" t="n">
        <f aca="false">N18-T18</f>
        <v>0</v>
      </c>
      <c r="X18" s="35"/>
    </row>
    <row r="19" customFormat="false" ht="21.75" hidden="false" customHeight="true" outlineLevel="0" collapsed="false">
      <c r="B19" s="5" t="n">
        <v>15</v>
      </c>
      <c r="C19" s="6" t="s">
        <v>13</v>
      </c>
      <c r="D19" s="5" t="s">
        <v>50</v>
      </c>
      <c r="E19" s="5" t="s">
        <v>15</v>
      </c>
      <c r="F19" s="5" t="s">
        <v>16</v>
      </c>
      <c r="G19" s="5" t="s">
        <v>17</v>
      </c>
      <c r="H19" s="5" t="s">
        <v>51</v>
      </c>
      <c r="I19" s="7" t="n">
        <v>5796360</v>
      </c>
      <c r="J19" s="8" t="s">
        <v>19</v>
      </c>
      <c r="K19" s="9" t="n">
        <v>2898</v>
      </c>
      <c r="L19" s="30"/>
      <c r="M19" s="40" t="n">
        <f aca="false">S03!M19+L19</f>
        <v>0</v>
      </c>
      <c r="N19" s="32" t="n">
        <f aca="false">IFERROR(M19/K19,0)</f>
        <v>0</v>
      </c>
      <c r="O19" s="41" t="n">
        <f aca="false">S03!N19</f>
        <v>0</v>
      </c>
      <c r="P19" s="32" t="n">
        <f aca="false">N19-O19</f>
        <v>0</v>
      </c>
      <c r="Q19" s="33"/>
      <c r="R19" s="33"/>
      <c r="S19" s="33"/>
      <c r="T19" s="34"/>
      <c r="U19" s="41" t="n">
        <f aca="false">S03!T19</f>
        <v>0</v>
      </c>
      <c r="V19" s="32" t="n">
        <f aca="false">T19-U19</f>
        <v>0</v>
      </c>
      <c r="W19" s="32" t="n">
        <f aca="false">N19-T19</f>
        <v>0</v>
      </c>
      <c r="X19" s="35"/>
    </row>
    <row r="20" customFormat="false" ht="21.75" hidden="false" customHeight="true" outlineLevel="0" collapsed="false">
      <c r="B20" s="10" t="n">
        <v>16</v>
      </c>
      <c r="C20" s="6" t="s">
        <v>13</v>
      </c>
      <c r="D20" s="10" t="s">
        <v>50</v>
      </c>
      <c r="E20" s="10" t="s">
        <v>20</v>
      </c>
      <c r="F20" s="10" t="s">
        <v>21</v>
      </c>
      <c r="G20" s="10" t="s">
        <v>52</v>
      </c>
      <c r="H20" s="10" t="s">
        <v>52</v>
      </c>
      <c r="I20" s="11" t="n">
        <v>340000</v>
      </c>
      <c r="J20" s="12" t="s">
        <v>24</v>
      </c>
      <c r="K20" s="13" t="n">
        <v>1</v>
      </c>
      <c r="L20" s="30"/>
      <c r="M20" s="42" t="n">
        <f aca="false">S03!M20+L20</f>
        <v>0</v>
      </c>
      <c r="N20" s="37" t="n">
        <f aca="false">IFERROR(M20/K20,0)</f>
        <v>0</v>
      </c>
      <c r="O20" s="43" t="n">
        <f aca="false">S03!N20</f>
        <v>0</v>
      </c>
      <c r="P20" s="37" t="n">
        <f aca="false">N20-O20</f>
        <v>0</v>
      </c>
      <c r="Q20" s="33"/>
      <c r="R20" s="33"/>
      <c r="S20" s="33"/>
      <c r="T20" s="34"/>
      <c r="U20" s="43" t="n">
        <f aca="false">S03!T20</f>
        <v>0</v>
      </c>
      <c r="V20" s="37" t="n">
        <f aca="false">T20-U20</f>
        <v>0</v>
      </c>
      <c r="W20" s="37" t="n">
        <f aca="false">N20-T20</f>
        <v>0</v>
      </c>
      <c r="X20" s="35"/>
    </row>
    <row r="21" customFormat="false" ht="21.75" hidden="false" customHeight="true" outlineLevel="0" collapsed="false">
      <c r="B21" s="5" t="n">
        <v>17</v>
      </c>
      <c r="C21" s="6" t="s">
        <v>13</v>
      </c>
      <c r="D21" s="5" t="s">
        <v>53</v>
      </c>
      <c r="E21" s="5" t="s">
        <v>54</v>
      </c>
      <c r="F21" s="5" t="s">
        <v>55</v>
      </c>
      <c r="G21" s="5" t="s">
        <v>56</v>
      </c>
      <c r="H21" s="5" t="s">
        <v>57</v>
      </c>
      <c r="I21" s="7" t="n">
        <v>397934</v>
      </c>
      <c r="J21" s="8" t="s">
        <v>19</v>
      </c>
      <c r="K21" s="9" t="n">
        <v>133</v>
      </c>
      <c r="L21" s="30"/>
      <c r="M21" s="40" t="n">
        <f aca="false">S03!M21+L21</f>
        <v>0</v>
      </c>
      <c r="N21" s="32" t="n">
        <f aca="false">IFERROR(M21/K21,0)</f>
        <v>0</v>
      </c>
      <c r="O21" s="41" t="n">
        <f aca="false">S03!N21</f>
        <v>0</v>
      </c>
      <c r="P21" s="32" t="n">
        <f aca="false">N21-O21</f>
        <v>0</v>
      </c>
      <c r="Q21" s="33"/>
      <c r="R21" s="33"/>
      <c r="S21" s="33"/>
      <c r="T21" s="34"/>
      <c r="U21" s="41" t="n">
        <f aca="false">S03!T21</f>
        <v>0</v>
      </c>
      <c r="V21" s="32" t="n">
        <f aca="false">T21-U21</f>
        <v>0</v>
      </c>
      <c r="W21" s="32" t="n">
        <f aca="false">N21-T21</f>
        <v>0</v>
      </c>
      <c r="X21" s="35"/>
    </row>
    <row r="22" customFormat="false" ht="21.75" hidden="false" customHeight="true" outlineLevel="0" collapsed="false">
      <c r="B22" s="10" t="n">
        <v>18</v>
      </c>
      <c r="C22" s="6" t="s">
        <v>13</v>
      </c>
      <c r="D22" s="10" t="s">
        <v>53</v>
      </c>
      <c r="E22" s="10" t="s">
        <v>54</v>
      </c>
      <c r="F22" s="10" t="s">
        <v>55</v>
      </c>
      <c r="G22" s="10"/>
      <c r="H22" s="10" t="s">
        <v>58</v>
      </c>
      <c r="I22" s="11" t="n">
        <v>207575</v>
      </c>
      <c r="J22" s="12" t="s">
        <v>19</v>
      </c>
      <c r="K22" s="13" t="n">
        <v>69</v>
      </c>
      <c r="L22" s="30"/>
      <c r="M22" s="42" t="n">
        <f aca="false">S03!M22+L22</f>
        <v>0</v>
      </c>
      <c r="N22" s="37" t="n">
        <f aca="false">IFERROR(M22/K22,0)</f>
        <v>0</v>
      </c>
      <c r="O22" s="43" t="n">
        <f aca="false">S03!N22</f>
        <v>0</v>
      </c>
      <c r="P22" s="37" t="n">
        <f aca="false">N22-O22</f>
        <v>0</v>
      </c>
      <c r="Q22" s="33"/>
      <c r="R22" s="33"/>
      <c r="S22" s="33"/>
      <c r="T22" s="34"/>
      <c r="U22" s="43" t="n">
        <f aca="false">S03!T22</f>
        <v>0</v>
      </c>
      <c r="V22" s="37" t="n">
        <f aca="false">T22-U22</f>
        <v>0</v>
      </c>
      <c r="W22" s="37" t="n">
        <f aca="false">N22-T22</f>
        <v>0</v>
      </c>
      <c r="X22" s="35"/>
    </row>
    <row r="23" customFormat="false" ht="21.75" hidden="false" customHeight="true" outlineLevel="0" collapsed="false">
      <c r="B23" s="5" t="n">
        <v>19</v>
      </c>
      <c r="C23" s="6" t="s">
        <v>13</v>
      </c>
      <c r="D23" s="5" t="s">
        <v>53</v>
      </c>
      <c r="E23" s="5" t="s">
        <v>20</v>
      </c>
      <c r="F23" s="5" t="s">
        <v>21</v>
      </c>
      <c r="G23" s="5" t="s">
        <v>52</v>
      </c>
      <c r="H23" s="5" t="s">
        <v>52</v>
      </c>
      <c r="I23" s="7" t="n">
        <v>2200000</v>
      </c>
      <c r="J23" s="8" t="s">
        <v>24</v>
      </c>
      <c r="K23" s="9" t="n">
        <v>4</v>
      </c>
      <c r="L23" s="30"/>
      <c r="M23" s="40" t="n">
        <f aca="false">S03!M23+L23</f>
        <v>0</v>
      </c>
      <c r="N23" s="32" t="n">
        <f aca="false">IFERROR(M23/K23,0)</f>
        <v>0</v>
      </c>
      <c r="O23" s="41" t="n">
        <f aca="false">S03!N23</f>
        <v>0</v>
      </c>
      <c r="P23" s="32" t="n">
        <f aca="false">N23-O23</f>
        <v>0</v>
      </c>
      <c r="Q23" s="33"/>
      <c r="R23" s="33"/>
      <c r="S23" s="33"/>
      <c r="T23" s="34"/>
      <c r="U23" s="41" t="n">
        <f aca="false">S03!T23</f>
        <v>0</v>
      </c>
      <c r="V23" s="32" t="n">
        <f aca="false">T23-U23</f>
        <v>0</v>
      </c>
      <c r="W23" s="32" t="n">
        <f aca="false">N23-T23</f>
        <v>0</v>
      </c>
      <c r="X23" s="35"/>
    </row>
    <row r="24" customFormat="false" ht="21.75" hidden="false" customHeight="true" outlineLevel="0" collapsed="false">
      <c r="B24" s="10" t="n">
        <v>20</v>
      </c>
      <c r="C24" s="6" t="s">
        <v>13</v>
      </c>
      <c r="D24" s="10" t="s">
        <v>53</v>
      </c>
      <c r="E24" s="10" t="s">
        <v>15</v>
      </c>
      <c r="F24" s="10" t="s">
        <v>16</v>
      </c>
      <c r="G24" s="10" t="s">
        <v>25</v>
      </c>
      <c r="H24" s="44" t="s">
        <v>59</v>
      </c>
      <c r="I24" s="11" t="n">
        <v>300000</v>
      </c>
      <c r="J24" s="12" t="s">
        <v>19</v>
      </c>
      <c r="K24" s="13" t="n">
        <v>100</v>
      </c>
      <c r="L24" s="30"/>
      <c r="M24" s="42" t="n">
        <f aca="false">S03!M24+L24</f>
        <v>0</v>
      </c>
      <c r="N24" s="37" t="n">
        <f aca="false">IFERROR(M24/K24,0)</f>
        <v>0</v>
      </c>
      <c r="O24" s="43" t="n">
        <f aca="false">S03!N24</f>
        <v>0</v>
      </c>
      <c r="P24" s="37" t="n">
        <f aca="false">N24-O24</f>
        <v>0</v>
      </c>
      <c r="Q24" s="33"/>
      <c r="R24" s="33"/>
      <c r="S24" s="33"/>
      <c r="T24" s="34"/>
      <c r="U24" s="43" t="n">
        <f aca="false">S03!T24</f>
        <v>0</v>
      </c>
      <c r="V24" s="37" t="n">
        <f aca="false">T24-U24</f>
        <v>0</v>
      </c>
      <c r="W24" s="37" t="n">
        <f aca="false">N24-T24</f>
        <v>0</v>
      </c>
      <c r="X24" s="35"/>
    </row>
    <row r="25" customFormat="false" ht="21.75" hidden="false" customHeight="true" outlineLevel="0" collapsed="false">
      <c r="B25" s="5" t="n">
        <v>21</v>
      </c>
      <c r="C25" s="6" t="s">
        <v>13</v>
      </c>
      <c r="D25" s="5" t="s">
        <v>53</v>
      </c>
      <c r="E25" s="5" t="s">
        <v>27</v>
      </c>
      <c r="F25" s="5" t="s">
        <v>28</v>
      </c>
      <c r="G25" s="5" t="s">
        <v>29</v>
      </c>
      <c r="H25" s="5" t="s">
        <v>60</v>
      </c>
      <c r="I25" s="7" t="n">
        <v>250000</v>
      </c>
      <c r="J25" s="8" t="s">
        <v>31</v>
      </c>
      <c r="K25" s="9" t="n">
        <v>3</v>
      </c>
      <c r="L25" s="30"/>
      <c r="M25" s="40" t="n">
        <f aca="false">S03!M25+L25</f>
        <v>0</v>
      </c>
      <c r="N25" s="32" t="n">
        <f aca="false">IFERROR(M25/K25,0)</f>
        <v>0</v>
      </c>
      <c r="O25" s="41" t="n">
        <f aca="false">S03!N25</f>
        <v>0</v>
      </c>
      <c r="P25" s="32" t="n">
        <f aca="false">N25-O25</f>
        <v>0</v>
      </c>
      <c r="Q25" s="33"/>
      <c r="R25" s="33"/>
      <c r="S25" s="33"/>
      <c r="T25" s="34"/>
      <c r="U25" s="41" t="n">
        <f aca="false">S03!T25</f>
        <v>0</v>
      </c>
      <c r="V25" s="32" t="n">
        <f aca="false">T25-U25</f>
        <v>0</v>
      </c>
      <c r="W25" s="32" t="n">
        <f aca="false">N25-T25</f>
        <v>0</v>
      </c>
      <c r="X25" s="35"/>
    </row>
    <row r="26" customFormat="false" ht="21.75" hidden="false" customHeight="true" outlineLevel="0" collapsed="false">
      <c r="B26" s="10" t="n">
        <v>22</v>
      </c>
      <c r="C26" s="6" t="s">
        <v>13</v>
      </c>
      <c r="D26" s="10" t="s">
        <v>53</v>
      </c>
      <c r="E26" s="10" t="s">
        <v>27</v>
      </c>
      <c r="F26" s="10" t="s">
        <v>28</v>
      </c>
      <c r="G26" s="10" t="s">
        <v>61</v>
      </c>
      <c r="H26" s="10" t="s">
        <v>62</v>
      </c>
      <c r="I26" s="11" t="n">
        <v>25000</v>
      </c>
      <c r="J26" s="12" t="s">
        <v>31</v>
      </c>
      <c r="K26" s="13" t="n">
        <v>3</v>
      </c>
      <c r="L26" s="30"/>
      <c r="M26" s="42" t="n">
        <f aca="false">S03!M26+L26</f>
        <v>0</v>
      </c>
      <c r="N26" s="37" t="n">
        <f aca="false">IFERROR(M26/K26,0)</f>
        <v>0</v>
      </c>
      <c r="O26" s="43" t="n">
        <f aca="false">S03!N26</f>
        <v>0</v>
      </c>
      <c r="P26" s="37" t="n">
        <f aca="false">N26-O26</f>
        <v>0</v>
      </c>
      <c r="Q26" s="33"/>
      <c r="R26" s="33"/>
      <c r="S26" s="33"/>
      <c r="T26" s="34"/>
      <c r="U26" s="43" t="n">
        <f aca="false">S03!T26</f>
        <v>0</v>
      </c>
      <c r="V26" s="37" t="n">
        <f aca="false">T26-U26</f>
        <v>0</v>
      </c>
      <c r="W26" s="37" t="n">
        <f aca="false">N26-T26</f>
        <v>0</v>
      </c>
      <c r="X26" s="35"/>
    </row>
    <row r="27" customFormat="false" ht="21.75" hidden="false" customHeight="true" outlineLevel="0" collapsed="false">
      <c r="B27" s="5" t="n">
        <v>23</v>
      </c>
      <c r="C27" s="6" t="s">
        <v>13</v>
      </c>
      <c r="D27" s="5" t="s">
        <v>53</v>
      </c>
      <c r="E27" s="5" t="s">
        <v>27</v>
      </c>
      <c r="F27" s="5" t="s">
        <v>28</v>
      </c>
      <c r="G27" s="5" t="s">
        <v>37</v>
      </c>
      <c r="H27" s="5" t="s">
        <v>63</v>
      </c>
      <c r="I27" s="7" t="n">
        <v>38000</v>
      </c>
      <c r="J27" s="8" t="s">
        <v>31</v>
      </c>
      <c r="K27" s="9" t="n">
        <v>1</v>
      </c>
      <c r="L27" s="30"/>
      <c r="M27" s="40" t="n">
        <f aca="false">S03!M27+L27</f>
        <v>0</v>
      </c>
      <c r="N27" s="32" t="n">
        <f aca="false">IFERROR(M27/K27,0)</f>
        <v>0</v>
      </c>
      <c r="O27" s="41" t="n">
        <f aca="false">S03!N27</f>
        <v>0</v>
      </c>
      <c r="P27" s="32" t="n">
        <f aca="false">N27-O27</f>
        <v>0</v>
      </c>
      <c r="Q27" s="33"/>
      <c r="R27" s="33"/>
      <c r="S27" s="33"/>
      <c r="T27" s="34"/>
      <c r="U27" s="41" t="n">
        <f aca="false">S03!T27</f>
        <v>0</v>
      </c>
      <c r="V27" s="32" t="n">
        <f aca="false">T27-U27</f>
        <v>0</v>
      </c>
      <c r="W27" s="32" t="n">
        <f aca="false">N27-T27</f>
        <v>0</v>
      </c>
      <c r="X27" s="35"/>
    </row>
    <row r="28" customFormat="false" ht="21.75" hidden="false" customHeight="true" outlineLevel="0" collapsed="false">
      <c r="B28" s="10" t="n">
        <v>24</v>
      </c>
      <c r="C28" s="6" t="s">
        <v>13</v>
      </c>
      <c r="D28" s="10" t="s">
        <v>53</v>
      </c>
      <c r="E28" s="10" t="s">
        <v>27</v>
      </c>
      <c r="F28" s="10" t="s">
        <v>28</v>
      </c>
      <c r="G28" s="10" t="s">
        <v>39</v>
      </c>
      <c r="H28" s="10" t="s">
        <v>64</v>
      </c>
      <c r="I28" s="11" t="n">
        <v>10560000</v>
      </c>
      <c r="J28" s="12" t="s">
        <v>41</v>
      </c>
      <c r="K28" s="13" t="n">
        <v>7040</v>
      </c>
      <c r="L28" s="30"/>
      <c r="M28" s="42" t="n">
        <f aca="false">S03!M28+L28</f>
        <v>0</v>
      </c>
      <c r="N28" s="37" t="n">
        <f aca="false">IFERROR(M28/K28,0)</f>
        <v>0</v>
      </c>
      <c r="O28" s="43" t="n">
        <f aca="false">S03!N28</f>
        <v>0</v>
      </c>
      <c r="P28" s="37" t="n">
        <f aca="false">N28-O28</f>
        <v>0</v>
      </c>
      <c r="Q28" s="33"/>
      <c r="R28" s="33"/>
      <c r="S28" s="33"/>
      <c r="T28" s="34"/>
      <c r="U28" s="43" t="n">
        <f aca="false">S03!T28</f>
        <v>0</v>
      </c>
      <c r="V28" s="37" t="n">
        <f aca="false">T28-U28</f>
        <v>0</v>
      </c>
      <c r="W28" s="37" t="n">
        <f aca="false">N28-T28</f>
        <v>0</v>
      </c>
      <c r="X28" s="35"/>
    </row>
    <row r="29" customFormat="false" ht="21.75" hidden="false" customHeight="true" outlineLevel="0" collapsed="false">
      <c r="B29" s="5" t="n">
        <v>25</v>
      </c>
      <c r="C29" s="6" t="s">
        <v>13</v>
      </c>
      <c r="D29" s="5" t="s">
        <v>53</v>
      </c>
      <c r="E29" s="5" t="s">
        <v>27</v>
      </c>
      <c r="F29" s="5" t="s">
        <v>28</v>
      </c>
      <c r="G29" s="5" t="s">
        <v>65</v>
      </c>
      <c r="H29" s="5" t="s">
        <v>66</v>
      </c>
      <c r="I29" s="7" t="n">
        <v>144000</v>
      </c>
      <c r="J29" s="8" t="s">
        <v>19</v>
      </c>
      <c r="K29" s="9" t="n">
        <v>270</v>
      </c>
      <c r="L29" s="30"/>
      <c r="M29" s="40" t="n">
        <f aca="false">S03!M29+L29</f>
        <v>0</v>
      </c>
      <c r="N29" s="32" t="n">
        <f aca="false">IFERROR(M29/K29,0)</f>
        <v>0</v>
      </c>
      <c r="O29" s="41" t="n">
        <f aca="false">S03!N29</f>
        <v>0</v>
      </c>
      <c r="P29" s="32" t="n">
        <f aca="false">N29-O29</f>
        <v>0</v>
      </c>
      <c r="Q29" s="33"/>
      <c r="R29" s="33"/>
      <c r="S29" s="33"/>
      <c r="T29" s="34"/>
      <c r="U29" s="41" t="n">
        <f aca="false">S03!T29</f>
        <v>0</v>
      </c>
      <c r="V29" s="32" t="n">
        <f aca="false">T29-U29</f>
        <v>0</v>
      </c>
      <c r="W29" s="32" t="n">
        <f aca="false">N29-T29</f>
        <v>0</v>
      </c>
      <c r="X29" s="35"/>
    </row>
    <row r="30" customFormat="false" ht="21.75" hidden="false" customHeight="true" outlineLevel="0" collapsed="false">
      <c r="B30" s="10" t="n">
        <v>26</v>
      </c>
      <c r="C30" s="6" t="s">
        <v>13</v>
      </c>
      <c r="D30" s="10" t="s">
        <v>53</v>
      </c>
      <c r="E30" s="10" t="s">
        <v>27</v>
      </c>
      <c r="F30" s="10" t="s">
        <v>28</v>
      </c>
      <c r="G30" s="10" t="s">
        <v>42</v>
      </c>
      <c r="H30" s="10" t="s">
        <v>67</v>
      </c>
      <c r="I30" s="11" t="n">
        <v>800000</v>
      </c>
      <c r="J30" s="12" t="s">
        <v>31</v>
      </c>
      <c r="K30" s="13" t="n">
        <v>1</v>
      </c>
      <c r="L30" s="30"/>
      <c r="M30" s="42" t="n">
        <f aca="false">S03!M30+L30</f>
        <v>0</v>
      </c>
      <c r="N30" s="37" t="n">
        <f aca="false">IFERROR(M30/K30,0)</f>
        <v>0</v>
      </c>
      <c r="O30" s="43" t="n">
        <f aca="false">S03!N30</f>
        <v>0</v>
      </c>
      <c r="P30" s="37" t="n">
        <f aca="false">N30-O30</f>
        <v>0</v>
      </c>
      <c r="Q30" s="33"/>
      <c r="R30" s="33"/>
      <c r="S30" s="33"/>
      <c r="T30" s="34"/>
      <c r="U30" s="43" t="n">
        <f aca="false">S03!T30</f>
        <v>0</v>
      </c>
      <c r="V30" s="37" t="n">
        <f aca="false">T30-U30</f>
        <v>0</v>
      </c>
      <c r="W30" s="37" t="n">
        <f aca="false">N30-T30</f>
        <v>0</v>
      </c>
      <c r="X30" s="35"/>
    </row>
    <row r="31" customFormat="false" ht="21.75" hidden="false" customHeight="true" outlineLevel="0" collapsed="false">
      <c r="B31" s="5" t="n">
        <v>27</v>
      </c>
      <c r="C31" s="6" t="s">
        <v>13</v>
      </c>
      <c r="D31" s="5" t="s">
        <v>68</v>
      </c>
      <c r="E31" s="5" t="s">
        <v>15</v>
      </c>
      <c r="F31" s="5" t="s">
        <v>16</v>
      </c>
      <c r="G31" s="5" t="s">
        <v>17</v>
      </c>
      <c r="H31" s="5" t="s">
        <v>69</v>
      </c>
      <c r="I31" s="7" t="n">
        <v>1733306</v>
      </c>
      <c r="J31" s="8" t="s">
        <v>19</v>
      </c>
      <c r="K31" s="9" t="n">
        <v>867</v>
      </c>
      <c r="L31" s="30"/>
      <c r="M31" s="40" t="n">
        <f aca="false">S03!M31+L31</f>
        <v>0</v>
      </c>
      <c r="N31" s="32" t="n">
        <f aca="false">IFERROR(M31/K31,0)</f>
        <v>0</v>
      </c>
      <c r="O31" s="41" t="n">
        <f aca="false">S03!N31</f>
        <v>0</v>
      </c>
      <c r="P31" s="32" t="n">
        <f aca="false">N31-O31</f>
        <v>0</v>
      </c>
      <c r="Q31" s="33"/>
      <c r="R31" s="33"/>
      <c r="S31" s="33"/>
      <c r="T31" s="34"/>
      <c r="U31" s="41" t="n">
        <f aca="false">S03!T31</f>
        <v>0</v>
      </c>
      <c r="V31" s="32" t="n">
        <f aca="false">T31-U31</f>
        <v>0</v>
      </c>
      <c r="W31" s="32" t="n">
        <f aca="false">N31-T31</f>
        <v>0</v>
      </c>
      <c r="X31" s="35"/>
    </row>
    <row r="32" customFormat="false" ht="21.75" hidden="false" customHeight="true" outlineLevel="0" collapsed="false">
      <c r="B32" s="10" t="n">
        <v>28</v>
      </c>
      <c r="C32" s="6" t="s">
        <v>13</v>
      </c>
      <c r="D32" s="10" t="s">
        <v>68</v>
      </c>
      <c r="E32" s="10" t="s">
        <v>20</v>
      </c>
      <c r="F32" s="10" t="s">
        <v>21</v>
      </c>
      <c r="G32" s="10" t="s">
        <v>52</v>
      </c>
      <c r="H32" s="10" t="s">
        <v>52</v>
      </c>
      <c r="I32" s="11" t="n">
        <v>670000</v>
      </c>
      <c r="J32" s="12" t="s">
        <v>24</v>
      </c>
      <c r="K32" s="13" t="n">
        <v>1</v>
      </c>
      <c r="L32" s="30"/>
      <c r="M32" s="42" t="n">
        <f aca="false">S03!M32+L32</f>
        <v>0</v>
      </c>
      <c r="N32" s="37" t="n">
        <f aca="false">IFERROR(M32/K32,0)</f>
        <v>0</v>
      </c>
      <c r="O32" s="43" t="n">
        <f aca="false">S03!N32</f>
        <v>0</v>
      </c>
      <c r="P32" s="37" t="n">
        <f aca="false">N32-O32</f>
        <v>0</v>
      </c>
      <c r="Q32" s="33"/>
      <c r="R32" s="33"/>
      <c r="S32" s="33"/>
      <c r="T32" s="34"/>
      <c r="U32" s="43" t="n">
        <f aca="false">S03!T32</f>
        <v>0</v>
      </c>
      <c r="V32" s="37" t="n">
        <f aca="false">T32-U32</f>
        <v>0</v>
      </c>
      <c r="W32" s="37" t="n">
        <f aca="false">N32-T32</f>
        <v>0</v>
      </c>
      <c r="X32" s="35"/>
    </row>
    <row r="33" customFormat="false" ht="21.75" hidden="false" customHeight="true" outlineLevel="0" collapsed="false">
      <c r="B33" s="5" t="n">
        <v>29</v>
      </c>
      <c r="C33" s="6" t="s">
        <v>13</v>
      </c>
      <c r="D33" s="5" t="s">
        <v>68</v>
      </c>
      <c r="E33" s="5" t="s">
        <v>54</v>
      </c>
      <c r="F33" s="5" t="s">
        <v>55</v>
      </c>
      <c r="G33" s="5" t="s">
        <v>70</v>
      </c>
      <c r="H33" s="5" t="s">
        <v>71</v>
      </c>
      <c r="I33" s="7" t="n">
        <v>2500000</v>
      </c>
      <c r="J33" s="8" t="s">
        <v>31</v>
      </c>
      <c r="K33" s="9" t="n">
        <v>5</v>
      </c>
      <c r="L33" s="30"/>
      <c r="M33" s="40" t="n">
        <f aca="false">S03!M33+L33</f>
        <v>0</v>
      </c>
      <c r="N33" s="32" t="n">
        <f aca="false">IFERROR(M33/K33,0)</f>
        <v>0</v>
      </c>
      <c r="O33" s="41" t="n">
        <f aca="false">S03!N33</f>
        <v>0</v>
      </c>
      <c r="P33" s="32" t="n">
        <f aca="false">N33-O33</f>
        <v>0</v>
      </c>
      <c r="Q33" s="33"/>
      <c r="R33" s="33"/>
      <c r="S33" s="33"/>
      <c r="T33" s="34"/>
      <c r="U33" s="41" t="n">
        <f aca="false">S03!T33</f>
        <v>0</v>
      </c>
      <c r="V33" s="32" t="n">
        <f aca="false">T33-U33</f>
        <v>0</v>
      </c>
      <c r="W33" s="32" t="n">
        <f aca="false">N33-T33</f>
        <v>0</v>
      </c>
      <c r="X33" s="35"/>
    </row>
    <row r="34" customFormat="false" ht="21.75" hidden="false" customHeight="true" outlineLevel="0" collapsed="false">
      <c r="B34" s="10" t="n">
        <v>30</v>
      </c>
      <c r="C34" s="6" t="s">
        <v>13</v>
      </c>
      <c r="D34" s="10" t="s">
        <v>68</v>
      </c>
      <c r="E34" s="10" t="s">
        <v>15</v>
      </c>
      <c r="F34" s="10" t="s">
        <v>16</v>
      </c>
      <c r="G34" s="10" t="s">
        <v>25</v>
      </c>
      <c r="H34" s="10" t="s">
        <v>72</v>
      </c>
      <c r="I34" s="11" t="n">
        <v>800000</v>
      </c>
      <c r="J34" s="12" t="s">
        <v>19</v>
      </c>
      <c r="K34" s="13" t="n">
        <v>267</v>
      </c>
      <c r="L34" s="30"/>
      <c r="M34" s="42" t="n">
        <f aca="false">S03!M34+L34</f>
        <v>0</v>
      </c>
      <c r="N34" s="37" t="n">
        <f aca="false">IFERROR(M34/K34,0)</f>
        <v>0</v>
      </c>
      <c r="O34" s="43" t="n">
        <f aca="false">S03!N34</f>
        <v>0</v>
      </c>
      <c r="P34" s="37" t="n">
        <f aca="false">N34-O34</f>
        <v>0</v>
      </c>
      <c r="Q34" s="33"/>
      <c r="R34" s="33"/>
      <c r="S34" s="33"/>
      <c r="T34" s="34"/>
      <c r="U34" s="43" t="n">
        <f aca="false">S03!T34</f>
        <v>0</v>
      </c>
      <c r="V34" s="37" t="n">
        <f aca="false">T34-U34</f>
        <v>0</v>
      </c>
      <c r="W34" s="37" t="n">
        <f aca="false">N34-T34</f>
        <v>0</v>
      </c>
      <c r="X34" s="35"/>
    </row>
    <row r="35" customFormat="false" ht="21.75" hidden="false" customHeight="true" outlineLevel="0" collapsed="false">
      <c r="B35" s="5" t="n">
        <v>31</v>
      </c>
      <c r="C35" s="6" t="s">
        <v>13</v>
      </c>
      <c r="D35" s="5" t="s">
        <v>68</v>
      </c>
      <c r="E35" s="5" t="s">
        <v>27</v>
      </c>
      <c r="F35" s="5" t="s">
        <v>28</v>
      </c>
      <c r="G35" s="5" t="s">
        <v>29</v>
      </c>
      <c r="H35" s="5" t="s">
        <v>73</v>
      </c>
      <c r="I35" s="7" t="n">
        <v>195000</v>
      </c>
      <c r="J35" s="8" t="s">
        <v>31</v>
      </c>
      <c r="K35" s="9" t="n">
        <v>2</v>
      </c>
      <c r="L35" s="30"/>
      <c r="M35" s="40" t="n">
        <f aca="false">S03!M35+L35</f>
        <v>0</v>
      </c>
      <c r="N35" s="32" t="n">
        <f aca="false">IFERROR(M35/K35,0)</f>
        <v>0</v>
      </c>
      <c r="O35" s="41" t="n">
        <f aca="false">S03!N35</f>
        <v>0</v>
      </c>
      <c r="P35" s="32" t="n">
        <f aca="false">N35-O35</f>
        <v>0</v>
      </c>
      <c r="Q35" s="33"/>
      <c r="R35" s="33"/>
      <c r="S35" s="33"/>
      <c r="T35" s="34"/>
      <c r="U35" s="41" t="n">
        <f aca="false">S03!T35</f>
        <v>0</v>
      </c>
      <c r="V35" s="32" t="n">
        <f aca="false">T35-U35</f>
        <v>0</v>
      </c>
      <c r="W35" s="32" t="n">
        <f aca="false">N35-T35</f>
        <v>0</v>
      </c>
      <c r="X35" s="35"/>
    </row>
    <row r="36" customFormat="false" ht="21.75" hidden="false" customHeight="true" outlineLevel="0" collapsed="false">
      <c r="B36" s="10" t="n">
        <v>32</v>
      </c>
      <c r="C36" s="6" t="s">
        <v>13</v>
      </c>
      <c r="D36" s="10" t="s">
        <v>68</v>
      </c>
      <c r="E36" s="10" t="s">
        <v>27</v>
      </c>
      <c r="F36" s="10" t="s">
        <v>28</v>
      </c>
      <c r="G36" s="10" t="s">
        <v>61</v>
      </c>
      <c r="H36" s="10" t="s">
        <v>74</v>
      </c>
      <c r="I36" s="11" t="n">
        <v>50000</v>
      </c>
      <c r="J36" s="12" t="s">
        <v>31</v>
      </c>
      <c r="K36" s="13" t="n">
        <v>2</v>
      </c>
      <c r="L36" s="30"/>
      <c r="M36" s="42" t="n">
        <f aca="false">S03!M36+L36</f>
        <v>0</v>
      </c>
      <c r="N36" s="37" t="n">
        <f aca="false">IFERROR(M36/K36,0)</f>
        <v>0</v>
      </c>
      <c r="O36" s="43" t="n">
        <f aca="false">S03!N36</f>
        <v>0</v>
      </c>
      <c r="P36" s="37" t="n">
        <f aca="false">N36-O36</f>
        <v>0</v>
      </c>
      <c r="Q36" s="33"/>
      <c r="R36" s="33"/>
      <c r="S36" s="33"/>
      <c r="T36" s="34"/>
      <c r="U36" s="43" t="n">
        <f aca="false">S03!T36</f>
        <v>0</v>
      </c>
      <c r="V36" s="37" t="n">
        <f aca="false">T36-U36</f>
        <v>0</v>
      </c>
      <c r="W36" s="37" t="n">
        <f aca="false">N36-T36</f>
        <v>0</v>
      </c>
      <c r="X36" s="35"/>
    </row>
    <row r="37" customFormat="false" ht="21.75" hidden="false" customHeight="true" outlineLevel="0" collapsed="false">
      <c r="B37" s="5" t="n">
        <v>33</v>
      </c>
      <c r="C37" s="6" t="s">
        <v>13</v>
      </c>
      <c r="D37" s="5" t="s">
        <v>68</v>
      </c>
      <c r="E37" s="5" t="s">
        <v>27</v>
      </c>
      <c r="F37" s="5" t="s">
        <v>28</v>
      </c>
      <c r="G37" s="5" t="s">
        <v>37</v>
      </c>
      <c r="H37" s="5" t="s">
        <v>75</v>
      </c>
      <c r="I37" s="7" t="n">
        <v>245000</v>
      </c>
      <c r="J37" s="8" t="s">
        <v>31</v>
      </c>
      <c r="K37" s="9" t="n">
        <v>5</v>
      </c>
      <c r="L37" s="30"/>
      <c r="M37" s="40" t="n">
        <f aca="false">S03!M37+L37</f>
        <v>0</v>
      </c>
      <c r="N37" s="32" t="n">
        <f aca="false">IFERROR(M37/K37,0)</f>
        <v>0</v>
      </c>
      <c r="O37" s="41" t="n">
        <f aca="false">S03!N37</f>
        <v>0</v>
      </c>
      <c r="P37" s="32" t="n">
        <f aca="false">N37-O37</f>
        <v>0</v>
      </c>
      <c r="Q37" s="33"/>
      <c r="R37" s="33"/>
      <c r="S37" s="33"/>
      <c r="T37" s="34"/>
      <c r="U37" s="41" t="n">
        <f aca="false">S03!T37</f>
        <v>0</v>
      </c>
      <c r="V37" s="32" t="n">
        <f aca="false">T37-U37</f>
        <v>0</v>
      </c>
      <c r="W37" s="32" t="n">
        <f aca="false">N37-T37</f>
        <v>0</v>
      </c>
      <c r="X37" s="35"/>
    </row>
    <row r="38" customFormat="false" ht="21.75" hidden="false" customHeight="true" outlineLevel="0" collapsed="false">
      <c r="B38" s="10" t="n">
        <v>34</v>
      </c>
      <c r="C38" s="6" t="s">
        <v>13</v>
      </c>
      <c r="D38" s="10" t="s">
        <v>68</v>
      </c>
      <c r="E38" s="10" t="s">
        <v>27</v>
      </c>
      <c r="F38" s="10" t="s">
        <v>28</v>
      </c>
      <c r="G38" s="10" t="s">
        <v>42</v>
      </c>
      <c r="H38" s="10" t="s">
        <v>76</v>
      </c>
      <c r="I38" s="11" t="n">
        <v>1000000</v>
      </c>
      <c r="J38" s="12" t="s">
        <v>31</v>
      </c>
      <c r="K38" s="13" t="n">
        <v>1</v>
      </c>
      <c r="L38" s="30"/>
      <c r="M38" s="42" t="n">
        <f aca="false">S03!M38+L38</f>
        <v>0</v>
      </c>
      <c r="N38" s="37" t="n">
        <f aca="false">IFERROR(M38/K38,0)</f>
        <v>0</v>
      </c>
      <c r="O38" s="43" t="n">
        <f aca="false">S03!N38</f>
        <v>0</v>
      </c>
      <c r="P38" s="37" t="n">
        <f aca="false">N38-O38</f>
        <v>0</v>
      </c>
      <c r="Q38" s="33"/>
      <c r="R38" s="33"/>
      <c r="S38" s="33"/>
      <c r="T38" s="34"/>
      <c r="U38" s="43" t="n">
        <f aca="false">S03!T38</f>
        <v>0</v>
      </c>
      <c r="V38" s="37" t="n">
        <f aca="false">T38-U38</f>
        <v>0</v>
      </c>
      <c r="W38" s="37" t="n">
        <f aca="false">N38-T38</f>
        <v>0</v>
      </c>
      <c r="X38" s="35"/>
    </row>
    <row r="39" customFormat="false" ht="21.75" hidden="false" customHeight="true" outlineLevel="0" collapsed="false">
      <c r="B39" s="5" t="n">
        <v>35</v>
      </c>
      <c r="C39" s="6" t="s">
        <v>13</v>
      </c>
      <c r="D39" s="5" t="s">
        <v>77</v>
      </c>
      <c r="E39" s="5" t="s">
        <v>15</v>
      </c>
      <c r="F39" s="5" t="s">
        <v>16</v>
      </c>
      <c r="G39" s="5" t="s">
        <v>17</v>
      </c>
      <c r="H39" s="5" t="s">
        <v>78</v>
      </c>
      <c r="I39" s="7" t="n">
        <v>5024032</v>
      </c>
      <c r="J39" s="8" t="s">
        <v>19</v>
      </c>
      <c r="K39" s="9" t="n">
        <v>2512</v>
      </c>
      <c r="L39" s="30"/>
      <c r="M39" s="40" t="n">
        <f aca="false">S03!M39+L39</f>
        <v>0</v>
      </c>
      <c r="N39" s="32" t="n">
        <f aca="false">IFERROR(M39/K39,0)</f>
        <v>0</v>
      </c>
      <c r="O39" s="41" t="n">
        <f aca="false">S03!N39</f>
        <v>0</v>
      </c>
      <c r="P39" s="32" t="n">
        <f aca="false">N39-O39</f>
        <v>0</v>
      </c>
      <c r="Q39" s="33"/>
      <c r="R39" s="33"/>
      <c r="S39" s="33"/>
      <c r="T39" s="34"/>
      <c r="U39" s="41" t="n">
        <f aca="false">S03!T39</f>
        <v>0</v>
      </c>
      <c r="V39" s="32" t="n">
        <f aca="false">T39-U39</f>
        <v>0</v>
      </c>
      <c r="W39" s="32" t="n">
        <f aca="false">N39-T39</f>
        <v>0</v>
      </c>
      <c r="X39" s="35"/>
    </row>
    <row r="40" customFormat="false" ht="21.75" hidden="false" customHeight="true" outlineLevel="0" collapsed="false">
      <c r="B40" s="10" t="n">
        <v>36</v>
      </c>
      <c r="C40" s="6" t="s">
        <v>13</v>
      </c>
      <c r="D40" s="10" t="s">
        <v>77</v>
      </c>
      <c r="E40" s="10" t="s">
        <v>20</v>
      </c>
      <c r="F40" s="10" t="s">
        <v>21</v>
      </c>
      <c r="G40" s="10" t="s">
        <v>52</v>
      </c>
      <c r="H40" s="10" t="s">
        <v>52</v>
      </c>
      <c r="I40" s="11" t="n">
        <v>400000</v>
      </c>
      <c r="J40" s="12" t="s">
        <v>24</v>
      </c>
      <c r="K40" s="13" t="n">
        <v>1</v>
      </c>
      <c r="L40" s="30"/>
      <c r="M40" s="42" t="n">
        <f aca="false">S03!M40+L40</f>
        <v>0</v>
      </c>
      <c r="N40" s="37" t="n">
        <f aca="false">IFERROR(M40/K40,0)</f>
        <v>0</v>
      </c>
      <c r="O40" s="43" t="n">
        <f aca="false">S03!N40</f>
        <v>0</v>
      </c>
      <c r="P40" s="37" t="n">
        <f aca="false">N40-O40</f>
        <v>0</v>
      </c>
      <c r="Q40" s="33"/>
      <c r="R40" s="33"/>
      <c r="S40" s="33"/>
      <c r="T40" s="34"/>
      <c r="U40" s="43" t="n">
        <f aca="false">S03!T40</f>
        <v>0</v>
      </c>
      <c r="V40" s="37" t="n">
        <f aca="false">T40-U40</f>
        <v>0</v>
      </c>
      <c r="W40" s="37" t="n">
        <f aca="false">N40-T40</f>
        <v>0</v>
      </c>
      <c r="X40" s="35"/>
    </row>
    <row r="41" customFormat="false" ht="21.75" hidden="false" customHeight="true" outlineLevel="0" collapsed="false">
      <c r="B41" s="5" t="n">
        <v>37</v>
      </c>
      <c r="C41" s="6" t="s">
        <v>13</v>
      </c>
      <c r="D41" s="5" t="s">
        <v>79</v>
      </c>
      <c r="E41" s="5" t="s">
        <v>15</v>
      </c>
      <c r="F41" s="5" t="s">
        <v>16</v>
      </c>
      <c r="G41" s="5" t="s">
        <v>17</v>
      </c>
      <c r="H41" s="5" t="s">
        <v>80</v>
      </c>
      <c r="I41" s="7" t="n">
        <v>6000000</v>
      </c>
      <c r="J41" s="8" t="s">
        <v>19</v>
      </c>
      <c r="K41" s="9" t="n">
        <v>3000</v>
      </c>
      <c r="L41" s="30"/>
      <c r="M41" s="40" t="n">
        <f aca="false">S03!M41+L41</f>
        <v>0</v>
      </c>
      <c r="N41" s="32" t="n">
        <f aca="false">IFERROR(M41/K41,0)</f>
        <v>0</v>
      </c>
      <c r="O41" s="41" t="n">
        <f aca="false">S03!N41</f>
        <v>0</v>
      </c>
      <c r="P41" s="32" t="n">
        <f aca="false">N41-O41</f>
        <v>0</v>
      </c>
      <c r="Q41" s="33"/>
      <c r="R41" s="33"/>
      <c r="S41" s="33"/>
      <c r="T41" s="34"/>
      <c r="U41" s="41" t="n">
        <f aca="false">S03!T41</f>
        <v>0</v>
      </c>
      <c r="V41" s="32" t="n">
        <f aca="false">T41-U41</f>
        <v>0</v>
      </c>
      <c r="W41" s="32" t="n">
        <f aca="false">N41-T41</f>
        <v>0</v>
      </c>
      <c r="X41" s="35"/>
    </row>
    <row r="42" customFormat="false" ht="21.75" hidden="false" customHeight="true" outlineLevel="0" collapsed="false">
      <c r="B42" s="10" t="n">
        <v>38</v>
      </c>
      <c r="C42" s="6" t="s">
        <v>13</v>
      </c>
      <c r="D42" s="10" t="s">
        <v>79</v>
      </c>
      <c r="E42" s="10" t="s">
        <v>54</v>
      </c>
      <c r="F42" s="10" t="s">
        <v>55</v>
      </c>
      <c r="G42" s="10" t="s">
        <v>56</v>
      </c>
      <c r="H42" s="10" t="s">
        <v>81</v>
      </c>
      <c r="I42" s="11" t="n">
        <v>232266</v>
      </c>
      <c r="J42" s="12" t="s">
        <v>19</v>
      </c>
      <c r="K42" s="13" t="n">
        <v>77</v>
      </c>
      <c r="L42" s="30"/>
      <c r="M42" s="42" t="n">
        <f aca="false">S03!M42+L42</f>
        <v>0</v>
      </c>
      <c r="N42" s="37" t="n">
        <f aca="false">IFERROR(M42/K42,0)</f>
        <v>0</v>
      </c>
      <c r="O42" s="43" t="n">
        <f aca="false">S03!N42</f>
        <v>0</v>
      </c>
      <c r="P42" s="37" t="n">
        <f aca="false">N42-O42</f>
        <v>0</v>
      </c>
      <c r="Q42" s="33"/>
      <c r="R42" s="33"/>
      <c r="S42" s="33"/>
      <c r="T42" s="34"/>
      <c r="U42" s="43" t="n">
        <f aca="false">S03!T42</f>
        <v>0</v>
      </c>
      <c r="V42" s="37" t="n">
        <f aca="false">T42-U42</f>
        <v>0</v>
      </c>
      <c r="W42" s="37" t="n">
        <f aca="false">N42-T42</f>
        <v>0</v>
      </c>
      <c r="X42" s="35"/>
    </row>
    <row r="43" customFormat="false" ht="21.75" hidden="false" customHeight="true" outlineLevel="0" collapsed="false">
      <c r="B43" s="5" t="n">
        <v>39</v>
      </c>
      <c r="C43" s="6" t="s">
        <v>13</v>
      </c>
      <c r="D43" s="5" t="s">
        <v>79</v>
      </c>
      <c r="E43" s="5" t="s">
        <v>54</v>
      </c>
      <c r="F43" s="5" t="s">
        <v>55</v>
      </c>
      <c r="G43" s="5"/>
      <c r="H43" s="5" t="s">
        <v>82</v>
      </c>
      <c r="I43" s="7" t="n">
        <v>1055025</v>
      </c>
      <c r="J43" s="8" t="s">
        <v>19</v>
      </c>
      <c r="K43" s="9" t="n">
        <v>352</v>
      </c>
      <c r="L43" s="30"/>
      <c r="M43" s="40" t="n">
        <f aca="false">S03!M43+L43</f>
        <v>0</v>
      </c>
      <c r="N43" s="32" t="n">
        <f aca="false">IFERROR(M43/K43,0)</f>
        <v>0</v>
      </c>
      <c r="O43" s="41" t="n">
        <f aca="false">S03!N43</f>
        <v>0</v>
      </c>
      <c r="P43" s="32" t="n">
        <f aca="false">N43-O43</f>
        <v>0</v>
      </c>
      <c r="Q43" s="33"/>
      <c r="R43" s="33"/>
      <c r="S43" s="33"/>
      <c r="T43" s="34"/>
      <c r="U43" s="41" t="n">
        <f aca="false">S03!T43</f>
        <v>0</v>
      </c>
      <c r="V43" s="32" t="n">
        <f aca="false">T43-U43</f>
        <v>0</v>
      </c>
      <c r="W43" s="32" t="n">
        <f aca="false">N43-T43</f>
        <v>0</v>
      </c>
      <c r="X43" s="35"/>
    </row>
    <row r="44" customFormat="false" ht="21.75" hidden="false" customHeight="true" outlineLevel="0" collapsed="false">
      <c r="B44" s="10" t="n">
        <v>40</v>
      </c>
      <c r="C44" s="6" t="s">
        <v>13</v>
      </c>
      <c r="D44" s="10" t="s">
        <v>79</v>
      </c>
      <c r="E44" s="10" t="s">
        <v>54</v>
      </c>
      <c r="F44" s="10" t="s">
        <v>55</v>
      </c>
      <c r="G44" s="10"/>
      <c r="H44" s="10" t="s">
        <v>83</v>
      </c>
      <c r="I44" s="11" t="n">
        <v>1004535</v>
      </c>
      <c r="J44" s="12" t="s">
        <v>19</v>
      </c>
      <c r="K44" s="13" t="n">
        <v>335</v>
      </c>
      <c r="L44" s="30"/>
      <c r="M44" s="42" t="n">
        <f aca="false">S03!M44+L44</f>
        <v>0</v>
      </c>
      <c r="N44" s="37" t="n">
        <f aca="false">IFERROR(M44/K44,0)</f>
        <v>0</v>
      </c>
      <c r="O44" s="43" t="n">
        <f aca="false">S03!N44</f>
        <v>0</v>
      </c>
      <c r="P44" s="37" t="n">
        <f aca="false">N44-O44</f>
        <v>0</v>
      </c>
      <c r="Q44" s="33"/>
      <c r="R44" s="33"/>
      <c r="S44" s="33"/>
      <c r="T44" s="34"/>
      <c r="U44" s="43" t="n">
        <f aca="false">S03!T44</f>
        <v>0</v>
      </c>
      <c r="V44" s="37" t="n">
        <f aca="false">T44-U44</f>
        <v>0</v>
      </c>
      <c r="W44" s="37" t="n">
        <f aca="false">N44-T44</f>
        <v>0</v>
      </c>
      <c r="X44" s="35"/>
    </row>
    <row r="45" customFormat="false" ht="21.75" hidden="false" customHeight="true" outlineLevel="0" collapsed="false">
      <c r="B45" s="5" t="n">
        <v>41</v>
      </c>
      <c r="C45" s="6" t="s">
        <v>13</v>
      </c>
      <c r="D45" s="5" t="s">
        <v>79</v>
      </c>
      <c r="E45" s="5" t="s">
        <v>54</v>
      </c>
      <c r="F45" s="5" t="s">
        <v>55</v>
      </c>
      <c r="G45" s="5"/>
      <c r="H45" s="5" t="s">
        <v>84</v>
      </c>
      <c r="I45" s="7" t="n">
        <v>793830</v>
      </c>
      <c r="J45" s="8" t="s">
        <v>19</v>
      </c>
      <c r="K45" s="9" t="n">
        <v>265</v>
      </c>
      <c r="L45" s="30"/>
      <c r="M45" s="40" t="n">
        <f aca="false">S03!M45+L45</f>
        <v>0</v>
      </c>
      <c r="N45" s="32" t="n">
        <f aca="false">IFERROR(M45/K45,0)</f>
        <v>0</v>
      </c>
      <c r="O45" s="41" t="n">
        <f aca="false">S03!N45</f>
        <v>0</v>
      </c>
      <c r="P45" s="32" t="n">
        <f aca="false">N45-O45</f>
        <v>0</v>
      </c>
      <c r="Q45" s="33"/>
      <c r="R45" s="33"/>
      <c r="S45" s="33"/>
      <c r="T45" s="34"/>
      <c r="U45" s="41" t="n">
        <f aca="false">S03!T45</f>
        <v>0</v>
      </c>
      <c r="V45" s="32" t="n">
        <f aca="false">T45-U45</f>
        <v>0</v>
      </c>
      <c r="W45" s="32" t="n">
        <f aca="false">N45-T45</f>
        <v>0</v>
      </c>
      <c r="X45" s="35"/>
    </row>
    <row r="46" customFormat="false" ht="21.75" hidden="false" customHeight="true" outlineLevel="0" collapsed="false">
      <c r="B46" s="10" t="n">
        <v>42</v>
      </c>
      <c r="C46" s="6" t="s">
        <v>13</v>
      </c>
      <c r="D46" s="10" t="s">
        <v>79</v>
      </c>
      <c r="E46" s="10" t="s">
        <v>20</v>
      </c>
      <c r="F46" s="10" t="s">
        <v>21</v>
      </c>
      <c r="G46" s="10" t="s">
        <v>52</v>
      </c>
      <c r="H46" s="10" t="s">
        <v>52</v>
      </c>
      <c r="I46" s="11" t="n">
        <v>2000000</v>
      </c>
      <c r="J46" s="12" t="s">
        <v>24</v>
      </c>
      <c r="K46" s="13" t="n">
        <v>4</v>
      </c>
      <c r="L46" s="30"/>
      <c r="M46" s="42" t="n">
        <f aca="false">S03!M46+L46</f>
        <v>0</v>
      </c>
      <c r="N46" s="37" t="n">
        <f aca="false">IFERROR(M46/K46,0)</f>
        <v>0</v>
      </c>
      <c r="O46" s="43" t="n">
        <f aca="false">S03!N46</f>
        <v>0</v>
      </c>
      <c r="P46" s="37" t="n">
        <f aca="false">N46-O46</f>
        <v>0</v>
      </c>
      <c r="Q46" s="33"/>
      <c r="R46" s="33"/>
      <c r="S46" s="33"/>
      <c r="T46" s="34"/>
      <c r="U46" s="43" t="n">
        <f aca="false">S03!T46</f>
        <v>0</v>
      </c>
      <c r="V46" s="37" t="n">
        <f aca="false">T46-U46</f>
        <v>0</v>
      </c>
      <c r="W46" s="37" t="n">
        <f aca="false">N46-T46</f>
        <v>0</v>
      </c>
      <c r="X46" s="35"/>
    </row>
    <row r="47" customFormat="false" ht="21.75" hidden="false" customHeight="true" outlineLevel="0" collapsed="false">
      <c r="B47" s="5" t="n">
        <v>43</v>
      </c>
      <c r="C47" s="6" t="s">
        <v>13</v>
      </c>
      <c r="D47" s="5" t="s">
        <v>79</v>
      </c>
      <c r="E47" s="5" t="s">
        <v>15</v>
      </c>
      <c r="F47" s="5" t="s">
        <v>16</v>
      </c>
      <c r="G47" s="5" t="s">
        <v>25</v>
      </c>
      <c r="H47" s="5" t="s">
        <v>85</v>
      </c>
      <c r="I47" s="7" t="n">
        <v>200000</v>
      </c>
      <c r="J47" s="8" t="s">
        <v>19</v>
      </c>
      <c r="K47" s="9" t="n">
        <v>67</v>
      </c>
      <c r="L47" s="30"/>
      <c r="M47" s="40" t="n">
        <f aca="false">S03!M47+L47</f>
        <v>0</v>
      </c>
      <c r="N47" s="32" t="n">
        <f aca="false">IFERROR(M47/K47,0)</f>
        <v>0</v>
      </c>
      <c r="O47" s="41" t="n">
        <f aca="false">S03!N47</f>
        <v>0</v>
      </c>
      <c r="P47" s="32" t="n">
        <f aca="false">N47-O47</f>
        <v>0</v>
      </c>
      <c r="Q47" s="33"/>
      <c r="R47" s="33"/>
      <c r="S47" s="33"/>
      <c r="T47" s="34"/>
      <c r="U47" s="41" t="n">
        <f aca="false">S03!T47</f>
        <v>0</v>
      </c>
      <c r="V47" s="32" t="n">
        <f aca="false">T47-U47</f>
        <v>0</v>
      </c>
      <c r="W47" s="32" t="n">
        <f aca="false">N47-T47</f>
        <v>0</v>
      </c>
      <c r="X47" s="35"/>
    </row>
    <row r="48" customFormat="false" ht="21.75" hidden="false" customHeight="true" outlineLevel="0" collapsed="false">
      <c r="B48" s="10" t="n">
        <v>44</v>
      </c>
      <c r="C48" s="6" t="s">
        <v>13</v>
      </c>
      <c r="D48" s="10" t="s">
        <v>79</v>
      </c>
      <c r="E48" s="10" t="s">
        <v>27</v>
      </c>
      <c r="F48" s="10" t="s">
        <v>28</v>
      </c>
      <c r="G48" s="10" t="s">
        <v>29</v>
      </c>
      <c r="H48" s="10" t="s">
        <v>86</v>
      </c>
      <c r="I48" s="11" t="n">
        <v>580000</v>
      </c>
      <c r="J48" s="12" t="s">
        <v>31</v>
      </c>
      <c r="K48" s="13" t="n">
        <v>7</v>
      </c>
      <c r="L48" s="30"/>
      <c r="M48" s="42" t="n">
        <f aca="false">S03!M48+L48</f>
        <v>0</v>
      </c>
      <c r="N48" s="37" t="n">
        <f aca="false">IFERROR(M48/K48,0)</f>
        <v>0</v>
      </c>
      <c r="O48" s="43" t="n">
        <f aca="false">S03!N48</f>
        <v>0</v>
      </c>
      <c r="P48" s="37" t="n">
        <f aca="false">N48-O48</f>
        <v>0</v>
      </c>
      <c r="Q48" s="33"/>
      <c r="R48" s="33"/>
      <c r="S48" s="33"/>
      <c r="T48" s="34"/>
      <c r="U48" s="43" t="n">
        <f aca="false">S03!T48</f>
        <v>0</v>
      </c>
      <c r="V48" s="37" t="n">
        <f aca="false">T48-U48</f>
        <v>0</v>
      </c>
      <c r="W48" s="37" t="n">
        <f aca="false">N48-T48</f>
        <v>0</v>
      </c>
      <c r="X48" s="35"/>
    </row>
    <row r="49" customFormat="false" ht="21.75" hidden="false" customHeight="true" outlineLevel="0" collapsed="false">
      <c r="B49" s="5" t="n">
        <v>45</v>
      </c>
      <c r="C49" s="6" t="s">
        <v>13</v>
      </c>
      <c r="D49" s="5" t="s">
        <v>79</v>
      </c>
      <c r="E49" s="5" t="s">
        <v>27</v>
      </c>
      <c r="F49" s="5" t="s">
        <v>28</v>
      </c>
      <c r="G49" s="5" t="s">
        <v>39</v>
      </c>
      <c r="H49" s="5" t="s">
        <v>87</v>
      </c>
      <c r="I49" s="7" t="n">
        <v>4000000</v>
      </c>
      <c r="J49" s="8" t="s">
        <v>41</v>
      </c>
      <c r="K49" s="9" t="n">
        <v>2667</v>
      </c>
      <c r="L49" s="30"/>
      <c r="M49" s="40" t="n">
        <f aca="false">S03!M49+L49</f>
        <v>0</v>
      </c>
      <c r="N49" s="32" t="n">
        <f aca="false">IFERROR(M49/K49,0)</f>
        <v>0</v>
      </c>
      <c r="O49" s="41" t="n">
        <f aca="false">S03!N49</f>
        <v>0</v>
      </c>
      <c r="P49" s="32" t="n">
        <f aca="false">N49-O49</f>
        <v>0</v>
      </c>
      <c r="Q49" s="33"/>
      <c r="R49" s="33"/>
      <c r="S49" s="33"/>
      <c r="T49" s="34"/>
      <c r="U49" s="41" t="n">
        <f aca="false">S03!T49</f>
        <v>0</v>
      </c>
      <c r="V49" s="32" t="n">
        <f aca="false">T49-U49</f>
        <v>0</v>
      </c>
      <c r="W49" s="32" t="n">
        <f aca="false">N49-T49</f>
        <v>0</v>
      </c>
      <c r="X49" s="35"/>
    </row>
    <row r="50" customFormat="false" ht="21.75" hidden="false" customHeight="true" outlineLevel="0" collapsed="false">
      <c r="B50" s="10" t="n">
        <v>46</v>
      </c>
      <c r="C50" s="6" t="s">
        <v>13</v>
      </c>
      <c r="D50" s="10" t="s">
        <v>88</v>
      </c>
      <c r="E50" s="10" t="s">
        <v>20</v>
      </c>
      <c r="F50" s="10" t="s">
        <v>21</v>
      </c>
      <c r="G50" s="10" t="s">
        <v>52</v>
      </c>
      <c r="H50" s="10" t="s">
        <v>52</v>
      </c>
      <c r="I50" s="11" t="n">
        <v>655000</v>
      </c>
      <c r="J50" s="12" t="s">
        <v>24</v>
      </c>
      <c r="K50" s="13" t="n">
        <v>1</v>
      </c>
      <c r="L50" s="30"/>
      <c r="M50" s="42" t="n">
        <f aca="false">S03!M50+L50</f>
        <v>0</v>
      </c>
      <c r="N50" s="37" t="n">
        <f aca="false">IFERROR(M50/K50,0)</f>
        <v>0</v>
      </c>
      <c r="O50" s="43" t="n">
        <f aca="false">S03!N50</f>
        <v>0</v>
      </c>
      <c r="P50" s="37" t="n">
        <f aca="false">N50-O50</f>
        <v>0</v>
      </c>
      <c r="Q50" s="33"/>
      <c r="R50" s="33"/>
      <c r="S50" s="33"/>
      <c r="T50" s="34"/>
      <c r="U50" s="43" t="n">
        <f aca="false">S03!T50</f>
        <v>0</v>
      </c>
      <c r="V50" s="37" t="n">
        <f aca="false">T50-U50</f>
        <v>0</v>
      </c>
      <c r="W50" s="37" t="n">
        <f aca="false">N50-T50</f>
        <v>0</v>
      </c>
      <c r="X50" s="35"/>
    </row>
    <row r="51" customFormat="false" ht="21.75" hidden="false" customHeight="true" outlineLevel="0" collapsed="false">
      <c r="B51" s="5" t="n">
        <v>47</v>
      </c>
      <c r="C51" s="6" t="s">
        <v>13</v>
      </c>
      <c r="D51" s="5" t="s">
        <v>89</v>
      </c>
      <c r="E51" s="5" t="s">
        <v>54</v>
      </c>
      <c r="F51" s="5" t="s">
        <v>55</v>
      </c>
      <c r="G51" s="5" t="s">
        <v>56</v>
      </c>
      <c r="H51" s="5" t="s">
        <v>90</v>
      </c>
      <c r="I51" s="7" t="n">
        <v>5182920</v>
      </c>
      <c r="J51" s="8" t="s">
        <v>19</v>
      </c>
      <c r="K51" s="9" t="n">
        <v>1728</v>
      </c>
      <c r="L51" s="30"/>
      <c r="M51" s="40" t="n">
        <f aca="false">S03!M51+L51</f>
        <v>0</v>
      </c>
      <c r="N51" s="32" t="n">
        <f aca="false">IFERROR(M51/K51,0)</f>
        <v>0</v>
      </c>
      <c r="O51" s="41" t="n">
        <f aca="false">S03!N51</f>
        <v>0</v>
      </c>
      <c r="P51" s="32" t="n">
        <f aca="false">N51-O51</f>
        <v>0</v>
      </c>
      <c r="Q51" s="33"/>
      <c r="R51" s="33"/>
      <c r="S51" s="33"/>
      <c r="T51" s="34"/>
      <c r="U51" s="41" t="n">
        <f aca="false">S03!T51</f>
        <v>0</v>
      </c>
      <c r="V51" s="32" t="n">
        <f aca="false">T51-U51</f>
        <v>0</v>
      </c>
      <c r="W51" s="32" t="n">
        <f aca="false">N51-T51</f>
        <v>0</v>
      </c>
      <c r="X51" s="35"/>
    </row>
    <row r="52" customFormat="false" ht="21.75" hidden="false" customHeight="true" outlineLevel="0" collapsed="false">
      <c r="B52" s="10" t="n">
        <v>48</v>
      </c>
      <c r="C52" s="6" t="s">
        <v>13</v>
      </c>
      <c r="D52" s="10" t="s">
        <v>89</v>
      </c>
      <c r="E52" s="10" t="s">
        <v>54</v>
      </c>
      <c r="F52" s="10" t="s">
        <v>55</v>
      </c>
      <c r="G52" s="10"/>
      <c r="H52" s="10" t="s">
        <v>91</v>
      </c>
      <c r="I52" s="11" t="n">
        <v>152818</v>
      </c>
      <c r="J52" s="12" t="s">
        <v>19</v>
      </c>
      <c r="K52" s="13" t="n">
        <v>51</v>
      </c>
      <c r="L52" s="30"/>
      <c r="M52" s="42" t="n">
        <f aca="false">S03!M52+L52</f>
        <v>0</v>
      </c>
      <c r="N52" s="37" t="n">
        <f aca="false">IFERROR(M52/K52,0)</f>
        <v>0</v>
      </c>
      <c r="O52" s="43" t="n">
        <f aca="false">S03!N52</f>
        <v>0</v>
      </c>
      <c r="P52" s="37" t="n">
        <f aca="false">N52-O52</f>
        <v>0</v>
      </c>
      <c r="Q52" s="33"/>
      <c r="R52" s="33"/>
      <c r="S52" s="33"/>
      <c r="T52" s="34"/>
      <c r="U52" s="43" t="n">
        <f aca="false">S03!T52</f>
        <v>0</v>
      </c>
      <c r="V52" s="37" t="n">
        <f aca="false">T52-U52</f>
        <v>0</v>
      </c>
      <c r="W52" s="37" t="n">
        <f aca="false">N52-T52</f>
        <v>0</v>
      </c>
      <c r="X52" s="35"/>
    </row>
    <row r="53" customFormat="false" ht="21.75" hidden="false" customHeight="true" outlineLevel="0" collapsed="false">
      <c r="B53" s="5" t="n">
        <v>49</v>
      </c>
      <c r="C53" s="6" t="s">
        <v>13</v>
      </c>
      <c r="D53" s="5" t="s">
        <v>89</v>
      </c>
      <c r="E53" s="5" t="s">
        <v>54</v>
      </c>
      <c r="F53" s="5" t="s">
        <v>55</v>
      </c>
      <c r="G53" s="5"/>
      <c r="H53" s="5" t="s">
        <v>92</v>
      </c>
      <c r="I53" s="7" t="n">
        <v>1418000</v>
      </c>
      <c r="J53" s="8" t="s">
        <v>19</v>
      </c>
      <c r="K53" s="9" t="n">
        <v>473</v>
      </c>
      <c r="L53" s="30"/>
      <c r="M53" s="40" t="n">
        <f aca="false">S03!M53+L53</f>
        <v>0</v>
      </c>
      <c r="N53" s="32" t="n">
        <f aca="false">IFERROR(M53/K53,0)</f>
        <v>0</v>
      </c>
      <c r="O53" s="41" t="n">
        <f aca="false">S03!N53</f>
        <v>0</v>
      </c>
      <c r="P53" s="32" t="n">
        <f aca="false">N53-O53</f>
        <v>0</v>
      </c>
      <c r="Q53" s="33"/>
      <c r="R53" s="33"/>
      <c r="S53" s="33"/>
      <c r="T53" s="34"/>
      <c r="U53" s="41" t="n">
        <f aca="false">S03!T53</f>
        <v>0</v>
      </c>
      <c r="V53" s="32" t="n">
        <f aca="false">T53-U53</f>
        <v>0</v>
      </c>
      <c r="W53" s="32" t="n">
        <f aca="false">N53-T53</f>
        <v>0</v>
      </c>
      <c r="X53" s="35"/>
    </row>
    <row r="54" customFormat="false" ht="21.75" hidden="false" customHeight="true" outlineLevel="0" collapsed="false">
      <c r="B54" s="10" t="n">
        <v>50</v>
      </c>
      <c r="C54" s="6" t="s">
        <v>13</v>
      </c>
      <c r="D54" s="10" t="s">
        <v>89</v>
      </c>
      <c r="E54" s="10" t="s">
        <v>54</v>
      </c>
      <c r="F54" s="10" t="s">
        <v>55</v>
      </c>
      <c r="G54" s="10" t="s">
        <v>70</v>
      </c>
      <c r="H54" s="10" t="s">
        <v>93</v>
      </c>
      <c r="I54" s="11" t="n">
        <v>800000</v>
      </c>
      <c r="J54" s="12" t="s">
        <v>19</v>
      </c>
      <c r="K54" s="13" t="n">
        <v>400</v>
      </c>
      <c r="L54" s="30"/>
      <c r="M54" s="42" t="n">
        <f aca="false">S03!M54+L54</f>
        <v>0</v>
      </c>
      <c r="N54" s="37" t="n">
        <f aca="false">IFERROR(M54/K54,0)</f>
        <v>0</v>
      </c>
      <c r="O54" s="43" t="n">
        <f aca="false">S03!N54</f>
        <v>0</v>
      </c>
      <c r="P54" s="37" t="n">
        <f aca="false">N54-O54</f>
        <v>0</v>
      </c>
      <c r="Q54" s="33"/>
      <c r="R54" s="33"/>
      <c r="S54" s="33"/>
      <c r="T54" s="34"/>
      <c r="U54" s="43" t="n">
        <f aca="false">S03!T54</f>
        <v>0</v>
      </c>
      <c r="V54" s="37" t="n">
        <f aca="false">T54-U54</f>
        <v>0</v>
      </c>
      <c r="W54" s="37" t="n">
        <f aca="false">N54-T54</f>
        <v>0</v>
      </c>
      <c r="X54" s="35"/>
    </row>
    <row r="55" customFormat="false" ht="21.75" hidden="false" customHeight="true" outlineLevel="0" collapsed="false">
      <c r="B55" s="5" t="n">
        <v>51</v>
      </c>
      <c r="C55" s="6" t="s">
        <v>13</v>
      </c>
      <c r="D55" s="5" t="s">
        <v>89</v>
      </c>
      <c r="E55" s="5" t="s">
        <v>20</v>
      </c>
      <c r="F55" s="5" t="s">
        <v>21</v>
      </c>
      <c r="G55" s="5" t="s">
        <v>52</v>
      </c>
      <c r="H55" s="5" t="s">
        <v>52</v>
      </c>
      <c r="I55" s="7" t="n">
        <v>3700000</v>
      </c>
      <c r="J55" s="8" t="s">
        <v>24</v>
      </c>
      <c r="K55" s="9" t="n">
        <v>7</v>
      </c>
      <c r="L55" s="30"/>
      <c r="M55" s="40" t="n">
        <f aca="false">S03!M55+L55</f>
        <v>0</v>
      </c>
      <c r="N55" s="32" t="n">
        <f aca="false">IFERROR(M55/K55,0)</f>
        <v>0</v>
      </c>
      <c r="O55" s="41" t="n">
        <f aca="false">S03!N55</f>
        <v>0</v>
      </c>
      <c r="P55" s="32" t="n">
        <f aca="false">N55-O55</f>
        <v>0</v>
      </c>
      <c r="Q55" s="33"/>
      <c r="R55" s="33"/>
      <c r="S55" s="33"/>
      <c r="T55" s="34"/>
      <c r="U55" s="41" t="n">
        <f aca="false">S03!T55</f>
        <v>0</v>
      </c>
      <c r="V55" s="32" t="n">
        <f aca="false">T55-U55</f>
        <v>0</v>
      </c>
      <c r="W55" s="32" t="n">
        <f aca="false">N55-T55</f>
        <v>0</v>
      </c>
      <c r="X55" s="35"/>
    </row>
    <row r="56" customFormat="false" ht="21.75" hidden="false" customHeight="true" outlineLevel="0" collapsed="false">
      <c r="B56" s="10" t="n">
        <v>52</v>
      </c>
      <c r="C56" s="6" t="s">
        <v>13</v>
      </c>
      <c r="D56" s="10" t="s">
        <v>89</v>
      </c>
      <c r="E56" s="10" t="s">
        <v>27</v>
      </c>
      <c r="F56" s="10" t="s">
        <v>28</v>
      </c>
      <c r="G56" s="10" t="s">
        <v>29</v>
      </c>
      <c r="H56" s="10" t="s">
        <v>94</v>
      </c>
      <c r="I56" s="11" t="n">
        <v>705000</v>
      </c>
      <c r="J56" s="12" t="s">
        <v>31</v>
      </c>
      <c r="K56" s="13" t="n">
        <v>3</v>
      </c>
      <c r="L56" s="30"/>
      <c r="M56" s="42" t="n">
        <f aca="false">S03!M56+L56</f>
        <v>0</v>
      </c>
      <c r="N56" s="37" t="n">
        <f aca="false">IFERROR(M56/K56,0)</f>
        <v>0</v>
      </c>
      <c r="O56" s="43" t="n">
        <f aca="false">S03!N56</f>
        <v>0</v>
      </c>
      <c r="P56" s="37" t="n">
        <f aca="false">N56-O56</f>
        <v>0</v>
      </c>
      <c r="Q56" s="33"/>
      <c r="R56" s="33"/>
      <c r="S56" s="33"/>
      <c r="T56" s="34"/>
      <c r="U56" s="43" t="n">
        <f aca="false">S03!T56</f>
        <v>0</v>
      </c>
      <c r="V56" s="37" t="n">
        <f aca="false">T56-U56</f>
        <v>0</v>
      </c>
      <c r="W56" s="37" t="n">
        <f aca="false">N56-T56</f>
        <v>0</v>
      </c>
      <c r="X56" s="35"/>
    </row>
    <row r="57" customFormat="false" ht="21.75" hidden="false" customHeight="true" outlineLevel="0" collapsed="false">
      <c r="B57" s="5" t="n">
        <v>53</v>
      </c>
      <c r="C57" s="6" t="s">
        <v>13</v>
      </c>
      <c r="D57" s="5" t="s">
        <v>89</v>
      </c>
      <c r="E57" s="5" t="s">
        <v>27</v>
      </c>
      <c r="F57" s="5" t="s">
        <v>28</v>
      </c>
      <c r="G57" s="5" t="s">
        <v>65</v>
      </c>
      <c r="H57" s="5" t="s">
        <v>95</v>
      </c>
      <c r="I57" s="7" t="n">
        <v>372000</v>
      </c>
      <c r="J57" s="8" t="s">
        <v>19</v>
      </c>
      <c r="K57" s="9" t="n">
        <v>124</v>
      </c>
      <c r="L57" s="30"/>
      <c r="M57" s="40" t="n">
        <f aca="false">S03!M57+L57</f>
        <v>0</v>
      </c>
      <c r="N57" s="32" t="n">
        <f aca="false">IFERROR(M57/K57,0)</f>
        <v>0</v>
      </c>
      <c r="O57" s="41" t="n">
        <f aca="false">S03!N57</f>
        <v>0</v>
      </c>
      <c r="P57" s="32" t="n">
        <f aca="false">N57-O57</f>
        <v>0</v>
      </c>
      <c r="Q57" s="33"/>
      <c r="R57" s="33"/>
      <c r="S57" s="33"/>
      <c r="T57" s="34"/>
      <c r="U57" s="41" t="n">
        <f aca="false">S03!T57</f>
        <v>0</v>
      </c>
      <c r="V57" s="32" t="n">
        <f aca="false">T57-U57</f>
        <v>0</v>
      </c>
      <c r="W57" s="32" t="n">
        <f aca="false">N57-T57</f>
        <v>0</v>
      </c>
      <c r="X57" s="35"/>
    </row>
    <row r="58" customFormat="false" ht="21.75" hidden="false" customHeight="true" outlineLevel="0" collapsed="false">
      <c r="B58" s="10" t="n">
        <v>54</v>
      </c>
      <c r="C58" s="15" t="s">
        <v>96</v>
      </c>
      <c r="D58" s="10" t="s">
        <v>97</v>
      </c>
      <c r="E58" s="10" t="s">
        <v>15</v>
      </c>
      <c r="F58" s="10" t="s">
        <v>16</v>
      </c>
      <c r="G58" s="10" t="s">
        <v>17</v>
      </c>
      <c r="H58" s="10" t="s">
        <v>98</v>
      </c>
      <c r="I58" s="11" t="n">
        <v>10000000</v>
      </c>
      <c r="J58" s="12" t="s">
        <v>19</v>
      </c>
      <c r="K58" s="13" t="n">
        <v>5000</v>
      </c>
      <c r="L58" s="30"/>
      <c r="M58" s="42" t="n">
        <f aca="false">S03!M58+L58</f>
        <v>0</v>
      </c>
      <c r="N58" s="37" t="n">
        <f aca="false">IFERROR(M58/K58,0)</f>
        <v>0</v>
      </c>
      <c r="O58" s="43" t="n">
        <f aca="false">S03!N58</f>
        <v>0</v>
      </c>
      <c r="P58" s="37" t="n">
        <f aca="false">N58-O58</f>
        <v>0</v>
      </c>
      <c r="Q58" s="33"/>
      <c r="R58" s="33"/>
      <c r="S58" s="33"/>
      <c r="T58" s="34"/>
      <c r="U58" s="43" t="n">
        <f aca="false">S03!T58</f>
        <v>0</v>
      </c>
      <c r="V58" s="37" t="n">
        <f aca="false">T58-U58</f>
        <v>0</v>
      </c>
      <c r="W58" s="37" t="n">
        <f aca="false">N58-T58</f>
        <v>0</v>
      </c>
      <c r="X58" s="35"/>
    </row>
    <row r="59" customFormat="false" ht="21.75" hidden="false" customHeight="true" outlineLevel="0" collapsed="false">
      <c r="B59" s="5" t="n">
        <v>55</v>
      </c>
      <c r="C59" s="15" t="s">
        <v>96</v>
      </c>
      <c r="D59" s="5" t="s">
        <v>97</v>
      </c>
      <c r="E59" s="5" t="s">
        <v>20</v>
      </c>
      <c r="F59" s="5" t="s">
        <v>21</v>
      </c>
      <c r="G59" s="5" t="s">
        <v>22</v>
      </c>
      <c r="H59" s="5" t="s">
        <v>99</v>
      </c>
      <c r="I59" s="7" t="n">
        <v>2000000</v>
      </c>
      <c r="J59" s="8" t="s">
        <v>24</v>
      </c>
      <c r="K59" s="9" t="n">
        <v>4</v>
      </c>
      <c r="L59" s="30"/>
      <c r="M59" s="40" t="n">
        <f aca="false">S03!M59+L59</f>
        <v>0</v>
      </c>
      <c r="N59" s="32" t="n">
        <f aca="false">IFERROR(M59/K59,0)</f>
        <v>0</v>
      </c>
      <c r="O59" s="41" t="n">
        <f aca="false">S03!N59</f>
        <v>0</v>
      </c>
      <c r="P59" s="32" t="n">
        <f aca="false">N59-O59</f>
        <v>0</v>
      </c>
      <c r="Q59" s="33"/>
      <c r="R59" s="33"/>
      <c r="S59" s="33"/>
      <c r="T59" s="34"/>
      <c r="U59" s="41" t="n">
        <f aca="false">S03!T59</f>
        <v>0</v>
      </c>
      <c r="V59" s="32" t="n">
        <f aca="false">T59-U59</f>
        <v>0</v>
      </c>
      <c r="W59" s="32" t="n">
        <f aca="false">N59-T59</f>
        <v>0</v>
      </c>
      <c r="X59" s="35"/>
    </row>
    <row r="60" customFormat="false" ht="21.75" hidden="false" customHeight="true" outlineLevel="0" collapsed="false">
      <c r="B60" s="10" t="n">
        <v>56</v>
      </c>
      <c r="C60" s="15" t="s">
        <v>96</v>
      </c>
      <c r="D60" s="10" t="s">
        <v>97</v>
      </c>
      <c r="E60" s="10" t="s">
        <v>27</v>
      </c>
      <c r="F60" s="10" t="s">
        <v>28</v>
      </c>
      <c r="G60" s="10" t="s">
        <v>37</v>
      </c>
      <c r="H60" s="10" t="s">
        <v>100</v>
      </c>
      <c r="I60" s="11" t="n">
        <v>300000</v>
      </c>
      <c r="J60" s="12" t="s">
        <v>31</v>
      </c>
      <c r="K60" s="13" t="n">
        <v>1</v>
      </c>
      <c r="L60" s="30"/>
      <c r="M60" s="42" t="n">
        <f aca="false">S03!M60+L60</f>
        <v>0</v>
      </c>
      <c r="N60" s="37" t="n">
        <f aca="false">IFERROR(M60/K60,0)</f>
        <v>0</v>
      </c>
      <c r="O60" s="43" t="n">
        <f aca="false">S03!N60</f>
        <v>0</v>
      </c>
      <c r="P60" s="37" t="n">
        <f aca="false">N60-O60</f>
        <v>0</v>
      </c>
      <c r="Q60" s="33"/>
      <c r="R60" s="33"/>
      <c r="S60" s="33"/>
      <c r="T60" s="34"/>
      <c r="U60" s="43" t="n">
        <f aca="false">S03!T60</f>
        <v>0</v>
      </c>
      <c r="V60" s="37" t="n">
        <f aca="false">T60-U60</f>
        <v>0</v>
      </c>
      <c r="W60" s="37" t="n">
        <f aca="false">N60-T60</f>
        <v>0</v>
      </c>
      <c r="X60" s="35"/>
    </row>
    <row r="61" customFormat="false" ht="21.75" hidden="false" customHeight="true" outlineLevel="0" collapsed="false">
      <c r="B61" s="5" t="n">
        <v>57</v>
      </c>
      <c r="C61" s="15" t="s">
        <v>96</v>
      </c>
      <c r="D61" s="5" t="s">
        <v>97</v>
      </c>
      <c r="E61" s="5" t="s">
        <v>54</v>
      </c>
      <c r="F61" s="5" t="s">
        <v>55</v>
      </c>
      <c r="G61" s="5" t="s">
        <v>70</v>
      </c>
      <c r="H61" s="5" t="s">
        <v>101</v>
      </c>
      <c r="I61" s="7" t="n">
        <v>100000</v>
      </c>
      <c r="J61" s="8" t="s">
        <v>31</v>
      </c>
      <c r="K61" s="9" t="n">
        <v>200</v>
      </c>
      <c r="L61" s="30"/>
      <c r="M61" s="40" t="n">
        <f aca="false">S03!M61+L61</f>
        <v>0</v>
      </c>
      <c r="N61" s="32" t="n">
        <f aca="false">IFERROR(M61/K61,0)</f>
        <v>0</v>
      </c>
      <c r="O61" s="41" t="n">
        <f aca="false">S03!N61</f>
        <v>0</v>
      </c>
      <c r="P61" s="32" t="n">
        <f aca="false">N61-O61</f>
        <v>0</v>
      </c>
      <c r="Q61" s="33"/>
      <c r="R61" s="33"/>
      <c r="S61" s="33"/>
      <c r="T61" s="34"/>
      <c r="U61" s="41" t="n">
        <f aca="false">S03!T61</f>
        <v>0</v>
      </c>
      <c r="V61" s="32" t="n">
        <f aca="false">T61-U61</f>
        <v>0</v>
      </c>
      <c r="W61" s="32" t="n">
        <f aca="false">N61-T61</f>
        <v>0</v>
      </c>
      <c r="X61" s="35"/>
    </row>
    <row r="62" customFormat="false" ht="21.75" hidden="false" customHeight="true" outlineLevel="0" collapsed="false">
      <c r="B62" s="10" t="n">
        <v>58</v>
      </c>
      <c r="C62" s="15" t="s">
        <v>96</v>
      </c>
      <c r="D62" s="10" t="s">
        <v>102</v>
      </c>
      <c r="E62" s="10" t="s">
        <v>15</v>
      </c>
      <c r="F62" s="10" t="s">
        <v>16</v>
      </c>
      <c r="G62" s="10" t="s">
        <v>17</v>
      </c>
      <c r="H62" s="10" t="s">
        <v>103</v>
      </c>
      <c r="I62" s="11" t="n">
        <v>3000000</v>
      </c>
      <c r="J62" s="12" t="s">
        <v>19</v>
      </c>
      <c r="K62" s="13" t="n">
        <v>1500</v>
      </c>
      <c r="L62" s="30"/>
      <c r="M62" s="42" t="n">
        <f aca="false">S03!M62+L62</f>
        <v>0</v>
      </c>
      <c r="N62" s="37" t="n">
        <f aca="false">IFERROR(M62/K62,0)</f>
        <v>0</v>
      </c>
      <c r="O62" s="43" t="n">
        <f aca="false">S03!N62</f>
        <v>0</v>
      </c>
      <c r="P62" s="37" t="n">
        <f aca="false">N62-O62</f>
        <v>0</v>
      </c>
      <c r="Q62" s="33"/>
      <c r="R62" s="33"/>
      <c r="S62" s="33"/>
      <c r="T62" s="34"/>
      <c r="U62" s="43" t="n">
        <f aca="false">S03!T62</f>
        <v>0</v>
      </c>
      <c r="V62" s="37" t="n">
        <f aca="false">T62-U62</f>
        <v>0</v>
      </c>
      <c r="W62" s="37" t="n">
        <f aca="false">N62-T62</f>
        <v>0</v>
      </c>
      <c r="X62" s="35"/>
    </row>
    <row r="63" customFormat="false" ht="21.75" hidden="false" customHeight="true" outlineLevel="0" collapsed="false">
      <c r="B63" s="5" t="n">
        <v>59</v>
      </c>
      <c r="C63" s="15" t="s">
        <v>96</v>
      </c>
      <c r="D63" s="5" t="s">
        <v>102</v>
      </c>
      <c r="E63" s="5" t="s">
        <v>20</v>
      </c>
      <c r="F63" s="5" t="s">
        <v>21</v>
      </c>
      <c r="G63" s="5" t="s">
        <v>22</v>
      </c>
      <c r="H63" s="5" t="s">
        <v>104</v>
      </c>
      <c r="I63" s="7" t="n">
        <v>5000000</v>
      </c>
      <c r="J63" s="8" t="s">
        <v>31</v>
      </c>
      <c r="K63" s="9" t="n">
        <v>1</v>
      </c>
      <c r="L63" s="30"/>
      <c r="M63" s="40" t="n">
        <f aca="false">S03!M63+L63</f>
        <v>0</v>
      </c>
      <c r="N63" s="32" t="n">
        <f aca="false">IFERROR(M63/K63,0)</f>
        <v>0</v>
      </c>
      <c r="O63" s="41" t="n">
        <f aca="false">S03!N63</f>
        <v>0</v>
      </c>
      <c r="P63" s="32" t="n">
        <f aca="false">N63-O63</f>
        <v>0</v>
      </c>
      <c r="Q63" s="33"/>
      <c r="R63" s="33"/>
      <c r="S63" s="33"/>
      <c r="T63" s="34"/>
      <c r="U63" s="41" t="n">
        <f aca="false">S03!T63</f>
        <v>0</v>
      </c>
      <c r="V63" s="32" t="n">
        <f aca="false">T63-U63</f>
        <v>0</v>
      </c>
      <c r="W63" s="32" t="n">
        <f aca="false">N63-T63</f>
        <v>0</v>
      </c>
      <c r="X63" s="35"/>
    </row>
    <row r="64" customFormat="false" ht="21.75" hidden="false" customHeight="true" outlineLevel="0" collapsed="false">
      <c r="B64" s="10" t="n">
        <v>60</v>
      </c>
      <c r="C64" s="15" t="s">
        <v>96</v>
      </c>
      <c r="D64" s="10" t="s">
        <v>105</v>
      </c>
      <c r="E64" s="10" t="s">
        <v>15</v>
      </c>
      <c r="F64" s="10" t="s">
        <v>16</v>
      </c>
      <c r="G64" s="10" t="s">
        <v>17</v>
      </c>
      <c r="H64" s="10" t="s">
        <v>106</v>
      </c>
      <c r="I64" s="11" t="n">
        <v>3000000</v>
      </c>
      <c r="J64" s="12" t="s">
        <v>19</v>
      </c>
      <c r="K64" s="13" t="n">
        <v>1500</v>
      </c>
      <c r="L64" s="30"/>
      <c r="M64" s="42" t="n">
        <f aca="false">S03!M64+L64</f>
        <v>0</v>
      </c>
      <c r="N64" s="37" t="n">
        <f aca="false">IFERROR(M64/K64,0)</f>
        <v>0</v>
      </c>
      <c r="O64" s="43" t="n">
        <f aca="false">S03!N64</f>
        <v>0</v>
      </c>
      <c r="P64" s="37" t="n">
        <f aca="false">N64-O64</f>
        <v>0</v>
      </c>
      <c r="Q64" s="33"/>
      <c r="R64" s="33"/>
      <c r="S64" s="33"/>
      <c r="T64" s="34"/>
      <c r="U64" s="43" t="n">
        <f aca="false">S03!T64</f>
        <v>0</v>
      </c>
      <c r="V64" s="37" t="n">
        <f aca="false">T64-U64</f>
        <v>0</v>
      </c>
      <c r="W64" s="37" t="n">
        <f aca="false">N64-T64</f>
        <v>0</v>
      </c>
      <c r="X64" s="35"/>
    </row>
    <row r="65" customFormat="false" ht="21.75" hidden="false" customHeight="true" outlineLevel="0" collapsed="false">
      <c r="B65" s="5" t="n">
        <v>61</v>
      </c>
      <c r="C65" s="15" t="s">
        <v>96</v>
      </c>
      <c r="D65" s="5" t="s">
        <v>105</v>
      </c>
      <c r="E65" s="5" t="s">
        <v>20</v>
      </c>
      <c r="F65" s="5" t="s">
        <v>21</v>
      </c>
      <c r="G65" s="5" t="s">
        <v>22</v>
      </c>
      <c r="H65" s="5" t="s">
        <v>107</v>
      </c>
      <c r="I65" s="7" t="n">
        <v>3000000</v>
      </c>
      <c r="J65" s="8" t="s">
        <v>24</v>
      </c>
      <c r="K65" s="9" t="n">
        <v>6</v>
      </c>
      <c r="L65" s="30"/>
      <c r="M65" s="40" t="n">
        <f aca="false">S03!M65+L65</f>
        <v>0</v>
      </c>
      <c r="N65" s="32" t="n">
        <f aca="false">IFERROR(M65/K65,0)</f>
        <v>0</v>
      </c>
      <c r="O65" s="41" t="n">
        <f aca="false">S03!N65</f>
        <v>0</v>
      </c>
      <c r="P65" s="32" t="n">
        <f aca="false">N65-O65</f>
        <v>0</v>
      </c>
      <c r="Q65" s="33"/>
      <c r="R65" s="33"/>
      <c r="S65" s="33"/>
      <c r="T65" s="34"/>
      <c r="U65" s="41" t="n">
        <f aca="false">S03!T65</f>
        <v>0</v>
      </c>
      <c r="V65" s="32" t="n">
        <f aca="false">T65-U65</f>
        <v>0</v>
      </c>
      <c r="W65" s="32" t="n">
        <f aca="false">N65-T65</f>
        <v>0</v>
      </c>
      <c r="X65" s="35"/>
    </row>
    <row r="66" customFormat="false" ht="21.75" hidden="false" customHeight="true" outlineLevel="0" collapsed="false">
      <c r="B66" s="10" t="n">
        <v>62</v>
      </c>
      <c r="C66" s="15" t="s">
        <v>96</v>
      </c>
      <c r="D66" s="10" t="s">
        <v>108</v>
      </c>
      <c r="E66" s="10" t="s">
        <v>15</v>
      </c>
      <c r="F66" s="10" t="s">
        <v>16</v>
      </c>
      <c r="G66" s="10" t="s">
        <v>17</v>
      </c>
      <c r="H66" s="10" t="s">
        <v>109</v>
      </c>
      <c r="I66" s="11" t="n">
        <v>6000000</v>
      </c>
      <c r="J66" s="12" t="s">
        <v>19</v>
      </c>
      <c r="K66" s="13" t="n">
        <v>3000</v>
      </c>
      <c r="L66" s="30"/>
      <c r="M66" s="42" t="n">
        <f aca="false">S03!M66+L66</f>
        <v>0</v>
      </c>
      <c r="N66" s="37" t="n">
        <f aca="false">IFERROR(M66/K66,0)</f>
        <v>0</v>
      </c>
      <c r="O66" s="43" t="n">
        <f aca="false">S03!N66</f>
        <v>0</v>
      </c>
      <c r="P66" s="37" t="n">
        <f aca="false">N66-O66</f>
        <v>0</v>
      </c>
      <c r="Q66" s="33"/>
      <c r="R66" s="33"/>
      <c r="S66" s="33"/>
      <c r="T66" s="34"/>
      <c r="U66" s="43" t="n">
        <f aca="false">S03!T66</f>
        <v>0</v>
      </c>
      <c r="V66" s="37" t="n">
        <f aca="false">T66-U66</f>
        <v>0</v>
      </c>
      <c r="W66" s="37" t="n">
        <f aca="false">N66-T66</f>
        <v>0</v>
      </c>
      <c r="X66" s="35"/>
    </row>
    <row r="67" customFormat="false" ht="21.75" hidden="false" customHeight="true" outlineLevel="0" collapsed="false">
      <c r="B67" s="5" t="n">
        <v>63</v>
      </c>
      <c r="C67" s="15" t="s">
        <v>96</v>
      </c>
      <c r="D67" s="5" t="s">
        <v>108</v>
      </c>
      <c r="E67" s="5" t="s">
        <v>20</v>
      </c>
      <c r="F67" s="5" t="s">
        <v>21</v>
      </c>
      <c r="G67" s="5" t="s">
        <v>22</v>
      </c>
      <c r="H67" s="5" t="s">
        <v>110</v>
      </c>
      <c r="I67" s="7" t="n">
        <v>6000000</v>
      </c>
      <c r="J67" s="8" t="s">
        <v>24</v>
      </c>
      <c r="K67" s="9" t="n">
        <v>12</v>
      </c>
      <c r="L67" s="30"/>
      <c r="M67" s="40" t="n">
        <f aca="false">S03!M67+L67</f>
        <v>0</v>
      </c>
      <c r="N67" s="32" t="n">
        <f aca="false">IFERROR(M67/K67,0)</f>
        <v>0</v>
      </c>
      <c r="O67" s="41" t="n">
        <f aca="false">S03!N67</f>
        <v>0</v>
      </c>
      <c r="P67" s="32" t="n">
        <f aca="false">N67-O67</f>
        <v>0</v>
      </c>
      <c r="Q67" s="33"/>
      <c r="R67" s="33"/>
      <c r="S67" s="33"/>
      <c r="T67" s="34"/>
      <c r="U67" s="41" t="n">
        <f aca="false">S03!T67</f>
        <v>0</v>
      </c>
      <c r="V67" s="32" t="n">
        <f aca="false">T67-U67</f>
        <v>0</v>
      </c>
      <c r="W67" s="32" t="n">
        <f aca="false">N67-T67</f>
        <v>0</v>
      </c>
      <c r="X67" s="35"/>
    </row>
    <row r="68" customFormat="false" ht="21.75" hidden="false" customHeight="true" outlineLevel="0" collapsed="false">
      <c r="B68" s="10" t="n">
        <v>64</v>
      </c>
      <c r="C68" s="15" t="s">
        <v>96</v>
      </c>
      <c r="D68" s="10" t="s">
        <v>111</v>
      </c>
      <c r="E68" s="10" t="s">
        <v>15</v>
      </c>
      <c r="F68" s="10" t="s">
        <v>16</v>
      </c>
      <c r="G68" s="10" t="s">
        <v>17</v>
      </c>
      <c r="H68" s="10" t="s">
        <v>112</v>
      </c>
      <c r="I68" s="11" t="n">
        <v>3000000</v>
      </c>
      <c r="J68" s="12" t="s">
        <v>19</v>
      </c>
      <c r="K68" s="13" t="n">
        <v>1500</v>
      </c>
      <c r="L68" s="30"/>
      <c r="M68" s="42" t="n">
        <f aca="false">S03!M68+L68</f>
        <v>0</v>
      </c>
      <c r="N68" s="37" t="n">
        <f aca="false">IFERROR(M68/K68,0)</f>
        <v>0</v>
      </c>
      <c r="O68" s="43" t="n">
        <f aca="false">S03!N68</f>
        <v>0</v>
      </c>
      <c r="P68" s="37" t="n">
        <f aca="false">N68-O68</f>
        <v>0</v>
      </c>
      <c r="Q68" s="33"/>
      <c r="R68" s="33"/>
      <c r="S68" s="33"/>
      <c r="T68" s="34"/>
      <c r="U68" s="43" t="n">
        <f aca="false">S03!T68</f>
        <v>0</v>
      </c>
      <c r="V68" s="37" t="n">
        <f aca="false">T68-U68</f>
        <v>0</v>
      </c>
      <c r="W68" s="37" t="n">
        <f aca="false">N68-T68</f>
        <v>0</v>
      </c>
      <c r="X68" s="35"/>
    </row>
    <row r="69" customFormat="false" ht="21.75" hidden="false" customHeight="true" outlineLevel="0" collapsed="false">
      <c r="B69" s="5" t="n">
        <v>65</v>
      </c>
      <c r="C69" s="15" t="s">
        <v>96</v>
      </c>
      <c r="D69" s="5" t="s">
        <v>113</v>
      </c>
      <c r="E69" s="5" t="s">
        <v>15</v>
      </c>
      <c r="F69" s="5" t="s">
        <v>16</v>
      </c>
      <c r="G69" s="5" t="s">
        <v>17</v>
      </c>
      <c r="H69" s="5" t="s">
        <v>114</v>
      </c>
      <c r="I69" s="7" t="n">
        <v>1000000</v>
      </c>
      <c r="J69" s="8" t="s">
        <v>19</v>
      </c>
      <c r="K69" s="9" t="n">
        <v>500</v>
      </c>
      <c r="L69" s="30"/>
      <c r="M69" s="40" t="n">
        <f aca="false">S03!M69+L69</f>
        <v>0</v>
      </c>
      <c r="N69" s="32" t="n">
        <f aca="false">IFERROR(M69/K69,0)</f>
        <v>0</v>
      </c>
      <c r="O69" s="41" t="n">
        <f aca="false">S03!N69</f>
        <v>0</v>
      </c>
      <c r="P69" s="32" t="n">
        <f aca="false">N69-O69</f>
        <v>0</v>
      </c>
      <c r="Q69" s="33"/>
      <c r="R69" s="33"/>
      <c r="S69" s="33"/>
      <c r="T69" s="34"/>
      <c r="U69" s="41" t="n">
        <f aca="false">S03!T69</f>
        <v>0</v>
      </c>
      <c r="V69" s="32" t="n">
        <f aca="false">T69-U69</f>
        <v>0</v>
      </c>
      <c r="W69" s="32" t="n">
        <f aca="false">N69-T69</f>
        <v>0</v>
      </c>
      <c r="X69" s="35"/>
    </row>
    <row r="70" customFormat="false" ht="21.75" hidden="false" customHeight="true" outlineLevel="0" collapsed="false">
      <c r="B70" s="10" t="n">
        <v>66</v>
      </c>
      <c r="C70" s="15" t="s">
        <v>96</v>
      </c>
      <c r="D70" s="10" t="s">
        <v>115</v>
      </c>
      <c r="E70" s="10" t="s">
        <v>15</v>
      </c>
      <c r="F70" s="10" t="s">
        <v>16</v>
      </c>
      <c r="G70" s="10" t="s">
        <v>17</v>
      </c>
      <c r="H70" s="10" t="s">
        <v>116</v>
      </c>
      <c r="I70" s="11" t="n">
        <v>1000000</v>
      </c>
      <c r="J70" s="12" t="s">
        <v>19</v>
      </c>
      <c r="K70" s="13" t="n">
        <v>500</v>
      </c>
      <c r="L70" s="30"/>
      <c r="M70" s="42" t="n">
        <f aca="false">S03!M70+L70</f>
        <v>0</v>
      </c>
      <c r="N70" s="37" t="n">
        <f aca="false">IFERROR(M70/K70,0)</f>
        <v>0</v>
      </c>
      <c r="O70" s="43" t="n">
        <f aca="false">S03!N70</f>
        <v>0</v>
      </c>
      <c r="P70" s="37" t="n">
        <f aca="false">N70-O70</f>
        <v>0</v>
      </c>
      <c r="Q70" s="33"/>
      <c r="R70" s="33"/>
      <c r="S70" s="33"/>
      <c r="T70" s="34"/>
      <c r="U70" s="43" t="n">
        <f aca="false">S03!T70</f>
        <v>0</v>
      </c>
      <c r="V70" s="37" t="n">
        <f aca="false">T70-U70</f>
        <v>0</v>
      </c>
      <c r="W70" s="37" t="n">
        <f aca="false">N70-T70</f>
        <v>0</v>
      </c>
      <c r="X70" s="35"/>
    </row>
    <row r="71" customFormat="false" ht="21.75" hidden="false" customHeight="true" outlineLevel="0" collapsed="false">
      <c r="B71" s="5" t="n">
        <v>67</v>
      </c>
      <c r="C71" s="15" t="s">
        <v>96</v>
      </c>
      <c r="D71" s="5" t="s">
        <v>117</v>
      </c>
      <c r="E71" s="5" t="s">
        <v>15</v>
      </c>
      <c r="F71" s="5" t="s">
        <v>16</v>
      </c>
      <c r="G71" s="5" t="s">
        <v>17</v>
      </c>
      <c r="H71" s="5" t="s">
        <v>118</v>
      </c>
      <c r="I71" s="7" t="n">
        <v>6600000</v>
      </c>
      <c r="J71" s="8" t="s">
        <v>19</v>
      </c>
      <c r="K71" s="9" t="n">
        <v>3300</v>
      </c>
      <c r="L71" s="30"/>
      <c r="M71" s="40" t="n">
        <f aca="false">S03!M71+L71</f>
        <v>0</v>
      </c>
      <c r="N71" s="32" t="n">
        <f aca="false">IFERROR(M71/K71,0)</f>
        <v>0</v>
      </c>
      <c r="O71" s="41" t="n">
        <f aca="false">S03!N71</f>
        <v>0</v>
      </c>
      <c r="P71" s="32" t="n">
        <f aca="false">N71-O71</f>
        <v>0</v>
      </c>
      <c r="Q71" s="33"/>
      <c r="R71" s="33"/>
      <c r="S71" s="33"/>
      <c r="T71" s="34"/>
      <c r="U71" s="41" t="n">
        <f aca="false">S03!T71</f>
        <v>0</v>
      </c>
      <c r="V71" s="32" t="n">
        <f aca="false">T71-U71</f>
        <v>0</v>
      </c>
      <c r="W71" s="32" t="n">
        <f aca="false">N71-T71</f>
        <v>0</v>
      </c>
      <c r="X71" s="35"/>
    </row>
    <row r="72" customFormat="false" ht="21.75" hidden="false" customHeight="true" outlineLevel="0" collapsed="false">
      <c r="B72" s="10" t="n">
        <v>68</v>
      </c>
      <c r="C72" s="16" t="s">
        <v>119</v>
      </c>
      <c r="D72" s="10" t="s">
        <v>120</v>
      </c>
      <c r="E72" s="10" t="s">
        <v>15</v>
      </c>
      <c r="F72" s="10" t="s">
        <v>16</v>
      </c>
      <c r="G72" s="10" t="s">
        <v>17</v>
      </c>
      <c r="H72" s="10" t="s">
        <v>121</v>
      </c>
      <c r="I72" s="11" t="n">
        <v>1805475</v>
      </c>
      <c r="J72" s="12" t="s">
        <v>19</v>
      </c>
      <c r="K72" s="13" t="n">
        <v>903</v>
      </c>
      <c r="L72" s="30"/>
      <c r="M72" s="42" t="n">
        <f aca="false">S03!M72+L72</f>
        <v>0</v>
      </c>
      <c r="N72" s="37" t="n">
        <f aca="false">IFERROR(M72/K72,0)</f>
        <v>0</v>
      </c>
      <c r="O72" s="43" t="n">
        <f aca="false">S03!N72</f>
        <v>0</v>
      </c>
      <c r="P72" s="37" t="n">
        <f aca="false">N72-O72</f>
        <v>0</v>
      </c>
      <c r="Q72" s="33"/>
      <c r="R72" s="33"/>
      <c r="S72" s="33"/>
      <c r="T72" s="34"/>
      <c r="U72" s="43" t="n">
        <f aca="false">S03!T72</f>
        <v>0</v>
      </c>
      <c r="V72" s="37" t="n">
        <f aca="false">T72-U72</f>
        <v>0</v>
      </c>
      <c r="W72" s="37" t="n">
        <f aca="false">N72-T72</f>
        <v>0</v>
      </c>
      <c r="X72" s="35"/>
    </row>
    <row r="73" customFormat="false" ht="21.75" hidden="false" customHeight="true" outlineLevel="0" collapsed="false">
      <c r="B73" s="5" t="n">
        <v>69</v>
      </c>
      <c r="C73" s="16" t="s">
        <v>119</v>
      </c>
      <c r="D73" s="5" t="s">
        <v>120</v>
      </c>
      <c r="E73" s="5" t="s">
        <v>15</v>
      </c>
      <c r="F73" s="5" t="s">
        <v>16</v>
      </c>
      <c r="G73" s="5" t="s">
        <v>17</v>
      </c>
      <c r="H73" s="5" t="s">
        <v>122</v>
      </c>
      <c r="I73" s="7" t="n">
        <v>2587200</v>
      </c>
      <c r="J73" s="8" t="s">
        <v>19</v>
      </c>
      <c r="K73" s="9" t="n">
        <v>1294</v>
      </c>
      <c r="L73" s="30"/>
      <c r="M73" s="40" t="n">
        <f aca="false">S03!M73+L73</f>
        <v>0</v>
      </c>
      <c r="N73" s="32" t="n">
        <f aca="false">IFERROR(M73/K73,0)</f>
        <v>0</v>
      </c>
      <c r="O73" s="41" t="n">
        <f aca="false">S03!N73</f>
        <v>0</v>
      </c>
      <c r="P73" s="32" t="n">
        <f aca="false">N73-O73</f>
        <v>0</v>
      </c>
      <c r="Q73" s="33"/>
      <c r="R73" s="33"/>
      <c r="S73" s="33"/>
      <c r="T73" s="34"/>
      <c r="U73" s="41" t="n">
        <f aca="false">S03!T73</f>
        <v>0</v>
      </c>
      <c r="V73" s="32" t="n">
        <f aca="false">T73-U73</f>
        <v>0</v>
      </c>
      <c r="W73" s="32" t="n">
        <f aca="false">N73-T73</f>
        <v>0</v>
      </c>
      <c r="X73" s="35"/>
    </row>
    <row r="74" customFormat="false" ht="21.75" hidden="false" customHeight="true" outlineLevel="0" collapsed="false">
      <c r="B74" s="10" t="n">
        <v>70</v>
      </c>
      <c r="C74" s="16" t="s">
        <v>119</v>
      </c>
      <c r="D74" s="10" t="s">
        <v>120</v>
      </c>
      <c r="E74" s="10" t="s">
        <v>20</v>
      </c>
      <c r="F74" s="10" t="s">
        <v>21</v>
      </c>
      <c r="G74" s="10" t="s">
        <v>22</v>
      </c>
      <c r="H74" s="10" t="s">
        <v>52</v>
      </c>
      <c r="I74" s="11" t="n">
        <v>3500000</v>
      </c>
      <c r="J74" s="12" t="s">
        <v>24</v>
      </c>
      <c r="K74" s="13" t="n">
        <v>7</v>
      </c>
      <c r="L74" s="30"/>
      <c r="M74" s="42" t="n">
        <f aca="false">S03!M74+L74</f>
        <v>0</v>
      </c>
      <c r="N74" s="37" t="n">
        <f aca="false">IFERROR(M74/K74,0)</f>
        <v>0</v>
      </c>
      <c r="O74" s="43" t="n">
        <f aca="false">S03!N74</f>
        <v>0</v>
      </c>
      <c r="P74" s="37" t="n">
        <f aca="false">N74-O74</f>
        <v>0</v>
      </c>
      <c r="Q74" s="33"/>
      <c r="R74" s="33"/>
      <c r="S74" s="33"/>
      <c r="T74" s="34"/>
      <c r="U74" s="43" t="n">
        <f aca="false">S03!T74</f>
        <v>0</v>
      </c>
      <c r="V74" s="37" t="n">
        <f aca="false">T74-U74</f>
        <v>0</v>
      </c>
      <c r="W74" s="37" t="n">
        <f aca="false">N74-T74</f>
        <v>0</v>
      </c>
      <c r="X74" s="35"/>
    </row>
    <row r="75" customFormat="false" ht="21.75" hidden="false" customHeight="true" outlineLevel="0" collapsed="false">
      <c r="B75" s="5" t="n">
        <v>71</v>
      </c>
      <c r="C75" s="16" t="s">
        <v>119</v>
      </c>
      <c r="D75" s="5" t="s">
        <v>120</v>
      </c>
      <c r="E75" s="5" t="s">
        <v>27</v>
      </c>
      <c r="F75" s="5" t="s">
        <v>28</v>
      </c>
      <c r="G75" s="5" t="s">
        <v>123</v>
      </c>
      <c r="H75" s="5" t="s">
        <v>124</v>
      </c>
      <c r="I75" s="7" t="n">
        <v>870000</v>
      </c>
      <c r="J75" s="8" t="s">
        <v>31</v>
      </c>
      <c r="K75" s="9" t="n">
        <v>4</v>
      </c>
      <c r="L75" s="30"/>
      <c r="M75" s="40" t="n">
        <f aca="false">S03!M75+L75</f>
        <v>0</v>
      </c>
      <c r="N75" s="32" t="n">
        <f aca="false">IFERROR(M75/K75,0)</f>
        <v>0</v>
      </c>
      <c r="O75" s="41" t="n">
        <f aca="false">S03!N75</f>
        <v>0</v>
      </c>
      <c r="P75" s="32" t="n">
        <f aca="false">N75-O75</f>
        <v>0</v>
      </c>
      <c r="Q75" s="33"/>
      <c r="R75" s="33"/>
      <c r="S75" s="33"/>
      <c r="T75" s="34"/>
      <c r="U75" s="41" t="n">
        <f aca="false">S03!T75</f>
        <v>0</v>
      </c>
      <c r="V75" s="32" t="n">
        <f aca="false">T75-U75</f>
        <v>0</v>
      </c>
      <c r="W75" s="32" t="n">
        <f aca="false">N75-T75</f>
        <v>0</v>
      </c>
      <c r="X75" s="35"/>
    </row>
    <row r="76" customFormat="false" ht="21.75" hidden="false" customHeight="true" outlineLevel="0" collapsed="false">
      <c r="B76" s="10" t="n">
        <v>72</v>
      </c>
      <c r="C76" s="16" t="s">
        <v>119</v>
      </c>
      <c r="D76" s="10" t="s">
        <v>120</v>
      </c>
      <c r="E76" s="10" t="s">
        <v>15</v>
      </c>
      <c r="F76" s="10" t="s">
        <v>16</v>
      </c>
      <c r="G76" s="10" t="s">
        <v>125</v>
      </c>
      <c r="H76" s="10" t="s">
        <v>126</v>
      </c>
      <c r="I76" s="11" t="n">
        <v>500000</v>
      </c>
      <c r="J76" s="12" t="s">
        <v>19</v>
      </c>
      <c r="K76" s="13" t="n">
        <v>167</v>
      </c>
      <c r="L76" s="30"/>
      <c r="M76" s="42" t="n">
        <f aca="false">S03!M76+L76</f>
        <v>0</v>
      </c>
      <c r="N76" s="37" t="n">
        <f aca="false">IFERROR(M76/K76,0)</f>
        <v>0</v>
      </c>
      <c r="O76" s="43" t="n">
        <f aca="false">S03!N76</f>
        <v>0</v>
      </c>
      <c r="P76" s="37" t="n">
        <f aca="false">N76-O76</f>
        <v>0</v>
      </c>
      <c r="Q76" s="33"/>
      <c r="R76" s="33"/>
      <c r="S76" s="33"/>
      <c r="T76" s="34"/>
      <c r="U76" s="43" t="n">
        <f aca="false">S03!T76</f>
        <v>0</v>
      </c>
      <c r="V76" s="37" t="n">
        <f aca="false">T76-U76</f>
        <v>0</v>
      </c>
      <c r="W76" s="37" t="n">
        <f aca="false">N76-T76</f>
        <v>0</v>
      </c>
      <c r="X76" s="35"/>
    </row>
    <row r="77" customFormat="false" ht="25.5" hidden="false" customHeight="true" outlineLevel="0" collapsed="false">
      <c r="B77" s="17" t="s">
        <v>127</v>
      </c>
      <c r="C77" s="17"/>
      <c r="D77" s="17"/>
      <c r="E77" s="17"/>
      <c r="F77" s="17"/>
      <c r="G77" s="17"/>
      <c r="H77" s="17"/>
      <c r="I77" s="18" t="n">
        <f aca="false">SUM(I5:I76)</f>
        <v>130262675</v>
      </c>
      <c r="J77" s="17"/>
      <c r="K77" s="17"/>
      <c r="L77" s="38" t="n">
        <f aca="false">SUM(L5:L76)</f>
        <v>0</v>
      </c>
      <c r="M77" s="38" t="n">
        <f aca="false">SUM(M5:M76)</f>
        <v>0</v>
      </c>
      <c r="N77" s="39" t="n">
        <f aca="false">IFERROR(SUMPRODUCT(N5:N76,I5:I76)/I77,0)</f>
        <v>0</v>
      </c>
      <c r="O77" s="39" t="n">
        <f aca="false">IFERROR(SUMPRODUCT(O5:O76,I5:I76)/I77,0)</f>
        <v>0</v>
      </c>
      <c r="P77" s="39" t="n">
        <f aca="false">N77-O77</f>
        <v>0</v>
      </c>
      <c r="Q77" s="18" t="n">
        <f aca="false">SUM(Q5:Q76)</f>
        <v>0</v>
      </c>
      <c r="R77" s="18" t="n">
        <f aca="false">SUM(R5:R76)</f>
        <v>0</v>
      </c>
      <c r="S77" s="18" t="n">
        <f aca="false">SUM(S5:S76)</f>
        <v>0</v>
      </c>
      <c r="T77" s="39" t="n">
        <f aca="false">IFERROR(SUMPRODUCT(T5:T76,I5:I76)/I77,0)</f>
        <v>0</v>
      </c>
      <c r="U77" s="39" t="n">
        <f aca="false">IFERROR(SUMPRODUCT(U5:U76,I5:I76)/I77,0)</f>
        <v>0</v>
      </c>
      <c r="V77" s="39" t="n">
        <f aca="false">T77-U77</f>
        <v>0</v>
      </c>
      <c r="W77" s="39" t="n">
        <f aca="false">N77-T77</f>
        <v>0</v>
      </c>
      <c r="X77" s="17"/>
    </row>
  </sheetData>
  <sheetProtection sheet="true" password="cbbe"/>
  <mergeCells count="6">
    <mergeCell ref="B2:X2"/>
    <mergeCell ref="C3:D3"/>
    <mergeCell ref="E3:I3"/>
    <mergeCell ref="J3:P3"/>
    <mergeCell ref="Q3:V3"/>
    <mergeCell ref="W3:X3"/>
  </mergeCells>
  <conditionalFormatting sqref="P5:P7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V5:V76">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W5:W76">
    <cfRule type="cellIs" priority="6" operator="greaterThan" aboveAverage="0" equalAverage="0" bottom="0" percent="0" rank="0" text="" dxfId="0">
      <formula>0.05</formula>
    </cfRule>
    <cfRule type="cellIs" priority="7" operator="lessThan" aboveAverage="0" equalAverage="0" bottom="0" percent="0" rank="0" text="" dxfId="1">
      <formula>-0.05</formula>
    </cfRule>
    <cfRule type="cellIs" priority="8" operator="between" aboveAverage="0" equalAverage="0" bottom="0" percent="0" rank="0" text="" dxfId="2">
      <formula>-0.05</formula>
      <formula>0.05</formula>
    </cfRule>
  </conditionalFormatting>
  <conditionalFormatting sqref="N5:N76">
    <cfRule type="dataBar" priority="9">
      <dataBar showValue="1" minLength="10" maxLength="90">
        <cfvo type="num" val="0"/>
        <cfvo type="num" val="1"/>
        <color rgb="FF1B7D46"/>
      </dataBar>
      <extLst>
        <ext xmlns:x14="http://schemas.microsoft.com/office/spreadsheetml/2009/9/main" uri="{B025F937-C7B1-47D3-B67F-A62EFF666E3E}">
          <x14:id>{AB15D924-8926-4FB0-A3FA-6985E4B0C364}</x14:id>
        </ext>
      </extLst>
    </cfRule>
  </conditionalFormatting>
  <conditionalFormatting sqref="T5:T76">
    <cfRule type="dataBar" priority="10">
      <dataBar showValue="1" minLength="10" maxLength="90">
        <cfvo type="num" val="0"/>
        <cfvo type="num" val="1"/>
        <color rgb="FFD4820A"/>
      </dataBar>
      <extLst>
        <ext xmlns:x14="http://schemas.microsoft.com/office/spreadsheetml/2009/9/main" uri="{B025F937-C7B1-47D3-B67F-A62EFF666E3E}">
          <x14:id>{265C93F6-92B5-4DB1-9589-897CEBCFB0FF}</x14:id>
        </ext>
      </extLst>
    </cfRule>
  </conditionalFormatting>
  <dataValidations count="2">
    <dataValidation allowBlank="true" error="Valeur entre 0% et 100%" errorStyle="stop" errorTitle="Invalide" operator="between" prompt="Entrez 0.25 pour 25%" promptTitle="Avancement %" showDropDown="false" showErrorMessage="false" showInputMessage="false" sqref="T5:T76" type="decimal">
      <formula1>0</formula1>
      <formula2>1</formula2>
    </dataValidation>
    <dataValidation allowBlank="true" error="Quantité doit être &gt;= 0" errorStyle="stop" errorTitle="Invalide" operator="greaterThanOrEqual" prompt="Entrez la quantité réalisée cette semaine" promptTitle="Qté Réalisée" showDropDown="false" showErrorMessage="false" showInputMessage="false" sqref="L5:L7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AB15D924-8926-4FB0-A3FA-6985E4B0C364}">
            <x14:dataBar minLength="10" maxLength="90" axisPosition="none" gradient="true">
              <x14:cfvo type="num">
                <xm:f>0</xm:f>
              </x14:cfvo>
              <x14:cfvo type="num">
                <xm:f>1</xm:f>
              </x14:cfvo>
              <x14:negativeFillColor rgb="FF1B7D46"/>
              <x14:axisColor rgb="FF000000"/>
            </x14:dataBar>
          </x14:cfRule>
          <xm:sqref>N5:N76</xm:sqref>
        </x14:conditionalFormatting>
        <x14:conditionalFormatting xmlns:xm="http://schemas.microsoft.com/office/excel/2006/main">
          <x14:cfRule type="dataBar" id="{265C93F6-92B5-4DB1-9589-897CEBCFB0FF}">
            <x14:dataBar minLength="10" maxLength="90" axisPosition="none" gradient="true">
              <x14:cfvo type="num">
                <xm:f>0</xm:f>
              </x14:cfvo>
              <x14:cfvo type="num">
                <xm:f>1</xm:f>
              </x14:cfvo>
              <x14:negativeFillColor rgb="FFD4820A"/>
              <x14:axisColor rgb="FF000000"/>
            </x14:dataBar>
          </x14:cfRule>
          <xm:sqref>T5:T76</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1:N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2"/>
    <col collapsed="false" customWidth="true" hidden="false" outlineLevel="0" max="8" min="4" style="0" width="18"/>
    <col collapsed="false" customWidth="true" hidden="false" outlineLevel="0" max="9" min="9" style="0" width="16"/>
  </cols>
  <sheetData>
    <row r="1" customFormat="false" ht="15" hidden="false" customHeight="true" outlineLevel="0" collapsed="false"/>
    <row r="2" customFormat="false" ht="31.5" hidden="false" customHeight="true" outlineLevel="0" collapsed="false">
      <c r="B2" s="1" t="s">
        <v>168</v>
      </c>
      <c r="C2" s="1"/>
      <c r="D2" s="1"/>
      <c r="E2" s="1"/>
      <c r="F2" s="1"/>
      <c r="G2" s="1"/>
      <c r="H2" s="1"/>
      <c r="I2" s="1"/>
      <c r="J2" s="1"/>
      <c r="K2" s="1"/>
      <c r="L2" s="1"/>
      <c r="M2" s="1"/>
      <c r="N2" s="1"/>
    </row>
    <row r="3" customFormat="false" ht="7.5" hidden="false" customHeight="true" outlineLevel="0" collapsed="false"/>
    <row r="4" customFormat="false" ht="27.75" hidden="false" customHeight="true" outlineLevel="0" collapsed="false">
      <c r="B4" s="4" t="s">
        <v>169</v>
      </c>
      <c r="C4" s="4" t="s">
        <v>170</v>
      </c>
    </row>
    <row r="5" customFormat="false" ht="15" hidden="false" customHeight="false" outlineLevel="0" collapsed="false">
      <c r="B5" s="45" t="s">
        <v>171</v>
      </c>
      <c r="C5" s="46" t="n">
        <v>72</v>
      </c>
    </row>
    <row r="6" customFormat="false" ht="15" hidden="false" customHeight="false" outlineLevel="0" collapsed="false">
      <c r="B6" s="45" t="s">
        <v>10</v>
      </c>
      <c r="C6" s="47" t="n">
        <f aca="false">S04!I77</f>
        <v>130262675</v>
      </c>
    </row>
    <row r="7" customFormat="false" ht="15" hidden="false" customHeight="false" outlineLevel="0" collapsed="false">
      <c r="B7" s="45" t="s">
        <v>172</v>
      </c>
      <c r="C7" s="48" t="n">
        <f aca="false">S04!N77</f>
        <v>0</v>
      </c>
    </row>
    <row r="8" customFormat="false" ht="15" hidden="false" customHeight="false" outlineLevel="0" collapsed="false">
      <c r="B8" s="45" t="s">
        <v>173</v>
      </c>
      <c r="C8" s="48" t="n">
        <f aca="false">S04!T77</f>
        <v>0</v>
      </c>
    </row>
    <row r="9" customFormat="false" ht="15" hidden="false" customHeight="false" outlineLevel="0" collapsed="false">
      <c r="B9" s="45" t="s">
        <v>174</v>
      </c>
      <c r="C9" s="47" t="n">
        <f aca="false">S04!Q77</f>
        <v>0</v>
      </c>
    </row>
    <row r="10" customFormat="false" ht="15" hidden="false" customHeight="false" outlineLevel="0" collapsed="false">
      <c r="B10" s="45" t="s">
        <v>175</v>
      </c>
      <c r="C10" s="47" t="n">
        <f aca="false">S04!R77</f>
        <v>0</v>
      </c>
    </row>
    <row r="11" customFormat="false" ht="15" hidden="false" customHeight="false" outlineLevel="0" collapsed="false">
      <c r="B11" s="45" t="s">
        <v>176</v>
      </c>
      <c r="C11" s="48" t="n">
        <f aca="false">S04!W77</f>
        <v>0</v>
      </c>
    </row>
    <row r="14" customFormat="false" ht="15" hidden="false" customHeight="false" outlineLevel="0" collapsed="false">
      <c r="B14" s="49" t="s">
        <v>177</v>
      </c>
      <c r="C14" s="49"/>
      <c r="D14" s="49"/>
      <c r="E14" s="49"/>
      <c r="F14" s="49"/>
      <c r="G14" s="49"/>
      <c r="H14" s="49"/>
      <c r="I14" s="49"/>
    </row>
    <row r="15" customFormat="false" ht="27.75" hidden="false" customHeight="true" outlineLevel="0" collapsed="false">
      <c r="B15" s="4" t="s">
        <v>178</v>
      </c>
      <c r="C15" s="4" t="s">
        <v>179</v>
      </c>
      <c r="D15" s="4" t="s">
        <v>180</v>
      </c>
      <c r="E15" s="4" t="s">
        <v>153</v>
      </c>
      <c r="F15" s="4" t="s">
        <v>181</v>
      </c>
      <c r="G15" s="4" t="s">
        <v>182</v>
      </c>
      <c r="H15" s="4" t="s">
        <v>183</v>
      </c>
      <c r="I15" s="4" t="s">
        <v>163</v>
      </c>
    </row>
    <row r="16" customFormat="false" ht="21.75" hidden="false" customHeight="true" outlineLevel="0" collapsed="false">
      <c r="B16" s="5" t="s">
        <v>184</v>
      </c>
      <c r="C16" s="41" t="n">
        <f aca="false">S01!N77</f>
        <v>0</v>
      </c>
      <c r="D16" s="41" t="n">
        <f aca="false">S01!P77</f>
        <v>0</v>
      </c>
      <c r="E16" s="40" t="n">
        <f aca="false">S01!M77</f>
        <v>0</v>
      </c>
      <c r="F16" s="41" t="n">
        <f aca="false">S01!T77</f>
        <v>0</v>
      </c>
      <c r="G16" s="41" t="n">
        <f aca="false">S01!V77</f>
        <v>0</v>
      </c>
      <c r="H16" s="50" t="n">
        <f aca="false">S01!Q77</f>
        <v>0</v>
      </c>
      <c r="I16" s="41" t="n">
        <f aca="false">S01!W77</f>
        <v>0</v>
      </c>
    </row>
    <row r="17" customFormat="false" ht="21.75" hidden="false" customHeight="true" outlineLevel="0" collapsed="false">
      <c r="B17" s="10" t="s">
        <v>185</v>
      </c>
      <c r="C17" s="43" t="n">
        <f aca="false">S02!N77</f>
        <v>0</v>
      </c>
      <c r="D17" s="43" t="n">
        <f aca="false">S02!P77</f>
        <v>0</v>
      </c>
      <c r="E17" s="42" t="n">
        <f aca="false">S02!M77</f>
        <v>0</v>
      </c>
      <c r="F17" s="43" t="n">
        <f aca="false">S02!T77</f>
        <v>0</v>
      </c>
      <c r="G17" s="43" t="n">
        <f aca="false">S02!V77</f>
        <v>0</v>
      </c>
      <c r="H17" s="51" t="n">
        <f aca="false">S02!Q77</f>
        <v>0</v>
      </c>
      <c r="I17" s="43" t="n">
        <f aca="false">S02!W77</f>
        <v>0</v>
      </c>
    </row>
    <row r="18" customFormat="false" ht="21.75" hidden="false" customHeight="true" outlineLevel="0" collapsed="false">
      <c r="B18" s="5" t="s">
        <v>186</v>
      </c>
      <c r="C18" s="41" t="n">
        <f aca="false">S03!N77</f>
        <v>0</v>
      </c>
      <c r="D18" s="41" t="n">
        <f aca="false">S03!P77</f>
        <v>0</v>
      </c>
      <c r="E18" s="40" t="n">
        <f aca="false">S03!M77</f>
        <v>0</v>
      </c>
      <c r="F18" s="41" t="n">
        <f aca="false">S03!T77</f>
        <v>0</v>
      </c>
      <c r="G18" s="41" t="n">
        <f aca="false">S03!V77</f>
        <v>0</v>
      </c>
      <c r="H18" s="50" t="n">
        <f aca="false">S03!Q77</f>
        <v>0</v>
      </c>
      <c r="I18" s="41" t="n">
        <f aca="false">S03!W77</f>
        <v>0</v>
      </c>
    </row>
    <row r="19" customFormat="false" ht="21.75" hidden="false" customHeight="true" outlineLevel="0" collapsed="false">
      <c r="B19" s="10" t="s">
        <v>187</v>
      </c>
      <c r="C19" s="43" t="n">
        <f aca="false">S04!N77</f>
        <v>0</v>
      </c>
      <c r="D19" s="43" t="n">
        <f aca="false">S04!P77</f>
        <v>0</v>
      </c>
      <c r="E19" s="42" t="n">
        <f aca="false">S04!M77</f>
        <v>0</v>
      </c>
      <c r="F19" s="43" t="n">
        <f aca="false">S04!T77</f>
        <v>0</v>
      </c>
      <c r="G19" s="43" t="n">
        <f aca="false">S04!V77</f>
        <v>0</v>
      </c>
      <c r="H19" s="51" t="n">
        <f aca="false">S04!Q77</f>
        <v>0</v>
      </c>
      <c r="I19" s="43" t="n">
        <f aca="false">S04!W77</f>
        <v>0</v>
      </c>
    </row>
    <row r="22" customFormat="false" ht="15" hidden="false" customHeight="false" outlineLevel="0" collapsed="false">
      <c r="B22" s="49" t="s">
        <v>188</v>
      </c>
      <c r="C22" s="49"/>
      <c r="D22" s="49"/>
      <c r="E22" s="49"/>
      <c r="F22" s="49"/>
      <c r="G22" s="49"/>
      <c r="H22" s="49"/>
      <c r="I22" s="49"/>
    </row>
    <row r="23" customFormat="false" ht="27.75" hidden="false" customHeight="true" outlineLevel="0" collapsed="false">
      <c r="B23" s="4" t="s">
        <v>4</v>
      </c>
      <c r="C23" s="4" t="s">
        <v>189</v>
      </c>
      <c r="D23" s="4" t="s">
        <v>10</v>
      </c>
      <c r="E23" s="4" t="s">
        <v>179</v>
      </c>
      <c r="F23" s="4" t="s">
        <v>153</v>
      </c>
      <c r="G23" s="4" t="s">
        <v>181</v>
      </c>
      <c r="H23" s="4" t="s">
        <v>183</v>
      </c>
      <c r="I23" s="4" t="s">
        <v>163</v>
      </c>
    </row>
    <row r="24" customFormat="false" ht="21.75" hidden="false" customHeight="true" outlineLevel="0" collapsed="false">
      <c r="B24" s="15" t="s">
        <v>96</v>
      </c>
      <c r="C24" s="5" t="n">
        <v>14</v>
      </c>
      <c r="D24" s="50" t="n">
        <f aca="false">SUMPRODUCT((S04!C5:C76="Kénitra")*S04!I5:I76)</f>
        <v>50000000</v>
      </c>
      <c r="E24" s="41" t="n">
        <f aca="false">IFERROR(SUMPRODUCT((S04!C5:C76="Kénitra")*S04!N5:N76*S04!I5:I76)/SUMPRODUCT((S04!C5:C76="Kénitra")*S04!I5:I76),0)</f>
        <v>0</v>
      </c>
      <c r="F24" s="40" t="n">
        <f aca="false">SUMPRODUCT((S04!C5:C76="Kénitra")*S04!M5:M76)</f>
        <v>0</v>
      </c>
      <c r="G24" s="41" t="n">
        <f aca="false">IFERROR(SUMPRODUCT((S04!C5:C76="Kénitra")*S04!T5:T76*S04!I5:I76)/SUMPRODUCT((S04!C5:C76="Kénitra")*S04!I5:I76),0)</f>
        <v>0</v>
      </c>
      <c r="H24" s="50" t="n">
        <f aca="false">SUMPRODUCT((S04!C5:C76="Kénitra")*S04!Q5:Q76)</f>
        <v>0</v>
      </c>
      <c r="I24" s="41" t="n">
        <f aca="false">E24-G24</f>
        <v>0</v>
      </c>
    </row>
    <row r="25" customFormat="false" ht="21.75" hidden="false" customHeight="true" outlineLevel="0" collapsed="false">
      <c r="B25" s="6" t="s">
        <v>13</v>
      </c>
      <c r="C25" s="10" t="n">
        <v>53</v>
      </c>
      <c r="D25" s="51" t="n">
        <f aca="false">SUMPRODUCT((S04!C5:C76="Sidi Kacem")*S04!I5:I76)</f>
        <v>71000000</v>
      </c>
      <c r="E25" s="43" t="n">
        <f aca="false">IFERROR(SUMPRODUCT((S04!C5:C76="Sidi Kacem")*S04!N5:N76*S04!I5:I76)/SUMPRODUCT((S04!C5:C76="Sidi Kacem")*S04!I5:I76),0)</f>
        <v>0</v>
      </c>
      <c r="F25" s="42" t="n">
        <f aca="false">SUMPRODUCT((S04!C5:C76="Sidi Kacem")*S04!M5:M76)</f>
        <v>0</v>
      </c>
      <c r="G25" s="43" t="n">
        <f aca="false">IFERROR(SUMPRODUCT((S04!C5:C76="Sidi Kacem")*S04!T5:T76*S04!I5:I76)/SUMPRODUCT((S04!C5:C76="Sidi Kacem")*S04!I5:I76),0)</f>
        <v>0</v>
      </c>
      <c r="H25" s="51" t="n">
        <f aca="false">SUMPRODUCT((S04!C5:C76="Sidi Kacem")*S04!Q5:Q76)</f>
        <v>0</v>
      </c>
      <c r="I25" s="43" t="n">
        <f aca="false">E25-G25</f>
        <v>0</v>
      </c>
    </row>
    <row r="26" customFormat="false" ht="21.75" hidden="false" customHeight="true" outlineLevel="0" collapsed="false">
      <c r="B26" s="16" t="s">
        <v>119</v>
      </c>
      <c r="C26" s="5" t="n">
        <v>5</v>
      </c>
      <c r="D26" s="50" t="n">
        <f aca="false">SUMPRODUCT((S04!C5:C76="Sidi Slimane")*S04!I5:I76)</f>
        <v>9262675</v>
      </c>
      <c r="E26" s="41" t="n">
        <f aca="false">IFERROR(SUMPRODUCT((S04!C5:C76="Sidi Slimane")*S04!N5:N76*S04!I5:I76)/SUMPRODUCT((S04!C5:C76="Sidi Slimane")*S04!I5:I76),0)</f>
        <v>0</v>
      </c>
      <c r="F26" s="40" t="n">
        <f aca="false">SUMPRODUCT((S04!C5:C76="Sidi Slimane")*S04!M5:M76)</f>
        <v>0</v>
      </c>
      <c r="G26" s="41" t="n">
        <f aca="false">IFERROR(SUMPRODUCT((S04!C5:C76="Sidi Slimane")*S04!T5:T76*S04!I5:I76)/SUMPRODUCT((S04!C5:C76="Sidi Slimane")*S04!I5:I76),0)</f>
        <v>0</v>
      </c>
      <c r="H26" s="50" t="n">
        <f aca="false">SUMPRODUCT((S04!C5:C76="Sidi Slimane")*S04!Q5:Q76)</f>
        <v>0</v>
      </c>
      <c r="I26" s="41" t="n">
        <f aca="false">E26-G26</f>
        <v>0</v>
      </c>
    </row>
    <row r="27" customFormat="false" ht="25.5" hidden="false" customHeight="true" outlineLevel="0" collapsed="false">
      <c r="B27" s="17" t="s">
        <v>127</v>
      </c>
      <c r="C27" s="17" t="n">
        <f aca="false">SUM(C24:C26)</f>
        <v>72</v>
      </c>
      <c r="D27" s="18" t="n">
        <f aca="false">SUM(D24:D26)</f>
        <v>130262675</v>
      </c>
      <c r="E27" s="39" t="n">
        <f aca="false">S04!N77</f>
        <v>0</v>
      </c>
      <c r="F27" s="38" t="n">
        <f aca="false">SUM(F24:F26)</f>
        <v>0</v>
      </c>
      <c r="G27" s="39" t="n">
        <f aca="false">S04!T77</f>
        <v>0</v>
      </c>
      <c r="H27" s="18" t="n">
        <f aca="false">SUM(H24:H26)</f>
        <v>0</v>
      </c>
      <c r="I27" s="39" t="n">
        <f aca="false">E27-G27</f>
        <v>0</v>
      </c>
    </row>
    <row r="30" customFormat="false" ht="15" hidden="false" customHeight="false" outlineLevel="0" collapsed="false">
      <c r="B30" s="49" t="s">
        <v>190</v>
      </c>
      <c r="C30" s="49"/>
      <c r="D30" s="49"/>
      <c r="E30" s="49"/>
      <c r="F30" s="49"/>
    </row>
    <row r="31" customFormat="false" ht="27.75" hidden="false" customHeight="true" outlineLevel="0" collapsed="false">
      <c r="B31" s="4" t="s">
        <v>11</v>
      </c>
      <c r="C31" s="4" t="s">
        <v>189</v>
      </c>
      <c r="D31" s="4" t="s">
        <v>191</v>
      </c>
      <c r="E31" s="4" t="s">
        <v>153</v>
      </c>
      <c r="F31" s="4" t="s">
        <v>192</v>
      </c>
    </row>
    <row r="32" customFormat="false" ht="21.75" hidden="false" customHeight="true" outlineLevel="0" collapsed="false">
      <c r="B32" s="8" t="s">
        <v>31</v>
      </c>
      <c r="C32" s="5" t="n">
        <v>19</v>
      </c>
      <c r="D32" s="7" t="n">
        <v>247</v>
      </c>
      <c r="E32" s="40" t="n">
        <f aca="false">SUMPRODUCT((S04!J5:J76="U")*S04!M5:M76)</f>
        <v>0</v>
      </c>
      <c r="F32" s="41" t="n">
        <f aca="false">IFERROR(E32/D32,0)</f>
        <v>0</v>
      </c>
    </row>
    <row r="33" customFormat="false" ht="21.75" hidden="false" customHeight="true" outlineLevel="0" collapsed="false">
      <c r="B33" s="12" t="s">
        <v>24</v>
      </c>
      <c r="C33" s="10" t="n">
        <v>12</v>
      </c>
      <c r="D33" s="11" t="n">
        <v>49</v>
      </c>
      <c r="E33" s="42" t="n">
        <f aca="false">SUMPRODUCT((S04!J5:J76="km")*S04!M5:M76)</f>
        <v>0</v>
      </c>
      <c r="F33" s="43" t="n">
        <f aca="false">IFERROR(E33/D33,0)</f>
        <v>0</v>
      </c>
    </row>
    <row r="34" customFormat="false" ht="21.75" hidden="false" customHeight="true" outlineLevel="0" collapsed="false">
      <c r="B34" s="8" t="s">
        <v>19</v>
      </c>
      <c r="C34" s="5" t="n">
        <v>38</v>
      </c>
      <c r="D34" s="7" t="n">
        <v>36738</v>
      </c>
      <c r="E34" s="40" t="n">
        <f aca="false">SUMPRODUCT((S04!J5:J76="ml")*S04!M5:M76)</f>
        <v>0</v>
      </c>
      <c r="F34" s="41" t="n">
        <f aca="false">IFERROR(E34/D34,0)</f>
        <v>0</v>
      </c>
    </row>
    <row r="35" customFormat="false" ht="21.75" hidden="false" customHeight="true" outlineLevel="0" collapsed="false">
      <c r="B35" s="12" t="s">
        <v>41</v>
      </c>
      <c r="C35" s="10" t="n">
        <v>3</v>
      </c>
      <c r="D35" s="11" t="n">
        <v>10027</v>
      </c>
      <c r="E35" s="42" t="n">
        <f aca="false">SUMPRODUCT((S04!J5:J76="m³")*S04!M5:M76)</f>
        <v>0</v>
      </c>
      <c r="F35" s="43" t="n">
        <f aca="false">IFERROR(E35/D35,0)</f>
        <v>0</v>
      </c>
    </row>
  </sheetData>
  <mergeCells count="4">
    <mergeCell ref="B2:N2"/>
    <mergeCell ref="B14:I14"/>
    <mergeCell ref="B22:I22"/>
    <mergeCell ref="B30:F30"/>
  </mergeCells>
  <conditionalFormatting sqref="D16:D19">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16:G19">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F32:F35">
    <cfRule type="dataBar" priority="6">
      <dataBar showValue="1" minLength="10" maxLength="90">
        <cfvo type="num" val="0"/>
        <cfvo type="num" val="1"/>
        <color rgb="FF1B7D46"/>
      </dataBar>
      <extLst>
        <ext xmlns:x14="http://schemas.microsoft.com/office/spreadsheetml/2009/9/main" uri="{B025F937-C7B1-47D3-B67F-A62EFF666E3E}">
          <x14:id>{31462CF3-FD73-47B0-AC88-1B2C70436DB6}</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31462CF3-FD73-47B0-AC88-1B2C70436DB6}">
            <x14:dataBar minLength="10" maxLength="90" axisPosition="none" gradient="true">
              <x14:cfvo type="num">
                <xm:f>0</xm:f>
              </x14:cfvo>
              <x14:cfvo type="num">
                <xm:f>1</xm:f>
              </x14:cfvo>
              <x14:negativeFillColor rgb="FF1B7D46"/>
              <x14:axisColor rgb="FF000000"/>
            </x14:dataBar>
          </x14:cfRule>
          <xm:sqref>F32:F35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2026-06-11T12:31:15Z</dcterms:created>
  <dc:creator>Z.ai</dc:creator>
  <dc:description/>
  <dc:language>en-US</dc:language>
  <cp:lastModifiedBy/>
  <dcterms:modified xsi:type="dcterms:W3CDTF">2026-06-11T12:31:15Z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