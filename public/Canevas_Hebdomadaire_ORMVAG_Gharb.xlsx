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e Projets" sheetId="1" state="visible" r:id="rId1"/>
    <sheet xmlns:r="http://schemas.openxmlformats.org/officeDocument/2006/relationships" name="Guide" sheetId="2" state="visible" r:id="rId2"/>
    <sheet xmlns:r="http://schemas.openxmlformats.org/officeDocument/2006/relationships" name="S01" sheetId="3" state="visible" r:id="rId3"/>
    <sheet xmlns:r="http://schemas.openxmlformats.org/officeDocument/2006/relationships" name="S02" sheetId="4" state="visible" r:id="rId4"/>
    <sheet xmlns:r="http://schemas.openxmlformats.org/officeDocument/2006/relationships" name="S03" sheetId="5" state="visible" r:id="rId5"/>
    <sheet xmlns:r="http://schemas.openxmlformats.org/officeDocument/2006/relationships" name="S04" sheetId="6" state="visible" r:id="rId6"/>
    <sheet xmlns:r="http://schemas.openxmlformats.org/officeDocument/2006/relationships" name="S05" sheetId="7" state="visible" r:id="rId7"/>
    <sheet xmlns:r="http://schemas.openxmlformats.org/officeDocument/2006/relationships" name="S06" sheetId="8" state="visible" r:id="rId8"/>
    <sheet xmlns:r="http://schemas.openxmlformats.org/officeDocument/2006/relationships" name="S07" sheetId="9" state="visible" r:id="rId9"/>
    <sheet xmlns:r="http://schemas.openxmlformats.org/officeDocument/2006/relationships" name="S08" sheetId="10" state="visible" r:id="rId10"/>
    <sheet xmlns:r="http://schemas.openxmlformats.org/officeDocument/2006/relationships" name="S09" sheetId="11" state="visible" r:id="rId11"/>
    <sheet xmlns:r="http://schemas.openxmlformats.org/officeDocument/2006/relationships" name="S10" sheetId="12" state="visible" r:id="rId12"/>
    <sheet xmlns:r="http://schemas.openxmlformats.org/officeDocument/2006/relationships" name="S11" sheetId="13" state="visible" r:id="rId13"/>
    <sheet xmlns:r="http://schemas.openxmlformats.org/officeDocument/2006/relationships" name="S12" sheetId="14" state="visible" r:id="rId14"/>
    <sheet xmlns:r="http://schemas.openxmlformats.org/officeDocument/2006/relationships" name="S13" sheetId="15" state="visible" r:id="rId15"/>
    <sheet xmlns:r="http://schemas.openxmlformats.org/officeDocument/2006/relationships" name="S14" sheetId="16" state="visible" r:id="rId16"/>
    <sheet xmlns:r="http://schemas.openxmlformats.org/officeDocument/2006/relationships" name="S15" sheetId="17" state="visible" r:id="rId17"/>
    <sheet xmlns:r="http://schemas.openxmlformats.org/officeDocument/2006/relationships" name="S16" sheetId="18" state="visible" r:id="rId18"/>
    <sheet xmlns:r="http://schemas.openxmlformats.org/officeDocument/2006/relationships" name="S17" sheetId="19" state="visible" r:id="rId19"/>
    <sheet xmlns:r="http://schemas.openxmlformats.org/officeDocument/2006/relationships" name="S18" sheetId="20" state="visible" r:id="rId20"/>
    <sheet xmlns:r="http://schemas.openxmlformats.org/officeDocument/2006/relationships" name="S19" sheetId="21" state="visible" r:id="rId21"/>
    <sheet xmlns:r="http://schemas.openxmlformats.org/officeDocument/2006/relationships" name="S20" sheetId="22" state="visible" r:id="rId22"/>
    <sheet xmlns:r="http://schemas.openxmlformats.org/officeDocument/2006/relationships" name="S21" sheetId="23" state="visible" r:id="rId23"/>
    <sheet xmlns:r="http://schemas.openxmlformats.org/officeDocument/2006/relationships" name="S22" sheetId="24" state="visible" r:id="rId24"/>
    <sheet xmlns:r="http://schemas.openxmlformats.org/officeDocument/2006/relationships" name="S23" sheetId="25" state="visible" r:id="rId25"/>
    <sheet xmlns:r="http://schemas.openxmlformats.org/officeDocument/2006/relationships" name="S24" sheetId="26" state="visible" r:id="rId26"/>
    <sheet xmlns:r="http://schemas.openxmlformats.org/officeDocument/2006/relationships" name="S25" sheetId="27" state="visible" r:id="rId27"/>
    <sheet xmlns:r="http://schemas.openxmlformats.org/officeDocument/2006/relationships" name="S26" sheetId="28" state="visible" r:id="rId28"/>
    <sheet xmlns:r="http://schemas.openxmlformats.org/officeDocument/2006/relationships" name="S27" sheetId="29" state="visible" r:id="rId29"/>
    <sheet xmlns:r="http://schemas.openxmlformats.org/officeDocument/2006/relationships" name="S28" sheetId="30" state="visible" r:id="rId30"/>
    <sheet xmlns:r="http://schemas.openxmlformats.org/officeDocument/2006/relationships" name="S29" sheetId="31" state="visible" r:id="rId31"/>
    <sheet xmlns:r="http://schemas.openxmlformats.org/officeDocument/2006/relationships" name="S30" sheetId="32" state="visible" r:id="rId32"/>
    <sheet xmlns:r="http://schemas.openxmlformats.org/officeDocument/2006/relationships" name="S31" sheetId="33" state="visible" r:id="rId33"/>
    <sheet xmlns:r="http://schemas.openxmlformats.org/officeDocument/2006/relationships" name="S32" sheetId="34" state="visible" r:id="rId34"/>
    <sheet xmlns:r="http://schemas.openxmlformats.org/officeDocument/2006/relationships" name="S33" sheetId="35" state="visible" r:id="rId35"/>
    <sheet xmlns:r="http://schemas.openxmlformats.org/officeDocument/2006/relationships" name="S34" sheetId="36" state="visible" r:id="rId36"/>
    <sheet xmlns:r="http://schemas.openxmlformats.org/officeDocument/2006/relationships" name="S35" sheetId="37" state="visible" r:id="rId37"/>
    <sheet xmlns:r="http://schemas.openxmlformats.org/officeDocument/2006/relationships" name="S36" sheetId="38" state="visible" r:id="rId38"/>
    <sheet xmlns:r="http://schemas.openxmlformats.org/officeDocument/2006/relationships" name="S37" sheetId="39" state="visible" r:id="rId39"/>
    <sheet xmlns:r="http://schemas.openxmlformats.org/officeDocument/2006/relationships" name="S38" sheetId="40" state="visible" r:id="rId40"/>
    <sheet xmlns:r="http://schemas.openxmlformats.org/officeDocument/2006/relationships" name="S39" sheetId="41" state="visible" r:id="rId41"/>
    <sheet xmlns:r="http://schemas.openxmlformats.org/officeDocument/2006/relationships" name="S40" sheetId="42" state="visible" r:id="rId42"/>
    <sheet xmlns:r="http://schemas.openxmlformats.org/officeDocument/2006/relationships" name="S41" sheetId="43" state="visible" r:id="rId43"/>
    <sheet xmlns:r="http://schemas.openxmlformats.org/officeDocument/2006/relationships" name="S42" sheetId="44" state="visible" r:id="rId44"/>
    <sheet xmlns:r="http://schemas.openxmlformats.org/officeDocument/2006/relationships" name="S43" sheetId="45" state="visible" r:id="rId45"/>
    <sheet xmlns:r="http://schemas.openxmlformats.org/officeDocument/2006/relationships" name="S44" sheetId="46" state="visible" r:id="rId46"/>
    <sheet xmlns:r="http://schemas.openxmlformats.org/officeDocument/2006/relationships" name="S45" sheetId="47" state="visible" r:id="rId47"/>
    <sheet xmlns:r="http://schemas.openxmlformats.org/officeDocument/2006/relationships" name="S46" sheetId="48" state="visible" r:id="rId48"/>
    <sheet xmlns:r="http://schemas.openxmlformats.org/officeDocument/2006/relationships" name="S47" sheetId="49" state="visible" r:id="rId49"/>
    <sheet xmlns:r="http://schemas.openxmlformats.org/officeDocument/2006/relationships" name="S48" sheetId="50" state="visible" r:id="rId50"/>
    <sheet xmlns:r="http://schemas.openxmlformats.org/officeDocument/2006/relationships" name="S49" sheetId="51" state="visible" r:id="rId51"/>
    <sheet xmlns:r="http://schemas.openxmlformats.org/officeDocument/2006/relationships" name="S50" sheetId="52" state="visible" r:id="rId52"/>
    <sheet xmlns:r="http://schemas.openxmlformats.org/officeDocument/2006/relationships" name="S51" sheetId="53" state="visible" r:id="rId53"/>
    <sheet xmlns:r="http://schemas.openxmlformats.org/officeDocument/2006/relationships" name="S52" sheetId="54" state="visible" r:id="rId54"/>
    <sheet xmlns:r="http://schemas.openxmlformats.org/officeDocument/2006/relationships" name="Récapitulatif" sheetId="55" state="visible" r:id="rId55"/>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numFmt numFmtId="166" formatCode="#,##0.0"/>
    <numFmt numFmtId="167" formatCode="0.0%"/>
  </numFmts>
  <fonts count="17">
    <font>
      <name val="Calibri"/>
      <family val="2"/>
      <color theme="1"/>
      <sz val="11"/>
      <scheme val="minor"/>
    </font>
    <font>
      <name val="Noto Sans CJK SC"/>
      <color rgb="001B2A4A"/>
      <sz val="16"/>
    </font>
    <font>
      <name val="Noto Sans CJK SC"/>
      <b val="1"/>
      <color rgb="008C8A84"/>
      <sz val="9"/>
    </font>
    <font>
      <name val="Noto Sans CJK SC"/>
      <b val="1"/>
      <color rgb="001B7D46"/>
      <sz val="9"/>
    </font>
    <font>
      <name val="Noto Sans CJK SC"/>
      <color rgb="00FFFFFF"/>
      <sz val="11"/>
    </font>
    <font>
      <name val="Noto Sans CJK SC"/>
      <color rgb="0037352F"/>
      <sz val="11"/>
    </font>
    <font>
      <name val="Noto Sans CJK SC"/>
      <color rgb="00C76E7E"/>
      <sz val="11"/>
    </font>
    <font>
      <name val="Noto Sans CJK SC"/>
      <color rgb="001B7D46"/>
      <sz val="11"/>
    </font>
    <font>
      <name val="Noto Sans CJK SC"/>
      <color rgb="00D4A017"/>
      <sz val="11"/>
    </font>
    <font>
      <name val="Noto Sans CJK SC"/>
      <color rgb="005BB58A"/>
      <sz val="11"/>
    </font>
    <font>
      <name val="Noto Sans CJK SC"/>
      <color rgb="001B2A4A"/>
      <sz val="11"/>
    </font>
    <font>
      <name val="Noto Sans CJK SC"/>
      <color rgb="001B2A4A"/>
      <sz val="10"/>
    </font>
    <font>
      <name val="Noto Sans CJK SC"/>
      <color rgb="000000FF"/>
      <sz val="11"/>
    </font>
    <font>
      <name val="Noto Sans CJK SC"/>
      <b val="1"/>
      <color rgb="00D4820A"/>
      <sz val="9"/>
    </font>
    <font>
      <name val="Noto Sans CJK SC"/>
      <b val="1"/>
      <color rgb="00C0392B"/>
      <sz val="9"/>
    </font>
    <font>
      <name val="Noto Sans CJK SC"/>
      <color rgb="00008000"/>
      <sz val="11"/>
    </font>
    <font>
      <name val="Noto Sans CJK SC"/>
      <color rgb="001B2A4A"/>
      <sz val="22"/>
    </font>
  </fonts>
  <fills count="16">
    <fill>
      <patternFill/>
    </fill>
    <fill>
      <patternFill patternType="gray125"/>
    </fill>
    <fill>
      <patternFill patternType="solid">
        <fgColor rgb="001B2A4A"/>
      </patternFill>
    </fill>
    <fill>
      <patternFill patternType="solid">
        <fgColor rgb="00FFFFFF"/>
      </patternFill>
    </fill>
    <fill>
      <patternFill patternType="solid">
        <fgColor rgb="00FFF0F3"/>
      </patternFill>
    </fill>
    <fill>
      <patternFill patternType="solid">
        <fgColor rgb="00F7F7F5"/>
      </patternFill>
    </fill>
    <fill>
      <patternFill patternType="solid">
        <fgColor rgb="00FFF8DC"/>
      </patternFill>
    </fill>
    <fill>
      <patternFill patternType="solid">
        <fgColor rgb="00F0FFF4"/>
      </patternFill>
    </fill>
    <fill>
      <patternFill patternType="solid">
        <fgColor rgb="00D6E4F0"/>
      </patternFill>
    </fill>
    <fill>
      <patternFill patternType="solid">
        <fgColor rgb="00FFFFCC"/>
      </patternFill>
    </fill>
    <fill>
      <patternFill patternType="solid">
        <fgColor rgb="00E8F5E9"/>
      </patternFill>
    </fill>
    <fill>
      <patternFill patternType="solid">
        <fgColor rgb="00FEF9E7"/>
      </patternFill>
    </fill>
    <fill>
      <patternFill patternType="solid">
        <fgColor rgb="00FDEDEC"/>
      </patternFill>
    </fill>
    <fill>
      <patternFill patternType="solid">
        <fgColor rgb="001B7D46"/>
      </patternFill>
    </fill>
    <fill>
      <patternFill patternType="solid">
        <fgColor rgb="00B8650A"/>
      </patternFill>
    </fill>
    <fill>
      <patternFill patternType="solid">
        <fgColor rgb="00A0322B"/>
      </patternFill>
    </fill>
  </fills>
  <borders count="3">
    <border>
      <left/>
      <right/>
      <top/>
      <bottom/>
      <diagonal/>
    </border>
    <border>
      <bottom style="thin">
        <color rgb="00E9E9E8"/>
      </bottom>
    </border>
    <border>
      <top style="medium">
        <color rgb="00E9E9E8"/>
      </top>
    </border>
  </borders>
  <cellStyleXfs count="1">
    <xf numFmtId="0" fontId="0" fillId="0" borderId="0"/>
  </cellStyleXfs>
  <cellXfs count="49">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0" pivotButton="0" quotePrefix="0" xfId="0"/>
    <xf numFmtId="0" fontId="6" fillId="4" borderId="0" pivotButton="0" quotePrefix="0" xfId="0"/>
    <xf numFmtId="3" fontId="5" fillId="3" borderId="0" pivotButton="0" quotePrefix="0" xfId="0"/>
    <xf numFmtId="0" fontId="7" fillId="3" borderId="0" pivotButton="0" quotePrefix="0" xfId="0"/>
    <xf numFmtId="3" fontId="7" fillId="3" borderId="0" pivotButton="0" quotePrefix="0" xfId="0"/>
    <xf numFmtId="0" fontId="5" fillId="5" borderId="0" pivotButton="0" quotePrefix="0" xfId="0"/>
    <xf numFmtId="3" fontId="5" fillId="5" borderId="0" pivotButton="0" quotePrefix="0" xfId="0"/>
    <xf numFmtId="0" fontId="7" fillId="5" borderId="0" pivotButton="0" quotePrefix="0" xfId="0"/>
    <xf numFmtId="3" fontId="7" fillId="5" borderId="0" pivotButton="0" quotePrefix="0" xfId="0"/>
    <xf numFmtId="0" fontId="8" fillId="6" borderId="0" pivotButton="0" quotePrefix="0" xfId="0"/>
    <xf numFmtId="0" fontId="9" fillId="7" borderId="0" pivotButton="0" quotePrefix="0" xfId="0"/>
    <xf numFmtId="0" fontId="10" fillId="8" borderId="2" pivotButton="0" quotePrefix="0" xfId="0"/>
    <xf numFmtId="3" fontId="10" fillId="8" borderId="2" pivotButton="0" quotePrefix="0" xfId="0"/>
    <xf numFmtId="0" fontId="10" fillId="0" borderId="0" pivotButton="0" quotePrefix="0" xfId="0"/>
    <xf numFmtId="0" fontId="5" fillId="0" borderId="0" applyAlignment="1" pivotButton="0" quotePrefix="0" xfId="0">
      <alignment vertical="center" wrapText="1"/>
    </xf>
    <xf numFmtId="0" fontId="11" fillId="0" borderId="0" pivotButton="0" quotePrefix="0" xfId="0"/>
    <xf numFmtId="165" fontId="12" fillId="9" borderId="0" applyProtection="1" pivotButton="0" quotePrefix="0" xfId="0">
      <protection locked="0" hidden="0"/>
    </xf>
    <xf numFmtId="0" fontId="2" fillId="0" borderId="0" applyAlignment="1" pivotButton="0" quotePrefix="0" xfId="0">
      <alignment horizontal="center"/>
    </xf>
    <xf numFmtId="0" fontId="3" fillId="10" borderId="0" applyAlignment="1" pivotButton="0" quotePrefix="0" xfId="0">
      <alignment horizontal="center"/>
    </xf>
    <xf numFmtId="0" fontId="13" fillId="11" borderId="0" applyAlignment="1" pivotButton="0" quotePrefix="0" xfId="0">
      <alignment horizontal="center"/>
    </xf>
    <xf numFmtId="0" fontId="14" fillId="12" borderId="0" applyAlignment="1" pivotButton="0" quotePrefix="0" xfId="0">
      <alignment horizontal="center"/>
    </xf>
    <xf numFmtId="0" fontId="4"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15" borderId="1" applyAlignment="1" pivotButton="0" quotePrefix="0" xfId="0">
      <alignment horizontal="center" vertical="center" wrapText="1"/>
    </xf>
    <xf numFmtId="166" fontId="12" fillId="9" borderId="0" applyProtection="1" pivotButton="0" quotePrefix="0" xfId="0">
      <protection locked="0" hidden="0"/>
    </xf>
    <xf numFmtId="166" fontId="5" fillId="3" borderId="0" pivotButton="0" quotePrefix="0" xfId="0"/>
    <xf numFmtId="167" fontId="5" fillId="3" borderId="0" pivotButton="0" quotePrefix="0" xfId="0"/>
    <xf numFmtId="3" fontId="12" fillId="9" borderId="0" applyProtection="1" pivotButton="0" quotePrefix="0" xfId="0">
      <protection locked="0" hidden="0"/>
    </xf>
    <xf numFmtId="167" fontId="12" fillId="9" borderId="0" applyProtection="1" pivotButton="0" quotePrefix="0" xfId="0">
      <protection locked="0" hidden="0"/>
    </xf>
    <xf numFmtId="0" fontId="12" fillId="9" borderId="0" applyProtection="1" pivotButton="0" quotePrefix="0" xfId="0">
      <protection locked="0" hidden="0"/>
    </xf>
    <xf numFmtId="166" fontId="5" fillId="5" borderId="0" pivotButton="0" quotePrefix="0" xfId="0"/>
    <xf numFmtId="167" fontId="5" fillId="5" borderId="0" pivotButton="0" quotePrefix="0" xfId="0"/>
    <xf numFmtId="166" fontId="10" fillId="8" borderId="2" pivotButton="0" quotePrefix="0" xfId="0"/>
    <xf numFmtId="167" fontId="10" fillId="8" borderId="2" pivotButton="0" quotePrefix="0" xfId="0"/>
    <xf numFmtId="166" fontId="15" fillId="3" borderId="0" pivotButton="0" quotePrefix="0" xfId="0"/>
    <xf numFmtId="167" fontId="15" fillId="3" borderId="0" pivotButton="0" quotePrefix="0" xfId="0"/>
    <xf numFmtId="166" fontId="15" fillId="5" borderId="0" pivotButton="0" quotePrefix="0" xfId="0"/>
    <xf numFmtId="167" fontId="15" fillId="5" borderId="0" pivotButton="0" quotePrefix="0" xfId="0"/>
    <xf numFmtId="0" fontId="5" fillId="0" borderId="0" pivotButton="0" quotePrefix="0" xfId="0"/>
    <xf numFmtId="0" fontId="15" fillId="0" borderId="0" applyAlignment="1" pivotButton="0" quotePrefix="0" xfId="0">
      <alignment horizontal="right" vertical="center"/>
    </xf>
    <xf numFmtId="3" fontId="15" fillId="0" borderId="0" applyAlignment="1" pivotButton="0" quotePrefix="0" xfId="0">
      <alignment horizontal="right" vertical="center"/>
    </xf>
    <xf numFmtId="167" fontId="15" fillId="0" borderId="0" applyAlignment="1" pivotButton="0" quotePrefix="0" xfId="0">
      <alignment horizontal="right" vertical="center"/>
    </xf>
    <xf numFmtId="3" fontId="15" fillId="3" borderId="0" pivotButton="0" quotePrefix="0" xfId="0"/>
    <xf numFmtId="3" fontId="15" fillId="5" borderId="0" pivotButton="0" quotePrefix="0" xfId="0"/>
  </cellXfs>
  <cellStyles count="1">
    <cellStyle name="Normal" xfId="0" builtinId="0" hidden="0"/>
  </cellStyles>
  <dxfs count="3">
    <dxf>
      <font>
        <color rgb="001B7D46"/>
      </font>
      <fill>
        <patternFill>
          <bgColor rgb="00E8F5E9"/>
        </patternFill>
      </fill>
    </dxf>
    <dxf>
      <font>
        <color rgb="00C0392B"/>
      </font>
      <fill>
        <patternFill>
          <bgColor rgb="00FDEDEC"/>
        </patternFill>
      </fill>
    </dxf>
    <dxf>
      <font>
        <color rgb="00D4820A"/>
      </font>
      <fill>
        <patternFill>
          <bgColor rgb="00FEF9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styles" Target="styles.xml" Id="rId56"/><Relationship Type="http://schemas.openxmlformats.org/officeDocument/2006/relationships/theme" Target="theme/theme1.xml" Id="rId5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B2:K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s>
  <sheetData>
    <row r="1" ht="15" customHeight="1"/>
    <row r="2" ht="32" customHeight="1">
      <c r="B2" s="1" t="inlineStr">
        <is>
          <t>Liste Référentielle des Projets - Indicateurs Physiques</t>
        </is>
      </c>
    </row>
    <row r="3" ht="8" customHeight="1">
      <c r="B3" s="2" t="inlineStr">
        <is>
          <t>Identification</t>
        </is>
      </c>
      <c r="J3" s="3" t="inlineStr">
        <is>
          <t>Indicateurs Physiques</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4" t="inlineStr">
        <is>
          <t>Unité</t>
        </is>
      </c>
      <c r="K4" s="4" t="inlineStr">
        <is>
          <t>Qté Prévue</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row>
    <row r="77" ht="26" customHeight="1">
      <c r="B77" s="16" t="inlineStr">
        <is>
          <t>TOTAL</t>
        </is>
      </c>
      <c r="C77" s="16" t="n"/>
      <c r="D77" s="16" t="n"/>
      <c r="E77" s="16" t="n"/>
      <c r="F77" s="16" t="n"/>
      <c r="G77" s="16" t="n"/>
      <c r="H77" s="16" t="n"/>
      <c r="I77" s="17">
        <f>SUM(I5:I76)</f>
        <v/>
      </c>
      <c r="J77" s="16" t="n"/>
      <c r="K77" s="16" t="n"/>
    </row>
  </sheetData>
  <mergeCells count="3">
    <mergeCell ref="B3:I3"/>
    <mergeCell ref="J3:K3"/>
    <mergeCell ref="B2:K2"/>
  </mergeCells>
  <pageMargins left="0.75" right="0.75" top="1" bottom="1" header="0.5" footer="0.5"/>
</worksheet>
</file>

<file path=xl/worksheets/sheet2.xml><?xml version="1.0" encoding="utf-8"?>
<worksheet xmlns="http://schemas.openxmlformats.org/spreadsheetml/2006/main">
  <sheetPr>
    <tabColor rgb="008C8A84"/>
    <outlinePr summaryBelow="1" summaryRight="1"/>
    <pageSetUpPr/>
  </sheetPr>
  <dimension ref="B2:F14"/>
  <sheetViews>
    <sheetView showGridLines="0" workbookViewId="0">
      <selection activeCell="A1" sqref="A1"/>
    </sheetView>
  </sheetViews>
  <sheetFormatPr baseColWidth="8" defaultRowHeight="15"/>
  <cols>
    <col width="3" customWidth="1" min="1" max="1"/>
    <col width="24" customWidth="1" min="2" max="2"/>
    <col width="90" customWidth="1" min="3" max="3"/>
  </cols>
  <sheetData>
    <row r="1" ht="15" customHeight="1"/>
    <row r="2" ht="32" customHeight="1">
      <c r="B2" s="1" t="inlineStr">
        <is>
          <t>Guide d'Utilisation du Canevas Hebdomadaire</t>
        </is>
      </c>
    </row>
    <row r="3" ht="8" customHeight="1"/>
    <row r="4" ht="32" customHeight="1">
      <c r="B4" s="18" t="inlineStr">
        <is>
          <t>CODE COULEUR</t>
        </is>
      </c>
      <c r="C4" s="19" t="inlineStr">
        <is>
          <t>Jaune = Saisie | Vert = Formule auto inter-feuille | Noir = Formule calculée | Bleu = Valeur saisie</t>
        </is>
      </c>
    </row>
    <row r="5" ht="32" customHeight="1">
      <c r="B5" s="18" t="inlineStr">
        <is>
          <t>SAISIE HEBDOMADAIRE</t>
        </is>
      </c>
      <c r="C5" s="19" t="inlineStr">
        <is>
          <t>Dans les feuilles S01-S52, saisissez uniquement les cellules jaunes : Qté Réalisée Semaine, Montants, Avancement Financier %, Observations. Chaque feuille correspond à une semaine ISO de 2026 avec la date pré-remplie.</t>
        </is>
      </c>
    </row>
    <row r="6" ht="32" customHeight="1">
      <c r="B6" s="18" t="inlineStr">
        <is>
          <t>52 SEMAINES 2026</t>
        </is>
      </c>
      <c r="C6" s="19" t="inlineStr">
        <is>
          <t>Le classeur contient 52 feuilles hebdomadaires (S01 à S52), couvrant toute l'année 2026. Les couleurs des onglets changent par mois pour faciliter la navigation.</t>
        </is>
      </c>
    </row>
    <row r="7" ht="32" customHeight="1">
      <c r="B7" s="18" t="inlineStr">
        <is>
          <t>INDICATEURS PHYSIQUES</t>
        </is>
      </c>
      <c r="C7" s="19" t="inlineStr">
        <is>
          <t>Chaque projet a une Unité (ml, km, m², m³, U) et une Qté Prévue définies dans 'Liste Projets'. L'Avancement Physique % est calculé automatiquement : Qté Réalisée Cumul / Qté Prévue</t>
        </is>
      </c>
    </row>
    <row r="8" ht="32" customHeight="1">
      <c r="B8" s="18" t="inlineStr">
        <is>
          <t>CUMUL AUTOMATIQUE</t>
        </is>
      </c>
      <c r="C8" s="19" t="inlineStr">
        <is>
          <t>La Qté Réalisée Cumul = Cumul sem. précédente + Qté réalisée cette semaine. Le lien entre semaines est automatique (S02 référence S01, S03 référence S02, etc.).</t>
        </is>
      </c>
    </row>
    <row r="9" ht="32" customHeight="1">
      <c r="B9" s="18" t="inlineStr">
        <is>
          <t>SUIVI MENSUEL</t>
        </is>
      </c>
      <c r="C9" s="19" t="inlineStr">
        <is>
          <t>L'onglet 'Récapitulatif' contient un Résumé Mensuel avec l'avancement en fin de mois, l'accroissement mensuel et l'écart physique-financier pour chaque mois de 2026. Les semaines de chaque mois sont indiquées (ex: S01-S04 pour Janvier).</t>
        </is>
      </c>
    </row>
    <row r="10" ht="32" customHeight="1">
      <c r="B10" s="18" t="inlineStr">
        <is>
          <t>PROTECTION</t>
        </is>
      </c>
      <c r="C10" s="19" t="inlineStr">
        <is>
          <t>Cellules de référence et formules verrouillées. Mot de passe : ormvag2026</t>
        </is>
      </c>
    </row>
    <row r="11" ht="32" customHeight="1">
      <c r="B11" s="18" t="inlineStr">
        <is>
          <t>MODIFIER UNITÉS/QTÉ</t>
        </is>
      </c>
      <c r="C11" s="19" t="inlineStr">
        <is>
          <t>Allez dans 'Liste Projets' pour modifier les Unités et Qté Prévue. Ces valeurs sont reportées dans les feuilles hebdomadaires.</t>
        </is>
      </c>
    </row>
    <row r="12" ht="32" customHeight="1">
      <c r="B12" s="18" t="inlineStr">
        <is>
          <t>FORMAT POURCENTAGE</t>
        </is>
      </c>
      <c r="C12" s="19" t="inlineStr">
        <is>
          <t>Saisir 0.25 pour 25%, 0.50 pour 50%, 1.00 pour 100%. Valeurs entre 0 et 1.</t>
        </is>
      </c>
    </row>
    <row r="13" ht="32" customHeight="1">
      <c r="B13" s="18" t="inlineStr">
        <is>
          <t>ÉCART PHYS.-FIN.</t>
        </is>
      </c>
      <c r="C13" s="19" t="inlineStr">
        <is>
          <t>Positif = le physique avance plus vite que le financier. Négatif = le financier avance plus vite. Problème si &gt; 5% d'écart.</t>
        </is>
      </c>
    </row>
    <row r="14" ht="32" customHeight="1">
      <c r="B14" s="18" t="inlineStr">
        <is>
          <t>DATES PRÉ-REMPLIES</t>
        </is>
      </c>
      <c r="C14" s="19" t="inlineStr">
        <is>
          <t>Chaque feuille hebdomadaire a la date du lundi de la semaine pré-remplie dans la cellule C3. Par exemple, S24 correspond au 08/06/2026 - 14/06/2026.</t>
        </is>
      </c>
    </row>
  </sheetData>
  <mergeCells count="1">
    <mergeCell ref="B2:F2"/>
  </mergeCells>
  <pageMargins left="0.75" right="0.75" top="1" bottom="1" header="0.5" footer="0.5"/>
</worksheet>
</file>

<file path=xl/worksheets/sheet3.xml><?xml version="1.0" encoding="utf-8"?>
<worksheet xmlns="http://schemas.openxmlformats.org/spreadsheetml/2006/main">
  <sheetPr>
    <tabColor rgb="00375623"/>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1 (29/12 - 04/01) — Décembre 2026 - Exécution Physique et Financière</t>
        </is>
      </c>
    </row>
    <row r="3" ht="22" customHeight="1">
      <c r="B3" s="20" t="inlineStr">
        <is>
          <t>Date :</t>
        </is>
      </c>
      <c r="C3" s="21" t="n">
        <v>46020</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0">
        <f>L5</f>
        <v/>
      </c>
      <c r="N5" s="31">
        <f>IFERROR(M5/K5,0)</f>
        <v/>
      </c>
      <c r="O5" s="31" t="n">
        <v>0</v>
      </c>
      <c r="P5" s="31">
        <f>N5-O5</f>
        <v/>
      </c>
      <c r="Q5" s="32" t="n"/>
      <c r="R5" s="32" t="n"/>
      <c r="S5" s="32" t="n"/>
      <c r="T5" s="33" t="n"/>
      <c r="U5" s="31" t="n">
        <v>0</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35">
        <f>L6</f>
        <v/>
      </c>
      <c r="N6" s="36">
        <f>IFERROR(M6/K6,0)</f>
        <v/>
      </c>
      <c r="O6" s="36" t="n">
        <v>0</v>
      </c>
      <c r="P6" s="36">
        <f>N6-O6</f>
        <v/>
      </c>
      <c r="Q6" s="32" t="n"/>
      <c r="R6" s="32" t="n"/>
      <c r="S6" s="32" t="n"/>
      <c r="T6" s="33" t="n"/>
      <c r="U6" s="36" t="n">
        <v>0</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0">
        <f>L7</f>
        <v/>
      </c>
      <c r="N7" s="31">
        <f>IFERROR(M7/K7,0)</f>
        <v/>
      </c>
      <c r="O7" s="31" t="n">
        <v>0</v>
      </c>
      <c r="P7" s="31">
        <f>N7-O7</f>
        <v/>
      </c>
      <c r="Q7" s="32" t="n"/>
      <c r="R7" s="32" t="n"/>
      <c r="S7" s="32" t="n"/>
      <c r="T7" s="33" t="n"/>
      <c r="U7" s="31" t="n">
        <v>0</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35">
        <f>L8</f>
        <v/>
      </c>
      <c r="N8" s="36">
        <f>IFERROR(M8/K8,0)</f>
        <v/>
      </c>
      <c r="O8" s="36" t="n">
        <v>0</v>
      </c>
      <c r="P8" s="36">
        <f>N8-O8</f>
        <v/>
      </c>
      <c r="Q8" s="32" t="n"/>
      <c r="R8" s="32" t="n"/>
      <c r="S8" s="32" t="n"/>
      <c r="T8" s="33" t="n"/>
      <c r="U8" s="36" t="n">
        <v>0</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0">
        <f>L9</f>
        <v/>
      </c>
      <c r="N9" s="31">
        <f>IFERROR(M9/K9,0)</f>
        <v/>
      </c>
      <c r="O9" s="31" t="n">
        <v>0</v>
      </c>
      <c r="P9" s="31">
        <f>N9-O9</f>
        <v/>
      </c>
      <c r="Q9" s="32" t="n"/>
      <c r="R9" s="32" t="n"/>
      <c r="S9" s="32" t="n"/>
      <c r="T9" s="33" t="n"/>
      <c r="U9" s="31" t="n">
        <v>0</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35">
        <f>L10</f>
        <v/>
      </c>
      <c r="N10" s="36">
        <f>IFERROR(M10/K10,0)</f>
        <v/>
      </c>
      <c r="O10" s="36" t="n">
        <v>0</v>
      </c>
      <c r="P10" s="36">
        <f>N10-O10</f>
        <v/>
      </c>
      <c r="Q10" s="32" t="n"/>
      <c r="R10" s="32" t="n"/>
      <c r="S10" s="32" t="n"/>
      <c r="T10" s="33" t="n"/>
      <c r="U10" s="36" t="n">
        <v>0</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0">
        <f>L11</f>
        <v/>
      </c>
      <c r="N11" s="31">
        <f>IFERROR(M11/K11,0)</f>
        <v/>
      </c>
      <c r="O11" s="31" t="n">
        <v>0</v>
      </c>
      <c r="P11" s="31">
        <f>N11-O11</f>
        <v/>
      </c>
      <c r="Q11" s="32" t="n"/>
      <c r="R11" s="32" t="n"/>
      <c r="S11" s="32" t="n"/>
      <c r="T11" s="33" t="n"/>
      <c r="U11" s="31" t="n">
        <v>0</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35">
        <f>L12</f>
        <v/>
      </c>
      <c r="N12" s="36">
        <f>IFERROR(M12/K12,0)</f>
        <v/>
      </c>
      <c r="O12" s="36" t="n">
        <v>0</v>
      </c>
      <c r="P12" s="36">
        <f>N12-O12</f>
        <v/>
      </c>
      <c r="Q12" s="32" t="n"/>
      <c r="R12" s="32" t="n"/>
      <c r="S12" s="32" t="n"/>
      <c r="T12" s="33" t="n"/>
      <c r="U12" s="36" t="n">
        <v>0</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0">
        <f>L13</f>
        <v/>
      </c>
      <c r="N13" s="31">
        <f>IFERROR(M13/K13,0)</f>
        <v/>
      </c>
      <c r="O13" s="31" t="n">
        <v>0</v>
      </c>
      <c r="P13" s="31">
        <f>N13-O13</f>
        <v/>
      </c>
      <c r="Q13" s="32" t="n"/>
      <c r="R13" s="32" t="n"/>
      <c r="S13" s="32" t="n"/>
      <c r="T13" s="33" t="n"/>
      <c r="U13" s="31" t="n">
        <v>0</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35">
        <f>L14</f>
        <v/>
      </c>
      <c r="N14" s="36">
        <f>IFERROR(M14/K14,0)</f>
        <v/>
      </c>
      <c r="O14" s="36" t="n">
        <v>0</v>
      </c>
      <c r="P14" s="36">
        <f>N14-O14</f>
        <v/>
      </c>
      <c r="Q14" s="32" t="n"/>
      <c r="R14" s="32" t="n"/>
      <c r="S14" s="32" t="n"/>
      <c r="T14" s="33" t="n"/>
      <c r="U14" s="36" t="n">
        <v>0</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0">
        <f>L15</f>
        <v/>
      </c>
      <c r="N15" s="31">
        <f>IFERROR(M15/K15,0)</f>
        <v/>
      </c>
      <c r="O15" s="31" t="n">
        <v>0</v>
      </c>
      <c r="P15" s="31">
        <f>N15-O15</f>
        <v/>
      </c>
      <c r="Q15" s="32" t="n"/>
      <c r="R15" s="32" t="n"/>
      <c r="S15" s="32" t="n"/>
      <c r="T15" s="33" t="n"/>
      <c r="U15" s="31" t="n">
        <v>0</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35">
        <f>L16</f>
        <v/>
      </c>
      <c r="N16" s="36">
        <f>IFERROR(M16/K16,0)</f>
        <v/>
      </c>
      <c r="O16" s="36" t="n">
        <v>0</v>
      </c>
      <c r="P16" s="36">
        <f>N16-O16</f>
        <v/>
      </c>
      <c r="Q16" s="32" t="n"/>
      <c r="R16" s="32" t="n"/>
      <c r="S16" s="32" t="n"/>
      <c r="T16" s="33" t="n"/>
      <c r="U16" s="36" t="n">
        <v>0</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0">
        <f>L17</f>
        <v/>
      </c>
      <c r="N17" s="31">
        <f>IFERROR(M17/K17,0)</f>
        <v/>
      </c>
      <c r="O17" s="31" t="n">
        <v>0</v>
      </c>
      <c r="P17" s="31">
        <f>N17-O17</f>
        <v/>
      </c>
      <c r="Q17" s="32" t="n"/>
      <c r="R17" s="32" t="n"/>
      <c r="S17" s="32" t="n"/>
      <c r="T17" s="33" t="n"/>
      <c r="U17" s="31" t="n">
        <v>0</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35">
        <f>L18</f>
        <v/>
      </c>
      <c r="N18" s="36">
        <f>IFERROR(M18/K18,0)</f>
        <v/>
      </c>
      <c r="O18" s="36" t="n">
        <v>0</v>
      </c>
      <c r="P18" s="36">
        <f>N18-O18</f>
        <v/>
      </c>
      <c r="Q18" s="32" t="n"/>
      <c r="R18" s="32" t="n"/>
      <c r="S18" s="32" t="n"/>
      <c r="T18" s="33" t="n"/>
      <c r="U18" s="36" t="n">
        <v>0</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0">
        <f>L19</f>
        <v/>
      </c>
      <c r="N19" s="31">
        <f>IFERROR(M19/K19,0)</f>
        <v/>
      </c>
      <c r="O19" s="31" t="n">
        <v>0</v>
      </c>
      <c r="P19" s="31">
        <f>N19-O19</f>
        <v/>
      </c>
      <c r="Q19" s="32" t="n"/>
      <c r="R19" s="32" t="n"/>
      <c r="S19" s="32" t="n"/>
      <c r="T19" s="33" t="n"/>
      <c r="U19" s="31" t="n">
        <v>0</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35">
        <f>L20</f>
        <v/>
      </c>
      <c r="N20" s="36">
        <f>IFERROR(M20/K20,0)</f>
        <v/>
      </c>
      <c r="O20" s="36" t="n">
        <v>0</v>
      </c>
      <c r="P20" s="36">
        <f>N20-O20</f>
        <v/>
      </c>
      <c r="Q20" s="32" t="n"/>
      <c r="R20" s="32" t="n"/>
      <c r="S20" s="32" t="n"/>
      <c r="T20" s="33" t="n"/>
      <c r="U20" s="36" t="n">
        <v>0</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0">
        <f>L21</f>
        <v/>
      </c>
      <c r="N21" s="31">
        <f>IFERROR(M21/K21,0)</f>
        <v/>
      </c>
      <c r="O21" s="31" t="n">
        <v>0</v>
      </c>
      <c r="P21" s="31">
        <f>N21-O21</f>
        <v/>
      </c>
      <c r="Q21" s="32" t="n"/>
      <c r="R21" s="32" t="n"/>
      <c r="S21" s="32" t="n"/>
      <c r="T21" s="33" t="n"/>
      <c r="U21" s="31" t="n">
        <v>0</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35">
        <f>L22</f>
        <v/>
      </c>
      <c r="N22" s="36">
        <f>IFERROR(M22/K22,0)</f>
        <v/>
      </c>
      <c r="O22" s="36" t="n">
        <v>0</v>
      </c>
      <c r="P22" s="36">
        <f>N22-O22</f>
        <v/>
      </c>
      <c r="Q22" s="32" t="n"/>
      <c r="R22" s="32" t="n"/>
      <c r="S22" s="32" t="n"/>
      <c r="T22" s="33" t="n"/>
      <c r="U22" s="36" t="n">
        <v>0</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0">
        <f>L23</f>
        <v/>
      </c>
      <c r="N23" s="31">
        <f>IFERROR(M23/K23,0)</f>
        <v/>
      </c>
      <c r="O23" s="31" t="n">
        <v>0</v>
      </c>
      <c r="P23" s="31">
        <f>N23-O23</f>
        <v/>
      </c>
      <c r="Q23" s="32" t="n"/>
      <c r="R23" s="32" t="n"/>
      <c r="S23" s="32" t="n"/>
      <c r="T23" s="33" t="n"/>
      <c r="U23" s="31" t="n">
        <v>0</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35">
        <f>L24</f>
        <v/>
      </c>
      <c r="N24" s="36">
        <f>IFERROR(M24/K24,0)</f>
        <v/>
      </c>
      <c r="O24" s="36" t="n">
        <v>0</v>
      </c>
      <c r="P24" s="36">
        <f>N24-O24</f>
        <v/>
      </c>
      <c r="Q24" s="32" t="n"/>
      <c r="R24" s="32" t="n"/>
      <c r="S24" s="32" t="n"/>
      <c r="T24" s="33" t="n"/>
      <c r="U24" s="36" t="n">
        <v>0</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0">
        <f>L25</f>
        <v/>
      </c>
      <c r="N25" s="31">
        <f>IFERROR(M25/K25,0)</f>
        <v/>
      </c>
      <c r="O25" s="31" t="n">
        <v>0</v>
      </c>
      <c r="P25" s="31">
        <f>N25-O25</f>
        <v/>
      </c>
      <c r="Q25" s="32" t="n"/>
      <c r="R25" s="32" t="n"/>
      <c r="S25" s="32" t="n"/>
      <c r="T25" s="33" t="n"/>
      <c r="U25" s="31" t="n">
        <v>0</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35">
        <f>L26</f>
        <v/>
      </c>
      <c r="N26" s="36">
        <f>IFERROR(M26/K26,0)</f>
        <v/>
      </c>
      <c r="O26" s="36" t="n">
        <v>0</v>
      </c>
      <c r="P26" s="36">
        <f>N26-O26</f>
        <v/>
      </c>
      <c r="Q26" s="32" t="n"/>
      <c r="R26" s="32" t="n"/>
      <c r="S26" s="32" t="n"/>
      <c r="T26" s="33" t="n"/>
      <c r="U26" s="36" t="n">
        <v>0</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0">
        <f>L27</f>
        <v/>
      </c>
      <c r="N27" s="31">
        <f>IFERROR(M27/K27,0)</f>
        <v/>
      </c>
      <c r="O27" s="31" t="n">
        <v>0</v>
      </c>
      <c r="P27" s="31">
        <f>N27-O27</f>
        <v/>
      </c>
      <c r="Q27" s="32" t="n"/>
      <c r="R27" s="32" t="n"/>
      <c r="S27" s="32" t="n"/>
      <c r="T27" s="33" t="n"/>
      <c r="U27" s="31" t="n">
        <v>0</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35">
        <f>L28</f>
        <v/>
      </c>
      <c r="N28" s="36">
        <f>IFERROR(M28/K28,0)</f>
        <v/>
      </c>
      <c r="O28" s="36" t="n">
        <v>0</v>
      </c>
      <c r="P28" s="36">
        <f>N28-O28</f>
        <v/>
      </c>
      <c r="Q28" s="32" t="n"/>
      <c r="R28" s="32" t="n"/>
      <c r="S28" s="32" t="n"/>
      <c r="T28" s="33" t="n"/>
      <c r="U28" s="36" t="n">
        <v>0</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0">
        <f>L29</f>
        <v/>
      </c>
      <c r="N29" s="31">
        <f>IFERROR(M29/K29,0)</f>
        <v/>
      </c>
      <c r="O29" s="31" t="n">
        <v>0</v>
      </c>
      <c r="P29" s="31">
        <f>N29-O29</f>
        <v/>
      </c>
      <c r="Q29" s="32" t="n"/>
      <c r="R29" s="32" t="n"/>
      <c r="S29" s="32" t="n"/>
      <c r="T29" s="33" t="n"/>
      <c r="U29" s="31" t="n">
        <v>0</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35">
        <f>L30</f>
        <v/>
      </c>
      <c r="N30" s="36">
        <f>IFERROR(M30/K30,0)</f>
        <v/>
      </c>
      <c r="O30" s="36" t="n">
        <v>0</v>
      </c>
      <c r="P30" s="36">
        <f>N30-O30</f>
        <v/>
      </c>
      <c r="Q30" s="32" t="n"/>
      <c r="R30" s="32" t="n"/>
      <c r="S30" s="32" t="n"/>
      <c r="T30" s="33" t="n"/>
      <c r="U30" s="36" t="n">
        <v>0</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0">
        <f>L31</f>
        <v/>
      </c>
      <c r="N31" s="31">
        <f>IFERROR(M31/K31,0)</f>
        <v/>
      </c>
      <c r="O31" s="31" t="n">
        <v>0</v>
      </c>
      <c r="P31" s="31">
        <f>N31-O31</f>
        <v/>
      </c>
      <c r="Q31" s="32" t="n"/>
      <c r="R31" s="32" t="n"/>
      <c r="S31" s="32" t="n"/>
      <c r="T31" s="33" t="n"/>
      <c r="U31" s="31" t="n">
        <v>0</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35">
        <f>L32</f>
        <v/>
      </c>
      <c r="N32" s="36">
        <f>IFERROR(M32/K32,0)</f>
        <v/>
      </c>
      <c r="O32" s="36" t="n">
        <v>0</v>
      </c>
      <c r="P32" s="36">
        <f>N32-O32</f>
        <v/>
      </c>
      <c r="Q32" s="32" t="n"/>
      <c r="R32" s="32" t="n"/>
      <c r="S32" s="32" t="n"/>
      <c r="T32" s="33" t="n"/>
      <c r="U32" s="36" t="n">
        <v>0</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0">
        <f>L33</f>
        <v/>
      </c>
      <c r="N33" s="31">
        <f>IFERROR(M33/K33,0)</f>
        <v/>
      </c>
      <c r="O33" s="31" t="n">
        <v>0</v>
      </c>
      <c r="P33" s="31">
        <f>N33-O33</f>
        <v/>
      </c>
      <c r="Q33" s="32" t="n"/>
      <c r="R33" s="32" t="n"/>
      <c r="S33" s="32" t="n"/>
      <c r="T33" s="33" t="n"/>
      <c r="U33" s="31" t="n">
        <v>0</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35">
        <f>L34</f>
        <v/>
      </c>
      <c r="N34" s="36">
        <f>IFERROR(M34/K34,0)</f>
        <v/>
      </c>
      <c r="O34" s="36" t="n">
        <v>0</v>
      </c>
      <c r="P34" s="36">
        <f>N34-O34</f>
        <v/>
      </c>
      <c r="Q34" s="32" t="n"/>
      <c r="R34" s="32" t="n"/>
      <c r="S34" s="32" t="n"/>
      <c r="T34" s="33" t="n"/>
      <c r="U34" s="36" t="n">
        <v>0</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0">
        <f>L35</f>
        <v/>
      </c>
      <c r="N35" s="31">
        <f>IFERROR(M35/K35,0)</f>
        <v/>
      </c>
      <c r="O35" s="31" t="n">
        <v>0</v>
      </c>
      <c r="P35" s="31">
        <f>N35-O35</f>
        <v/>
      </c>
      <c r="Q35" s="32" t="n"/>
      <c r="R35" s="32" t="n"/>
      <c r="S35" s="32" t="n"/>
      <c r="T35" s="33" t="n"/>
      <c r="U35" s="31" t="n">
        <v>0</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35">
        <f>L36</f>
        <v/>
      </c>
      <c r="N36" s="36">
        <f>IFERROR(M36/K36,0)</f>
        <v/>
      </c>
      <c r="O36" s="36" t="n">
        <v>0</v>
      </c>
      <c r="P36" s="36">
        <f>N36-O36</f>
        <v/>
      </c>
      <c r="Q36" s="32" t="n"/>
      <c r="R36" s="32" t="n"/>
      <c r="S36" s="32" t="n"/>
      <c r="T36" s="33" t="n"/>
      <c r="U36" s="36" t="n">
        <v>0</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0">
        <f>L37</f>
        <v/>
      </c>
      <c r="N37" s="31">
        <f>IFERROR(M37/K37,0)</f>
        <v/>
      </c>
      <c r="O37" s="31" t="n">
        <v>0</v>
      </c>
      <c r="P37" s="31">
        <f>N37-O37</f>
        <v/>
      </c>
      <c r="Q37" s="32" t="n"/>
      <c r="R37" s="32" t="n"/>
      <c r="S37" s="32" t="n"/>
      <c r="T37" s="33" t="n"/>
      <c r="U37" s="31" t="n">
        <v>0</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35">
        <f>L38</f>
        <v/>
      </c>
      <c r="N38" s="36">
        <f>IFERROR(M38/K38,0)</f>
        <v/>
      </c>
      <c r="O38" s="36" t="n">
        <v>0</v>
      </c>
      <c r="P38" s="36">
        <f>N38-O38</f>
        <v/>
      </c>
      <c r="Q38" s="32" t="n"/>
      <c r="R38" s="32" t="n"/>
      <c r="S38" s="32" t="n"/>
      <c r="T38" s="33" t="n"/>
      <c r="U38" s="36" t="n">
        <v>0</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0">
        <f>L39</f>
        <v/>
      </c>
      <c r="N39" s="31">
        <f>IFERROR(M39/K39,0)</f>
        <v/>
      </c>
      <c r="O39" s="31" t="n">
        <v>0</v>
      </c>
      <c r="P39" s="31">
        <f>N39-O39</f>
        <v/>
      </c>
      <c r="Q39" s="32" t="n"/>
      <c r="R39" s="32" t="n"/>
      <c r="S39" s="32" t="n"/>
      <c r="T39" s="33" t="n"/>
      <c r="U39" s="31" t="n">
        <v>0</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35">
        <f>L40</f>
        <v/>
      </c>
      <c r="N40" s="36">
        <f>IFERROR(M40/K40,0)</f>
        <v/>
      </c>
      <c r="O40" s="36" t="n">
        <v>0</v>
      </c>
      <c r="P40" s="36">
        <f>N40-O40</f>
        <v/>
      </c>
      <c r="Q40" s="32" t="n"/>
      <c r="R40" s="32" t="n"/>
      <c r="S40" s="32" t="n"/>
      <c r="T40" s="33" t="n"/>
      <c r="U40" s="36" t="n">
        <v>0</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0">
        <f>L41</f>
        <v/>
      </c>
      <c r="N41" s="31">
        <f>IFERROR(M41/K41,0)</f>
        <v/>
      </c>
      <c r="O41" s="31" t="n">
        <v>0</v>
      </c>
      <c r="P41" s="31">
        <f>N41-O41</f>
        <v/>
      </c>
      <c r="Q41" s="32" t="n"/>
      <c r="R41" s="32" t="n"/>
      <c r="S41" s="32" t="n"/>
      <c r="T41" s="33" t="n"/>
      <c r="U41" s="31" t="n">
        <v>0</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35">
        <f>L42</f>
        <v/>
      </c>
      <c r="N42" s="36">
        <f>IFERROR(M42/K42,0)</f>
        <v/>
      </c>
      <c r="O42" s="36" t="n">
        <v>0</v>
      </c>
      <c r="P42" s="36">
        <f>N42-O42</f>
        <v/>
      </c>
      <c r="Q42" s="32" t="n"/>
      <c r="R42" s="32" t="n"/>
      <c r="S42" s="32" t="n"/>
      <c r="T42" s="33" t="n"/>
      <c r="U42" s="36" t="n">
        <v>0</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0">
        <f>L43</f>
        <v/>
      </c>
      <c r="N43" s="31">
        <f>IFERROR(M43/K43,0)</f>
        <v/>
      </c>
      <c r="O43" s="31" t="n">
        <v>0</v>
      </c>
      <c r="P43" s="31">
        <f>N43-O43</f>
        <v/>
      </c>
      <c r="Q43" s="32" t="n"/>
      <c r="R43" s="32" t="n"/>
      <c r="S43" s="32" t="n"/>
      <c r="T43" s="33" t="n"/>
      <c r="U43" s="31" t="n">
        <v>0</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35">
        <f>L44</f>
        <v/>
      </c>
      <c r="N44" s="36">
        <f>IFERROR(M44/K44,0)</f>
        <v/>
      </c>
      <c r="O44" s="36" t="n">
        <v>0</v>
      </c>
      <c r="P44" s="36">
        <f>N44-O44</f>
        <v/>
      </c>
      <c r="Q44" s="32" t="n"/>
      <c r="R44" s="32" t="n"/>
      <c r="S44" s="32" t="n"/>
      <c r="T44" s="33" t="n"/>
      <c r="U44" s="36" t="n">
        <v>0</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0">
        <f>L45</f>
        <v/>
      </c>
      <c r="N45" s="31">
        <f>IFERROR(M45/K45,0)</f>
        <v/>
      </c>
      <c r="O45" s="31" t="n">
        <v>0</v>
      </c>
      <c r="P45" s="31">
        <f>N45-O45</f>
        <v/>
      </c>
      <c r="Q45" s="32" t="n"/>
      <c r="R45" s="32" t="n"/>
      <c r="S45" s="32" t="n"/>
      <c r="T45" s="33" t="n"/>
      <c r="U45" s="31" t="n">
        <v>0</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35">
        <f>L46</f>
        <v/>
      </c>
      <c r="N46" s="36">
        <f>IFERROR(M46/K46,0)</f>
        <v/>
      </c>
      <c r="O46" s="36" t="n">
        <v>0</v>
      </c>
      <c r="P46" s="36">
        <f>N46-O46</f>
        <v/>
      </c>
      <c r="Q46" s="32" t="n"/>
      <c r="R46" s="32" t="n"/>
      <c r="S46" s="32" t="n"/>
      <c r="T46" s="33" t="n"/>
      <c r="U46" s="36" t="n">
        <v>0</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0">
        <f>L47</f>
        <v/>
      </c>
      <c r="N47" s="31">
        <f>IFERROR(M47/K47,0)</f>
        <v/>
      </c>
      <c r="O47" s="31" t="n">
        <v>0</v>
      </c>
      <c r="P47" s="31">
        <f>N47-O47</f>
        <v/>
      </c>
      <c r="Q47" s="32" t="n"/>
      <c r="R47" s="32" t="n"/>
      <c r="S47" s="32" t="n"/>
      <c r="T47" s="33" t="n"/>
      <c r="U47" s="31" t="n">
        <v>0</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35">
        <f>L48</f>
        <v/>
      </c>
      <c r="N48" s="36">
        <f>IFERROR(M48/K48,0)</f>
        <v/>
      </c>
      <c r="O48" s="36" t="n">
        <v>0</v>
      </c>
      <c r="P48" s="36">
        <f>N48-O48</f>
        <v/>
      </c>
      <c r="Q48" s="32" t="n"/>
      <c r="R48" s="32" t="n"/>
      <c r="S48" s="32" t="n"/>
      <c r="T48" s="33" t="n"/>
      <c r="U48" s="36" t="n">
        <v>0</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0">
        <f>L49</f>
        <v/>
      </c>
      <c r="N49" s="31">
        <f>IFERROR(M49/K49,0)</f>
        <v/>
      </c>
      <c r="O49" s="31" t="n">
        <v>0</v>
      </c>
      <c r="P49" s="31">
        <f>N49-O49</f>
        <v/>
      </c>
      <c r="Q49" s="32" t="n"/>
      <c r="R49" s="32" t="n"/>
      <c r="S49" s="32" t="n"/>
      <c r="T49" s="33" t="n"/>
      <c r="U49" s="31" t="n">
        <v>0</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35">
        <f>L50</f>
        <v/>
      </c>
      <c r="N50" s="36">
        <f>IFERROR(M50/K50,0)</f>
        <v/>
      </c>
      <c r="O50" s="36" t="n">
        <v>0</v>
      </c>
      <c r="P50" s="36">
        <f>N50-O50</f>
        <v/>
      </c>
      <c r="Q50" s="32" t="n"/>
      <c r="R50" s="32" t="n"/>
      <c r="S50" s="32" t="n"/>
      <c r="T50" s="33" t="n"/>
      <c r="U50" s="36" t="n">
        <v>0</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0">
        <f>L51</f>
        <v/>
      </c>
      <c r="N51" s="31">
        <f>IFERROR(M51/K51,0)</f>
        <v/>
      </c>
      <c r="O51" s="31" t="n">
        <v>0</v>
      </c>
      <c r="P51" s="31">
        <f>N51-O51</f>
        <v/>
      </c>
      <c r="Q51" s="32" t="n"/>
      <c r="R51" s="32" t="n"/>
      <c r="S51" s="32" t="n"/>
      <c r="T51" s="33" t="n"/>
      <c r="U51" s="31" t="n">
        <v>0</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35">
        <f>L52</f>
        <v/>
      </c>
      <c r="N52" s="36">
        <f>IFERROR(M52/K52,0)</f>
        <v/>
      </c>
      <c r="O52" s="36" t="n">
        <v>0</v>
      </c>
      <c r="P52" s="36">
        <f>N52-O52</f>
        <v/>
      </c>
      <c r="Q52" s="32" t="n"/>
      <c r="R52" s="32" t="n"/>
      <c r="S52" s="32" t="n"/>
      <c r="T52" s="33" t="n"/>
      <c r="U52" s="36" t="n">
        <v>0</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0">
        <f>L53</f>
        <v/>
      </c>
      <c r="N53" s="31">
        <f>IFERROR(M53/K53,0)</f>
        <v/>
      </c>
      <c r="O53" s="31" t="n">
        <v>0</v>
      </c>
      <c r="P53" s="31">
        <f>N53-O53</f>
        <v/>
      </c>
      <c r="Q53" s="32" t="n"/>
      <c r="R53" s="32" t="n"/>
      <c r="S53" s="32" t="n"/>
      <c r="T53" s="33" t="n"/>
      <c r="U53" s="31" t="n">
        <v>0</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35">
        <f>L54</f>
        <v/>
      </c>
      <c r="N54" s="36">
        <f>IFERROR(M54/K54,0)</f>
        <v/>
      </c>
      <c r="O54" s="36" t="n">
        <v>0</v>
      </c>
      <c r="P54" s="36">
        <f>N54-O54</f>
        <v/>
      </c>
      <c r="Q54" s="32" t="n"/>
      <c r="R54" s="32" t="n"/>
      <c r="S54" s="32" t="n"/>
      <c r="T54" s="33" t="n"/>
      <c r="U54" s="36" t="n">
        <v>0</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0">
        <f>L55</f>
        <v/>
      </c>
      <c r="N55" s="31">
        <f>IFERROR(M55/K55,0)</f>
        <v/>
      </c>
      <c r="O55" s="31" t="n">
        <v>0</v>
      </c>
      <c r="P55" s="31">
        <f>N55-O55</f>
        <v/>
      </c>
      <c r="Q55" s="32" t="n"/>
      <c r="R55" s="32" t="n"/>
      <c r="S55" s="32" t="n"/>
      <c r="T55" s="33" t="n"/>
      <c r="U55" s="31" t="n">
        <v>0</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35">
        <f>L56</f>
        <v/>
      </c>
      <c r="N56" s="36">
        <f>IFERROR(M56/K56,0)</f>
        <v/>
      </c>
      <c r="O56" s="36" t="n">
        <v>0</v>
      </c>
      <c r="P56" s="36">
        <f>N56-O56</f>
        <v/>
      </c>
      <c r="Q56" s="32" t="n"/>
      <c r="R56" s="32" t="n"/>
      <c r="S56" s="32" t="n"/>
      <c r="T56" s="33" t="n"/>
      <c r="U56" s="36" t="n">
        <v>0</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0">
        <f>L57</f>
        <v/>
      </c>
      <c r="N57" s="31">
        <f>IFERROR(M57/K57,0)</f>
        <v/>
      </c>
      <c r="O57" s="31" t="n">
        <v>0</v>
      </c>
      <c r="P57" s="31">
        <f>N57-O57</f>
        <v/>
      </c>
      <c r="Q57" s="32" t="n"/>
      <c r="R57" s="32" t="n"/>
      <c r="S57" s="32" t="n"/>
      <c r="T57" s="33" t="n"/>
      <c r="U57" s="31" t="n">
        <v>0</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35">
        <f>L58</f>
        <v/>
      </c>
      <c r="N58" s="36">
        <f>IFERROR(M58/K58,0)</f>
        <v/>
      </c>
      <c r="O58" s="36" t="n">
        <v>0</v>
      </c>
      <c r="P58" s="36">
        <f>N58-O58</f>
        <v/>
      </c>
      <c r="Q58" s="32" t="n"/>
      <c r="R58" s="32" t="n"/>
      <c r="S58" s="32" t="n"/>
      <c r="T58" s="33" t="n"/>
      <c r="U58" s="36" t="n">
        <v>0</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0">
        <f>L59</f>
        <v/>
      </c>
      <c r="N59" s="31">
        <f>IFERROR(M59/K59,0)</f>
        <v/>
      </c>
      <c r="O59" s="31" t="n">
        <v>0</v>
      </c>
      <c r="P59" s="31">
        <f>N59-O59</f>
        <v/>
      </c>
      <c r="Q59" s="32" t="n"/>
      <c r="R59" s="32" t="n"/>
      <c r="S59" s="32" t="n"/>
      <c r="T59" s="33" t="n"/>
      <c r="U59" s="31" t="n">
        <v>0</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35">
        <f>L60</f>
        <v/>
      </c>
      <c r="N60" s="36">
        <f>IFERROR(M60/K60,0)</f>
        <v/>
      </c>
      <c r="O60" s="36" t="n">
        <v>0</v>
      </c>
      <c r="P60" s="36">
        <f>N60-O60</f>
        <v/>
      </c>
      <c r="Q60" s="32" t="n"/>
      <c r="R60" s="32" t="n"/>
      <c r="S60" s="32" t="n"/>
      <c r="T60" s="33" t="n"/>
      <c r="U60" s="36" t="n">
        <v>0</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0">
        <f>L61</f>
        <v/>
      </c>
      <c r="N61" s="31">
        <f>IFERROR(M61/K61,0)</f>
        <v/>
      </c>
      <c r="O61" s="31" t="n">
        <v>0</v>
      </c>
      <c r="P61" s="31">
        <f>N61-O61</f>
        <v/>
      </c>
      <c r="Q61" s="32" t="n"/>
      <c r="R61" s="32" t="n"/>
      <c r="S61" s="32" t="n"/>
      <c r="T61" s="33" t="n"/>
      <c r="U61" s="31" t="n">
        <v>0</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35">
        <f>L62</f>
        <v/>
      </c>
      <c r="N62" s="36">
        <f>IFERROR(M62/K62,0)</f>
        <v/>
      </c>
      <c r="O62" s="36" t="n">
        <v>0</v>
      </c>
      <c r="P62" s="36">
        <f>N62-O62</f>
        <v/>
      </c>
      <c r="Q62" s="32" t="n"/>
      <c r="R62" s="32" t="n"/>
      <c r="S62" s="32" t="n"/>
      <c r="T62" s="33" t="n"/>
      <c r="U62" s="36" t="n">
        <v>0</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0">
        <f>L63</f>
        <v/>
      </c>
      <c r="N63" s="31">
        <f>IFERROR(M63/K63,0)</f>
        <v/>
      </c>
      <c r="O63" s="31" t="n">
        <v>0</v>
      </c>
      <c r="P63" s="31">
        <f>N63-O63</f>
        <v/>
      </c>
      <c r="Q63" s="32" t="n"/>
      <c r="R63" s="32" t="n"/>
      <c r="S63" s="32" t="n"/>
      <c r="T63" s="33" t="n"/>
      <c r="U63" s="31" t="n">
        <v>0</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35">
        <f>L64</f>
        <v/>
      </c>
      <c r="N64" s="36">
        <f>IFERROR(M64/K64,0)</f>
        <v/>
      </c>
      <c r="O64" s="36" t="n">
        <v>0</v>
      </c>
      <c r="P64" s="36">
        <f>N64-O64</f>
        <v/>
      </c>
      <c r="Q64" s="32" t="n"/>
      <c r="R64" s="32" t="n"/>
      <c r="S64" s="32" t="n"/>
      <c r="T64" s="33" t="n"/>
      <c r="U64" s="36" t="n">
        <v>0</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0">
        <f>L65</f>
        <v/>
      </c>
      <c r="N65" s="31">
        <f>IFERROR(M65/K65,0)</f>
        <v/>
      </c>
      <c r="O65" s="31" t="n">
        <v>0</v>
      </c>
      <c r="P65" s="31">
        <f>N65-O65</f>
        <v/>
      </c>
      <c r="Q65" s="32" t="n"/>
      <c r="R65" s="32" t="n"/>
      <c r="S65" s="32" t="n"/>
      <c r="T65" s="33" t="n"/>
      <c r="U65" s="31" t="n">
        <v>0</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35">
        <f>L66</f>
        <v/>
      </c>
      <c r="N66" s="36">
        <f>IFERROR(M66/K66,0)</f>
        <v/>
      </c>
      <c r="O66" s="36" t="n">
        <v>0</v>
      </c>
      <c r="P66" s="36">
        <f>N66-O66</f>
        <v/>
      </c>
      <c r="Q66" s="32" t="n"/>
      <c r="R66" s="32" t="n"/>
      <c r="S66" s="32" t="n"/>
      <c r="T66" s="33" t="n"/>
      <c r="U66" s="36" t="n">
        <v>0</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0">
        <f>L67</f>
        <v/>
      </c>
      <c r="N67" s="31">
        <f>IFERROR(M67/K67,0)</f>
        <v/>
      </c>
      <c r="O67" s="31" t="n">
        <v>0</v>
      </c>
      <c r="P67" s="31">
        <f>N67-O67</f>
        <v/>
      </c>
      <c r="Q67" s="32" t="n"/>
      <c r="R67" s="32" t="n"/>
      <c r="S67" s="32" t="n"/>
      <c r="T67" s="33" t="n"/>
      <c r="U67" s="31" t="n">
        <v>0</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35">
        <f>L68</f>
        <v/>
      </c>
      <c r="N68" s="36">
        <f>IFERROR(M68/K68,0)</f>
        <v/>
      </c>
      <c r="O68" s="36" t="n">
        <v>0</v>
      </c>
      <c r="P68" s="36">
        <f>N68-O68</f>
        <v/>
      </c>
      <c r="Q68" s="32" t="n"/>
      <c r="R68" s="32" t="n"/>
      <c r="S68" s="32" t="n"/>
      <c r="T68" s="33" t="n"/>
      <c r="U68" s="36" t="n">
        <v>0</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0">
        <f>L69</f>
        <v/>
      </c>
      <c r="N69" s="31">
        <f>IFERROR(M69/K69,0)</f>
        <v/>
      </c>
      <c r="O69" s="31" t="n">
        <v>0</v>
      </c>
      <c r="P69" s="31">
        <f>N69-O69</f>
        <v/>
      </c>
      <c r="Q69" s="32" t="n"/>
      <c r="R69" s="32" t="n"/>
      <c r="S69" s="32" t="n"/>
      <c r="T69" s="33" t="n"/>
      <c r="U69" s="31" t="n">
        <v>0</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35">
        <f>L70</f>
        <v/>
      </c>
      <c r="N70" s="36">
        <f>IFERROR(M70/K70,0)</f>
        <v/>
      </c>
      <c r="O70" s="36" t="n">
        <v>0</v>
      </c>
      <c r="P70" s="36">
        <f>N70-O70</f>
        <v/>
      </c>
      <c r="Q70" s="32" t="n"/>
      <c r="R70" s="32" t="n"/>
      <c r="S70" s="32" t="n"/>
      <c r="T70" s="33" t="n"/>
      <c r="U70" s="36" t="n">
        <v>0</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0">
        <f>L71</f>
        <v/>
      </c>
      <c r="N71" s="31">
        <f>IFERROR(M71/K71,0)</f>
        <v/>
      </c>
      <c r="O71" s="31" t="n">
        <v>0</v>
      </c>
      <c r="P71" s="31">
        <f>N71-O71</f>
        <v/>
      </c>
      <c r="Q71" s="32" t="n"/>
      <c r="R71" s="32" t="n"/>
      <c r="S71" s="32" t="n"/>
      <c r="T71" s="33" t="n"/>
      <c r="U71" s="31" t="n">
        <v>0</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35">
        <f>L72</f>
        <v/>
      </c>
      <c r="N72" s="36">
        <f>IFERROR(M72/K72,0)</f>
        <v/>
      </c>
      <c r="O72" s="36" t="n">
        <v>0</v>
      </c>
      <c r="P72" s="36">
        <f>N72-O72</f>
        <v/>
      </c>
      <c r="Q72" s="32" t="n"/>
      <c r="R72" s="32" t="n"/>
      <c r="S72" s="32" t="n"/>
      <c r="T72" s="33" t="n"/>
      <c r="U72" s="36" t="n">
        <v>0</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0">
        <f>L73</f>
        <v/>
      </c>
      <c r="N73" s="31">
        <f>IFERROR(M73/K73,0)</f>
        <v/>
      </c>
      <c r="O73" s="31" t="n">
        <v>0</v>
      </c>
      <c r="P73" s="31">
        <f>N73-O73</f>
        <v/>
      </c>
      <c r="Q73" s="32" t="n"/>
      <c r="R73" s="32" t="n"/>
      <c r="S73" s="32" t="n"/>
      <c r="T73" s="33" t="n"/>
      <c r="U73" s="31" t="n">
        <v>0</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35">
        <f>L74</f>
        <v/>
      </c>
      <c r="N74" s="36">
        <f>IFERROR(M74/K74,0)</f>
        <v/>
      </c>
      <c r="O74" s="36" t="n">
        <v>0</v>
      </c>
      <c r="P74" s="36">
        <f>N74-O74</f>
        <v/>
      </c>
      <c r="Q74" s="32" t="n"/>
      <c r="R74" s="32" t="n"/>
      <c r="S74" s="32" t="n"/>
      <c r="T74" s="33" t="n"/>
      <c r="U74" s="36" t="n">
        <v>0</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0">
        <f>L75</f>
        <v/>
      </c>
      <c r="N75" s="31">
        <f>IFERROR(M75/K75,0)</f>
        <v/>
      </c>
      <c r="O75" s="31" t="n">
        <v>0</v>
      </c>
      <c r="P75" s="31">
        <f>N75-O75</f>
        <v/>
      </c>
      <c r="Q75" s="32" t="n"/>
      <c r="R75" s="32" t="n"/>
      <c r="S75" s="32" t="n"/>
      <c r="T75" s="33" t="n"/>
      <c r="U75" s="31" t="n">
        <v>0</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35">
        <f>L76</f>
        <v/>
      </c>
      <c r="N76" s="36">
        <f>IFERROR(M76/K76,0)</f>
        <v/>
      </c>
      <c r="O76" s="36" t="n">
        <v>0</v>
      </c>
      <c r="P76" s="36">
        <f>N76-O76</f>
        <v/>
      </c>
      <c r="Q76" s="32" t="n"/>
      <c r="R76" s="32" t="n"/>
      <c r="S76" s="32" t="n"/>
      <c r="T76" s="33" t="n"/>
      <c r="U76" s="36" t="n">
        <v>0</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2 (05/01 - 11/01) — Janvier 2026 - Exécution Physique et Financière</t>
        </is>
      </c>
    </row>
    <row r="3" ht="22" customHeight="1">
      <c r="B3" s="20" t="inlineStr">
        <is>
          <t>Date :</t>
        </is>
      </c>
      <c r="C3" s="21" t="n">
        <v>46027</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'S01'!M5+L5</f>
        <v/>
      </c>
      <c r="N5" s="31">
        <f>IFERROR(M5/K5,0)</f>
        <v/>
      </c>
      <c r="O5" s="40">
        <f>'S01'!N5</f>
        <v/>
      </c>
      <c r="P5" s="31">
        <f>N5-O5</f>
        <v/>
      </c>
      <c r="Q5" s="32" t="n"/>
      <c r="R5" s="32" t="n"/>
      <c r="S5" s="32" t="n"/>
      <c r="T5" s="33" t="n"/>
      <c r="U5" s="40">
        <f>'S01'!T5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'S01'!M6+L6</f>
        <v/>
      </c>
      <c r="N6" s="36">
        <f>IFERROR(M6/K6,0)</f>
        <v/>
      </c>
      <c r="O6" s="42">
        <f>'S01'!N6</f>
        <v/>
      </c>
      <c r="P6" s="36">
        <f>N6-O6</f>
        <v/>
      </c>
      <c r="Q6" s="32" t="n"/>
      <c r="R6" s="32" t="n"/>
      <c r="S6" s="32" t="n"/>
      <c r="T6" s="33" t="n"/>
      <c r="U6" s="42">
        <f>'S01'!T6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'S01'!M7+L7</f>
        <v/>
      </c>
      <c r="N7" s="31">
        <f>IFERROR(M7/K7,0)</f>
        <v/>
      </c>
      <c r="O7" s="40">
        <f>'S01'!N7</f>
        <v/>
      </c>
      <c r="P7" s="31">
        <f>N7-O7</f>
        <v/>
      </c>
      <c r="Q7" s="32" t="n"/>
      <c r="R7" s="32" t="n"/>
      <c r="S7" s="32" t="n"/>
      <c r="T7" s="33" t="n"/>
      <c r="U7" s="40">
        <f>'S01'!T7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'S01'!M8+L8</f>
        <v/>
      </c>
      <c r="N8" s="36">
        <f>IFERROR(M8/K8,0)</f>
        <v/>
      </c>
      <c r="O8" s="42">
        <f>'S01'!N8</f>
        <v/>
      </c>
      <c r="P8" s="36">
        <f>N8-O8</f>
        <v/>
      </c>
      <c r="Q8" s="32" t="n"/>
      <c r="R8" s="32" t="n"/>
      <c r="S8" s="32" t="n"/>
      <c r="T8" s="33" t="n"/>
      <c r="U8" s="42">
        <f>'S01'!T8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'S01'!M9+L9</f>
        <v/>
      </c>
      <c r="N9" s="31">
        <f>IFERROR(M9/K9,0)</f>
        <v/>
      </c>
      <c r="O9" s="40">
        <f>'S01'!N9</f>
        <v/>
      </c>
      <c r="P9" s="31">
        <f>N9-O9</f>
        <v/>
      </c>
      <c r="Q9" s="32" t="n"/>
      <c r="R9" s="32" t="n"/>
      <c r="S9" s="32" t="n"/>
      <c r="T9" s="33" t="n"/>
      <c r="U9" s="40">
        <f>'S01'!T9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'S01'!M10+L10</f>
        <v/>
      </c>
      <c r="N10" s="36">
        <f>IFERROR(M10/K10,0)</f>
        <v/>
      </c>
      <c r="O10" s="42">
        <f>'S01'!N10</f>
        <v/>
      </c>
      <c r="P10" s="36">
        <f>N10-O10</f>
        <v/>
      </c>
      <c r="Q10" s="32" t="n"/>
      <c r="R10" s="32" t="n"/>
      <c r="S10" s="32" t="n"/>
      <c r="T10" s="33" t="n"/>
      <c r="U10" s="42">
        <f>'S01'!T10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'S01'!M11+L11</f>
        <v/>
      </c>
      <c r="N11" s="31">
        <f>IFERROR(M11/K11,0)</f>
        <v/>
      </c>
      <c r="O11" s="40">
        <f>'S01'!N11</f>
        <v/>
      </c>
      <c r="P11" s="31">
        <f>N11-O11</f>
        <v/>
      </c>
      <c r="Q11" s="32" t="n"/>
      <c r="R11" s="32" t="n"/>
      <c r="S11" s="32" t="n"/>
      <c r="T11" s="33" t="n"/>
      <c r="U11" s="40">
        <f>'S01'!T11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'S01'!M12+L12</f>
        <v/>
      </c>
      <c r="N12" s="36">
        <f>IFERROR(M12/K12,0)</f>
        <v/>
      </c>
      <c r="O12" s="42">
        <f>'S01'!N12</f>
        <v/>
      </c>
      <c r="P12" s="36">
        <f>N12-O12</f>
        <v/>
      </c>
      <c r="Q12" s="32" t="n"/>
      <c r="R12" s="32" t="n"/>
      <c r="S12" s="32" t="n"/>
      <c r="T12" s="33" t="n"/>
      <c r="U12" s="42">
        <f>'S01'!T12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'S01'!M13+L13</f>
        <v/>
      </c>
      <c r="N13" s="31">
        <f>IFERROR(M13/K13,0)</f>
        <v/>
      </c>
      <c r="O13" s="40">
        <f>'S01'!N13</f>
        <v/>
      </c>
      <c r="P13" s="31">
        <f>N13-O13</f>
        <v/>
      </c>
      <c r="Q13" s="32" t="n"/>
      <c r="R13" s="32" t="n"/>
      <c r="S13" s="32" t="n"/>
      <c r="T13" s="33" t="n"/>
      <c r="U13" s="40">
        <f>'S01'!T13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'S01'!M14+L14</f>
        <v/>
      </c>
      <c r="N14" s="36">
        <f>IFERROR(M14/K14,0)</f>
        <v/>
      </c>
      <c r="O14" s="42">
        <f>'S01'!N14</f>
        <v/>
      </c>
      <c r="P14" s="36">
        <f>N14-O14</f>
        <v/>
      </c>
      <c r="Q14" s="32" t="n"/>
      <c r="R14" s="32" t="n"/>
      <c r="S14" s="32" t="n"/>
      <c r="T14" s="33" t="n"/>
      <c r="U14" s="42">
        <f>'S01'!T14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'S01'!M15+L15</f>
        <v/>
      </c>
      <c r="N15" s="31">
        <f>IFERROR(M15/K15,0)</f>
        <v/>
      </c>
      <c r="O15" s="40">
        <f>'S01'!N15</f>
        <v/>
      </c>
      <c r="P15" s="31">
        <f>N15-O15</f>
        <v/>
      </c>
      <c r="Q15" s="32" t="n"/>
      <c r="R15" s="32" t="n"/>
      <c r="S15" s="32" t="n"/>
      <c r="T15" s="33" t="n"/>
      <c r="U15" s="40">
        <f>'S01'!T15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'S01'!M16+L16</f>
        <v/>
      </c>
      <c r="N16" s="36">
        <f>IFERROR(M16/K16,0)</f>
        <v/>
      </c>
      <c r="O16" s="42">
        <f>'S01'!N16</f>
        <v/>
      </c>
      <c r="P16" s="36">
        <f>N16-O16</f>
        <v/>
      </c>
      <c r="Q16" s="32" t="n"/>
      <c r="R16" s="32" t="n"/>
      <c r="S16" s="32" t="n"/>
      <c r="T16" s="33" t="n"/>
      <c r="U16" s="42">
        <f>'S01'!T16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'S01'!M17+L17</f>
        <v/>
      </c>
      <c r="N17" s="31">
        <f>IFERROR(M17/K17,0)</f>
        <v/>
      </c>
      <c r="O17" s="40">
        <f>'S01'!N17</f>
        <v/>
      </c>
      <c r="P17" s="31">
        <f>N17-O17</f>
        <v/>
      </c>
      <c r="Q17" s="32" t="n"/>
      <c r="R17" s="32" t="n"/>
      <c r="S17" s="32" t="n"/>
      <c r="T17" s="33" t="n"/>
      <c r="U17" s="40">
        <f>'S01'!T17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'S01'!M18+L18</f>
        <v/>
      </c>
      <c r="N18" s="36">
        <f>IFERROR(M18/K18,0)</f>
        <v/>
      </c>
      <c r="O18" s="42">
        <f>'S01'!N18</f>
        <v/>
      </c>
      <c r="P18" s="36">
        <f>N18-O18</f>
        <v/>
      </c>
      <c r="Q18" s="32" t="n"/>
      <c r="R18" s="32" t="n"/>
      <c r="S18" s="32" t="n"/>
      <c r="T18" s="33" t="n"/>
      <c r="U18" s="42">
        <f>'S01'!T18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'S01'!M19+L19</f>
        <v/>
      </c>
      <c r="N19" s="31">
        <f>IFERROR(M19/K19,0)</f>
        <v/>
      </c>
      <c r="O19" s="40">
        <f>'S01'!N19</f>
        <v/>
      </c>
      <c r="P19" s="31">
        <f>N19-O19</f>
        <v/>
      </c>
      <c r="Q19" s="32" t="n"/>
      <c r="R19" s="32" t="n"/>
      <c r="S19" s="32" t="n"/>
      <c r="T19" s="33" t="n"/>
      <c r="U19" s="40">
        <f>'S01'!T19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'S01'!M20+L20</f>
        <v/>
      </c>
      <c r="N20" s="36">
        <f>IFERROR(M20/K20,0)</f>
        <v/>
      </c>
      <c r="O20" s="42">
        <f>'S01'!N20</f>
        <v/>
      </c>
      <c r="P20" s="36">
        <f>N20-O20</f>
        <v/>
      </c>
      <c r="Q20" s="32" t="n"/>
      <c r="R20" s="32" t="n"/>
      <c r="S20" s="32" t="n"/>
      <c r="T20" s="33" t="n"/>
      <c r="U20" s="42">
        <f>'S01'!T20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'S01'!M21+L21</f>
        <v/>
      </c>
      <c r="N21" s="31">
        <f>IFERROR(M21/K21,0)</f>
        <v/>
      </c>
      <c r="O21" s="40">
        <f>'S01'!N21</f>
        <v/>
      </c>
      <c r="P21" s="31">
        <f>N21-O21</f>
        <v/>
      </c>
      <c r="Q21" s="32" t="n"/>
      <c r="R21" s="32" t="n"/>
      <c r="S21" s="32" t="n"/>
      <c r="T21" s="33" t="n"/>
      <c r="U21" s="40">
        <f>'S01'!T21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'S01'!M22+L22</f>
        <v/>
      </c>
      <c r="N22" s="36">
        <f>IFERROR(M22/K22,0)</f>
        <v/>
      </c>
      <c r="O22" s="42">
        <f>'S01'!N22</f>
        <v/>
      </c>
      <c r="P22" s="36">
        <f>N22-O22</f>
        <v/>
      </c>
      <c r="Q22" s="32" t="n"/>
      <c r="R22" s="32" t="n"/>
      <c r="S22" s="32" t="n"/>
      <c r="T22" s="33" t="n"/>
      <c r="U22" s="42">
        <f>'S01'!T22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'S01'!M23+L23</f>
        <v/>
      </c>
      <c r="N23" s="31">
        <f>IFERROR(M23/K23,0)</f>
        <v/>
      </c>
      <c r="O23" s="40">
        <f>'S01'!N23</f>
        <v/>
      </c>
      <c r="P23" s="31">
        <f>N23-O23</f>
        <v/>
      </c>
      <c r="Q23" s="32" t="n"/>
      <c r="R23" s="32" t="n"/>
      <c r="S23" s="32" t="n"/>
      <c r="T23" s="33" t="n"/>
      <c r="U23" s="40">
        <f>'S01'!T23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'S01'!M24+L24</f>
        <v/>
      </c>
      <c r="N24" s="36">
        <f>IFERROR(M24/K24,0)</f>
        <v/>
      </c>
      <c r="O24" s="42">
        <f>'S01'!N24</f>
        <v/>
      </c>
      <c r="P24" s="36">
        <f>N24-O24</f>
        <v/>
      </c>
      <c r="Q24" s="32" t="n"/>
      <c r="R24" s="32" t="n"/>
      <c r="S24" s="32" t="n"/>
      <c r="T24" s="33" t="n"/>
      <c r="U24" s="42">
        <f>'S01'!T24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'S01'!M25+L25</f>
        <v/>
      </c>
      <c r="N25" s="31">
        <f>IFERROR(M25/K25,0)</f>
        <v/>
      </c>
      <c r="O25" s="40">
        <f>'S01'!N25</f>
        <v/>
      </c>
      <c r="P25" s="31">
        <f>N25-O25</f>
        <v/>
      </c>
      <c r="Q25" s="32" t="n"/>
      <c r="R25" s="32" t="n"/>
      <c r="S25" s="32" t="n"/>
      <c r="T25" s="33" t="n"/>
      <c r="U25" s="40">
        <f>'S01'!T25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'S01'!M26+L26</f>
        <v/>
      </c>
      <c r="N26" s="36">
        <f>IFERROR(M26/K26,0)</f>
        <v/>
      </c>
      <c r="O26" s="42">
        <f>'S01'!N26</f>
        <v/>
      </c>
      <c r="P26" s="36">
        <f>N26-O26</f>
        <v/>
      </c>
      <c r="Q26" s="32" t="n"/>
      <c r="R26" s="32" t="n"/>
      <c r="S26" s="32" t="n"/>
      <c r="T26" s="33" t="n"/>
      <c r="U26" s="42">
        <f>'S01'!T26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'S01'!M27+L27</f>
        <v/>
      </c>
      <c r="N27" s="31">
        <f>IFERROR(M27/K27,0)</f>
        <v/>
      </c>
      <c r="O27" s="40">
        <f>'S01'!N27</f>
        <v/>
      </c>
      <c r="P27" s="31">
        <f>N27-O27</f>
        <v/>
      </c>
      <c r="Q27" s="32" t="n"/>
      <c r="R27" s="32" t="n"/>
      <c r="S27" s="32" t="n"/>
      <c r="T27" s="33" t="n"/>
      <c r="U27" s="40">
        <f>'S01'!T27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'S01'!M28+L28</f>
        <v/>
      </c>
      <c r="N28" s="36">
        <f>IFERROR(M28/K28,0)</f>
        <v/>
      </c>
      <c r="O28" s="42">
        <f>'S01'!N28</f>
        <v/>
      </c>
      <c r="P28" s="36">
        <f>N28-O28</f>
        <v/>
      </c>
      <c r="Q28" s="32" t="n"/>
      <c r="R28" s="32" t="n"/>
      <c r="S28" s="32" t="n"/>
      <c r="T28" s="33" t="n"/>
      <c r="U28" s="42">
        <f>'S01'!T28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'S01'!M29+L29</f>
        <v/>
      </c>
      <c r="N29" s="31">
        <f>IFERROR(M29/K29,0)</f>
        <v/>
      </c>
      <c r="O29" s="40">
        <f>'S01'!N29</f>
        <v/>
      </c>
      <c r="P29" s="31">
        <f>N29-O29</f>
        <v/>
      </c>
      <c r="Q29" s="32" t="n"/>
      <c r="R29" s="32" t="n"/>
      <c r="S29" s="32" t="n"/>
      <c r="T29" s="33" t="n"/>
      <c r="U29" s="40">
        <f>'S01'!T29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'S01'!M30+L30</f>
        <v/>
      </c>
      <c r="N30" s="36">
        <f>IFERROR(M30/K30,0)</f>
        <v/>
      </c>
      <c r="O30" s="42">
        <f>'S01'!N30</f>
        <v/>
      </c>
      <c r="P30" s="36">
        <f>N30-O30</f>
        <v/>
      </c>
      <c r="Q30" s="32" t="n"/>
      <c r="R30" s="32" t="n"/>
      <c r="S30" s="32" t="n"/>
      <c r="T30" s="33" t="n"/>
      <c r="U30" s="42">
        <f>'S01'!T30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'S01'!M31+L31</f>
        <v/>
      </c>
      <c r="N31" s="31">
        <f>IFERROR(M31/K31,0)</f>
        <v/>
      </c>
      <c r="O31" s="40">
        <f>'S01'!N31</f>
        <v/>
      </c>
      <c r="P31" s="31">
        <f>N31-O31</f>
        <v/>
      </c>
      <c r="Q31" s="32" t="n"/>
      <c r="R31" s="32" t="n"/>
      <c r="S31" s="32" t="n"/>
      <c r="T31" s="33" t="n"/>
      <c r="U31" s="40">
        <f>'S01'!T31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'S01'!M32+L32</f>
        <v/>
      </c>
      <c r="N32" s="36">
        <f>IFERROR(M32/K32,0)</f>
        <v/>
      </c>
      <c r="O32" s="42">
        <f>'S01'!N32</f>
        <v/>
      </c>
      <c r="P32" s="36">
        <f>N32-O32</f>
        <v/>
      </c>
      <c r="Q32" s="32" t="n"/>
      <c r="R32" s="32" t="n"/>
      <c r="S32" s="32" t="n"/>
      <c r="T32" s="33" t="n"/>
      <c r="U32" s="42">
        <f>'S01'!T32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'S01'!M33+L33</f>
        <v/>
      </c>
      <c r="N33" s="31">
        <f>IFERROR(M33/K33,0)</f>
        <v/>
      </c>
      <c r="O33" s="40">
        <f>'S01'!N33</f>
        <v/>
      </c>
      <c r="P33" s="31">
        <f>N33-O33</f>
        <v/>
      </c>
      <c r="Q33" s="32" t="n"/>
      <c r="R33" s="32" t="n"/>
      <c r="S33" s="32" t="n"/>
      <c r="T33" s="33" t="n"/>
      <c r="U33" s="40">
        <f>'S01'!T33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'S01'!M34+L34</f>
        <v/>
      </c>
      <c r="N34" s="36">
        <f>IFERROR(M34/K34,0)</f>
        <v/>
      </c>
      <c r="O34" s="42">
        <f>'S01'!N34</f>
        <v/>
      </c>
      <c r="P34" s="36">
        <f>N34-O34</f>
        <v/>
      </c>
      <c r="Q34" s="32" t="n"/>
      <c r="R34" s="32" t="n"/>
      <c r="S34" s="32" t="n"/>
      <c r="T34" s="33" t="n"/>
      <c r="U34" s="42">
        <f>'S01'!T34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'S01'!M35+L35</f>
        <v/>
      </c>
      <c r="N35" s="31">
        <f>IFERROR(M35/K35,0)</f>
        <v/>
      </c>
      <c r="O35" s="40">
        <f>'S01'!N35</f>
        <v/>
      </c>
      <c r="P35" s="31">
        <f>N35-O35</f>
        <v/>
      </c>
      <c r="Q35" s="32" t="n"/>
      <c r="R35" s="32" t="n"/>
      <c r="S35" s="32" t="n"/>
      <c r="T35" s="33" t="n"/>
      <c r="U35" s="40">
        <f>'S01'!T35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'S01'!M36+L36</f>
        <v/>
      </c>
      <c r="N36" s="36">
        <f>IFERROR(M36/K36,0)</f>
        <v/>
      </c>
      <c r="O36" s="42">
        <f>'S01'!N36</f>
        <v/>
      </c>
      <c r="P36" s="36">
        <f>N36-O36</f>
        <v/>
      </c>
      <c r="Q36" s="32" t="n"/>
      <c r="R36" s="32" t="n"/>
      <c r="S36" s="32" t="n"/>
      <c r="T36" s="33" t="n"/>
      <c r="U36" s="42">
        <f>'S01'!T36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'S01'!M37+L37</f>
        <v/>
      </c>
      <c r="N37" s="31">
        <f>IFERROR(M37/K37,0)</f>
        <v/>
      </c>
      <c r="O37" s="40">
        <f>'S01'!N37</f>
        <v/>
      </c>
      <c r="P37" s="31">
        <f>N37-O37</f>
        <v/>
      </c>
      <c r="Q37" s="32" t="n"/>
      <c r="R37" s="32" t="n"/>
      <c r="S37" s="32" t="n"/>
      <c r="T37" s="33" t="n"/>
      <c r="U37" s="40">
        <f>'S01'!T37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'S01'!M38+L38</f>
        <v/>
      </c>
      <c r="N38" s="36">
        <f>IFERROR(M38/K38,0)</f>
        <v/>
      </c>
      <c r="O38" s="42">
        <f>'S01'!N38</f>
        <v/>
      </c>
      <c r="P38" s="36">
        <f>N38-O38</f>
        <v/>
      </c>
      <c r="Q38" s="32" t="n"/>
      <c r="R38" s="32" t="n"/>
      <c r="S38" s="32" t="n"/>
      <c r="T38" s="33" t="n"/>
      <c r="U38" s="42">
        <f>'S01'!T38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'S01'!M39+L39</f>
        <v/>
      </c>
      <c r="N39" s="31">
        <f>IFERROR(M39/K39,0)</f>
        <v/>
      </c>
      <c r="O39" s="40">
        <f>'S01'!N39</f>
        <v/>
      </c>
      <c r="P39" s="31">
        <f>N39-O39</f>
        <v/>
      </c>
      <c r="Q39" s="32" t="n"/>
      <c r="R39" s="32" t="n"/>
      <c r="S39" s="32" t="n"/>
      <c r="T39" s="33" t="n"/>
      <c r="U39" s="40">
        <f>'S01'!T39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'S01'!M40+L40</f>
        <v/>
      </c>
      <c r="N40" s="36">
        <f>IFERROR(M40/K40,0)</f>
        <v/>
      </c>
      <c r="O40" s="42">
        <f>'S01'!N40</f>
        <v/>
      </c>
      <c r="P40" s="36">
        <f>N40-O40</f>
        <v/>
      </c>
      <c r="Q40" s="32" t="n"/>
      <c r="R40" s="32" t="n"/>
      <c r="S40" s="32" t="n"/>
      <c r="T40" s="33" t="n"/>
      <c r="U40" s="42">
        <f>'S01'!T40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'S01'!M41+L41</f>
        <v/>
      </c>
      <c r="N41" s="31">
        <f>IFERROR(M41/K41,0)</f>
        <v/>
      </c>
      <c r="O41" s="40">
        <f>'S01'!N41</f>
        <v/>
      </c>
      <c r="P41" s="31">
        <f>N41-O41</f>
        <v/>
      </c>
      <c r="Q41" s="32" t="n"/>
      <c r="R41" s="32" t="n"/>
      <c r="S41" s="32" t="n"/>
      <c r="T41" s="33" t="n"/>
      <c r="U41" s="40">
        <f>'S01'!T41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'S01'!M42+L42</f>
        <v/>
      </c>
      <c r="N42" s="36">
        <f>IFERROR(M42/K42,0)</f>
        <v/>
      </c>
      <c r="O42" s="42">
        <f>'S01'!N42</f>
        <v/>
      </c>
      <c r="P42" s="36">
        <f>N42-O42</f>
        <v/>
      </c>
      <c r="Q42" s="32" t="n"/>
      <c r="R42" s="32" t="n"/>
      <c r="S42" s="32" t="n"/>
      <c r="T42" s="33" t="n"/>
      <c r="U42" s="42">
        <f>'S01'!T42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'S01'!M43+L43</f>
        <v/>
      </c>
      <c r="N43" s="31">
        <f>IFERROR(M43/K43,0)</f>
        <v/>
      </c>
      <c r="O43" s="40">
        <f>'S01'!N43</f>
        <v/>
      </c>
      <c r="P43" s="31">
        <f>N43-O43</f>
        <v/>
      </c>
      <c r="Q43" s="32" t="n"/>
      <c r="R43" s="32" t="n"/>
      <c r="S43" s="32" t="n"/>
      <c r="T43" s="33" t="n"/>
      <c r="U43" s="40">
        <f>'S01'!T43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'S01'!M44+L44</f>
        <v/>
      </c>
      <c r="N44" s="36">
        <f>IFERROR(M44/K44,0)</f>
        <v/>
      </c>
      <c r="O44" s="42">
        <f>'S01'!N44</f>
        <v/>
      </c>
      <c r="P44" s="36">
        <f>N44-O44</f>
        <v/>
      </c>
      <c r="Q44" s="32" t="n"/>
      <c r="R44" s="32" t="n"/>
      <c r="S44" s="32" t="n"/>
      <c r="T44" s="33" t="n"/>
      <c r="U44" s="42">
        <f>'S01'!T44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'S01'!M45+L45</f>
        <v/>
      </c>
      <c r="N45" s="31">
        <f>IFERROR(M45/K45,0)</f>
        <v/>
      </c>
      <c r="O45" s="40">
        <f>'S01'!N45</f>
        <v/>
      </c>
      <c r="P45" s="31">
        <f>N45-O45</f>
        <v/>
      </c>
      <c r="Q45" s="32" t="n"/>
      <c r="R45" s="32" t="n"/>
      <c r="S45" s="32" t="n"/>
      <c r="T45" s="33" t="n"/>
      <c r="U45" s="40">
        <f>'S01'!T45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'S01'!M46+L46</f>
        <v/>
      </c>
      <c r="N46" s="36">
        <f>IFERROR(M46/K46,0)</f>
        <v/>
      </c>
      <c r="O46" s="42">
        <f>'S01'!N46</f>
        <v/>
      </c>
      <c r="P46" s="36">
        <f>N46-O46</f>
        <v/>
      </c>
      <c r="Q46" s="32" t="n"/>
      <c r="R46" s="32" t="n"/>
      <c r="S46" s="32" t="n"/>
      <c r="T46" s="33" t="n"/>
      <c r="U46" s="42">
        <f>'S01'!T46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'S01'!M47+L47</f>
        <v/>
      </c>
      <c r="N47" s="31">
        <f>IFERROR(M47/K47,0)</f>
        <v/>
      </c>
      <c r="O47" s="40">
        <f>'S01'!N47</f>
        <v/>
      </c>
      <c r="P47" s="31">
        <f>N47-O47</f>
        <v/>
      </c>
      <c r="Q47" s="32" t="n"/>
      <c r="R47" s="32" t="n"/>
      <c r="S47" s="32" t="n"/>
      <c r="T47" s="33" t="n"/>
      <c r="U47" s="40">
        <f>'S01'!T47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'S01'!M48+L48</f>
        <v/>
      </c>
      <c r="N48" s="36">
        <f>IFERROR(M48/K48,0)</f>
        <v/>
      </c>
      <c r="O48" s="42">
        <f>'S01'!N48</f>
        <v/>
      </c>
      <c r="P48" s="36">
        <f>N48-O48</f>
        <v/>
      </c>
      <c r="Q48" s="32" t="n"/>
      <c r="R48" s="32" t="n"/>
      <c r="S48" s="32" t="n"/>
      <c r="T48" s="33" t="n"/>
      <c r="U48" s="42">
        <f>'S01'!T48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'S01'!M49+L49</f>
        <v/>
      </c>
      <c r="N49" s="31">
        <f>IFERROR(M49/K49,0)</f>
        <v/>
      </c>
      <c r="O49" s="40">
        <f>'S01'!N49</f>
        <v/>
      </c>
      <c r="P49" s="31">
        <f>N49-O49</f>
        <v/>
      </c>
      <c r="Q49" s="32" t="n"/>
      <c r="R49" s="32" t="n"/>
      <c r="S49" s="32" t="n"/>
      <c r="T49" s="33" t="n"/>
      <c r="U49" s="40">
        <f>'S01'!T49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'S01'!M50+L50</f>
        <v/>
      </c>
      <c r="N50" s="36">
        <f>IFERROR(M50/K50,0)</f>
        <v/>
      </c>
      <c r="O50" s="42">
        <f>'S01'!N50</f>
        <v/>
      </c>
      <c r="P50" s="36">
        <f>N50-O50</f>
        <v/>
      </c>
      <c r="Q50" s="32" t="n"/>
      <c r="R50" s="32" t="n"/>
      <c r="S50" s="32" t="n"/>
      <c r="T50" s="33" t="n"/>
      <c r="U50" s="42">
        <f>'S01'!T50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'S01'!M51+L51</f>
        <v/>
      </c>
      <c r="N51" s="31">
        <f>IFERROR(M51/K51,0)</f>
        <v/>
      </c>
      <c r="O51" s="40">
        <f>'S01'!N51</f>
        <v/>
      </c>
      <c r="P51" s="31">
        <f>N51-O51</f>
        <v/>
      </c>
      <c r="Q51" s="32" t="n"/>
      <c r="R51" s="32" t="n"/>
      <c r="S51" s="32" t="n"/>
      <c r="T51" s="33" t="n"/>
      <c r="U51" s="40">
        <f>'S01'!T51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'S01'!M52+L52</f>
        <v/>
      </c>
      <c r="N52" s="36">
        <f>IFERROR(M52/K52,0)</f>
        <v/>
      </c>
      <c r="O52" s="42">
        <f>'S01'!N52</f>
        <v/>
      </c>
      <c r="P52" s="36">
        <f>N52-O52</f>
        <v/>
      </c>
      <c r="Q52" s="32" t="n"/>
      <c r="R52" s="32" t="n"/>
      <c r="S52" s="32" t="n"/>
      <c r="T52" s="33" t="n"/>
      <c r="U52" s="42">
        <f>'S01'!T52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'S01'!M53+L53</f>
        <v/>
      </c>
      <c r="N53" s="31">
        <f>IFERROR(M53/K53,0)</f>
        <v/>
      </c>
      <c r="O53" s="40">
        <f>'S01'!N53</f>
        <v/>
      </c>
      <c r="P53" s="31">
        <f>N53-O53</f>
        <v/>
      </c>
      <c r="Q53" s="32" t="n"/>
      <c r="R53" s="32" t="n"/>
      <c r="S53" s="32" t="n"/>
      <c r="T53" s="33" t="n"/>
      <c r="U53" s="40">
        <f>'S01'!T53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'S01'!M54+L54</f>
        <v/>
      </c>
      <c r="N54" s="36">
        <f>IFERROR(M54/K54,0)</f>
        <v/>
      </c>
      <c r="O54" s="42">
        <f>'S01'!N54</f>
        <v/>
      </c>
      <c r="P54" s="36">
        <f>N54-O54</f>
        <v/>
      </c>
      <c r="Q54" s="32" t="n"/>
      <c r="R54" s="32" t="n"/>
      <c r="S54" s="32" t="n"/>
      <c r="T54" s="33" t="n"/>
      <c r="U54" s="42">
        <f>'S01'!T54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'S01'!M55+L55</f>
        <v/>
      </c>
      <c r="N55" s="31">
        <f>IFERROR(M55/K55,0)</f>
        <v/>
      </c>
      <c r="O55" s="40">
        <f>'S01'!N55</f>
        <v/>
      </c>
      <c r="P55" s="31">
        <f>N55-O55</f>
        <v/>
      </c>
      <c r="Q55" s="32" t="n"/>
      <c r="R55" s="32" t="n"/>
      <c r="S55" s="32" t="n"/>
      <c r="T55" s="33" t="n"/>
      <c r="U55" s="40">
        <f>'S01'!T55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'S01'!M56+L56</f>
        <v/>
      </c>
      <c r="N56" s="36">
        <f>IFERROR(M56/K56,0)</f>
        <v/>
      </c>
      <c r="O56" s="42">
        <f>'S01'!N56</f>
        <v/>
      </c>
      <c r="P56" s="36">
        <f>N56-O56</f>
        <v/>
      </c>
      <c r="Q56" s="32" t="n"/>
      <c r="R56" s="32" t="n"/>
      <c r="S56" s="32" t="n"/>
      <c r="T56" s="33" t="n"/>
      <c r="U56" s="42">
        <f>'S01'!T56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'S01'!M57+L57</f>
        <v/>
      </c>
      <c r="N57" s="31">
        <f>IFERROR(M57/K57,0)</f>
        <v/>
      </c>
      <c r="O57" s="40">
        <f>'S01'!N57</f>
        <v/>
      </c>
      <c r="P57" s="31">
        <f>N57-O57</f>
        <v/>
      </c>
      <c r="Q57" s="32" t="n"/>
      <c r="R57" s="32" t="n"/>
      <c r="S57" s="32" t="n"/>
      <c r="T57" s="33" t="n"/>
      <c r="U57" s="40">
        <f>'S01'!T57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'S01'!M58+L58</f>
        <v/>
      </c>
      <c r="N58" s="36">
        <f>IFERROR(M58/K58,0)</f>
        <v/>
      </c>
      <c r="O58" s="42">
        <f>'S01'!N58</f>
        <v/>
      </c>
      <c r="P58" s="36">
        <f>N58-O58</f>
        <v/>
      </c>
      <c r="Q58" s="32" t="n"/>
      <c r="R58" s="32" t="n"/>
      <c r="S58" s="32" t="n"/>
      <c r="T58" s="33" t="n"/>
      <c r="U58" s="42">
        <f>'S01'!T58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'S01'!M59+L59</f>
        <v/>
      </c>
      <c r="N59" s="31">
        <f>IFERROR(M59/K59,0)</f>
        <v/>
      </c>
      <c r="O59" s="40">
        <f>'S01'!N59</f>
        <v/>
      </c>
      <c r="P59" s="31">
        <f>N59-O59</f>
        <v/>
      </c>
      <c r="Q59" s="32" t="n"/>
      <c r="R59" s="32" t="n"/>
      <c r="S59" s="32" t="n"/>
      <c r="T59" s="33" t="n"/>
      <c r="U59" s="40">
        <f>'S01'!T59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'S01'!M60+L60</f>
        <v/>
      </c>
      <c r="N60" s="36">
        <f>IFERROR(M60/K60,0)</f>
        <v/>
      </c>
      <c r="O60" s="42">
        <f>'S01'!N60</f>
        <v/>
      </c>
      <c r="P60" s="36">
        <f>N60-O60</f>
        <v/>
      </c>
      <c r="Q60" s="32" t="n"/>
      <c r="R60" s="32" t="n"/>
      <c r="S60" s="32" t="n"/>
      <c r="T60" s="33" t="n"/>
      <c r="U60" s="42">
        <f>'S01'!T60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'S01'!M61+L61</f>
        <v/>
      </c>
      <c r="N61" s="31">
        <f>IFERROR(M61/K61,0)</f>
        <v/>
      </c>
      <c r="O61" s="40">
        <f>'S01'!N61</f>
        <v/>
      </c>
      <c r="P61" s="31">
        <f>N61-O61</f>
        <v/>
      </c>
      <c r="Q61" s="32" t="n"/>
      <c r="R61" s="32" t="n"/>
      <c r="S61" s="32" t="n"/>
      <c r="T61" s="33" t="n"/>
      <c r="U61" s="40">
        <f>'S01'!T61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'S01'!M62+L62</f>
        <v/>
      </c>
      <c r="N62" s="36">
        <f>IFERROR(M62/K62,0)</f>
        <v/>
      </c>
      <c r="O62" s="42">
        <f>'S01'!N62</f>
        <v/>
      </c>
      <c r="P62" s="36">
        <f>N62-O62</f>
        <v/>
      </c>
      <c r="Q62" s="32" t="n"/>
      <c r="R62" s="32" t="n"/>
      <c r="S62" s="32" t="n"/>
      <c r="T62" s="33" t="n"/>
      <c r="U62" s="42">
        <f>'S01'!T62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'S01'!M63+L63</f>
        <v/>
      </c>
      <c r="N63" s="31">
        <f>IFERROR(M63/K63,0)</f>
        <v/>
      </c>
      <c r="O63" s="40">
        <f>'S01'!N63</f>
        <v/>
      </c>
      <c r="P63" s="31">
        <f>N63-O63</f>
        <v/>
      </c>
      <c r="Q63" s="32" t="n"/>
      <c r="R63" s="32" t="n"/>
      <c r="S63" s="32" t="n"/>
      <c r="T63" s="33" t="n"/>
      <c r="U63" s="40">
        <f>'S01'!T63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'S01'!M64+L64</f>
        <v/>
      </c>
      <c r="N64" s="36">
        <f>IFERROR(M64/K64,0)</f>
        <v/>
      </c>
      <c r="O64" s="42">
        <f>'S01'!N64</f>
        <v/>
      </c>
      <c r="P64" s="36">
        <f>N64-O64</f>
        <v/>
      </c>
      <c r="Q64" s="32" t="n"/>
      <c r="R64" s="32" t="n"/>
      <c r="S64" s="32" t="n"/>
      <c r="T64" s="33" t="n"/>
      <c r="U64" s="42">
        <f>'S01'!T64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'S01'!M65+L65</f>
        <v/>
      </c>
      <c r="N65" s="31">
        <f>IFERROR(M65/K65,0)</f>
        <v/>
      </c>
      <c r="O65" s="40">
        <f>'S01'!N65</f>
        <v/>
      </c>
      <c r="P65" s="31">
        <f>N65-O65</f>
        <v/>
      </c>
      <c r="Q65" s="32" t="n"/>
      <c r="R65" s="32" t="n"/>
      <c r="S65" s="32" t="n"/>
      <c r="T65" s="33" t="n"/>
      <c r="U65" s="40">
        <f>'S01'!T65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'S01'!M66+L66</f>
        <v/>
      </c>
      <c r="N66" s="36">
        <f>IFERROR(M66/K66,0)</f>
        <v/>
      </c>
      <c r="O66" s="42">
        <f>'S01'!N66</f>
        <v/>
      </c>
      <c r="P66" s="36">
        <f>N66-O66</f>
        <v/>
      </c>
      <c r="Q66" s="32" t="n"/>
      <c r="R66" s="32" t="n"/>
      <c r="S66" s="32" t="n"/>
      <c r="T66" s="33" t="n"/>
      <c r="U66" s="42">
        <f>'S01'!T66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'S01'!M67+L67</f>
        <v/>
      </c>
      <c r="N67" s="31">
        <f>IFERROR(M67/K67,0)</f>
        <v/>
      </c>
      <c r="O67" s="40">
        <f>'S01'!N67</f>
        <v/>
      </c>
      <c r="P67" s="31">
        <f>N67-O67</f>
        <v/>
      </c>
      <c r="Q67" s="32" t="n"/>
      <c r="R67" s="32" t="n"/>
      <c r="S67" s="32" t="n"/>
      <c r="T67" s="33" t="n"/>
      <c r="U67" s="40">
        <f>'S01'!T67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'S01'!M68+L68</f>
        <v/>
      </c>
      <c r="N68" s="36">
        <f>IFERROR(M68/K68,0)</f>
        <v/>
      </c>
      <c r="O68" s="42">
        <f>'S01'!N68</f>
        <v/>
      </c>
      <c r="P68" s="36">
        <f>N68-O68</f>
        <v/>
      </c>
      <c r="Q68" s="32" t="n"/>
      <c r="R68" s="32" t="n"/>
      <c r="S68" s="32" t="n"/>
      <c r="T68" s="33" t="n"/>
      <c r="U68" s="42">
        <f>'S01'!T68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'S01'!M69+L69</f>
        <v/>
      </c>
      <c r="N69" s="31">
        <f>IFERROR(M69/K69,0)</f>
        <v/>
      </c>
      <c r="O69" s="40">
        <f>'S01'!N69</f>
        <v/>
      </c>
      <c r="P69" s="31">
        <f>N69-O69</f>
        <v/>
      </c>
      <c r="Q69" s="32" t="n"/>
      <c r="R69" s="32" t="n"/>
      <c r="S69" s="32" t="n"/>
      <c r="T69" s="33" t="n"/>
      <c r="U69" s="40">
        <f>'S01'!T69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'S01'!M70+L70</f>
        <v/>
      </c>
      <c r="N70" s="36">
        <f>IFERROR(M70/K70,0)</f>
        <v/>
      </c>
      <c r="O70" s="42">
        <f>'S01'!N70</f>
        <v/>
      </c>
      <c r="P70" s="36">
        <f>N70-O70</f>
        <v/>
      </c>
      <c r="Q70" s="32" t="n"/>
      <c r="R70" s="32" t="n"/>
      <c r="S70" s="32" t="n"/>
      <c r="T70" s="33" t="n"/>
      <c r="U70" s="42">
        <f>'S01'!T70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'S01'!M71+L71</f>
        <v/>
      </c>
      <c r="N71" s="31">
        <f>IFERROR(M71/K71,0)</f>
        <v/>
      </c>
      <c r="O71" s="40">
        <f>'S01'!N71</f>
        <v/>
      </c>
      <c r="P71" s="31">
        <f>N71-O71</f>
        <v/>
      </c>
      <c r="Q71" s="32" t="n"/>
      <c r="R71" s="32" t="n"/>
      <c r="S71" s="32" t="n"/>
      <c r="T71" s="33" t="n"/>
      <c r="U71" s="40">
        <f>'S01'!T71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'S01'!M72+L72</f>
        <v/>
      </c>
      <c r="N72" s="36">
        <f>IFERROR(M72/K72,0)</f>
        <v/>
      </c>
      <c r="O72" s="42">
        <f>'S01'!N72</f>
        <v/>
      </c>
      <c r="P72" s="36">
        <f>N72-O72</f>
        <v/>
      </c>
      <c r="Q72" s="32" t="n"/>
      <c r="R72" s="32" t="n"/>
      <c r="S72" s="32" t="n"/>
      <c r="T72" s="33" t="n"/>
      <c r="U72" s="42">
        <f>'S01'!T72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'S01'!M73+L73</f>
        <v/>
      </c>
      <c r="N73" s="31">
        <f>IFERROR(M73/K73,0)</f>
        <v/>
      </c>
      <c r="O73" s="40">
        <f>'S01'!N73</f>
        <v/>
      </c>
      <c r="P73" s="31">
        <f>N73-O73</f>
        <v/>
      </c>
      <c r="Q73" s="32" t="n"/>
      <c r="R73" s="32" t="n"/>
      <c r="S73" s="32" t="n"/>
      <c r="T73" s="33" t="n"/>
      <c r="U73" s="40">
        <f>'S01'!T73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'S01'!M74+L74</f>
        <v/>
      </c>
      <c r="N74" s="36">
        <f>IFERROR(M74/K74,0)</f>
        <v/>
      </c>
      <c r="O74" s="42">
        <f>'S01'!N74</f>
        <v/>
      </c>
      <c r="P74" s="36">
        <f>N74-O74</f>
        <v/>
      </c>
      <c r="Q74" s="32" t="n"/>
      <c r="R74" s="32" t="n"/>
      <c r="S74" s="32" t="n"/>
      <c r="T74" s="33" t="n"/>
      <c r="U74" s="42">
        <f>'S01'!T74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'S01'!M75+L75</f>
        <v/>
      </c>
      <c r="N75" s="31">
        <f>IFERROR(M75/K75,0)</f>
        <v/>
      </c>
      <c r="O75" s="40">
        <f>'S01'!N75</f>
        <v/>
      </c>
      <c r="P75" s="31">
        <f>N75-O75</f>
        <v/>
      </c>
      <c r="Q75" s="32" t="n"/>
      <c r="R75" s="32" t="n"/>
      <c r="S75" s="32" t="n"/>
      <c r="T75" s="33" t="n"/>
      <c r="U75" s="40">
        <f>'S01'!T75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'S01'!M76+L76</f>
        <v/>
      </c>
      <c r="N76" s="36">
        <f>IFERROR(M76/K76,0)</f>
        <v/>
      </c>
      <c r="O76" s="42">
        <f>'S01'!N76</f>
        <v/>
      </c>
      <c r="P76" s="36">
        <f>N76-O76</f>
        <v/>
      </c>
      <c r="Q76" s="32" t="n"/>
      <c r="R76" s="32" t="n"/>
      <c r="S76" s="32" t="n"/>
      <c r="T76" s="33" t="n"/>
      <c r="U76" s="42">
        <f>'S01'!T76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3 (12/01 - 18/01) — Janvier 2026 - Exécution Physique et Financière</t>
        </is>
      </c>
    </row>
    <row r="3" ht="22" customHeight="1">
      <c r="B3" s="20" t="inlineStr">
        <is>
          <t>Date :</t>
        </is>
      </c>
      <c r="C3" s="21" t="n">
        <v>46034</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'S02'!M5+L5</f>
        <v/>
      </c>
      <c r="N5" s="31">
        <f>IFERROR(M5/K5,0)</f>
        <v/>
      </c>
      <c r="O5" s="40">
        <f>'S02'!N5</f>
        <v/>
      </c>
      <c r="P5" s="31">
        <f>N5-O5</f>
        <v/>
      </c>
      <c r="Q5" s="32" t="n"/>
      <c r="R5" s="32" t="n"/>
      <c r="S5" s="32" t="n"/>
      <c r="T5" s="33" t="n"/>
      <c r="U5" s="40">
        <f>'S02'!T5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'S02'!M6+L6</f>
        <v/>
      </c>
      <c r="N6" s="36">
        <f>IFERROR(M6/K6,0)</f>
        <v/>
      </c>
      <c r="O6" s="42">
        <f>'S02'!N6</f>
        <v/>
      </c>
      <c r="P6" s="36">
        <f>N6-O6</f>
        <v/>
      </c>
      <c r="Q6" s="32" t="n"/>
      <c r="R6" s="32" t="n"/>
      <c r="S6" s="32" t="n"/>
      <c r="T6" s="33" t="n"/>
      <c r="U6" s="42">
        <f>'S02'!T6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'S02'!M7+L7</f>
        <v/>
      </c>
      <c r="N7" s="31">
        <f>IFERROR(M7/K7,0)</f>
        <v/>
      </c>
      <c r="O7" s="40">
        <f>'S02'!N7</f>
        <v/>
      </c>
      <c r="P7" s="31">
        <f>N7-O7</f>
        <v/>
      </c>
      <c r="Q7" s="32" t="n"/>
      <c r="R7" s="32" t="n"/>
      <c r="S7" s="32" t="n"/>
      <c r="T7" s="33" t="n"/>
      <c r="U7" s="40">
        <f>'S02'!T7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'S02'!M8+L8</f>
        <v/>
      </c>
      <c r="N8" s="36">
        <f>IFERROR(M8/K8,0)</f>
        <v/>
      </c>
      <c r="O8" s="42">
        <f>'S02'!N8</f>
        <v/>
      </c>
      <c r="P8" s="36">
        <f>N8-O8</f>
        <v/>
      </c>
      <c r="Q8" s="32" t="n"/>
      <c r="R8" s="32" t="n"/>
      <c r="S8" s="32" t="n"/>
      <c r="T8" s="33" t="n"/>
      <c r="U8" s="42">
        <f>'S02'!T8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'S02'!M9+L9</f>
        <v/>
      </c>
      <c r="N9" s="31">
        <f>IFERROR(M9/K9,0)</f>
        <v/>
      </c>
      <c r="O9" s="40">
        <f>'S02'!N9</f>
        <v/>
      </c>
      <c r="P9" s="31">
        <f>N9-O9</f>
        <v/>
      </c>
      <c r="Q9" s="32" t="n"/>
      <c r="R9" s="32" t="n"/>
      <c r="S9" s="32" t="n"/>
      <c r="T9" s="33" t="n"/>
      <c r="U9" s="40">
        <f>'S02'!T9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'S02'!M10+L10</f>
        <v/>
      </c>
      <c r="N10" s="36">
        <f>IFERROR(M10/K10,0)</f>
        <v/>
      </c>
      <c r="O10" s="42">
        <f>'S02'!N10</f>
        <v/>
      </c>
      <c r="P10" s="36">
        <f>N10-O10</f>
        <v/>
      </c>
      <c r="Q10" s="32" t="n"/>
      <c r="R10" s="32" t="n"/>
      <c r="S10" s="32" t="n"/>
      <c r="T10" s="33" t="n"/>
      <c r="U10" s="42">
        <f>'S02'!T10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'S02'!M11+L11</f>
        <v/>
      </c>
      <c r="N11" s="31">
        <f>IFERROR(M11/K11,0)</f>
        <v/>
      </c>
      <c r="O11" s="40">
        <f>'S02'!N11</f>
        <v/>
      </c>
      <c r="P11" s="31">
        <f>N11-O11</f>
        <v/>
      </c>
      <c r="Q11" s="32" t="n"/>
      <c r="R11" s="32" t="n"/>
      <c r="S11" s="32" t="n"/>
      <c r="T11" s="33" t="n"/>
      <c r="U11" s="40">
        <f>'S02'!T11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'S02'!M12+L12</f>
        <v/>
      </c>
      <c r="N12" s="36">
        <f>IFERROR(M12/K12,0)</f>
        <v/>
      </c>
      <c r="O12" s="42">
        <f>'S02'!N12</f>
        <v/>
      </c>
      <c r="P12" s="36">
        <f>N12-O12</f>
        <v/>
      </c>
      <c r="Q12" s="32" t="n"/>
      <c r="R12" s="32" t="n"/>
      <c r="S12" s="32" t="n"/>
      <c r="T12" s="33" t="n"/>
      <c r="U12" s="42">
        <f>'S02'!T12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'S02'!M13+L13</f>
        <v/>
      </c>
      <c r="N13" s="31">
        <f>IFERROR(M13/K13,0)</f>
        <v/>
      </c>
      <c r="O13" s="40">
        <f>'S02'!N13</f>
        <v/>
      </c>
      <c r="P13" s="31">
        <f>N13-O13</f>
        <v/>
      </c>
      <c r="Q13" s="32" t="n"/>
      <c r="R13" s="32" t="n"/>
      <c r="S13" s="32" t="n"/>
      <c r="T13" s="33" t="n"/>
      <c r="U13" s="40">
        <f>'S02'!T13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'S02'!M14+L14</f>
        <v/>
      </c>
      <c r="N14" s="36">
        <f>IFERROR(M14/K14,0)</f>
        <v/>
      </c>
      <c r="O14" s="42">
        <f>'S02'!N14</f>
        <v/>
      </c>
      <c r="P14" s="36">
        <f>N14-O14</f>
        <v/>
      </c>
      <c r="Q14" s="32" t="n"/>
      <c r="R14" s="32" t="n"/>
      <c r="S14" s="32" t="n"/>
      <c r="T14" s="33" t="n"/>
      <c r="U14" s="42">
        <f>'S02'!T14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'S02'!M15+L15</f>
        <v/>
      </c>
      <c r="N15" s="31">
        <f>IFERROR(M15/K15,0)</f>
        <v/>
      </c>
      <c r="O15" s="40">
        <f>'S02'!N15</f>
        <v/>
      </c>
      <c r="P15" s="31">
        <f>N15-O15</f>
        <v/>
      </c>
      <c r="Q15" s="32" t="n"/>
      <c r="R15" s="32" t="n"/>
      <c r="S15" s="32" t="n"/>
      <c r="T15" s="33" t="n"/>
      <c r="U15" s="40">
        <f>'S02'!T15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'S02'!M16+L16</f>
        <v/>
      </c>
      <c r="N16" s="36">
        <f>IFERROR(M16/K16,0)</f>
        <v/>
      </c>
      <c r="O16" s="42">
        <f>'S02'!N16</f>
        <v/>
      </c>
      <c r="P16" s="36">
        <f>N16-O16</f>
        <v/>
      </c>
      <c r="Q16" s="32" t="n"/>
      <c r="R16" s="32" t="n"/>
      <c r="S16" s="32" t="n"/>
      <c r="T16" s="33" t="n"/>
      <c r="U16" s="42">
        <f>'S02'!T16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'S02'!M17+L17</f>
        <v/>
      </c>
      <c r="N17" s="31">
        <f>IFERROR(M17/K17,0)</f>
        <v/>
      </c>
      <c r="O17" s="40">
        <f>'S02'!N17</f>
        <v/>
      </c>
      <c r="P17" s="31">
        <f>N17-O17</f>
        <v/>
      </c>
      <c r="Q17" s="32" t="n"/>
      <c r="R17" s="32" t="n"/>
      <c r="S17" s="32" t="n"/>
      <c r="T17" s="33" t="n"/>
      <c r="U17" s="40">
        <f>'S02'!T17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'S02'!M18+L18</f>
        <v/>
      </c>
      <c r="N18" s="36">
        <f>IFERROR(M18/K18,0)</f>
        <v/>
      </c>
      <c r="O18" s="42">
        <f>'S02'!N18</f>
        <v/>
      </c>
      <c r="P18" s="36">
        <f>N18-O18</f>
        <v/>
      </c>
      <c r="Q18" s="32" t="n"/>
      <c r="R18" s="32" t="n"/>
      <c r="S18" s="32" t="n"/>
      <c r="T18" s="33" t="n"/>
      <c r="U18" s="42">
        <f>'S02'!T18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'S02'!M19+L19</f>
        <v/>
      </c>
      <c r="N19" s="31">
        <f>IFERROR(M19/K19,0)</f>
        <v/>
      </c>
      <c r="O19" s="40">
        <f>'S02'!N19</f>
        <v/>
      </c>
      <c r="P19" s="31">
        <f>N19-O19</f>
        <v/>
      </c>
      <c r="Q19" s="32" t="n"/>
      <c r="R19" s="32" t="n"/>
      <c r="S19" s="32" t="n"/>
      <c r="T19" s="33" t="n"/>
      <c r="U19" s="40">
        <f>'S02'!T19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'S02'!M20+L20</f>
        <v/>
      </c>
      <c r="N20" s="36">
        <f>IFERROR(M20/K20,0)</f>
        <v/>
      </c>
      <c r="O20" s="42">
        <f>'S02'!N20</f>
        <v/>
      </c>
      <c r="P20" s="36">
        <f>N20-O20</f>
        <v/>
      </c>
      <c r="Q20" s="32" t="n"/>
      <c r="R20" s="32" t="n"/>
      <c r="S20" s="32" t="n"/>
      <c r="T20" s="33" t="n"/>
      <c r="U20" s="42">
        <f>'S02'!T20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'S02'!M21+L21</f>
        <v/>
      </c>
      <c r="N21" s="31">
        <f>IFERROR(M21/K21,0)</f>
        <v/>
      </c>
      <c r="O21" s="40">
        <f>'S02'!N21</f>
        <v/>
      </c>
      <c r="P21" s="31">
        <f>N21-O21</f>
        <v/>
      </c>
      <c r="Q21" s="32" t="n"/>
      <c r="R21" s="32" t="n"/>
      <c r="S21" s="32" t="n"/>
      <c r="T21" s="33" t="n"/>
      <c r="U21" s="40">
        <f>'S02'!T21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'S02'!M22+L22</f>
        <v/>
      </c>
      <c r="N22" s="36">
        <f>IFERROR(M22/K22,0)</f>
        <v/>
      </c>
      <c r="O22" s="42">
        <f>'S02'!N22</f>
        <v/>
      </c>
      <c r="P22" s="36">
        <f>N22-O22</f>
        <v/>
      </c>
      <c r="Q22" s="32" t="n"/>
      <c r="R22" s="32" t="n"/>
      <c r="S22" s="32" t="n"/>
      <c r="T22" s="33" t="n"/>
      <c r="U22" s="42">
        <f>'S02'!T22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'S02'!M23+L23</f>
        <v/>
      </c>
      <c r="N23" s="31">
        <f>IFERROR(M23/K23,0)</f>
        <v/>
      </c>
      <c r="O23" s="40">
        <f>'S02'!N23</f>
        <v/>
      </c>
      <c r="P23" s="31">
        <f>N23-O23</f>
        <v/>
      </c>
      <c r="Q23" s="32" t="n"/>
      <c r="R23" s="32" t="n"/>
      <c r="S23" s="32" t="n"/>
      <c r="T23" s="33" t="n"/>
      <c r="U23" s="40">
        <f>'S02'!T23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'S02'!M24+L24</f>
        <v/>
      </c>
      <c r="N24" s="36">
        <f>IFERROR(M24/K24,0)</f>
        <v/>
      </c>
      <c r="O24" s="42">
        <f>'S02'!N24</f>
        <v/>
      </c>
      <c r="P24" s="36">
        <f>N24-O24</f>
        <v/>
      </c>
      <c r="Q24" s="32" t="n"/>
      <c r="R24" s="32" t="n"/>
      <c r="S24" s="32" t="n"/>
      <c r="T24" s="33" t="n"/>
      <c r="U24" s="42">
        <f>'S02'!T24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'S02'!M25+L25</f>
        <v/>
      </c>
      <c r="N25" s="31">
        <f>IFERROR(M25/K25,0)</f>
        <v/>
      </c>
      <c r="O25" s="40">
        <f>'S02'!N25</f>
        <v/>
      </c>
      <c r="P25" s="31">
        <f>N25-O25</f>
        <v/>
      </c>
      <c r="Q25" s="32" t="n"/>
      <c r="R25" s="32" t="n"/>
      <c r="S25" s="32" t="n"/>
      <c r="T25" s="33" t="n"/>
      <c r="U25" s="40">
        <f>'S02'!T25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'S02'!M26+L26</f>
        <v/>
      </c>
      <c r="N26" s="36">
        <f>IFERROR(M26/K26,0)</f>
        <v/>
      </c>
      <c r="O26" s="42">
        <f>'S02'!N26</f>
        <v/>
      </c>
      <c r="P26" s="36">
        <f>N26-O26</f>
        <v/>
      </c>
      <c r="Q26" s="32" t="n"/>
      <c r="R26" s="32" t="n"/>
      <c r="S26" s="32" t="n"/>
      <c r="T26" s="33" t="n"/>
      <c r="U26" s="42">
        <f>'S02'!T26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'S02'!M27+L27</f>
        <v/>
      </c>
      <c r="N27" s="31">
        <f>IFERROR(M27/K27,0)</f>
        <v/>
      </c>
      <c r="O27" s="40">
        <f>'S02'!N27</f>
        <v/>
      </c>
      <c r="P27" s="31">
        <f>N27-O27</f>
        <v/>
      </c>
      <c r="Q27" s="32" t="n"/>
      <c r="R27" s="32" t="n"/>
      <c r="S27" s="32" t="n"/>
      <c r="T27" s="33" t="n"/>
      <c r="U27" s="40">
        <f>'S02'!T27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'S02'!M28+L28</f>
        <v/>
      </c>
      <c r="N28" s="36">
        <f>IFERROR(M28/K28,0)</f>
        <v/>
      </c>
      <c r="O28" s="42">
        <f>'S02'!N28</f>
        <v/>
      </c>
      <c r="P28" s="36">
        <f>N28-O28</f>
        <v/>
      </c>
      <c r="Q28" s="32" t="n"/>
      <c r="R28" s="32" t="n"/>
      <c r="S28" s="32" t="n"/>
      <c r="T28" s="33" t="n"/>
      <c r="U28" s="42">
        <f>'S02'!T28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'S02'!M29+L29</f>
        <v/>
      </c>
      <c r="N29" s="31">
        <f>IFERROR(M29/K29,0)</f>
        <v/>
      </c>
      <c r="O29" s="40">
        <f>'S02'!N29</f>
        <v/>
      </c>
      <c r="P29" s="31">
        <f>N29-O29</f>
        <v/>
      </c>
      <c r="Q29" s="32" t="n"/>
      <c r="R29" s="32" t="n"/>
      <c r="S29" s="32" t="n"/>
      <c r="T29" s="33" t="n"/>
      <c r="U29" s="40">
        <f>'S02'!T29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'S02'!M30+L30</f>
        <v/>
      </c>
      <c r="N30" s="36">
        <f>IFERROR(M30/K30,0)</f>
        <v/>
      </c>
      <c r="O30" s="42">
        <f>'S02'!N30</f>
        <v/>
      </c>
      <c r="P30" s="36">
        <f>N30-O30</f>
        <v/>
      </c>
      <c r="Q30" s="32" t="n"/>
      <c r="R30" s="32" t="n"/>
      <c r="S30" s="32" t="n"/>
      <c r="T30" s="33" t="n"/>
      <c r="U30" s="42">
        <f>'S02'!T30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'S02'!M31+L31</f>
        <v/>
      </c>
      <c r="N31" s="31">
        <f>IFERROR(M31/K31,0)</f>
        <v/>
      </c>
      <c r="O31" s="40">
        <f>'S02'!N31</f>
        <v/>
      </c>
      <c r="P31" s="31">
        <f>N31-O31</f>
        <v/>
      </c>
      <c r="Q31" s="32" t="n"/>
      <c r="R31" s="32" t="n"/>
      <c r="S31" s="32" t="n"/>
      <c r="T31" s="33" t="n"/>
      <c r="U31" s="40">
        <f>'S02'!T31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'S02'!M32+L32</f>
        <v/>
      </c>
      <c r="N32" s="36">
        <f>IFERROR(M32/K32,0)</f>
        <v/>
      </c>
      <c r="O32" s="42">
        <f>'S02'!N32</f>
        <v/>
      </c>
      <c r="P32" s="36">
        <f>N32-O32</f>
        <v/>
      </c>
      <c r="Q32" s="32" t="n"/>
      <c r="R32" s="32" t="n"/>
      <c r="S32" s="32" t="n"/>
      <c r="T32" s="33" t="n"/>
      <c r="U32" s="42">
        <f>'S02'!T32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'S02'!M33+L33</f>
        <v/>
      </c>
      <c r="N33" s="31">
        <f>IFERROR(M33/K33,0)</f>
        <v/>
      </c>
      <c r="O33" s="40">
        <f>'S02'!N33</f>
        <v/>
      </c>
      <c r="P33" s="31">
        <f>N33-O33</f>
        <v/>
      </c>
      <c r="Q33" s="32" t="n"/>
      <c r="R33" s="32" t="n"/>
      <c r="S33" s="32" t="n"/>
      <c r="T33" s="33" t="n"/>
      <c r="U33" s="40">
        <f>'S02'!T33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'S02'!M34+L34</f>
        <v/>
      </c>
      <c r="N34" s="36">
        <f>IFERROR(M34/K34,0)</f>
        <v/>
      </c>
      <c r="O34" s="42">
        <f>'S02'!N34</f>
        <v/>
      </c>
      <c r="P34" s="36">
        <f>N34-O34</f>
        <v/>
      </c>
      <c r="Q34" s="32" t="n"/>
      <c r="R34" s="32" t="n"/>
      <c r="S34" s="32" t="n"/>
      <c r="T34" s="33" t="n"/>
      <c r="U34" s="42">
        <f>'S02'!T34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'S02'!M35+L35</f>
        <v/>
      </c>
      <c r="N35" s="31">
        <f>IFERROR(M35/K35,0)</f>
        <v/>
      </c>
      <c r="O35" s="40">
        <f>'S02'!N35</f>
        <v/>
      </c>
      <c r="P35" s="31">
        <f>N35-O35</f>
        <v/>
      </c>
      <c r="Q35" s="32" t="n"/>
      <c r="R35" s="32" t="n"/>
      <c r="S35" s="32" t="n"/>
      <c r="T35" s="33" t="n"/>
      <c r="U35" s="40">
        <f>'S02'!T35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'S02'!M36+L36</f>
        <v/>
      </c>
      <c r="N36" s="36">
        <f>IFERROR(M36/K36,0)</f>
        <v/>
      </c>
      <c r="O36" s="42">
        <f>'S02'!N36</f>
        <v/>
      </c>
      <c r="P36" s="36">
        <f>N36-O36</f>
        <v/>
      </c>
      <c r="Q36" s="32" t="n"/>
      <c r="R36" s="32" t="n"/>
      <c r="S36" s="32" t="n"/>
      <c r="T36" s="33" t="n"/>
      <c r="U36" s="42">
        <f>'S02'!T36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'S02'!M37+L37</f>
        <v/>
      </c>
      <c r="N37" s="31">
        <f>IFERROR(M37/K37,0)</f>
        <v/>
      </c>
      <c r="O37" s="40">
        <f>'S02'!N37</f>
        <v/>
      </c>
      <c r="P37" s="31">
        <f>N37-O37</f>
        <v/>
      </c>
      <c r="Q37" s="32" t="n"/>
      <c r="R37" s="32" t="n"/>
      <c r="S37" s="32" t="n"/>
      <c r="T37" s="33" t="n"/>
      <c r="U37" s="40">
        <f>'S02'!T37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'S02'!M38+L38</f>
        <v/>
      </c>
      <c r="N38" s="36">
        <f>IFERROR(M38/K38,0)</f>
        <v/>
      </c>
      <c r="O38" s="42">
        <f>'S02'!N38</f>
        <v/>
      </c>
      <c r="P38" s="36">
        <f>N38-O38</f>
        <v/>
      </c>
      <c r="Q38" s="32" t="n"/>
      <c r="R38" s="32" t="n"/>
      <c r="S38" s="32" t="n"/>
      <c r="T38" s="33" t="n"/>
      <c r="U38" s="42">
        <f>'S02'!T38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'S02'!M39+L39</f>
        <v/>
      </c>
      <c r="N39" s="31">
        <f>IFERROR(M39/K39,0)</f>
        <v/>
      </c>
      <c r="O39" s="40">
        <f>'S02'!N39</f>
        <v/>
      </c>
      <c r="P39" s="31">
        <f>N39-O39</f>
        <v/>
      </c>
      <c r="Q39" s="32" t="n"/>
      <c r="R39" s="32" t="n"/>
      <c r="S39" s="32" t="n"/>
      <c r="T39" s="33" t="n"/>
      <c r="U39" s="40">
        <f>'S02'!T39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'S02'!M40+L40</f>
        <v/>
      </c>
      <c r="N40" s="36">
        <f>IFERROR(M40/K40,0)</f>
        <v/>
      </c>
      <c r="O40" s="42">
        <f>'S02'!N40</f>
        <v/>
      </c>
      <c r="P40" s="36">
        <f>N40-O40</f>
        <v/>
      </c>
      <c r="Q40" s="32" t="n"/>
      <c r="R40" s="32" t="n"/>
      <c r="S40" s="32" t="n"/>
      <c r="T40" s="33" t="n"/>
      <c r="U40" s="42">
        <f>'S02'!T40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'S02'!M41+L41</f>
        <v/>
      </c>
      <c r="N41" s="31">
        <f>IFERROR(M41/K41,0)</f>
        <v/>
      </c>
      <c r="O41" s="40">
        <f>'S02'!N41</f>
        <v/>
      </c>
      <c r="P41" s="31">
        <f>N41-O41</f>
        <v/>
      </c>
      <c r="Q41" s="32" t="n"/>
      <c r="R41" s="32" t="n"/>
      <c r="S41" s="32" t="n"/>
      <c r="T41" s="33" t="n"/>
      <c r="U41" s="40">
        <f>'S02'!T41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'S02'!M42+L42</f>
        <v/>
      </c>
      <c r="N42" s="36">
        <f>IFERROR(M42/K42,0)</f>
        <v/>
      </c>
      <c r="O42" s="42">
        <f>'S02'!N42</f>
        <v/>
      </c>
      <c r="P42" s="36">
        <f>N42-O42</f>
        <v/>
      </c>
      <c r="Q42" s="32" t="n"/>
      <c r="R42" s="32" t="n"/>
      <c r="S42" s="32" t="n"/>
      <c r="T42" s="33" t="n"/>
      <c r="U42" s="42">
        <f>'S02'!T42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'S02'!M43+L43</f>
        <v/>
      </c>
      <c r="N43" s="31">
        <f>IFERROR(M43/K43,0)</f>
        <v/>
      </c>
      <c r="O43" s="40">
        <f>'S02'!N43</f>
        <v/>
      </c>
      <c r="P43" s="31">
        <f>N43-O43</f>
        <v/>
      </c>
      <c r="Q43" s="32" t="n"/>
      <c r="R43" s="32" t="n"/>
      <c r="S43" s="32" t="n"/>
      <c r="T43" s="33" t="n"/>
      <c r="U43" s="40">
        <f>'S02'!T43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'S02'!M44+L44</f>
        <v/>
      </c>
      <c r="N44" s="36">
        <f>IFERROR(M44/K44,0)</f>
        <v/>
      </c>
      <c r="O44" s="42">
        <f>'S02'!N44</f>
        <v/>
      </c>
      <c r="P44" s="36">
        <f>N44-O44</f>
        <v/>
      </c>
      <c r="Q44" s="32" t="n"/>
      <c r="R44" s="32" t="n"/>
      <c r="S44" s="32" t="n"/>
      <c r="T44" s="33" t="n"/>
      <c r="U44" s="42">
        <f>'S02'!T44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'S02'!M45+L45</f>
        <v/>
      </c>
      <c r="N45" s="31">
        <f>IFERROR(M45/K45,0)</f>
        <v/>
      </c>
      <c r="O45" s="40">
        <f>'S02'!N45</f>
        <v/>
      </c>
      <c r="P45" s="31">
        <f>N45-O45</f>
        <v/>
      </c>
      <c r="Q45" s="32" t="n"/>
      <c r="R45" s="32" t="n"/>
      <c r="S45" s="32" t="n"/>
      <c r="T45" s="33" t="n"/>
      <c r="U45" s="40">
        <f>'S02'!T45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'S02'!M46+L46</f>
        <v/>
      </c>
      <c r="N46" s="36">
        <f>IFERROR(M46/K46,0)</f>
        <v/>
      </c>
      <c r="O46" s="42">
        <f>'S02'!N46</f>
        <v/>
      </c>
      <c r="P46" s="36">
        <f>N46-O46</f>
        <v/>
      </c>
      <c r="Q46" s="32" t="n"/>
      <c r="R46" s="32" t="n"/>
      <c r="S46" s="32" t="n"/>
      <c r="T46" s="33" t="n"/>
      <c r="U46" s="42">
        <f>'S02'!T46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'S02'!M47+L47</f>
        <v/>
      </c>
      <c r="N47" s="31">
        <f>IFERROR(M47/K47,0)</f>
        <v/>
      </c>
      <c r="O47" s="40">
        <f>'S02'!N47</f>
        <v/>
      </c>
      <c r="P47" s="31">
        <f>N47-O47</f>
        <v/>
      </c>
      <c r="Q47" s="32" t="n"/>
      <c r="R47" s="32" t="n"/>
      <c r="S47" s="32" t="n"/>
      <c r="T47" s="33" t="n"/>
      <c r="U47" s="40">
        <f>'S02'!T47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'S02'!M48+L48</f>
        <v/>
      </c>
      <c r="N48" s="36">
        <f>IFERROR(M48/K48,0)</f>
        <v/>
      </c>
      <c r="O48" s="42">
        <f>'S02'!N48</f>
        <v/>
      </c>
      <c r="P48" s="36">
        <f>N48-O48</f>
        <v/>
      </c>
      <c r="Q48" s="32" t="n"/>
      <c r="R48" s="32" t="n"/>
      <c r="S48" s="32" t="n"/>
      <c r="T48" s="33" t="n"/>
      <c r="U48" s="42">
        <f>'S02'!T48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'S02'!M49+L49</f>
        <v/>
      </c>
      <c r="N49" s="31">
        <f>IFERROR(M49/K49,0)</f>
        <v/>
      </c>
      <c r="O49" s="40">
        <f>'S02'!N49</f>
        <v/>
      </c>
      <c r="P49" s="31">
        <f>N49-O49</f>
        <v/>
      </c>
      <c r="Q49" s="32" t="n"/>
      <c r="R49" s="32" t="n"/>
      <c r="S49" s="32" t="n"/>
      <c r="T49" s="33" t="n"/>
      <c r="U49" s="40">
        <f>'S02'!T49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'S02'!M50+L50</f>
        <v/>
      </c>
      <c r="N50" s="36">
        <f>IFERROR(M50/K50,0)</f>
        <v/>
      </c>
      <c r="O50" s="42">
        <f>'S02'!N50</f>
        <v/>
      </c>
      <c r="P50" s="36">
        <f>N50-O50</f>
        <v/>
      </c>
      <c r="Q50" s="32" t="n"/>
      <c r="R50" s="32" t="n"/>
      <c r="S50" s="32" t="n"/>
      <c r="T50" s="33" t="n"/>
      <c r="U50" s="42">
        <f>'S02'!T50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'S02'!M51+L51</f>
        <v/>
      </c>
      <c r="N51" s="31">
        <f>IFERROR(M51/K51,0)</f>
        <v/>
      </c>
      <c r="O51" s="40">
        <f>'S02'!N51</f>
        <v/>
      </c>
      <c r="P51" s="31">
        <f>N51-O51</f>
        <v/>
      </c>
      <c r="Q51" s="32" t="n"/>
      <c r="R51" s="32" t="n"/>
      <c r="S51" s="32" t="n"/>
      <c r="T51" s="33" t="n"/>
      <c r="U51" s="40">
        <f>'S02'!T51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'S02'!M52+L52</f>
        <v/>
      </c>
      <c r="N52" s="36">
        <f>IFERROR(M52/K52,0)</f>
        <v/>
      </c>
      <c r="O52" s="42">
        <f>'S02'!N52</f>
        <v/>
      </c>
      <c r="P52" s="36">
        <f>N52-O52</f>
        <v/>
      </c>
      <c r="Q52" s="32" t="n"/>
      <c r="R52" s="32" t="n"/>
      <c r="S52" s="32" t="n"/>
      <c r="T52" s="33" t="n"/>
      <c r="U52" s="42">
        <f>'S02'!T52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'S02'!M53+L53</f>
        <v/>
      </c>
      <c r="N53" s="31">
        <f>IFERROR(M53/K53,0)</f>
        <v/>
      </c>
      <c r="O53" s="40">
        <f>'S02'!N53</f>
        <v/>
      </c>
      <c r="P53" s="31">
        <f>N53-O53</f>
        <v/>
      </c>
      <c r="Q53" s="32" t="n"/>
      <c r="R53" s="32" t="n"/>
      <c r="S53" s="32" t="n"/>
      <c r="T53" s="33" t="n"/>
      <c r="U53" s="40">
        <f>'S02'!T53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'S02'!M54+L54</f>
        <v/>
      </c>
      <c r="N54" s="36">
        <f>IFERROR(M54/K54,0)</f>
        <v/>
      </c>
      <c r="O54" s="42">
        <f>'S02'!N54</f>
        <v/>
      </c>
      <c r="P54" s="36">
        <f>N54-O54</f>
        <v/>
      </c>
      <c r="Q54" s="32" t="n"/>
      <c r="R54" s="32" t="n"/>
      <c r="S54" s="32" t="n"/>
      <c r="T54" s="33" t="n"/>
      <c r="U54" s="42">
        <f>'S02'!T54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'S02'!M55+L55</f>
        <v/>
      </c>
      <c r="N55" s="31">
        <f>IFERROR(M55/K55,0)</f>
        <v/>
      </c>
      <c r="O55" s="40">
        <f>'S02'!N55</f>
        <v/>
      </c>
      <c r="P55" s="31">
        <f>N55-O55</f>
        <v/>
      </c>
      <c r="Q55" s="32" t="n"/>
      <c r="R55" s="32" t="n"/>
      <c r="S55" s="32" t="n"/>
      <c r="T55" s="33" t="n"/>
      <c r="U55" s="40">
        <f>'S02'!T55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'S02'!M56+L56</f>
        <v/>
      </c>
      <c r="N56" s="36">
        <f>IFERROR(M56/K56,0)</f>
        <v/>
      </c>
      <c r="O56" s="42">
        <f>'S02'!N56</f>
        <v/>
      </c>
      <c r="P56" s="36">
        <f>N56-O56</f>
        <v/>
      </c>
      <c r="Q56" s="32" t="n"/>
      <c r="R56" s="32" t="n"/>
      <c r="S56" s="32" t="n"/>
      <c r="T56" s="33" t="n"/>
      <c r="U56" s="42">
        <f>'S02'!T56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'S02'!M57+L57</f>
        <v/>
      </c>
      <c r="N57" s="31">
        <f>IFERROR(M57/K57,0)</f>
        <v/>
      </c>
      <c r="O57" s="40">
        <f>'S02'!N57</f>
        <v/>
      </c>
      <c r="P57" s="31">
        <f>N57-O57</f>
        <v/>
      </c>
      <c r="Q57" s="32" t="n"/>
      <c r="R57" s="32" t="n"/>
      <c r="S57" s="32" t="n"/>
      <c r="T57" s="33" t="n"/>
      <c r="U57" s="40">
        <f>'S02'!T57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'S02'!M58+L58</f>
        <v/>
      </c>
      <c r="N58" s="36">
        <f>IFERROR(M58/K58,0)</f>
        <v/>
      </c>
      <c r="O58" s="42">
        <f>'S02'!N58</f>
        <v/>
      </c>
      <c r="P58" s="36">
        <f>N58-O58</f>
        <v/>
      </c>
      <c r="Q58" s="32" t="n"/>
      <c r="R58" s="32" t="n"/>
      <c r="S58" s="32" t="n"/>
      <c r="T58" s="33" t="n"/>
      <c r="U58" s="42">
        <f>'S02'!T58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'S02'!M59+L59</f>
        <v/>
      </c>
      <c r="N59" s="31">
        <f>IFERROR(M59/K59,0)</f>
        <v/>
      </c>
      <c r="O59" s="40">
        <f>'S02'!N59</f>
        <v/>
      </c>
      <c r="P59" s="31">
        <f>N59-O59</f>
        <v/>
      </c>
      <c r="Q59" s="32" t="n"/>
      <c r="R59" s="32" t="n"/>
      <c r="S59" s="32" t="n"/>
      <c r="T59" s="33" t="n"/>
      <c r="U59" s="40">
        <f>'S02'!T59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'S02'!M60+L60</f>
        <v/>
      </c>
      <c r="N60" s="36">
        <f>IFERROR(M60/K60,0)</f>
        <v/>
      </c>
      <c r="O60" s="42">
        <f>'S02'!N60</f>
        <v/>
      </c>
      <c r="P60" s="36">
        <f>N60-O60</f>
        <v/>
      </c>
      <c r="Q60" s="32" t="n"/>
      <c r="R60" s="32" t="n"/>
      <c r="S60" s="32" t="n"/>
      <c r="T60" s="33" t="n"/>
      <c r="U60" s="42">
        <f>'S02'!T60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'S02'!M61+L61</f>
        <v/>
      </c>
      <c r="N61" s="31">
        <f>IFERROR(M61/K61,0)</f>
        <v/>
      </c>
      <c r="O61" s="40">
        <f>'S02'!N61</f>
        <v/>
      </c>
      <c r="P61" s="31">
        <f>N61-O61</f>
        <v/>
      </c>
      <c r="Q61" s="32" t="n"/>
      <c r="R61" s="32" t="n"/>
      <c r="S61" s="32" t="n"/>
      <c r="T61" s="33" t="n"/>
      <c r="U61" s="40">
        <f>'S02'!T61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'S02'!M62+L62</f>
        <v/>
      </c>
      <c r="N62" s="36">
        <f>IFERROR(M62/K62,0)</f>
        <v/>
      </c>
      <c r="O62" s="42">
        <f>'S02'!N62</f>
        <v/>
      </c>
      <c r="P62" s="36">
        <f>N62-O62</f>
        <v/>
      </c>
      <c r="Q62" s="32" t="n"/>
      <c r="R62" s="32" t="n"/>
      <c r="S62" s="32" t="n"/>
      <c r="T62" s="33" t="n"/>
      <c r="U62" s="42">
        <f>'S02'!T62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'S02'!M63+L63</f>
        <v/>
      </c>
      <c r="N63" s="31">
        <f>IFERROR(M63/K63,0)</f>
        <v/>
      </c>
      <c r="O63" s="40">
        <f>'S02'!N63</f>
        <v/>
      </c>
      <c r="P63" s="31">
        <f>N63-O63</f>
        <v/>
      </c>
      <c r="Q63" s="32" t="n"/>
      <c r="R63" s="32" t="n"/>
      <c r="S63" s="32" t="n"/>
      <c r="T63" s="33" t="n"/>
      <c r="U63" s="40">
        <f>'S02'!T63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'S02'!M64+L64</f>
        <v/>
      </c>
      <c r="N64" s="36">
        <f>IFERROR(M64/K64,0)</f>
        <v/>
      </c>
      <c r="O64" s="42">
        <f>'S02'!N64</f>
        <v/>
      </c>
      <c r="P64" s="36">
        <f>N64-O64</f>
        <v/>
      </c>
      <c r="Q64" s="32" t="n"/>
      <c r="R64" s="32" t="n"/>
      <c r="S64" s="32" t="n"/>
      <c r="T64" s="33" t="n"/>
      <c r="U64" s="42">
        <f>'S02'!T64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'S02'!M65+L65</f>
        <v/>
      </c>
      <c r="N65" s="31">
        <f>IFERROR(M65/K65,0)</f>
        <v/>
      </c>
      <c r="O65" s="40">
        <f>'S02'!N65</f>
        <v/>
      </c>
      <c r="P65" s="31">
        <f>N65-O65</f>
        <v/>
      </c>
      <c r="Q65" s="32" t="n"/>
      <c r="R65" s="32" t="n"/>
      <c r="S65" s="32" t="n"/>
      <c r="T65" s="33" t="n"/>
      <c r="U65" s="40">
        <f>'S02'!T65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'S02'!M66+L66</f>
        <v/>
      </c>
      <c r="N66" s="36">
        <f>IFERROR(M66/K66,0)</f>
        <v/>
      </c>
      <c r="O66" s="42">
        <f>'S02'!N66</f>
        <v/>
      </c>
      <c r="P66" s="36">
        <f>N66-O66</f>
        <v/>
      </c>
      <c r="Q66" s="32" t="n"/>
      <c r="R66" s="32" t="n"/>
      <c r="S66" s="32" t="n"/>
      <c r="T66" s="33" t="n"/>
      <c r="U66" s="42">
        <f>'S02'!T66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'S02'!M67+L67</f>
        <v/>
      </c>
      <c r="N67" s="31">
        <f>IFERROR(M67/K67,0)</f>
        <v/>
      </c>
      <c r="O67" s="40">
        <f>'S02'!N67</f>
        <v/>
      </c>
      <c r="P67" s="31">
        <f>N67-O67</f>
        <v/>
      </c>
      <c r="Q67" s="32" t="n"/>
      <c r="R67" s="32" t="n"/>
      <c r="S67" s="32" t="n"/>
      <c r="T67" s="33" t="n"/>
      <c r="U67" s="40">
        <f>'S02'!T67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'S02'!M68+L68</f>
        <v/>
      </c>
      <c r="N68" s="36">
        <f>IFERROR(M68/K68,0)</f>
        <v/>
      </c>
      <c r="O68" s="42">
        <f>'S02'!N68</f>
        <v/>
      </c>
      <c r="P68" s="36">
        <f>N68-O68</f>
        <v/>
      </c>
      <c r="Q68" s="32" t="n"/>
      <c r="R68" s="32" t="n"/>
      <c r="S68" s="32" t="n"/>
      <c r="T68" s="33" t="n"/>
      <c r="U68" s="42">
        <f>'S02'!T68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'S02'!M69+L69</f>
        <v/>
      </c>
      <c r="N69" s="31">
        <f>IFERROR(M69/K69,0)</f>
        <v/>
      </c>
      <c r="O69" s="40">
        <f>'S02'!N69</f>
        <v/>
      </c>
      <c r="P69" s="31">
        <f>N69-O69</f>
        <v/>
      </c>
      <c r="Q69" s="32" t="n"/>
      <c r="R69" s="32" t="n"/>
      <c r="S69" s="32" t="n"/>
      <c r="T69" s="33" t="n"/>
      <c r="U69" s="40">
        <f>'S02'!T69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'S02'!M70+L70</f>
        <v/>
      </c>
      <c r="N70" s="36">
        <f>IFERROR(M70/K70,0)</f>
        <v/>
      </c>
      <c r="O70" s="42">
        <f>'S02'!N70</f>
        <v/>
      </c>
      <c r="P70" s="36">
        <f>N70-O70</f>
        <v/>
      </c>
      <c r="Q70" s="32" t="n"/>
      <c r="R70" s="32" t="n"/>
      <c r="S70" s="32" t="n"/>
      <c r="T70" s="33" t="n"/>
      <c r="U70" s="42">
        <f>'S02'!T70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'S02'!M71+L71</f>
        <v/>
      </c>
      <c r="N71" s="31">
        <f>IFERROR(M71/K71,0)</f>
        <v/>
      </c>
      <c r="O71" s="40">
        <f>'S02'!N71</f>
        <v/>
      </c>
      <c r="P71" s="31">
        <f>N71-O71</f>
        <v/>
      </c>
      <c r="Q71" s="32" t="n"/>
      <c r="R71" s="32" t="n"/>
      <c r="S71" s="32" t="n"/>
      <c r="T71" s="33" t="n"/>
      <c r="U71" s="40">
        <f>'S02'!T71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'S02'!M72+L72</f>
        <v/>
      </c>
      <c r="N72" s="36">
        <f>IFERROR(M72/K72,0)</f>
        <v/>
      </c>
      <c r="O72" s="42">
        <f>'S02'!N72</f>
        <v/>
      </c>
      <c r="P72" s="36">
        <f>N72-O72</f>
        <v/>
      </c>
      <c r="Q72" s="32" t="n"/>
      <c r="R72" s="32" t="n"/>
      <c r="S72" s="32" t="n"/>
      <c r="T72" s="33" t="n"/>
      <c r="U72" s="42">
        <f>'S02'!T72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'S02'!M73+L73</f>
        <v/>
      </c>
      <c r="N73" s="31">
        <f>IFERROR(M73/K73,0)</f>
        <v/>
      </c>
      <c r="O73" s="40">
        <f>'S02'!N73</f>
        <v/>
      </c>
      <c r="P73" s="31">
        <f>N73-O73</f>
        <v/>
      </c>
      <c r="Q73" s="32" t="n"/>
      <c r="R73" s="32" t="n"/>
      <c r="S73" s="32" t="n"/>
      <c r="T73" s="33" t="n"/>
      <c r="U73" s="40">
        <f>'S02'!T73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'S02'!M74+L74</f>
        <v/>
      </c>
      <c r="N74" s="36">
        <f>IFERROR(M74/K74,0)</f>
        <v/>
      </c>
      <c r="O74" s="42">
        <f>'S02'!N74</f>
        <v/>
      </c>
      <c r="P74" s="36">
        <f>N74-O74</f>
        <v/>
      </c>
      <c r="Q74" s="32" t="n"/>
      <c r="R74" s="32" t="n"/>
      <c r="S74" s="32" t="n"/>
      <c r="T74" s="33" t="n"/>
      <c r="U74" s="42">
        <f>'S02'!T74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'S02'!M75+L75</f>
        <v/>
      </c>
      <c r="N75" s="31">
        <f>IFERROR(M75/K75,0)</f>
        <v/>
      </c>
      <c r="O75" s="40">
        <f>'S02'!N75</f>
        <v/>
      </c>
      <c r="P75" s="31">
        <f>N75-O75</f>
        <v/>
      </c>
      <c r="Q75" s="32" t="n"/>
      <c r="R75" s="32" t="n"/>
      <c r="S75" s="32" t="n"/>
      <c r="T75" s="33" t="n"/>
      <c r="U75" s="40">
        <f>'S02'!T75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'S02'!M76+L76</f>
        <v/>
      </c>
      <c r="N76" s="36">
        <f>IFERROR(M76/K76,0)</f>
        <v/>
      </c>
      <c r="O76" s="42">
        <f>'S02'!N76</f>
        <v/>
      </c>
      <c r="P76" s="36">
        <f>N76-O76</f>
        <v/>
      </c>
      <c r="Q76" s="32" t="n"/>
      <c r="R76" s="32" t="n"/>
      <c r="S76" s="32" t="n"/>
      <c r="T76" s="33" t="n"/>
      <c r="U76" s="42">
        <f>'S02'!T76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4 (19/01 - 25/01) — Janvier 2026 - Exécution Physique et Financière</t>
        </is>
      </c>
    </row>
    <row r="3" ht="22" customHeight="1">
      <c r="B3" s="20" t="inlineStr">
        <is>
          <t>Date :</t>
        </is>
      </c>
      <c r="C3" s="21" t="n">
        <v>46041</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'S03'!M5+L5</f>
        <v/>
      </c>
      <c r="N5" s="31">
        <f>IFERROR(M5/K5,0)</f>
        <v/>
      </c>
      <c r="O5" s="40">
        <f>'S03'!N5</f>
        <v/>
      </c>
      <c r="P5" s="31">
        <f>N5-O5</f>
        <v/>
      </c>
      <c r="Q5" s="32" t="n"/>
      <c r="R5" s="32" t="n"/>
      <c r="S5" s="32" t="n"/>
      <c r="T5" s="33" t="n"/>
      <c r="U5" s="40">
        <f>'S03'!T5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'S03'!M6+L6</f>
        <v/>
      </c>
      <c r="N6" s="36">
        <f>IFERROR(M6/K6,0)</f>
        <v/>
      </c>
      <c r="O6" s="42">
        <f>'S03'!N6</f>
        <v/>
      </c>
      <c r="P6" s="36">
        <f>N6-O6</f>
        <v/>
      </c>
      <c r="Q6" s="32" t="n"/>
      <c r="R6" s="32" t="n"/>
      <c r="S6" s="32" t="n"/>
      <c r="T6" s="33" t="n"/>
      <c r="U6" s="42">
        <f>'S03'!T6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'S03'!M7+L7</f>
        <v/>
      </c>
      <c r="N7" s="31">
        <f>IFERROR(M7/K7,0)</f>
        <v/>
      </c>
      <c r="O7" s="40">
        <f>'S03'!N7</f>
        <v/>
      </c>
      <c r="P7" s="31">
        <f>N7-O7</f>
        <v/>
      </c>
      <c r="Q7" s="32" t="n"/>
      <c r="R7" s="32" t="n"/>
      <c r="S7" s="32" t="n"/>
      <c r="T7" s="33" t="n"/>
      <c r="U7" s="40">
        <f>'S03'!T7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'S03'!M8+L8</f>
        <v/>
      </c>
      <c r="N8" s="36">
        <f>IFERROR(M8/K8,0)</f>
        <v/>
      </c>
      <c r="O8" s="42">
        <f>'S03'!N8</f>
        <v/>
      </c>
      <c r="P8" s="36">
        <f>N8-O8</f>
        <v/>
      </c>
      <c r="Q8" s="32" t="n"/>
      <c r="R8" s="32" t="n"/>
      <c r="S8" s="32" t="n"/>
      <c r="T8" s="33" t="n"/>
      <c r="U8" s="42">
        <f>'S03'!T8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'S03'!M9+L9</f>
        <v/>
      </c>
      <c r="N9" s="31">
        <f>IFERROR(M9/K9,0)</f>
        <v/>
      </c>
      <c r="O9" s="40">
        <f>'S03'!N9</f>
        <v/>
      </c>
      <c r="P9" s="31">
        <f>N9-O9</f>
        <v/>
      </c>
      <c r="Q9" s="32" t="n"/>
      <c r="R9" s="32" t="n"/>
      <c r="S9" s="32" t="n"/>
      <c r="T9" s="33" t="n"/>
      <c r="U9" s="40">
        <f>'S03'!T9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'S03'!M10+L10</f>
        <v/>
      </c>
      <c r="N10" s="36">
        <f>IFERROR(M10/K10,0)</f>
        <v/>
      </c>
      <c r="O10" s="42">
        <f>'S03'!N10</f>
        <v/>
      </c>
      <c r="P10" s="36">
        <f>N10-O10</f>
        <v/>
      </c>
      <c r="Q10" s="32" t="n"/>
      <c r="R10" s="32" t="n"/>
      <c r="S10" s="32" t="n"/>
      <c r="T10" s="33" t="n"/>
      <c r="U10" s="42">
        <f>'S03'!T10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'S03'!M11+L11</f>
        <v/>
      </c>
      <c r="N11" s="31">
        <f>IFERROR(M11/K11,0)</f>
        <v/>
      </c>
      <c r="O11" s="40">
        <f>'S03'!N11</f>
        <v/>
      </c>
      <c r="P11" s="31">
        <f>N11-O11</f>
        <v/>
      </c>
      <c r="Q11" s="32" t="n"/>
      <c r="R11" s="32" t="n"/>
      <c r="S11" s="32" t="n"/>
      <c r="T11" s="33" t="n"/>
      <c r="U11" s="40">
        <f>'S03'!T11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'S03'!M12+L12</f>
        <v/>
      </c>
      <c r="N12" s="36">
        <f>IFERROR(M12/K12,0)</f>
        <v/>
      </c>
      <c r="O12" s="42">
        <f>'S03'!N12</f>
        <v/>
      </c>
      <c r="P12" s="36">
        <f>N12-O12</f>
        <v/>
      </c>
      <c r="Q12" s="32" t="n"/>
      <c r="R12" s="32" t="n"/>
      <c r="S12" s="32" t="n"/>
      <c r="T12" s="33" t="n"/>
      <c r="U12" s="42">
        <f>'S03'!T12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'S03'!M13+L13</f>
        <v/>
      </c>
      <c r="N13" s="31">
        <f>IFERROR(M13/K13,0)</f>
        <v/>
      </c>
      <c r="O13" s="40">
        <f>'S03'!N13</f>
        <v/>
      </c>
      <c r="P13" s="31">
        <f>N13-O13</f>
        <v/>
      </c>
      <c r="Q13" s="32" t="n"/>
      <c r="R13" s="32" t="n"/>
      <c r="S13" s="32" t="n"/>
      <c r="T13" s="33" t="n"/>
      <c r="U13" s="40">
        <f>'S03'!T13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'S03'!M14+L14</f>
        <v/>
      </c>
      <c r="N14" s="36">
        <f>IFERROR(M14/K14,0)</f>
        <v/>
      </c>
      <c r="O14" s="42">
        <f>'S03'!N14</f>
        <v/>
      </c>
      <c r="P14" s="36">
        <f>N14-O14</f>
        <v/>
      </c>
      <c r="Q14" s="32" t="n"/>
      <c r="R14" s="32" t="n"/>
      <c r="S14" s="32" t="n"/>
      <c r="T14" s="33" t="n"/>
      <c r="U14" s="42">
        <f>'S03'!T14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'S03'!M15+L15</f>
        <v/>
      </c>
      <c r="N15" s="31">
        <f>IFERROR(M15/K15,0)</f>
        <v/>
      </c>
      <c r="O15" s="40">
        <f>'S03'!N15</f>
        <v/>
      </c>
      <c r="P15" s="31">
        <f>N15-O15</f>
        <v/>
      </c>
      <c r="Q15" s="32" t="n"/>
      <c r="R15" s="32" t="n"/>
      <c r="S15" s="32" t="n"/>
      <c r="T15" s="33" t="n"/>
      <c r="U15" s="40">
        <f>'S03'!T15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'S03'!M16+L16</f>
        <v/>
      </c>
      <c r="N16" s="36">
        <f>IFERROR(M16/K16,0)</f>
        <v/>
      </c>
      <c r="O16" s="42">
        <f>'S03'!N16</f>
        <v/>
      </c>
      <c r="P16" s="36">
        <f>N16-O16</f>
        <v/>
      </c>
      <c r="Q16" s="32" t="n"/>
      <c r="R16" s="32" t="n"/>
      <c r="S16" s="32" t="n"/>
      <c r="T16" s="33" t="n"/>
      <c r="U16" s="42">
        <f>'S03'!T16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'S03'!M17+L17</f>
        <v/>
      </c>
      <c r="N17" s="31">
        <f>IFERROR(M17/K17,0)</f>
        <v/>
      </c>
      <c r="O17" s="40">
        <f>'S03'!N17</f>
        <v/>
      </c>
      <c r="P17" s="31">
        <f>N17-O17</f>
        <v/>
      </c>
      <c r="Q17" s="32" t="n"/>
      <c r="R17" s="32" t="n"/>
      <c r="S17" s="32" t="n"/>
      <c r="T17" s="33" t="n"/>
      <c r="U17" s="40">
        <f>'S03'!T17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'S03'!M18+L18</f>
        <v/>
      </c>
      <c r="N18" s="36">
        <f>IFERROR(M18/K18,0)</f>
        <v/>
      </c>
      <c r="O18" s="42">
        <f>'S03'!N18</f>
        <v/>
      </c>
      <c r="P18" s="36">
        <f>N18-O18</f>
        <v/>
      </c>
      <c r="Q18" s="32" t="n"/>
      <c r="R18" s="32" t="n"/>
      <c r="S18" s="32" t="n"/>
      <c r="T18" s="33" t="n"/>
      <c r="U18" s="42">
        <f>'S03'!T18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'S03'!M19+L19</f>
        <v/>
      </c>
      <c r="N19" s="31">
        <f>IFERROR(M19/K19,0)</f>
        <v/>
      </c>
      <c r="O19" s="40">
        <f>'S03'!N19</f>
        <v/>
      </c>
      <c r="P19" s="31">
        <f>N19-O19</f>
        <v/>
      </c>
      <c r="Q19" s="32" t="n"/>
      <c r="R19" s="32" t="n"/>
      <c r="S19" s="32" t="n"/>
      <c r="T19" s="33" t="n"/>
      <c r="U19" s="40">
        <f>'S03'!T19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'S03'!M20+L20</f>
        <v/>
      </c>
      <c r="N20" s="36">
        <f>IFERROR(M20/K20,0)</f>
        <v/>
      </c>
      <c r="O20" s="42">
        <f>'S03'!N20</f>
        <v/>
      </c>
      <c r="P20" s="36">
        <f>N20-O20</f>
        <v/>
      </c>
      <c r="Q20" s="32" t="n"/>
      <c r="R20" s="32" t="n"/>
      <c r="S20" s="32" t="n"/>
      <c r="T20" s="33" t="n"/>
      <c r="U20" s="42">
        <f>'S03'!T20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'S03'!M21+L21</f>
        <v/>
      </c>
      <c r="N21" s="31">
        <f>IFERROR(M21/K21,0)</f>
        <v/>
      </c>
      <c r="O21" s="40">
        <f>'S03'!N21</f>
        <v/>
      </c>
      <c r="P21" s="31">
        <f>N21-O21</f>
        <v/>
      </c>
      <c r="Q21" s="32" t="n"/>
      <c r="R21" s="32" t="n"/>
      <c r="S21" s="32" t="n"/>
      <c r="T21" s="33" t="n"/>
      <c r="U21" s="40">
        <f>'S03'!T21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'S03'!M22+L22</f>
        <v/>
      </c>
      <c r="N22" s="36">
        <f>IFERROR(M22/K22,0)</f>
        <v/>
      </c>
      <c r="O22" s="42">
        <f>'S03'!N22</f>
        <v/>
      </c>
      <c r="P22" s="36">
        <f>N22-O22</f>
        <v/>
      </c>
      <c r="Q22" s="32" t="n"/>
      <c r="R22" s="32" t="n"/>
      <c r="S22" s="32" t="n"/>
      <c r="T22" s="33" t="n"/>
      <c r="U22" s="42">
        <f>'S03'!T22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'S03'!M23+L23</f>
        <v/>
      </c>
      <c r="N23" s="31">
        <f>IFERROR(M23/K23,0)</f>
        <v/>
      </c>
      <c r="O23" s="40">
        <f>'S03'!N23</f>
        <v/>
      </c>
      <c r="P23" s="31">
        <f>N23-O23</f>
        <v/>
      </c>
      <c r="Q23" s="32" t="n"/>
      <c r="R23" s="32" t="n"/>
      <c r="S23" s="32" t="n"/>
      <c r="T23" s="33" t="n"/>
      <c r="U23" s="40">
        <f>'S03'!T23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'S03'!M24+L24</f>
        <v/>
      </c>
      <c r="N24" s="36">
        <f>IFERROR(M24/K24,0)</f>
        <v/>
      </c>
      <c r="O24" s="42">
        <f>'S03'!N24</f>
        <v/>
      </c>
      <c r="P24" s="36">
        <f>N24-O24</f>
        <v/>
      </c>
      <c r="Q24" s="32" t="n"/>
      <c r="R24" s="32" t="n"/>
      <c r="S24" s="32" t="n"/>
      <c r="T24" s="33" t="n"/>
      <c r="U24" s="42">
        <f>'S03'!T24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'S03'!M25+L25</f>
        <v/>
      </c>
      <c r="N25" s="31">
        <f>IFERROR(M25/K25,0)</f>
        <v/>
      </c>
      <c r="O25" s="40">
        <f>'S03'!N25</f>
        <v/>
      </c>
      <c r="P25" s="31">
        <f>N25-O25</f>
        <v/>
      </c>
      <c r="Q25" s="32" t="n"/>
      <c r="R25" s="32" t="n"/>
      <c r="S25" s="32" t="n"/>
      <c r="T25" s="33" t="n"/>
      <c r="U25" s="40">
        <f>'S03'!T25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'S03'!M26+L26</f>
        <v/>
      </c>
      <c r="N26" s="36">
        <f>IFERROR(M26/K26,0)</f>
        <v/>
      </c>
      <c r="O26" s="42">
        <f>'S03'!N26</f>
        <v/>
      </c>
      <c r="P26" s="36">
        <f>N26-O26</f>
        <v/>
      </c>
      <c r="Q26" s="32" t="n"/>
      <c r="R26" s="32" t="n"/>
      <c r="S26" s="32" t="n"/>
      <c r="T26" s="33" t="n"/>
      <c r="U26" s="42">
        <f>'S03'!T26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'S03'!M27+L27</f>
        <v/>
      </c>
      <c r="N27" s="31">
        <f>IFERROR(M27/K27,0)</f>
        <v/>
      </c>
      <c r="O27" s="40">
        <f>'S03'!N27</f>
        <v/>
      </c>
      <c r="P27" s="31">
        <f>N27-O27</f>
        <v/>
      </c>
      <c r="Q27" s="32" t="n"/>
      <c r="R27" s="32" t="n"/>
      <c r="S27" s="32" t="n"/>
      <c r="T27" s="33" t="n"/>
      <c r="U27" s="40">
        <f>'S03'!T27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'S03'!M28+L28</f>
        <v/>
      </c>
      <c r="N28" s="36">
        <f>IFERROR(M28/K28,0)</f>
        <v/>
      </c>
      <c r="O28" s="42">
        <f>'S03'!N28</f>
        <v/>
      </c>
      <c r="P28" s="36">
        <f>N28-O28</f>
        <v/>
      </c>
      <c r="Q28" s="32" t="n"/>
      <c r="R28" s="32" t="n"/>
      <c r="S28" s="32" t="n"/>
      <c r="T28" s="33" t="n"/>
      <c r="U28" s="42">
        <f>'S03'!T28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'S03'!M29+L29</f>
        <v/>
      </c>
      <c r="N29" s="31">
        <f>IFERROR(M29/K29,0)</f>
        <v/>
      </c>
      <c r="O29" s="40">
        <f>'S03'!N29</f>
        <v/>
      </c>
      <c r="P29" s="31">
        <f>N29-O29</f>
        <v/>
      </c>
      <c r="Q29" s="32" t="n"/>
      <c r="R29" s="32" t="n"/>
      <c r="S29" s="32" t="n"/>
      <c r="T29" s="33" t="n"/>
      <c r="U29" s="40">
        <f>'S03'!T29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'S03'!M30+L30</f>
        <v/>
      </c>
      <c r="N30" s="36">
        <f>IFERROR(M30/K30,0)</f>
        <v/>
      </c>
      <c r="O30" s="42">
        <f>'S03'!N30</f>
        <v/>
      </c>
      <c r="P30" s="36">
        <f>N30-O30</f>
        <v/>
      </c>
      <c r="Q30" s="32" t="n"/>
      <c r="R30" s="32" t="n"/>
      <c r="S30" s="32" t="n"/>
      <c r="T30" s="33" t="n"/>
      <c r="U30" s="42">
        <f>'S03'!T30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'S03'!M31+L31</f>
        <v/>
      </c>
      <c r="N31" s="31">
        <f>IFERROR(M31/K31,0)</f>
        <v/>
      </c>
      <c r="O31" s="40">
        <f>'S03'!N31</f>
        <v/>
      </c>
      <c r="P31" s="31">
        <f>N31-O31</f>
        <v/>
      </c>
      <c r="Q31" s="32" t="n"/>
      <c r="R31" s="32" t="n"/>
      <c r="S31" s="32" t="n"/>
      <c r="T31" s="33" t="n"/>
      <c r="U31" s="40">
        <f>'S03'!T31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'S03'!M32+L32</f>
        <v/>
      </c>
      <c r="N32" s="36">
        <f>IFERROR(M32/K32,0)</f>
        <v/>
      </c>
      <c r="O32" s="42">
        <f>'S03'!N32</f>
        <v/>
      </c>
      <c r="P32" s="36">
        <f>N32-O32</f>
        <v/>
      </c>
      <c r="Q32" s="32" t="n"/>
      <c r="R32" s="32" t="n"/>
      <c r="S32" s="32" t="n"/>
      <c r="T32" s="33" t="n"/>
      <c r="U32" s="42">
        <f>'S03'!T32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'S03'!M33+L33</f>
        <v/>
      </c>
      <c r="N33" s="31">
        <f>IFERROR(M33/K33,0)</f>
        <v/>
      </c>
      <c r="O33" s="40">
        <f>'S03'!N33</f>
        <v/>
      </c>
      <c r="P33" s="31">
        <f>N33-O33</f>
        <v/>
      </c>
      <c r="Q33" s="32" t="n"/>
      <c r="R33" s="32" t="n"/>
      <c r="S33" s="32" t="n"/>
      <c r="T33" s="33" t="n"/>
      <c r="U33" s="40">
        <f>'S03'!T33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'S03'!M34+L34</f>
        <v/>
      </c>
      <c r="N34" s="36">
        <f>IFERROR(M34/K34,0)</f>
        <v/>
      </c>
      <c r="O34" s="42">
        <f>'S03'!N34</f>
        <v/>
      </c>
      <c r="P34" s="36">
        <f>N34-O34</f>
        <v/>
      </c>
      <c r="Q34" s="32" t="n"/>
      <c r="R34" s="32" t="n"/>
      <c r="S34" s="32" t="n"/>
      <c r="T34" s="33" t="n"/>
      <c r="U34" s="42">
        <f>'S03'!T34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'S03'!M35+L35</f>
        <v/>
      </c>
      <c r="N35" s="31">
        <f>IFERROR(M35/K35,0)</f>
        <v/>
      </c>
      <c r="O35" s="40">
        <f>'S03'!N35</f>
        <v/>
      </c>
      <c r="P35" s="31">
        <f>N35-O35</f>
        <v/>
      </c>
      <c r="Q35" s="32" t="n"/>
      <c r="R35" s="32" t="n"/>
      <c r="S35" s="32" t="n"/>
      <c r="T35" s="33" t="n"/>
      <c r="U35" s="40">
        <f>'S03'!T35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'S03'!M36+L36</f>
        <v/>
      </c>
      <c r="N36" s="36">
        <f>IFERROR(M36/K36,0)</f>
        <v/>
      </c>
      <c r="O36" s="42">
        <f>'S03'!N36</f>
        <v/>
      </c>
      <c r="P36" s="36">
        <f>N36-O36</f>
        <v/>
      </c>
      <c r="Q36" s="32" t="n"/>
      <c r="R36" s="32" t="n"/>
      <c r="S36" s="32" t="n"/>
      <c r="T36" s="33" t="n"/>
      <c r="U36" s="42">
        <f>'S03'!T36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'S03'!M37+L37</f>
        <v/>
      </c>
      <c r="N37" s="31">
        <f>IFERROR(M37/K37,0)</f>
        <v/>
      </c>
      <c r="O37" s="40">
        <f>'S03'!N37</f>
        <v/>
      </c>
      <c r="P37" s="31">
        <f>N37-O37</f>
        <v/>
      </c>
      <c r="Q37" s="32" t="n"/>
      <c r="R37" s="32" t="n"/>
      <c r="S37" s="32" t="n"/>
      <c r="T37" s="33" t="n"/>
      <c r="U37" s="40">
        <f>'S03'!T37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'S03'!M38+L38</f>
        <v/>
      </c>
      <c r="N38" s="36">
        <f>IFERROR(M38/K38,0)</f>
        <v/>
      </c>
      <c r="O38" s="42">
        <f>'S03'!N38</f>
        <v/>
      </c>
      <c r="P38" s="36">
        <f>N38-O38</f>
        <v/>
      </c>
      <c r="Q38" s="32" t="n"/>
      <c r="R38" s="32" t="n"/>
      <c r="S38" s="32" t="n"/>
      <c r="T38" s="33" t="n"/>
      <c r="U38" s="42">
        <f>'S03'!T38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'S03'!M39+L39</f>
        <v/>
      </c>
      <c r="N39" s="31">
        <f>IFERROR(M39/K39,0)</f>
        <v/>
      </c>
      <c r="O39" s="40">
        <f>'S03'!N39</f>
        <v/>
      </c>
      <c r="P39" s="31">
        <f>N39-O39</f>
        <v/>
      </c>
      <c r="Q39" s="32" t="n"/>
      <c r="R39" s="32" t="n"/>
      <c r="S39" s="32" t="n"/>
      <c r="T39" s="33" t="n"/>
      <c r="U39" s="40">
        <f>'S03'!T39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'S03'!M40+L40</f>
        <v/>
      </c>
      <c r="N40" s="36">
        <f>IFERROR(M40/K40,0)</f>
        <v/>
      </c>
      <c r="O40" s="42">
        <f>'S03'!N40</f>
        <v/>
      </c>
      <c r="P40" s="36">
        <f>N40-O40</f>
        <v/>
      </c>
      <c r="Q40" s="32" t="n"/>
      <c r="R40" s="32" t="n"/>
      <c r="S40" s="32" t="n"/>
      <c r="T40" s="33" t="n"/>
      <c r="U40" s="42">
        <f>'S03'!T40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'S03'!M41+L41</f>
        <v/>
      </c>
      <c r="N41" s="31">
        <f>IFERROR(M41/K41,0)</f>
        <v/>
      </c>
      <c r="O41" s="40">
        <f>'S03'!N41</f>
        <v/>
      </c>
      <c r="P41" s="31">
        <f>N41-O41</f>
        <v/>
      </c>
      <c r="Q41" s="32" t="n"/>
      <c r="R41" s="32" t="n"/>
      <c r="S41" s="32" t="n"/>
      <c r="T41" s="33" t="n"/>
      <c r="U41" s="40">
        <f>'S03'!T41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'S03'!M42+L42</f>
        <v/>
      </c>
      <c r="N42" s="36">
        <f>IFERROR(M42/K42,0)</f>
        <v/>
      </c>
      <c r="O42" s="42">
        <f>'S03'!N42</f>
        <v/>
      </c>
      <c r="P42" s="36">
        <f>N42-O42</f>
        <v/>
      </c>
      <c r="Q42" s="32" t="n"/>
      <c r="R42" s="32" t="n"/>
      <c r="S42" s="32" t="n"/>
      <c r="T42" s="33" t="n"/>
      <c r="U42" s="42">
        <f>'S03'!T42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'S03'!M43+L43</f>
        <v/>
      </c>
      <c r="N43" s="31">
        <f>IFERROR(M43/K43,0)</f>
        <v/>
      </c>
      <c r="O43" s="40">
        <f>'S03'!N43</f>
        <v/>
      </c>
      <c r="P43" s="31">
        <f>N43-O43</f>
        <v/>
      </c>
      <c r="Q43" s="32" t="n"/>
      <c r="R43" s="32" t="n"/>
      <c r="S43" s="32" t="n"/>
      <c r="T43" s="33" t="n"/>
      <c r="U43" s="40">
        <f>'S03'!T43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'S03'!M44+L44</f>
        <v/>
      </c>
      <c r="N44" s="36">
        <f>IFERROR(M44/K44,0)</f>
        <v/>
      </c>
      <c r="O44" s="42">
        <f>'S03'!N44</f>
        <v/>
      </c>
      <c r="P44" s="36">
        <f>N44-O44</f>
        <v/>
      </c>
      <c r="Q44" s="32" t="n"/>
      <c r="R44" s="32" t="n"/>
      <c r="S44" s="32" t="n"/>
      <c r="T44" s="33" t="n"/>
      <c r="U44" s="42">
        <f>'S03'!T44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'S03'!M45+L45</f>
        <v/>
      </c>
      <c r="N45" s="31">
        <f>IFERROR(M45/K45,0)</f>
        <v/>
      </c>
      <c r="O45" s="40">
        <f>'S03'!N45</f>
        <v/>
      </c>
      <c r="P45" s="31">
        <f>N45-O45</f>
        <v/>
      </c>
      <c r="Q45" s="32" t="n"/>
      <c r="R45" s="32" t="n"/>
      <c r="S45" s="32" t="n"/>
      <c r="T45" s="33" t="n"/>
      <c r="U45" s="40">
        <f>'S03'!T45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'S03'!M46+L46</f>
        <v/>
      </c>
      <c r="N46" s="36">
        <f>IFERROR(M46/K46,0)</f>
        <v/>
      </c>
      <c r="O46" s="42">
        <f>'S03'!N46</f>
        <v/>
      </c>
      <c r="P46" s="36">
        <f>N46-O46</f>
        <v/>
      </c>
      <c r="Q46" s="32" t="n"/>
      <c r="R46" s="32" t="n"/>
      <c r="S46" s="32" t="n"/>
      <c r="T46" s="33" t="n"/>
      <c r="U46" s="42">
        <f>'S03'!T46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'S03'!M47+L47</f>
        <v/>
      </c>
      <c r="N47" s="31">
        <f>IFERROR(M47/K47,0)</f>
        <v/>
      </c>
      <c r="O47" s="40">
        <f>'S03'!N47</f>
        <v/>
      </c>
      <c r="P47" s="31">
        <f>N47-O47</f>
        <v/>
      </c>
      <c r="Q47" s="32" t="n"/>
      <c r="R47" s="32" t="n"/>
      <c r="S47" s="32" t="n"/>
      <c r="T47" s="33" t="n"/>
      <c r="U47" s="40">
        <f>'S03'!T47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'S03'!M48+L48</f>
        <v/>
      </c>
      <c r="N48" s="36">
        <f>IFERROR(M48/K48,0)</f>
        <v/>
      </c>
      <c r="O48" s="42">
        <f>'S03'!N48</f>
        <v/>
      </c>
      <c r="P48" s="36">
        <f>N48-O48</f>
        <v/>
      </c>
      <c r="Q48" s="32" t="n"/>
      <c r="R48" s="32" t="n"/>
      <c r="S48" s="32" t="n"/>
      <c r="T48" s="33" t="n"/>
      <c r="U48" s="42">
        <f>'S03'!T48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'S03'!M49+L49</f>
        <v/>
      </c>
      <c r="N49" s="31">
        <f>IFERROR(M49/K49,0)</f>
        <v/>
      </c>
      <c r="O49" s="40">
        <f>'S03'!N49</f>
        <v/>
      </c>
      <c r="P49" s="31">
        <f>N49-O49</f>
        <v/>
      </c>
      <c r="Q49" s="32" t="n"/>
      <c r="R49" s="32" t="n"/>
      <c r="S49" s="32" t="n"/>
      <c r="T49" s="33" t="n"/>
      <c r="U49" s="40">
        <f>'S03'!T49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'S03'!M50+L50</f>
        <v/>
      </c>
      <c r="N50" s="36">
        <f>IFERROR(M50/K50,0)</f>
        <v/>
      </c>
      <c r="O50" s="42">
        <f>'S03'!N50</f>
        <v/>
      </c>
      <c r="P50" s="36">
        <f>N50-O50</f>
        <v/>
      </c>
      <c r="Q50" s="32" t="n"/>
      <c r="R50" s="32" t="n"/>
      <c r="S50" s="32" t="n"/>
      <c r="T50" s="33" t="n"/>
      <c r="U50" s="42">
        <f>'S03'!T50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'S03'!M51+L51</f>
        <v/>
      </c>
      <c r="N51" s="31">
        <f>IFERROR(M51/K51,0)</f>
        <v/>
      </c>
      <c r="O51" s="40">
        <f>'S03'!N51</f>
        <v/>
      </c>
      <c r="P51" s="31">
        <f>N51-O51</f>
        <v/>
      </c>
      <c r="Q51" s="32" t="n"/>
      <c r="R51" s="32" t="n"/>
      <c r="S51" s="32" t="n"/>
      <c r="T51" s="33" t="n"/>
      <c r="U51" s="40">
        <f>'S03'!T51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'S03'!M52+L52</f>
        <v/>
      </c>
      <c r="N52" s="36">
        <f>IFERROR(M52/K52,0)</f>
        <v/>
      </c>
      <c r="O52" s="42">
        <f>'S03'!N52</f>
        <v/>
      </c>
      <c r="P52" s="36">
        <f>N52-O52</f>
        <v/>
      </c>
      <c r="Q52" s="32" t="n"/>
      <c r="R52" s="32" t="n"/>
      <c r="S52" s="32" t="n"/>
      <c r="T52" s="33" t="n"/>
      <c r="U52" s="42">
        <f>'S03'!T52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'S03'!M53+L53</f>
        <v/>
      </c>
      <c r="N53" s="31">
        <f>IFERROR(M53/K53,0)</f>
        <v/>
      </c>
      <c r="O53" s="40">
        <f>'S03'!N53</f>
        <v/>
      </c>
      <c r="P53" s="31">
        <f>N53-O53</f>
        <v/>
      </c>
      <c r="Q53" s="32" t="n"/>
      <c r="R53" s="32" t="n"/>
      <c r="S53" s="32" t="n"/>
      <c r="T53" s="33" t="n"/>
      <c r="U53" s="40">
        <f>'S03'!T53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'S03'!M54+L54</f>
        <v/>
      </c>
      <c r="N54" s="36">
        <f>IFERROR(M54/K54,0)</f>
        <v/>
      </c>
      <c r="O54" s="42">
        <f>'S03'!N54</f>
        <v/>
      </c>
      <c r="P54" s="36">
        <f>N54-O54</f>
        <v/>
      </c>
      <c r="Q54" s="32" t="n"/>
      <c r="R54" s="32" t="n"/>
      <c r="S54" s="32" t="n"/>
      <c r="T54" s="33" t="n"/>
      <c r="U54" s="42">
        <f>'S03'!T54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'S03'!M55+L55</f>
        <v/>
      </c>
      <c r="N55" s="31">
        <f>IFERROR(M55/K55,0)</f>
        <v/>
      </c>
      <c r="O55" s="40">
        <f>'S03'!N55</f>
        <v/>
      </c>
      <c r="P55" s="31">
        <f>N55-O55</f>
        <v/>
      </c>
      <c r="Q55" s="32" t="n"/>
      <c r="R55" s="32" t="n"/>
      <c r="S55" s="32" t="n"/>
      <c r="T55" s="33" t="n"/>
      <c r="U55" s="40">
        <f>'S03'!T55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'S03'!M56+L56</f>
        <v/>
      </c>
      <c r="N56" s="36">
        <f>IFERROR(M56/K56,0)</f>
        <v/>
      </c>
      <c r="O56" s="42">
        <f>'S03'!N56</f>
        <v/>
      </c>
      <c r="P56" s="36">
        <f>N56-O56</f>
        <v/>
      </c>
      <c r="Q56" s="32" t="n"/>
      <c r="R56" s="32" t="n"/>
      <c r="S56" s="32" t="n"/>
      <c r="T56" s="33" t="n"/>
      <c r="U56" s="42">
        <f>'S03'!T56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'S03'!M57+L57</f>
        <v/>
      </c>
      <c r="N57" s="31">
        <f>IFERROR(M57/K57,0)</f>
        <v/>
      </c>
      <c r="O57" s="40">
        <f>'S03'!N57</f>
        <v/>
      </c>
      <c r="P57" s="31">
        <f>N57-O57</f>
        <v/>
      </c>
      <c r="Q57" s="32" t="n"/>
      <c r="R57" s="32" t="n"/>
      <c r="S57" s="32" t="n"/>
      <c r="T57" s="33" t="n"/>
      <c r="U57" s="40">
        <f>'S03'!T57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'S03'!M58+L58</f>
        <v/>
      </c>
      <c r="N58" s="36">
        <f>IFERROR(M58/K58,0)</f>
        <v/>
      </c>
      <c r="O58" s="42">
        <f>'S03'!N58</f>
        <v/>
      </c>
      <c r="P58" s="36">
        <f>N58-O58</f>
        <v/>
      </c>
      <c r="Q58" s="32" t="n"/>
      <c r="R58" s="32" t="n"/>
      <c r="S58" s="32" t="n"/>
      <c r="T58" s="33" t="n"/>
      <c r="U58" s="42">
        <f>'S03'!T58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'S03'!M59+L59</f>
        <v/>
      </c>
      <c r="N59" s="31">
        <f>IFERROR(M59/K59,0)</f>
        <v/>
      </c>
      <c r="O59" s="40">
        <f>'S03'!N59</f>
        <v/>
      </c>
      <c r="P59" s="31">
        <f>N59-O59</f>
        <v/>
      </c>
      <c r="Q59" s="32" t="n"/>
      <c r="R59" s="32" t="n"/>
      <c r="S59" s="32" t="n"/>
      <c r="T59" s="33" t="n"/>
      <c r="U59" s="40">
        <f>'S03'!T59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'S03'!M60+L60</f>
        <v/>
      </c>
      <c r="N60" s="36">
        <f>IFERROR(M60/K60,0)</f>
        <v/>
      </c>
      <c r="O60" s="42">
        <f>'S03'!N60</f>
        <v/>
      </c>
      <c r="P60" s="36">
        <f>N60-O60</f>
        <v/>
      </c>
      <c r="Q60" s="32" t="n"/>
      <c r="R60" s="32" t="n"/>
      <c r="S60" s="32" t="n"/>
      <c r="T60" s="33" t="n"/>
      <c r="U60" s="42">
        <f>'S03'!T60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'S03'!M61+L61</f>
        <v/>
      </c>
      <c r="N61" s="31">
        <f>IFERROR(M61/K61,0)</f>
        <v/>
      </c>
      <c r="O61" s="40">
        <f>'S03'!N61</f>
        <v/>
      </c>
      <c r="P61" s="31">
        <f>N61-O61</f>
        <v/>
      </c>
      <c r="Q61" s="32" t="n"/>
      <c r="R61" s="32" t="n"/>
      <c r="S61" s="32" t="n"/>
      <c r="T61" s="33" t="n"/>
      <c r="U61" s="40">
        <f>'S03'!T61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'S03'!M62+L62</f>
        <v/>
      </c>
      <c r="N62" s="36">
        <f>IFERROR(M62/K62,0)</f>
        <v/>
      </c>
      <c r="O62" s="42">
        <f>'S03'!N62</f>
        <v/>
      </c>
      <c r="P62" s="36">
        <f>N62-O62</f>
        <v/>
      </c>
      <c r="Q62" s="32" t="n"/>
      <c r="R62" s="32" t="n"/>
      <c r="S62" s="32" t="n"/>
      <c r="T62" s="33" t="n"/>
      <c r="U62" s="42">
        <f>'S03'!T62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'S03'!M63+L63</f>
        <v/>
      </c>
      <c r="N63" s="31">
        <f>IFERROR(M63/K63,0)</f>
        <v/>
      </c>
      <c r="O63" s="40">
        <f>'S03'!N63</f>
        <v/>
      </c>
      <c r="P63" s="31">
        <f>N63-O63</f>
        <v/>
      </c>
      <c r="Q63" s="32" t="n"/>
      <c r="R63" s="32" t="n"/>
      <c r="S63" s="32" t="n"/>
      <c r="T63" s="33" t="n"/>
      <c r="U63" s="40">
        <f>'S03'!T63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'S03'!M64+L64</f>
        <v/>
      </c>
      <c r="N64" s="36">
        <f>IFERROR(M64/K64,0)</f>
        <v/>
      </c>
      <c r="O64" s="42">
        <f>'S03'!N64</f>
        <v/>
      </c>
      <c r="P64" s="36">
        <f>N64-O64</f>
        <v/>
      </c>
      <c r="Q64" s="32" t="n"/>
      <c r="R64" s="32" t="n"/>
      <c r="S64" s="32" t="n"/>
      <c r="T64" s="33" t="n"/>
      <c r="U64" s="42">
        <f>'S03'!T64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'S03'!M65+L65</f>
        <v/>
      </c>
      <c r="N65" s="31">
        <f>IFERROR(M65/K65,0)</f>
        <v/>
      </c>
      <c r="O65" s="40">
        <f>'S03'!N65</f>
        <v/>
      </c>
      <c r="P65" s="31">
        <f>N65-O65</f>
        <v/>
      </c>
      <c r="Q65" s="32" t="n"/>
      <c r="R65" s="32" t="n"/>
      <c r="S65" s="32" t="n"/>
      <c r="T65" s="33" t="n"/>
      <c r="U65" s="40">
        <f>'S03'!T65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'S03'!M66+L66</f>
        <v/>
      </c>
      <c r="N66" s="36">
        <f>IFERROR(M66/K66,0)</f>
        <v/>
      </c>
      <c r="O66" s="42">
        <f>'S03'!N66</f>
        <v/>
      </c>
      <c r="P66" s="36">
        <f>N66-O66</f>
        <v/>
      </c>
      <c r="Q66" s="32" t="n"/>
      <c r="R66" s="32" t="n"/>
      <c r="S66" s="32" t="n"/>
      <c r="T66" s="33" t="n"/>
      <c r="U66" s="42">
        <f>'S03'!T66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'S03'!M67+L67</f>
        <v/>
      </c>
      <c r="N67" s="31">
        <f>IFERROR(M67/K67,0)</f>
        <v/>
      </c>
      <c r="O67" s="40">
        <f>'S03'!N67</f>
        <v/>
      </c>
      <c r="P67" s="31">
        <f>N67-O67</f>
        <v/>
      </c>
      <c r="Q67" s="32" t="n"/>
      <c r="R67" s="32" t="n"/>
      <c r="S67" s="32" t="n"/>
      <c r="T67" s="33" t="n"/>
      <c r="U67" s="40">
        <f>'S03'!T67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'S03'!M68+L68</f>
        <v/>
      </c>
      <c r="N68" s="36">
        <f>IFERROR(M68/K68,0)</f>
        <v/>
      </c>
      <c r="O68" s="42">
        <f>'S03'!N68</f>
        <v/>
      </c>
      <c r="P68" s="36">
        <f>N68-O68</f>
        <v/>
      </c>
      <c r="Q68" s="32" t="n"/>
      <c r="R68" s="32" t="n"/>
      <c r="S68" s="32" t="n"/>
      <c r="T68" s="33" t="n"/>
      <c r="U68" s="42">
        <f>'S03'!T68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'S03'!M69+L69</f>
        <v/>
      </c>
      <c r="N69" s="31">
        <f>IFERROR(M69/K69,0)</f>
        <v/>
      </c>
      <c r="O69" s="40">
        <f>'S03'!N69</f>
        <v/>
      </c>
      <c r="P69" s="31">
        <f>N69-O69</f>
        <v/>
      </c>
      <c r="Q69" s="32" t="n"/>
      <c r="R69" s="32" t="n"/>
      <c r="S69" s="32" t="n"/>
      <c r="T69" s="33" t="n"/>
      <c r="U69" s="40">
        <f>'S03'!T69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'S03'!M70+L70</f>
        <v/>
      </c>
      <c r="N70" s="36">
        <f>IFERROR(M70/K70,0)</f>
        <v/>
      </c>
      <c r="O70" s="42">
        <f>'S03'!N70</f>
        <v/>
      </c>
      <c r="P70" s="36">
        <f>N70-O70</f>
        <v/>
      </c>
      <c r="Q70" s="32" t="n"/>
      <c r="R70" s="32" t="n"/>
      <c r="S70" s="32" t="n"/>
      <c r="T70" s="33" t="n"/>
      <c r="U70" s="42">
        <f>'S03'!T70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'S03'!M71+L71</f>
        <v/>
      </c>
      <c r="N71" s="31">
        <f>IFERROR(M71/K71,0)</f>
        <v/>
      </c>
      <c r="O71" s="40">
        <f>'S03'!N71</f>
        <v/>
      </c>
      <c r="P71" s="31">
        <f>N71-O71</f>
        <v/>
      </c>
      <c r="Q71" s="32" t="n"/>
      <c r="R71" s="32" t="n"/>
      <c r="S71" s="32" t="n"/>
      <c r="T71" s="33" t="n"/>
      <c r="U71" s="40">
        <f>'S03'!T71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'S03'!M72+L72</f>
        <v/>
      </c>
      <c r="N72" s="36">
        <f>IFERROR(M72/K72,0)</f>
        <v/>
      </c>
      <c r="O72" s="42">
        <f>'S03'!N72</f>
        <v/>
      </c>
      <c r="P72" s="36">
        <f>N72-O72</f>
        <v/>
      </c>
      <c r="Q72" s="32" t="n"/>
      <c r="R72" s="32" t="n"/>
      <c r="S72" s="32" t="n"/>
      <c r="T72" s="33" t="n"/>
      <c r="U72" s="42">
        <f>'S03'!T72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'S03'!M73+L73</f>
        <v/>
      </c>
      <c r="N73" s="31">
        <f>IFERROR(M73/K73,0)</f>
        <v/>
      </c>
      <c r="O73" s="40">
        <f>'S03'!N73</f>
        <v/>
      </c>
      <c r="P73" s="31">
        <f>N73-O73</f>
        <v/>
      </c>
      <c r="Q73" s="32" t="n"/>
      <c r="R73" s="32" t="n"/>
      <c r="S73" s="32" t="n"/>
      <c r="T73" s="33" t="n"/>
      <c r="U73" s="40">
        <f>'S03'!T73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'S03'!M74+L74</f>
        <v/>
      </c>
      <c r="N74" s="36">
        <f>IFERROR(M74/K74,0)</f>
        <v/>
      </c>
      <c r="O74" s="42">
        <f>'S03'!N74</f>
        <v/>
      </c>
      <c r="P74" s="36">
        <f>N74-O74</f>
        <v/>
      </c>
      <c r="Q74" s="32" t="n"/>
      <c r="R74" s="32" t="n"/>
      <c r="S74" s="32" t="n"/>
      <c r="T74" s="33" t="n"/>
      <c r="U74" s="42">
        <f>'S03'!T74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'S03'!M75+L75</f>
        <v/>
      </c>
      <c r="N75" s="31">
        <f>IFERROR(M75/K75,0)</f>
        <v/>
      </c>
      <c r="O75" s="40">
        <f>'S03'!N75</f>
        <v/>
      </c>
      <c r="P75" s="31">
        <f>N75-O75</f>
        <v/>
      </c>
      <c r="Q75" s="32" t="n"/>
      <c r="R75" s="32" t="n"/>
      <c r="S75" s="32" t="n"/>
      <c r="T75" s="33" t="n"/>
      <c r="U75" s="40">
        <f>'S03'!T75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'S03'!M76+L76</f>
        <v/>
      </c>
      <c r="N76" s="36">
        <f>IFERROR(M76/K76,0)</f>
        <v/>
      </c>
      <c r="O76" s="42">
        <f>'S03'!N76</f>
        <v/>
      </c>
      <c r="P76" s="36">
        <f>N76-O76</f>
        <v/>
      </c>
      <c r="Q76" s="32" t="n"/>
      <c r="R76" s="32" t="n"/>
      <c r="S76" s="32" t="n"/>
      <c r="T76" s="33" t="n"/>
      <c r="U76" s="42">
        <f>'S03'!T76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5 (26/01 - 01/02) — Janvier 2026 - Exécution Physique et Financière</t>
        </is>
      </c>
    </row>
    <row r="3" ht="22" customHeight="1">
      <c r="B3" s="20" t="inlineStr">
        <is>
          <t>Date :</t>
        </is>
      </c>
      <c r="C3" s="21" t="n">
        <v>46048</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'S04'!M5+L5</f>
        <v/>
      </c>
      <c r="N5" s="31">
        <f>IFERROR(M5/K5,0)</f>
        <v/>
      </c>
      <c r="O5" s="40">
        <f>'S04'!N5</f>
        <v/>
      </c>
      <c r="P5" s="31">
        <f>N5-O5</f>
        <v/>
      </c>
      <c r="Q5" s="32" t="n"/>
      <c r="R5" s="32" t="n"/>
      <c r="S5" s="32" t="n"/>
      <c r="T5" s="33" t="n"/>
      <c r="U5" s="40">
        <f>'S04'!T5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'S04'!M6+L6</f>
        <v/>
      </c>
      <c r="N6" s="36">
        <f>IFERROR(M6/K6,0)</f>
        <v/>
      </c>
      <c r="O6" s="42">
        <f>'S04'!N6</f>
        <v/>
      </c>
      <c r="P6" s="36">
        <f>N6-O6</f>
        <v/>
      </c>
      <c r="Q6" s="32" t="n"/>
      <c r="R6" s="32" t="n"/>
      <c r="S6" s="32" t="n"/>
      <c r="T6" s="33" t="n"/>
      <c r="U6" s="42">
        <f>'S04'!T6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'S04'!M7+L7</f>
        <v/>
      </c>
      <c r="N7" s="31">
        <f>IFERROR(M7/K7,0)</f>
        <v/>
      </c>
      <c r="O7" s="40">
        <f>'S04'!N7</f>
        <v/>
      </c>
      <c r="P7" s="31">
        <f>N7-O7</f>
        <v/>
      </c>
      <c r="Q7" s="32" t="n"/>
      <c r="R7" s="32" t="n"/>
      <c r="S7" s="32" t="n"/>
      <c r="T7" s="33" t="n"/>
      <c r="U7" s="40">
        <f>'S04'!T7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'S04'!M8+L8</f>
        <v/>
      </c>
      <c r="N8" s="36">
        <f>IFERROR(M8/K8,0)</f>
        <v/>
      </c>
      <c r="O8" s="42">
        <f>'S04'!N8</f>
        <v/>
      </c>
      <c r="P8" s="36">
        <f>N8-O8</f>
        <v/>
      </c>
      <c r="Q8" s="32" t="n"/>
      <c r="R8" s="32" t="n"/>
      <c r="S8" s="32" t="n"/>
      <c r="T8" s="33" t="n"/>
      <c r="U8" s="42">
        <f>'S04'!T8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'S04'!M9+L9</f>
        <v/>
      </c>
      <c r="N9" s="31">
        <f>IFERROR(M9/K9,0)</f>
        <v/>
      </c>
      <c r="O9" s="40">
        <f>'S04'!N9</f>
        <v/>
      </c>
      <c r="P9" s="31">
        <f>N9-O9</f>
        <v/>
      </c>
      <c r="Q9" s="32" t="n"/>
      <c r="R9" s="32" t="n"/>
      <c r="S9" s="32" t="n"/>
      <c r="T9" s="33" t="n"/>
      <c r="U9" s="40">
        <f>'S04'!T9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'S04'!M10+L10</f>
        <v/>
      </c>
      <c r="N10" s="36">
        <f>IFERROR(M10/K10,0)</f>
        <v/>
      </c>
      <c r="O10" s="42">
        <f>'S04'!N10</f>
        <v/>
      </c>
      <c r="P10" s="36">
        <f>N10-O10</f>
        <v/>
      </c>
      <c r="Q10" s="32" t="n"/>
      <c r="R10" s="32" t="n"/>
      <c r="S10" s="32" t="n"/>
      <c r="T10" s="33" t="n"/>
      <c r="U10" s="42">
        <f>'S04'!T10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'S04'!M11+L11</f>
        <v/>
      </c>
      <c r="N11" s="31">
        <f>IFERROR(M11/K11,0)</f>
        <v/>
      </c>
      <c r="O11" s="40">
        <f>'S04'!N11</f>
        <v/>
      </c>
      <c r="P11" s="31">
        <f>N11-O11</f>
        <v/>
      </c>
      <c r="Q11" s="32" t="n"/>
      <c r="R11" s="32" t="n"/>
      <c r="S11" s="32" t="n"/>
      <c r="T11" s="33" t="n"/>
      <c r="U11" s="40">
        <f>'S04'!T11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'S04'!M12+L12</f>
        <v/>
      </c>
      <c r="N12" s="36">
        <f>IFERROR(M12/K12,0)</f>
        <v/>
      </c>
      <c r="O12" s="42">
        <f>'S04'!N12</f>
        <v/>
      </c>
      <c r="P12" s="36">
        <f>N12-O12</f>
        <v/>
      </c>
      <c r="Q12" s="32" t="n"/>
      <c r="R12" s="32" t="n"/>
      <c r="S12" s="32" t="n"/>
      <c r="T12" s="33" t="n"/>
      <c r="U12" s="42">
        <f>'S04'!T12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'S04'!M13+L13</f>
        <v/>
      </c>
      <c r="N13" s="31">
        <f>IFERROR(M13/K13,0)</f>
        <v/>
      </c>
      <c r="O13" s="40">
        <f>'S04'!N13</f>
        <v/>
      </c>
      <c r="P13" s="31">
        <f>N13-O13</f>
        <v/>
      </c>
      <c r="Q13" s="32" t="n"/>
      <c r="R13" s="32" t="n"/>
      <c r="S13" s="32" t="n"/>
      <c r="T13" s="33" t="n"/>
      <c r="U13" s="40">
        <f>'S04'!T13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'S04'!M14+L14</f>
        <v/>
      </c>
      <c r="N14" s="36">
        <f>IFERROR(M14/K14,0)</f>
        <v/>
      </c>
      <c r="O14" s="42">
        <f>'S04'!N14</f>
        <v/>
      </c>
      <c r="P14" s="36">
        <f>N14-O14</f>
        <v/>
      </c>
      <c r="Q14" s="32" t="n"/>
      <c r="R14" s="32" t="n"/>
      <c r="S14" s="32" t="n"/>
      <c r="T14" s="33" t="n"/>
      <c r="U14" s="42">
        <f>'S04'!T14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'S04'!M15+L15</f>
        <v/>
      </c>
      <c r="N15" s="31">
        <f>IFERROR(M15/K15,0)</f>
        <v/>
      </c>
      <c r="O15" s="40">
        <f>'S04'!N15</f>
        <v/>
      </c>
      <c r="P15" s="31">
        <f>N15-O15</f>
        <v/>
      </c>
      <c r="Q15" s="32" t="n"/>
      <c r="R15" s="32" t="n"/>
      <c r="S15" s="32" t="n"/>
      <c r="T15" s="33" t="n"/>
      <c r="U15" s="40">
        <f>'S04'!T15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'S04'!M16+L16</f>
        <v/>
      </c>
      <c r="N16" s="36">
        <f>IFERROR(M16/K16,0)</f>
        <v/>
      </c>
      <c r="O16" s="42">
        <f>'S04'!N16</f>
        <v/>
      </c>
      <c r="P16" s="36">
        <f>N16-O16</f>
        <v/>
      </c>
      <c r="Q16" s="32" t="n"/>
      <c r="R16" s="32" t="n"/>
      <c r="S16" s="32" t="n"/>
      <c r="T16" s="33" t="n"/>
      <c r="U16" s="42">
        <f>'S04'!T16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'S04'!M17+L17</f>
        <v/>
      </c>
      <c r="N17" s="31">
        <f>IFERROR(M17/K17,0)</f>
        <v/>
      </c>
      <c r="O17" s="40">
        <f>'S04'!N17</f>
        <v/>
      </c>
      <c r="P17" s="31">
        <f>N17-O17</f>
        <v/>
      </c>
      <c r="Q17" s="32" t="n"/>
      <c r="R17" s="32" t="n"/>
      <c r="S17" s="32" t="n"/>
      <c r="T17" s="33" t="n"/>
      <c r="U17" s="40">
        <f>'S04'!T17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'S04'!M18+L18</f>
        <v/>
      </c>
      <c r="N18" s="36">
        <f>IFERROR(M18/K18,0)</f>
        <v/>
      </c>
      <c r="O18" s="42">
        <f>'S04'!N18</f>
        <v/>
      </c>
      <c r="P18" s="36">
        <f>N18-O18</f>
        <v/>
      </c>
      <c r="Q18" s="32" t="n"/>
      <c r="R18" s="32" t="n"/>
      <c r="S18" s="32" t="n"/>
      <c r="T18" s="33" t="n"/>
      <c r="U18" s="42">
        <f>'S04'!T18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'S04'!M19+L19</f>
        <v/>
      </c>
      <c r="N19" s="31">
        <f>IFERROR(M19/K19,0)</f>
        <v/>
      </c>
      <c r="O19" s="40">
        <f>'S04'!N19</f>
        <v/>
      </c>
      <c r="P19" s="31">
        <f>N19-O19</f>
        <v/>
      </c>
      <c r="Q19" s="32" t="n"/>
      <c r="R19" s="32" t="n"/>
      <c r="S19" s="32" t="n"/>
      <c r="T19" s="33" t="n"/>
      <c r="U19" s="40">
        <f>'S04'!T19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'S04'!M20+L20</f>
        <v/>
      </c>
      <c r="N20" s="36">
        <f>IFERROR(M20/K20,0)</f>
        <v/>
      </c>
      <c r="O20" s="42">
        <f>'S04'!N20</f>
        <v/>
      </c>
      <c r="P20" s="36">
        <f>N20-O20</f>
        <v/>
      </c>
      <c r="Q20" s="32" t="n"/>
      <c r="R20" s="32" t="n"/>
      <c r="S20" s="32" t="n"/>
      <c r="T20" s="33" t="n"/>
      <c r="U20" s="42">
        <f>'S04'!T20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'S04'!M21+L21</f>
        <v/>
      </c>
      <c r="N21" s="31">
        <f>IFERROR(M21/K21,0)</f>
        <v/>
      </c>
      <c r="O21" s="40">
        <f>'S04'!N21</f>
        <v/>
      </c>
      <c r="P21" s="31">
        <f>N21-O21</f>
        <v/>
      </c>
      <c r="Q21" s="32" t="n"/>
      <c r="R21" s="32" t="n"/>
      <c r="S21" s="32" t="n"/>
      <c r="T21" s="33" t="n"/>
      <c r="U21" s="40">
        <f>'S04'!T21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'S04'!M22+L22</f>
        <v/>
      </c>
      <c r="N22" s="36">
        <f>IFERROR(M22/K22,0)</f>
        <v/>
      </c>
      <c r="O22" s="42">
        <f>'S04'!N22</f>
        <v/>
      </c>
      <c r="P22" s="36">
        <f>N22-O22</f>
        <v/>
      </c>
      <c r="Q22" s="32" t="n"/>
      <c r="R22" s="32" t="n"/>
      <c r="S22" s="32" t="n"/>
      <c r="T22" s="33" t="n"/>
      <c r="U22" s="42">
        <f>'S04'!T22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'S04'!M23+L23</f>
        <v/>
      </c>
      <c r="N23" s="31">
        <f>IFERROR(M23/K23,0)</f>
        <v/>
      </c>
      <c r="O23" s="40">
        <f>'S04'!N23</f>
        <v/>
      </c>
      <c r="P23" s="31">
        <f>N23-O23</f>
        <v/>
      </c>
      <c r="Q23" s="32" t="n"/>
      <c r="R23" s="32" t="n"/>
      <c r="S23" s="32" t="n"/>
      <c r="T23" s="33" t="n"/>
      <c r="U23" s="40">
        <f>'S04'!T23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'S04'!M24+L24</f>
        <v/>
      </c>
      <c r="N24" s="36">
        <f>IFERROR(M24/K24,0)</f>
        <v/>
      </c>
      <c r="O24" s="42">
        <f>'S04'!N24</f>
        <v/>
      </c>
      <c r="P24" s="36">
        <f>N24-O24</f>
        <v/>
      </c>
      <c r="Q24" s="32" t="n"/>
      <c r="R24" s="32" t="n"/>
      <c r="S24" s="32" t="n"/>
      <c r="T24" s="33" t="n"/>
      <c r="U24" s="42">
        <f>'S04'!T24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'S04'!M25+L25</f>
        <v/>
      </c>
      <c r="N25" s="31">
        <f>IFERROR(M25/K25,0)</f>
        <v/>
      </c>
      <c r="O25" s="40">
        <f>'S04'!N25</f>
        <v/>
      </c>
      <c r="P25" s="31">
        <f>N25-O25</f>
        <v/>
      </c>
      <c r="Q25" s="32" t="n"/>
      <c r="R25" s="32" t="n"/>
      <c r="S25" s="32" t="n"/>
      <c r="T25" s="33" t="n"/>
      <c r="U25" s="40">
        <f>'S04'!T25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'S04'!M26+L26</f>
        <v/>
      </c>
      <c r="N26" s="36">
        <f>IFERROR(M26/K26,0)</f>
        <v/>
      </c>
      <c r="O26" s="42">
        <f>'S04'!N26</f>
        <v/>
      </c>
      <c r="P26" s="36">
        <f>N26-O26</f>
        <v/>
      </c>
      <c r="Q26" s="32" t="n"/>
      <c r="R26" s="32" t="n"/>
      <c r="S26" s="32" t="n"/>
      <c r="T26" s="33" t="n"/>
      <c r="U26" s="42">
        <f>'S04'!T26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'S04'!M27+L27</f>
        <v/>
      </c>
      <c r="N27" s="31">
        <f>IFERROR(M27/K27,0)</f>
        <v/>
      </c>
      <c r="O27" s="40">
        <f>'S04'!N27</f>
        <v/>
      </c>
      <c r="P27" s="31">
        <f>N27-O27</f>
        <v/>
      </c>
      <c r="Q27" s="32" t="n"/>
      <c r="R27" s="32" t="n"/>
      <c r="S27" s="32" t="n"/>
      <c r="T27" s="33" t="n"/>
      <c r="U27" s="40">
        <f>'S04'!T27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'S04'!M28+L28</f>
        <v/>
      </c>
      <c r="N28" s="36">
        <f>IFERROR(M28/K28,0)</f>
        <v/>
      </c>
      <c r="O28" s="42">
        <f>'S04'!N28</f>
        <v/>
      </c>
      <c r="P28" s="36">
        <f>N28-O28</f>
        <v/>
      </c>
      <c r="Q28" s="32" t="n"/>
      <c r="R28" s="32" t="n"/>
      <c r="S28" s="32" t="n"/>
      <c r="T28" s="33" t="n"/>
      <c r="U28" s="42">
        <f>'S04'!T28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'S04'!M29+L29</f>
        <v/>
      </c>
      <c r="N29" s="31">
        <f>IFERROR(M29/K29,0)</f>
        <v/>
      </c>
      <c r="O29" s="40">
        <f>'S04'!N29</f>
        <v/>
      </c>
      <c r="P29" s="31">
        <f>N29-O29</f>
        <v/>
      </c>
      <c r="Q29" s="32" t="n"/>
      <c r="R29" s="32" t="n"/>
      <c r="S29" s="32" t="n"/>
      <c r="T29" s="33" t="n"/>
      <c r="U29" s="40">
        <f>'S04'!T29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'S04'!M30+L30</f>
        <v/>
      </c>
      <c r="N30" s="36">
        <f>IFERROR(M30/K30,0)</f>
        <v/>
      </c>
      <c r="O30" s="42">
        <f>'S04'!N30</f>
        <v/>
      </c>
      <c r="P30" s="36">
        <f>N30-O30</f>
        <v/>
      </c>
      <c r="Q30" s="32" t="n"/>
      <c r="R30" s="32" t="n"/>
      <c r="S30" s="32" t="n"/>
      <c r="T30" s="33" t="n"/>
      <c r="U30" s="42">
        <f>'S04'!T30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'S04'!M31+L31</f>
        <v/>
      </c>
      <c r="N31" s="31">
        <f>IFERROR(M31/K31,0)</f>
        <v/>
      </c>
      <c r="O31" s="40">
        <f>'S04'!N31</f>
        <v/>
      </c>
      <c r="P31" s="31">
        <f>N31-O31</f>
        <v/>
      </c>
      <c r="Q31" s="32" t="n"/>
      <c r="R31" s="32" t="n"/>
      <c r="S31" s="32" t="n"/>
      <c r="T31" s="33" t="n"/>
      <c r="U31" s="40">
        <f>'S04'!T31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'S04'!M32+L32</f>
        <v/>
      </c>
      <c r="N32" s="36">
        <f>IFERROR(M32/K32,0)</f>
        <v/>
      </c>
      <c r="O32" s="42">
        <f>'S04'!N32</f>
        <v/>
      </c>
      <c r="P32" s="36">
        <f>N32-O32</f>
        <v/>
      </c>
      <c r="Q32" s="32" t="n"/>
      <c r="R32" s="32" t="n"/>
      <c r="S32" s="32" t="n"/>
      <c r="T32" s="33" t="n"/>
      <c r="U32" s="42">
        <f>'S04'!T32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'S04'!M33+L33</f>
        <v/>
      </c>
      <c r="N33" s="31">
        <f>IFERROR(M33/K33,0)</f>
        <v/>
      </c>
      <c r="O33" s="40">
        <f>'S04'!N33</f>
        <v/>
      </c>
      <c r="P33" s="31">
        <f>N33-O33</f>
        <v/>
      </c>
      <c r="Q33" s="32" t="n"/>
      <c r="R33" s="32" t="n"/>
      <c r="S33" s="32" t="n"/>
      <c r="T33" s="33" t="n"/>
      <c r="U33" s="40">
        <f>'S04'!T33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'S04'!M34+L34</f>
        <v/>
      </c>
      <c r="N34" s="36">
        <f>IFERROR(M34/K34,0)</f>
        <v/>
      </c>
      <c r="O34" s="42">
        <f>'S04'!N34</f>
        <v/>
      </c>
      <c r="P34" s="36">
        <f>N34-O34</f>
        <v/>
      </c>
      <c r="Q34" s="32" t="n"/>
      <c r="R34" s="32" t="n"/>
      <c r="S34" s="32" t="n"/>
      <c r="T34" s="33" t="n"/>
      <c r="U34" s="42">
        <f>'S04'!T34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'S04'!M35+L35</f>
        <v/>
      </c>
      <c r="N35" s="31">
        <f>IFERROR(M35/K35,0)</f>
        <v/>
      </c>
      <c r="O35" s="40">
        <f>'S04'!N35</f>
        <v/>
      </c>
      <c r="P35" s="31">
        <f>N35-O35</f>
        <v/>
      </c>
      <c r="Q35" s="32" t="n"/>
      <c r="R35" s="32" t="n"/>
      <c r="S35" s="32" t="n"/>
      <c r="T35" s="33" t="n"/>
      <c r="U35" s="40">
        <f>'S04'!T35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'S04'!M36+L36</f>
        <v/>
      </c>
      <c r="N36" s="36">
        <f>IFERROR(M36/K36,0)</f>
        <v/>
      </c>
      <c r="O36" s="42">
        <f>'S04'!N36</f>
        <v/>
      </c>
      <c r="P36" s="36">
        <f>N36-O36</f>
        <v/>
      </c>
      <c r="Q36" s="32" t="n"/>
      <c r="R36" s="32" t="n"/>
      <c r="S36" s="32" t="n"/>
      <c r="T36" s="33" t="n"/>
      <c r="U36" s="42">
        <f>'S04'!T36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'S04'!M37+L37</f>
        <v/>
      </c>
      <c r="N37" s="31">
        <f>IFERROR(M37/K37,0)</f>
        <v/>
      </c>
      <c r="O37" s="40">
        <f>'S04'!N37</f>
        <v/>
      </c>
      <c r="P37" s="31">
        <f>N37-O37</f>
        <v/>
      </c>
      <c r="Q37" s="32" t="n"/>
      <c r="R37" s="32" t="n"/>
      <c r="S37" s="32" t="n"/>
      <c r="T37" s="33" t="n"/>
      <c r="U37" s="40">
        <f>'S04'!T37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'S04'!M38+L38</f>
        <v/>
      </c>
      <c r="N38" s="36">
        <f>IFERROR(M38/K38,0)</f>
        <v/>
      </c>
      <c r="O38" s="42">
        <f>'S04'!N38</f>
        <v/>
      </c>
      <c r="P38" s="36">
        <f>N38-O38</f>
        <v/>
      </c>
      <c r="Q38" s="32" t="n"/>
      <c r="R38" s="32" t="n"/>
      <c r="S38" s="32" t="n"/>
      <c r="T38" s="33" t="n"/>
      <c r="U38" s="42">
        <f>'S04'!T38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'S04'!M39+L39</f>
        <v/>
      </c>
      <c r="N39" s="31">
        <f>IFERROR(M39/K39,0)</f>
        <v/>
      </c>
      <c r="O39" s="40">
        <f>'S04'!N39</f>
        <v/>
      </c>
      <c r="P39" s="31">
        <f>N39-O39</f>
        <v/>
      </c>
      <c r="Q39" s="32" t="n"/>
      <c r="R39" s="32" t="n"/>
      <c r="S39" s="32" t="n"/>
      <c r="T39" s="33" t="n"/>
      <c r="U39" s="40">
        <f>'S04'!T39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'S04'!M40+L40</f>
        <v/>
      </c>
      <c r="N40" s="36">
        <f>IFERROR(M40/K40,0)</f>
        <v/>
      </c>
      <c r="O40" s="42">
        <f>'S04'!N40</f>
        <v/>
      </c>
      <c r="P40" s="36">
        <f>N40-O40</f>
        <v/>
      </c>
      <c r="Q40" s="32" t="n"/>
      <c r="R40" s="32" t="n"/>
      <c r="S40" s="32" t="n"/>
      <c r="T40" s="33" t="n"/>
      <c r="U40" s="42">
        <f>'S04'!T40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'S04'!M41+L41</f>
        <v/>
      </c>
      <c r="N41" s="31">
        <f>IFERROR(M41/K41,0)</f>
        <v/>
      </c>
      <c r="O41" s="40">
        <f>'S04'!N41</f>
        <v/>
      </c>
      <c r="P41" s="31">
        <f>N41-O41</f>
        <v/>
      </c>
      <c r="Q41" s="32" t="n"/>
      <c r="R41" s="32" t="n"/>
      <c r="S41" s="32" t="n"/>
      <c r="T41" s="33" t="n"/>
      <c r="U41" s="40">
        <f>'S04'!T41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'S04'!M42+L42</f>
        <v/>
      </c>
      <c r="N42" s="36">
        <f>IFERROR(M42/K42,0)</f>
        <v/>
      </c>
      <c r="O42" s="42">
        <f>'S04'!N42</f>
        <v/>
      </c>
      <c r="P42" s="36">
        <f>N42-O42</f>
        <v/>
      </c>
      <c r="Q42" s="32" t="n"/>
      <c r="R42" s="32" t="n"/>
      <c r="S42" s="32" t="n"/>
      <c r="T42" s="33" t="n"/>
      <c r="U42" s="42">
        <f>'S04'!T42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'S04'!M43+L43</f>
        <v/>
      </c>
      <c r="N43" s="31">
        <f>IFERROR(M43/K43,0)</f>
        <v/>
      </c>
      <c r="O43" s="40">
        <f>'S04'!N43</f>
        <v/>
      </c>
      <c r="P43" s="31">
        <f>N43-O43</f>
        <v/>
      </c>
      <c r="Q43" s="32" t="n"/>
      <c r="R43" s="32" t="n"/>
      <c r="S43" s="32" t="n"/>
      <c r="T43" s="33" t="n"/>
      <c r="U43" s="40">
        <f>'S04'!T43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'S04'!M44+L44</f>
        <v/>
      </c>
      <c r="N44" s="36">
        <f>IFERROR(M44/K44,0)</f>
        <v/>
      </c>
      <c r="O44" s="42">
        <f>'S04'!N44</f>
        <v/>
      </c>
      <c r="P44" s="36">
        <f>N44-O44</f>
        <v/>
      </c>
      <c r="Q44" s="32" t="n"/>
      <c r="R44" s="32" t="n"/>
      <c r="S44" s="32" t="n"/>
      <c r="T44" s="33" t="n"/>
      <c r="U44" s="42">
        <f>'S04'!T44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'S04'!M45+L45</f>
        <v/>
      </c>
      <c r="N45" s="31">
        <f>IFERROR(M45/K45,0)</f>
        <v/>
      </c>
      <c r="O45" s="40">
        <f>'S04'!N45</f>
        <v/>
      </c>
      <c r="P45" s="31">
        <f>N45-O45</f>
        <v/>
      </c>
      <c r="Q45" s="32" t="n"/>
      <c r="R45" s="32" t="n"/>
      <c r="S45" s="32" t="n"/>
      <c r="T45" s="33" t="n"/>
      <c r="U45" s="40">
        <f>'S04'!T45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'S04'!M46+L46</f>
        <v/>
      </c>
      <c r="N46" s="36">
        <f>IFERROR(M46/K46,0)</f>
        <v/>
      </c>
      <c r="O46" s="42">
        <f>'S04'!N46</f>
        <v/>
      </c>
      <c r="P46" s="36">
        <f>N46-O46</f>
        <v/>
      </c>
      <c r="Q46" s="32" t="n"/>
      <c r="R46" s="32" t="n"/>
      <c r="S46" s="32" t="n"/>
      <c r="T46" s="33" t="n"/>
      <c r="U46" s="42">
        <f>'S04'!T46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'S04'!M47+L47</f>
        <v/>
      </c>
      <c r="N47" s="31">
        <f>IFERROR(M47/K47,0)</f>
        <v/>
      </c>
      <c r="O47" s="40">
        <f>'S04'!N47</f>
        <v/>
      </c>
      <c r="P47" s="31">
        <f>N47-O47</f>
        <v/>
      </c>
      <c r="Q47" s="32" t="n"/>
      <c r="R47" s="32" t="n"/>
      <c r="S47" s="32" t="n"/>
      <c r="T47" s="33" t="n"/>
      <c r="U47" s="40">
        <f>'S04'!T47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'S04'!M48+L48</f>
        <v/>
      </c>
      <c r="N48" s="36">
        <f>IFERROR(M48/K48,0)</f>
        <v/>
      </c>
      <c r="O48" s="42">
        <f>'S04'!N48</f>
        <v/>
      </c>
      <c r="P48" s="36">
        <f>N48-O48</f>
        <v/>
      </c>
      <c r="Q48" s="32" t="n"/>
      <c r="R48" s="32" t="n"/>
      <c r="S48" s="32" t="n"/>
      <c r="T48" s="33" t="n"/>
      <c r="U48" s="42">
        <f>'S04'!T48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'S04'!M49+L49</f>
        <v/>
      </c>
      <c r="N49" s="31">
        <f>IFERROR(M49/K49,0)</f>
        <v/>
      </c>
      <c r="O49" s="40">
        <f>'S04'!N49</f>
        <v/>
      </c>
      <c r="P49" s="31">
        <f>N49-O49</f>
        <v/>
      </c>
      <c r="Q49" s="32" t="n"/>
      <c r="R49" s="32" t="n"/>
      <c r="S49" s="32" t="n"/>
      <c r="T49" s="33" t="n"/>
      <c r="U49" s="40">
        <f>'S04'!T49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'S04'!M50+L50</f>
        <v/>
      </c>
      <c r="N50" s="36">
        <f>IFERROR(M50/K50,0)</f>
        <v/>
      </c>
      <c r="O50" s="42">
        <f>'S04'!N50</f>
        <v/>
      </c>
      <c r="P50" s="36">
        <f>N50-O50</f>
        <v/>
      </c>
      <c r="Q50" s="32" t="n"/>
      <c r="R50" s="32" t="n"/>
      <c r="S50" s="32" t="n"/>
      <c r="T50" s="33" t="n"/>
      <c r="U50" s="42">
        <f>'S04'!T50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'S04'!M51+L51</f>
        <v/>
      </c>
      <c r="N51" s="31">
        <f>IFERROR(M51/K51,0)</f>
        <v/>
      </c>
      <c r="O51" s="40">
        <f>'S04'!N51</f>
        <v/>
      </c>
      <c r="P51" s="31">
        <f>N51-O51</f>
        <v/>
      </c>
      <c r="Q51" s="32" t="n"/>
      <c r="R51" s="32" t="n"/>
      <c r="S51" s="32" t="n"/>
      <c r="T51" s="33" t="n"/>
      <c r="U51" s="40">
        <f>'S04'!T51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'S04'!M52+L52</f>
        <v/>
      </c>
      <c r="N52" s="36">
        <f>IFERROR(M52/K52,0)</f>
        <v/>
      </c>
      <c r="O52" s="42">
        <f>'S04'!N52</f>
        <v/>
      </c>
      <c r="P52" s="36">
        <f>N52-O52</f>
        <v/>
      </c>
      <c r="Q52" s="32" t="n"/>
      <c r="R52" s="32" t="n"/>
      <c r="S52" s="32" t="n"/>
      <c r="T52" s="33" t="n"/>
      <c r="U52" s="42">
        <f>'S04'!T52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'S04'!M53+L53</f>
        <v/>
      </c>
      <c r="N53" s="31">
        <f>IFERROR(M53/K53,0)</f>
        <v/>
      </c>
      <c r="O53" s="40">
        <f>'S04'!N53</f>
        <v/>
      </c>
      <c r="P53" s="31">
        <f>N53-O53</f>
        <v/>
      </c>
      <c r="Q53" s="32" t="n"/>
      <c r="R53" s="32" t="n"/>
      <c r="S53" s="32" t="n"/>
      <c r="T53" s="33" t="n"/>
      <c r="U53" s="40">
        <f>'S04'!T53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'S04'!M54+L54</f>
        <v/>
      </c>
      <c r="N54" s="36">
        <f>IFERROR(M54/K54,0)</f>
        <v/>
      </c>
      <c r="O54" s="42">
        <f>'S04'!N54</f>
        <v/>
      </c>
      <c r="P54" s="36">
        <f>N54-O54</f>
        <v/>
      </c>
      <c r="Q54" s="32" t="n"/>
      <c r="R54" s="32" t="n"/>
      <c r="S54" s="32" t="n"/>
      <c r="T54" s="33" t="n"/>
      <c r="U54" s="42">
        <f>'S04'!T54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'S04'!M55+L55</f>
        <v/>
      </c>
      <c r="N55" s="31">
        <f>IFERROR(M55/K55,0)</f>
        <v/>
      </c>
      <c r="O55" s="40">
        <f>'S04'!N55</f>
        <v/>
      </c>
      <c r="P55" s="31">
        <f>N55-O55</f>
        <v/>
      </c>
      <c r="Q55" s="32" t="n"/>
      <c r="R55" s="32" t="n"/>
      <c r="S55" s="32" t="n"/>
      <c r="T55" s="33" t="n"/>
      <c r="U55" s="40">
        <f>'S04'!T55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'S04'!M56+L56</f>
        <v/>
      </c>
      <c r="N56" s="36">
        <f>IFERROR(M56/K56,0)</f>
        <v/>
      </c>
      <c r="O56" s="42">
        <f>'S04'!N56</f>
        <v/>
      </c>
      <c r="P56" s="36">
        <f>N56-O56</f>
        <v/>
      </c>
      <c r="Q56" s="32" t="n"/>
      <c r="R56" s="32" t="n"/>
      <c r="S56" s="32" t="n"/>
      <c r="T56" s="33" t="n"/>
      <c r="U56" s="42">
        <f>'S04'!T56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'S04'!M57+L57</f>
        <v/>
      </c>
      <c r="N57" s="31">
        <f>IFERROR(M57/K57,0)</f>
        <v/>
      </c>
      <c r="O57" s="40">
        <f>'S04'!N57</f>
        <v/>
      </c>
      <c r="P57" s="31">
        <f>N57-O57</f>
        <v/>
      </c>
      <c r="Q57" s="32" t="n"/>
      <c r="R57" s="32" t="n"/>
      <c r="S57" s="32" t="n"/>
      <c r="T57" s="33" t="n"/>
      <c r="U57" s="40">
        <f>'S04'!T57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'S04'!M58+L58</f>
        <v/>
      </c>
      <c r="N58" s="36">
        <f>IFERROR(M58/K58,0)</f>
        <v/>
      </c>
      <c r="O58" s="42">
        <f>'S04'!N58</f>
        <v/>
      </c>
      <c r="P58" s="36">
        <f>N58-O58</f>
        <v/>
      </c>
      <c r="Q58" s="32" t="n"/>
      <c r="R58" s="32" t="n"/>
      <c r="S58" s="32" t="n"/>
      <c r="T58" s="33" t="n"/>
      <c r="U58" s="42">
        <f>'S04'!T58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'S04'!M59+L59</f>
        <v/>
      </c>
      <c r="N59" s="31">
        <f>IFERROR(M59/K59,0)</f>
        <v/>
      </c>
      <c r="O59" s="40">
        <f>'S04'!N59</f>
        <v/>
      </c>
      <c r="P59" s="31">
        <f>N59-O59</f>
        <v/>
      </c>
      <c r="Q59" s="32" t="n"/>
      <c r="R59" s="32" t="n"/>
      <c r="S59" s="32" t="n"/>
      <c r="T59" s="33" t="n"/>
      <c r="U59" s="40">
        <f>'S04'!T59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'S04'!M60+L60</f>
        <v/>
      </c>
      <c r="N60" s="36">
        <f>IFERROR(M60/K60,0)</f>
        <v/>
      </c>
      <c r="O60" s="42">
        <f>'S04'!N60</f>
        <v/>
      </c>
      <c r="P60" s="36">
        <f>N60-O60</f>
        <v/>
      </c>
      <c r="Q60" s="32" t="n"/>
      <c r="R60" s="32" t="n"/>
      <c r="S60" s="32" t="n"/>
      <c r="T60" s="33" t="n"/>
      <c r="U60" s="42">
        <f>'S04'!T60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'S04'!M61+L61</f>
        <v/>
      </c>
      <c r="N61" s="31">
        <f>IFERROR(M61/K61,0)</f>
        <v/>
      </c>
      <c r="O61" s="40">
        <f>'S04'!N61</f>
        <v/>
      </c>
      <c r="P61" s="31">
        <f>N61-O61</f>
        <v/>
      </c>
      <c r="Q61" s="32" t="n"/>
      <c r="R61" s="32" t="n"/>
      <c r="S61" s="32" t="n"/>
      <c r="T61" s="33" t="n"/>
      <c r="U61" s="40">
        <f>'S04'!T61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'S04'!M62+L62</f>
        <v/>
      </c>
      <c r="N62" s="36">
        <f>IFERROR(M62/K62,0)</f>
        <v/>
      </c>
      <c r="O62" s="42">
        <f>'S04'!N62</f>
        <v/>
      </c>
      <c r="P62" s="36">
        <f>N62-O62</f>
        <v/>
      </c>
      <c r="Q62" s="32" t="n"/>
      <c r="R62" s="32" t="n"/>
      <c r="S62" s="32" t="n"/>
      <c r="T62" s="33" t="n"/>
      <c r="U62" s="42">
        <f>'S04'!T62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'S04'!M63+L63</f>
        <v/>
      </c>
      <c r="N63" s="31">
        <f>IFERROR(M63/K63,0)</f>
        <v/>
      </c>
      <c r="O63" s="40">
        <f>'S04'!N63</f>
        <v/>
      </c>
      <c r="P63" s="31">
        <f>N63-O63</f>
        <v/>
      </c>
      <c r="Q63" s="32" t="n"/>
      <c r="R63" s="32" t="n"/>
      <c r="S63" s="32" t="n"/>
      <c r="T63" s="33" t="n"/>
      <c r="U63" s="40">
        <f>'S04'!T63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'S04'!M64+L64</f>
        <v/>
      </c>
      <c r="N64" s="36">
        <f>IFERROR(M64/K64,0)</f>
        <v/>
      </c>
      <c r="O64" s="42">
        <f>'S04'!N64</f>
        <v/>
      </c>
      <c r="P64" s="36">
        <f>N64-O64</f>
        <v/>
      </c>
      <c r="Q64" s="32" t="n"/>
      <c r="R64" s="32" t="n"/>
      <c r="S64" s="32" t="n"/>
      <c r="T64" s="33" t="n"/>
      <c r="U64" s="42">
        <f>'S04'!T64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'S04'!M65+L65</f>
        <v/>
      </c>
      <c r="N65" s="31">
        <f>IFERROR(M65/K65,0)</f>
        <v/>
      </c>
      <c r="O65" s="40">
        <f>'S04'!N65</f>
        <v/>
      </c>
      <c r="P65" s="31">
        <f>N65-O65</f>
        <v/>
      </c>
      <c r="Q65" s="32" t="n"/>
      <c r="R65" s="32" t="n"/>
      <c r="S65" s="32" t="n"/>
      <c r="T65" s="33" t="n"/>
      <c r="U65" s="40">
        <f>'S04'!T65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'S04'!M66+L66</f>
        <v/>
      </c>
      <c r="N66" s="36">
        <f>IFERROR(M66/K66,0)</f>
        <v/>
      </c>
      <c r="O66" s="42">
        <f>'S04'!N66</f>
        <v/>
      </c>
      <c r="P66" s="36">
        <f>N66-O66</f>
        <v/>
      </c>
      <c r="Q66" s="32" t="n"/>
      <c r="R66" s="32" t="n"/>
      <c r="S66" s="32" t="n"/>
      <c r="T66" s="33" t="n"/>
      <c r="U66" s="42">
        <f>'S04'!T66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'S04'!M67+L67</f>
        <v/>
      </c>
      <c r="N67" s="31">
        <f>IFERROR(M67/K67,0)</f>
        <v/>
      </c>
      <c r="O67" s="40">
        <f>'S04'!N67</f>
        <v/>
      </c>
      <c r="P67" s="31">
        <f>N67-O67</f>
        <v/>
      </c>
      <c r="Q67" s="32" t="n"/>
      <c r="R67" s="32" t="n"/>
      <c r="S67" s="32" t="n"/>
      <c r="T67" s="33" t="n"/>
      <c r="U67" s="40">
        <f>'S04'!T67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'S04'!M68+L68</f>
        <v/>
      </c>
      <c r="N68" s="36">
        <f>IFERROR(M68/K68,0)</f>
        <v/>
      </c>
      <c r="O68" s="42">
        <f>'S04'!N68</f>
        <v/>
      </c>
      <c r="P68" s="36">
        <f>N68-O68</f>
        <v/>
      </c>
      <c r="Q68" s="32" t="n"/>
      <c r="R68" s="32" t="n"/>
      <c r="S68" s="32" t="n"/>
      <c r="T68" s="33" t="n"/>
      <c r="U68" s="42">
        <f>'S04'!T68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'S04'!M69+L69</f>
        <v/>
      </c>
      <c r="N69" s="31">
        <f>IFERROR(M69/K69,0)</f>
        <v/>
      </c>
      <c r="O69" s="40">
        <f>'S04'!N69</f>
        <v/>
      </c>
      <c r="P69" s="31">
        <f>N69-O69</f>
        <v/>
      </c>
      <c r="Q69" s="32" t="n"/>
      <c r="R69" s="32" t="n"/>
      <c r="S69" s="32" t="n"/>
      <c r="T69" s="33" t="n"/>
      <c r="U69" s="40">
        <f>'S04'!T69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'S04'!M70+L70</f>
        <v/>
      </c>
      <c r="N70" s="36">
        <f>IFERROR(M70/K70,0)</f>
        <v/>
      </c>
      <c r="O70" s="42">
        <f>'S04'!N70</f>
        <v/>
      </c>
      <c r="P70" s="36">
        <f>N70-O70</f>
        <v/>
      </c>
      <c r="Q70" s="32" t="n"/>
      <c r="R70" s="32" t="n"/>
      <c r="S70" s="32" t="n"/>
      <c r="T70" s="33" t="n"/>
      <c r="U70" s="42">
        <f>'S04'!T70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'S04'!M71+L71</f>
        <v/>
      </c>
      <c r="N71" s="31">
        <f>IFERROR(M71/K71,0)</f>
        <v/>
      </c>
      <c r="O71" s="40">
        <f>'S04'!N71</f>
        <v/>
      </c>
      <c r="P71" s="31">
        <f>N71-O71</f>
        <v/>
      </c>
      <c r="Q71" s="32" t="n"/>
      <c r="R71" s="32" t="n"/>
      <c r="S71" s="32" t="n"/>
      <c r="T71" s="33" t="n"/>
      <c r="U71" s="40">
        <f>'S04'!T71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'S04'!M72+L72</f>
        <v/>
      </c>
      <c r="N72" s="36">
        <f>IFERROR(M72/K72,0)</f>
        <v/>
      </c>
      <c r="O72" s="42">
        <f>'S04'!N72</f>
        <v/>
      </c>
      <c r="P72" s="36">
        <f>N72-O72</f>
        <v/>
      </c>
      <c r="Q72" s="32" t="n"/>
      <c r="R72" s="32" t="n"/>
      <c r="S72" s="32" t="n"/>
      <c r="T72" s="33" t="n"/>
      <c r="U72" s="42">
        <f>'S04'!T72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'S04'!M73+L73</f>
        <v/>
      </c>
      <c r="N73" s="31">
        <f>IFERROR(M73/K73,0)</f>
        <v/>
      </c>
      <c r="O73" s="40">
        <f>'S04'!N73</f>
        <v/>
      </c>
      <c r="P73" s="31">
        <f>N73-O73</f>
        <v/>
      </c>
      <c r="Q73" s="32" t="n"/>
      <c r="R73" s="32" t="n"/>
      <c r="S73" s="32" t="n"/>
      <c r="T73" s="33" t="n"/>
      <c r="U73" s="40">
        <f>'S04'!T73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'S04'!M74+L74</f>
        <v/>
      </c>
      <c r="N74" s="36">
        <f>IFERROR(M74/K74,0)</f>
        <v/>
      </c>
      <c r="O74" s="42">
        <f>'S04'!N74</f>
        <v/>
      </c>
      <c r="P74" s="36">
        <f>N74-O74</f>
        <v/>
      </c>
      <c r="Q74" s="32" t="n"/>
      <c r="R74" s="32" t="n"/>
      <c r="S74" s="32" t="n"/>
      <c r="T74" s="33" t="n"/>
      <c r="U74" s="42">
        <f>'S04'!T74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'S04'!M75+L75</f>
        <v/>
      </c>
      <c r="N75" s="31">
        <f>IFERROR(M75/K75,0)</f>
        <v/>
      </c>
      <c r="O75" s="40">
        <f>'S04'!N75</f>
        <v/>
      </c>
      <c r="P75" s="31">
        <f>N75-O75</f>
        <v/>
      </c>
      <c r="Q75" s="32" t="n"/>
      <c r="R75" s="32" t="n"/>
      <c r="S75" s="32" t="n"/>
      <c r="T75" s="33" t="n"/>
      <c r="U75" s="40">
        <f>'S04'!T75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'S04'!M76+L76</f>
        <v/>
      </c>
      <c r="N76" s="36">
        <f>IFERROR(M76/K76,0)</f>
        <v/>
      </c>
      <c r="O76" s="42">
        <f>'S04'!N76</f>
        <v/>
      </c>
      <c r="P76" s="36">
        <f>N76-O76</f>
        <v/>
      </c>
      <c r="Q76" s="32" t="n"/>
      <c r="R76" s="32" t="n"/>
      <c r="S76" s="32" t="n"/>
      <c r="T76" s="33" t="n"/>
      <c r="U76" s="42">
        <f>'S04'!T76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8.xml><?xml version="1.0" encoding="utf-8"?>
<worksheet xmlns="http://schemas.openxmlformats.org/spreadsheetml/2006/main">
  <sheetPr>
    <tabColor rgb="005B9BD5"/>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6 (02/02 - 08/02) — Février 2026 - Exécution Physique et Financière</t>
        </is>
      </c>
    </row>
    <row r="3" ht="22" customHeight="1">
      <c r="B3" s="20" t="inlineStr">
        <is>
          <t>Date :</t>
        </is>
      </c>
      <c r="C3" s="21" t="n">
        <v>46055</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'S05'!M5+L5</f>
        <v/>
      </c>
      <c r="N5" s="31">
        <f>IFERROR(M5/K5,0)</f>
        <v/>
      </c>
      <c r="O5" s="40">
        <f>'S05'!N5</f>
        <v/>
      </c>
      <c r="P5" s="31">
        <f>N5-O5</f>
        <v/>
      </c>
      <c r="Q5" s="32" t="n"/>
      <c r="R5" s="32" t="n"/>
      <c r="S5" s="32" t="n"/>
      <c r="T5" s="33" t="n"/>
      <c r="U5" s="40">
        <f>'S05'!T5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'S05'!M6+L6</f>
        <v/>
      </c>
      <c r="N6" s="36">
        <f>IFERROR(M6/K6,0)</f>
        <v/>
      </c>
      <c r="O6" s="42">
        <f>'S05'!N6</f>
        <v/>
      </c>
      <c r="P6" s="36">
        <f>N6-O6</f>
        <v/>
      </c>
      <c r="Q6" s="32" t="n"/>
      <c r="R6" s="32" t="n"/>
      <c r="S6" s="32" t="n"/>
      <c r="T6" s="33" t="n"/>
      <c r="U6" s="42">
        <f>'S05'!T6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'S05'!M7+L7</f>
        <v/>
      </c>
      <c r="N7" s="31">
        <f>IFERROR(M7/K7,0)</f>
        <v/>
      </c>
      <c r="O7" s="40">
        <f>'S05'!N7</f>
        <v/>
      </c>
      <c r="P7" s="31">
        <f>N7-O7</f>
        <v/>
      </c>
      <c r="Q7" s="32" t="n"/>
      <c r="R7" s="32" t="n"/>
      <c r="S7" s="32" t="n"/>
      <c r="T7" s="33" t="n"/>
      <c r="U7" s="40">
        <f>'S05'!T7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'S05'!M8+L8</f>
        <v/>
      </c>
      <c r="N8" s="36">
        <f>IFERROR(M8/K8,0)</f>
        <v/>
      </c>
      <c r="O8" s="42">
        <f>'S05'!N8</f>
        <v/>
      </c>
      <c r="P8" s="36">
        <f>N8-O8</f>
        <v/>
      </c>
      <c r="Q8" s="32" t="n"/>
      <c r="R8" s="32" t="n"/>
      <c r="S8" s="32" t="n"/>
      <c r="T8" s="33" t="n"/>
      <c r="U8" s="42">
        <f>'S05'!T8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'S05'!M9+L9</f>
        <v/>
      </c>
      <c r="N9" s="31">
        <f>IFERROR(M9/K9,0)</f>
        <v/>
      </c>
      <c r="O9" s="40">
        <f>'S05'!N9</f>
        <v/>
      </c>
      <c r="P9" s="31">
        <f>N9-O9</f>
        <v/>
      </c>
      <c r="Q9" s="32" t="n"/>
      <c r="R9" s="32" t="n"/>
      <c r="S9" s="32" t="n"/>
      <c r="T9" s="33" t="n"/>
      <c r="U9" s="40">
        <f>'S05'!T9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'S05'!M10+L10</f>
        <v/>
      </c>
      <c r="N10" s="36">
        <f>IFERROR(M10/K10,0)</f>
        <v/>
      </c>
      <c r="O10" s="42">
        <f>'S05'!N10</f>
        <v/>
      </c>
      <c r="P10" s="36">
        <f>N10-O10</f>
        <v/>
      </c>
      <c r="Q10" s="32" t="n"/>
      <c r="R10" s="32" t="n"/>
      <c r="S10" s="32" t="n"/>
      <c r="T10" s="33" t="n"/>
      <c r="U10" s="42">
        <f>'S05'!T10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'S05'!M11+L11</f>
        <v/>
      </c>
      <c r="N11" s="31">
        <f>IFERROR(M11/K11,0)</f>
        <v/>
      </c>
      <c r="O11" s="40">
        <f>'S05'!N11</f>
        <v/>
      </c>
      <c r="P11" s="31">
        <f>N11-O11</f>
        <v/>
      </c>
      <c r="Q11" s="32" t="n"/>
      <c r="R11" s="32" t="n"/>
      <c r="S11" s="32" t="n"/>
      <c r="T11" s="33" t="n"/>
      <c r="U11" s="40">
        <f>'S05'!T11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'S05'!M12+L12</f>
        <v/>
      </c>
      <c r="N12" s="36">
        <f>IFERROR(M12/K12,0)</f>
        <v/>
      </c>
      <c r="O12" s="42">
        <f>'S05'!N12</f>
        <v/>
      </c>
      <c r="P12" s="36">
        <f>N12-O12</f>
        <v/>
      </c>
      <c r="Q12" s="32" t="n"/>
      <c r="R12" s="32" t="n"/>
      <c r="S12" s="32" t="n"/>
      <c r="T12" s="33" t="n"/>
      <c r="U12" s="42">
        <f>'S05'!T12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'S05'!M13+L13</f>
        <v/>
      </c>
      <c r="N13" s="31">
        <f>IFERROR(M13/K13,0)</f>
        <v/>
      </c>
      <c r="O13" s="40">
        <f>'S05'!N13</f>
        <v/>
      </c>
      <c r="P13" s="31">
        <f>N13-O13</f>
        <v/>
      </c>
      <c r="Q13" s="32" t="n"/>
      <c r="R13" s="32" t="n"/>
      <c r="S13" s="32" t="n"/>
      <c r="T13" s="33" t="n"/>
      <c r="U13" s="40">
        <f>'S05'!T13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'S05'!M14+L14</f>
        <v/>
      </c>
      <c r="N14" s="36">
        <f>IFERROR(M14/K14,0)</f>
        <v/>
      </c>
      <c r="O14" s="42">
        <f>'S05'!N14</f>
        <v/>
      </c>
      <c r="P14" s="36">
        <f>N14-O14</f>
        <v/>
      </c>
      <c r="Q14" s="32" t="n"/>
      <c r="R14" s="32" t="n"/>
      <c r="S14" s="32" t="n"/>
      <c r="T14" s="33" t="n"/>
      <c r="U14" s="42">
        <f>'S05'!T14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'S05'!M15+L15</f>
        <v/>
      </c>
      <c r="N15" s="31">
        <f>IFERROR(M15/K15,0)</f>
        <v/>
      </c>
      <c r="O15" s="40">
        <f>'S05'!N15</f>
        <v/>
      </c>
      <c r="P15" s="31">
        <f>N15-O15</f>
        <v/>
      </c>
      <c r="Q15" s="32" t="n"/>
      <c r="R15" s="32" t="n"/>
      <c r="S15" s="32" t="n"/>
      <c r="T15" s="33" t="n"/>
      <c r="U15" s="40">
        <f>'S05'!T15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'S05'!M16+L16</f>
        <v/>
      </c>
      <c r="N16" s="36">
        <f>IFERROR(M16/K16,0)</f>
        <v/>
      </c>
      <c r="O16" s="42">
        <f>'S05'!N16</f>
        <v/>
      </c>
      <c r="P16" s="36">
        <f>N16-O16</f>
        <v/>
      </c>
      <c r="Q16" s="32" t="n"/>
      <c r="R16" s="32" t="n"/>
      <c r="S16" s="32" t="n"/>
      <c r="T16" s="33" t="n"/>
      <c r="U16" s="42">
        <f>'S05'!T16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'S05'!M17+L17</f>
        <v/>
      </c>
      <c r="N17" s="31">
        <f>IFERROR(M17/K17,0)</f>
        <v/>
      </c>
      <c r="O17" s="40">
        <f>'S05'!N17</f>
        <v/>
      </c>
      <c r="P17" s="31">
        <f>N17-O17</f>
        <v/>
      </c>
      <c r="Q17" s="32" t="n"/>
      <c r="R17" s="32" t="n"/>
      <c r="S17" s="32" t="n"/>
      <c r="T17" s="33" t="n"/>
      <c r="U17" s="40">
        <f>'S05'!T17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'S05'!M18+L18</f>
        <v/>
      </c>
      <c r="N18" s="36">
        <f>IFERROR(M18/K18,0)</f>
        <v/>
      </c>
      <c r="O18" s="42">
        <f>'S05'!N18</f>
        <v/>
      </c>
      <c r="P18" s="36">
        <f>N18-O18</f>
        <v/>
      </c>
      <c r="Q18" s="32" t="n"/>
      <c r="R18" s="32" t="n"/>
      <c r="S18" s="32" t="n"/>
      <c r="T18" s="33" t="n"/>
      <c r="U18" s="42">
        <f>'S05'!T18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'S05'!M19+L19</f>
        <v/>
      </c>
      <c r="N19" s="31">
        <f>IFERROR(M19/K19,0)</f>
        <v/>
      </c>
      <c r="O19" s="40">
        <f>'S05'!N19</f>
        <v/>
      </c>
      <c r="P19" s="31">
        <f>N19-O19</f>
        <v/>
      </c>
      <c r="Q19" s="32" t="n"/>
      <c r="R19" s="32" t="n"/>
      <c r="S19" s="32" t="n"/>
      <c r="T19" s="33" t="n"/>
      <c r="U19" s="40">
        <f>'S05'!T19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'S05'!M20+L20</f>
        <v/>
      </c>
      <c r="N20" s="36">
        <f>IFERROR(M20/K20,0)</f>
        <v/>
      </c>
      <c r="O20" s="42">
        <f>'S05'!N20</f>
        <v/>
      </c>
      <c r="P20" s="36">
        <f>N20-O20</f>
        <v/>
      </c>
      <c r="Q20" s="32" t="n"/>
      <c r="R20" s="32" t="n"/>
      <c r="S20" s="32" t="n"/>
      <c r="T20" s="33" t="n"/>
      <c r="U20" s="42">
        <f>'S05'!T20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'S05'!M21+L21</f>
        <v/>
      </c>
      <c r="N21" s="31">
        <f>IFERROR(M21/K21,0)</f>
        <v/>
      </c>
      <c r="O21" s="40">
        <f>'S05'!N21</f>
        <v/>
      </c>
      <c r="P21" s="31">
        <f>N21-O21</f>
        <v/>
      </c>
      <c r="Q21" s="32" t="n"/>
      <c r="R21" s="32" t="n"/>
      <c r="S21" s="32" t="n"/>
      <c r="T21" s="33" t="n"/>
      <c r="U21" s="40">
        <f>'S05'!T21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'S05'!M22+L22</f>
        <v/>
      </c>
      <c r="N22" s="36">
        <f>IFERROR(M22/K22,0)</f>
        <v/>
      </c>
      <c r="O22" s="42">
        <f>'S05'!N22</f>
        <v/>
      </c>
      <c r="P22" s="36">
        <f>N22-O22</f>
        <v/>
      </c>
      <c r="Q22" s="32" t="n"/>
      <c r="R22" s="32" t="n"/>
      <c r="S22" s="32" t="n"/>
      <c r="T22" s="33" t="n"/>
      <c r="U22" s="42">
        <f>'S05'!T22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'S05'!M23+L23</f>
        <v/>
      </c>
      <c r="N23" s="31">
        <f>IFERROR(M23/K23,0)</f>
        <v/>
      </c>
      <c r="O23" s="40">
        <f>'S05'!N23</f>
        <v/>
      </c>
      <c r="P23" s="31">
        <f>N23-O23</f>
        <v/>
      </c>
      <c r="Q23" s="32" t="n"/>
      <c r="R23" s="32" t="n"/>
      <c r="S23" s="32" t="n"/>
      <c r="T23" s="33" t="n"/>
      <c r="U23" s="40">
        <f>'S05'!T23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'S05'!M24+L24</f>
        <v/>
      </c>
      <c r="N24" s="36">
        <f>IFERROR(M24/K24,0)</f>
        <v/>
      </c>
      <c r="O24" s="42">
        <f>'S05'!N24</f>
        <v/>
      </c>
      <c r="P24" s="36">
        <f>N24-O24</f>
        <v/>
      </c>
      <c r="Q24" s="32" t="n"/>
      <c r="R24" s="32" t="n"/>
      <c r="S24" s="32" t="n"/>
      <c r="T24" s="33" t="n"/>
      <c r="U24" s="42">
        <f>'S05'!T24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'S05'!M25+L25</f>
        <v/>
      </c>
      <c r="N25" s="31">
        <f>IFERROR(M25/K25,0)</f>
        <v/>
      </c>
      <c r="O25" s="40">
        <f>'S05'!N25</f>
        <v/>
      </c>
      <c r="P25" s="31">
        <f>N25-O25</f>
        <v/>
      </c>
      <c r="Q25" s="32" t="n"/>
      <c r="R25" s="32" t="n"/>
      <c r="S25" s="32" t="n"/>
      <c r="T25" s="33" t="n"/>
      <c r="U25" s="40">
        <f>'S05'!T25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'S05'!M26+L26</f>
        <v/>
      </c>
      <c r="N26" s="36">
        <f>IFERROR(M26/K26,0)</f>
        <v/>
      </c>
      <c r="O26" s="42">
        <f>'S05'!N26</f>
        <v/>
      </c>
      <c r="P26" s="36">
        <f>N26-O26</f>
        <v/>
      </c>
      <c r="Q26" s="32" t="n"/>
      <c r="R26" s="32" t="n"/>
      <c r="S26" s="32" t="n"/>
      <c r="T26" s="33" t="n"/>
      <c r="U26" s="42">
        <f>'S05'!T26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'S05'!M27+L27</f>
        <v/>
      </c>
      <c r="N27" s="31">
        <f>IFERROR(M27/K27,0)</f>
        <v/>
      </c>
      <c r="O27" s="40">
        <f>'S05'!N27</f>
        <v/>
      </c>
      <c r="P27" s="31">
        <f>N27-O27</f>
        <v/>
      </c>
      <c r="Q27" s="32" t="n"/>
      <c r="R27" s="32" t="n"/>
      <c r="S27" s="32" t="n"/>
      <c r="T27" s="33" t="n"/>
      <c r="U27" s="40">
        <f>'S05'!T27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'S05'!M28+L28</f>
        <v/>
      </c>
      <c r="N28" s="36">
        <f>IFERROR(M28/K28,0)</f>
        <v/>
      </c>
      <c r="O28" s="42">
        <f>'S05'!N28</f>
        <v/>
      </c>
      <c r="P28" s="36">
        <f>N28-O28</f>
        <v/>
      </c>
      <c r="Q28" s="32" t="n"/>
      <c r="R28" s="32" t="n"/>
      <c r="S28" s="32" t="n"/>
      <c r="T28" s="33" t="n"/>
      <c r="U28" s="42">
        <f>'S05'!T28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'S05'!M29+L29</f>
        <v/>
      </c>
      <c r="N29" s="31">
        <f>IFERROR(M29/K29,0)</f>
        <v/>
      </c>
      <c r="O29" s="40">
        <f>'S05'!N29</f>
        <v/>
      </c>
      <c r="P29" s="31">
        <f>N29-O29</f>
        <v/>
      </c>
      <c r="Q29" s="32" t="n"/>
      <c r="R29" s="32" t="n"/>
      <c r="S29" s="32" t="n"/>
      <c r="T29" s="33" t="n"/>
      <c r="U29" s="40">
        <f>'S05'!T29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'S05'!M30+L30</f>
        <v/>
      </c>
      <c r="N30" s="36">
        <f>IFERROR(M30/K30,0)</f>
        <v/>
      </c>
      <c r="O30" s="42">
        <f>'S05'!N30</f>
        <v/>
      </c>
      <c r="P30" s="36">
        <f>N30-O30</f>
        <v/>
      </c>
      <c r="Q30" s="32" t="n"/>
      <c r="R30" s="32" t="n"/>
      <c r="S30" s="32" t="n"/>
      <c r="T30" s="33" t="n"/>
      <c r="U30" s="42">
        <f>'S05'!T30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'S05'!M31+L31</f>
        <v/>
      </c>
      <c r="N31" s="31">
        <f>IFERROR(M31/K31,0)</f>
        <v/>
      </c>
      <c r="O31" s="40">
        <f>'S05'!N31</f>
        <v/>
      </c>
      <c r="P31" s="31">
        <f>N31-O31</f>
        <v/>
      </c>
      <c r="Q31" s="32" t="n"/>
      <c r="R31" s="32" t="n"/>
      <c r="S31" s="32" t="n"/>
      <c r="T31" s="33" t="n"/>
      <c r="U31" s="40">
        <f>'S05'!T31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'S05'!M32+L32</f>
        <v/>
      </c>
      <c r="N32" s="36">
        <f>IFERROR(M32/K32,0)</f>
        <v/>
      </c>
      <c r="O32" s="42">
        <f>'S05'!N32</f>
        <v/>
      </c>
      <c r="P32" s="36">
        <f>N32-O32</f>
        <v/>
      </c>
      <c r="Q32" s="32" t="n"/>
      <c r="R32" s="32" t="n"/>
      <c r="S32" s="32" t="n"/>
      <c r="T32" s="33" t="n"/>
      <c r="U32" s="42">
        <f>'S05'!T32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'S05'!M33+L33</f>
        <v/>
      </c>
      <c r="N33" s="31">
        <f>IFERROR(M33/K33,0)</f>
        <v/>
      </c>
      <c r="O33" s="40">
        <f>'S05'!N33</f>
        <v/>
      </c>
      <c r="P33" s="31">
        <f>N33-O33</f>
        <v/>
      </c>
      <c r="Q33" s="32" t="n"/>
      <c r="R33" s="32" t="n"/>
      <c r="S33" s="32" t="n"/>
      <c r="T33" s="33" t="n"/>
      <c r="U33" s="40">
        <f>'S05'!T33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'S05'!M34+L34</f>
        <v/>
      </c>
      <c r="N34" s="36">
        <f>IFERROR(M34/K34,0)</f>
        <v/>
      </c>
      <c r="O34" s="42">
        <f>'S05'!N34</f>
        <v/>
      </c>
      <c r="P34" s="36">
        <f>N34-O34</f>
        <v/>
      </c>
      <c r="Q34" s="32" t="n"/>
      <c r="R34" s="32" t="n"/>
      <c r="S34" s="32" t="n"/>
      <c r="T34" s="33" t="n"/>
      <c r="U34" s="42">
        <f>'S05'!T34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'S05'!M35+L35</f>
        <v/>
      </c>
      <c r="N35" s="31">
        <f>IFERROR(M35/K35,0)</f>
        <v/>
      </c>
      <c r="O35" s="40">
        <f>'S05'!N35</f>
        <v/>
      </c>
      <c r="P35" s="31">
        <f>N35-O35</f>
        <v/>
      </c>
      <c r="Q35" s="32" t="n"/>
      <c r="R35" s="32" t="n"/>
      <c r="S35" s="32" t="n"/>
      <c r="T35" s="33" t="n"/>
      <c r="U35" s="40">
        <f>'S05'!T35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'S05'!M36+L36</f>
        <v/>
      </c>
      <c r="N36" s="36">
        <f>IFERROR(M36/K36,0)</f>
        <v/>
      </c>
      <c r="O36" s="42">
        <f>'S05'!N36</f>
        <v/>
      </c>
      <c r="P36" s="36">
        <f>N36-O36</f>
        <v/>
      </c>
      <c r="Q36" s="32" t="n"/>
      <c r="R36" s="32" t="n"/>
      <c r="S36" s="32" t="n"/>
      <c r="T36" s="33" t="n"/>
      <c r="U36" s="42">
        <f>'S05'!T36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'S05'!M37+L37</f>
        <v/>
      </c>
      <c r="N37" s="31">
        <f>IFERROR(M37/K37,0)</f>
        <v/>
      </c>
      <c r="O37" s="40">
        <f>'S05'!N37</f>
        <v/>
      </c>
      <c r="P37" s="31">
        <f>N37-O37</f>
        <v/>
      </c>
      <c r="Q37" s="32" t="n"/>
      <c r="R37" s="32" t="n"/>
      <c r="S37" s="32" t="n"/>
      <c r="T37" s="33" t="n"/>
      <c r="U37" s="40">
        <f>'S05'!T37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'S05'!M38+L38</f>
        <v/>
      </c>
      <c r="N38" s="36">
        <f>IFERROR(M38/K38,0)</f>
        <v/>
      </c>
      <c r="O38" s="42">
        <f>'S05'!N38</f>
        <v/>
      </c>
      <c r="P38" s="36">
        <f>N38-O38</f>
        <v/>
      </c>
      <c r="Q38" s="32" t="n"/>
      <c r="R38" s="32" t="n"/>
      <c r="S38" s="32" t="n"/>
      <c r="T38" s="33" t="n"/>
      <c r="U38" s="42">
        <f>'S05'!T38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'S05'!M39+L39</f>
        <v/>
      </c>
      <c r="N39" s="31">
        <f>IFERROR(M39/K39,0)</f>
        <v/>
      </c>
      <c r="O39" s="40">
        <f>'S05'!N39</f>
        <v/>
      </c>
      <c r="P39" s="31">
        <f>N39-O39</f>
        <v/>
      </c>
      <c r="Q39" s="32" t="n"/>
      <c r="R39" s="32" t="n"/>
      <c r="S39" s="32" t="n"/>
      <c r="T39" s="33" t="n"/>
      <c r="U39" s="40">
        <f>'S05'!T39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'S05'!M40+L40</f>
        <v/>
      </c>
      <c r="N40" s="36">
        <f>IFERROR(M40/K40,0)</f>
        <v/>
      </c>
      <c r="O40" s="42">
        <f>'S05'!N40</f>
        <v/>
      </c>
      <c r="P40" s="36">
        <f>N40-O40</f>
        <v/>
      </c>
      <c r="Q40" s="32" t="n"/>
      <c r="R40" s="32" t="n"/>
      <c r="S40" s="32" t="n"/>
      <c r="T40" s="33" t="n"/>
      <c r="U40" s="42">
        <f>'S05'!T40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'S05'!M41+L41</f>
        <v/>
      </c>
      <c r="N41" s="31">
        <f>IFERROR(M41/K41,0)</f>
        <v/>
      </c>
      <c r="O41" s="40">
        <f>'S05'!N41</f>
        <v/>
      </c>
      <c r="P41" s="31">
        <f>N41-O41</f>
        <v/>
      </c>
      <c r="Q41" s="32" t="n"/>
      <c r="R41" s="32" t="n"/>
      <c r="S41" s="32" t="n"/>
      <c r="T41" s="33" t="n"/>
      <c r="U41" s="40">
        <f>'S05'!T41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'S05'!M42+L42</f>
        <v/>
      </c>
      <c r="N42" s="36">
        <f>IFERROR(M42/K42,0)</f>
        <v/>
      </c>
      <c r="O42" s="42">
        <f>'S05'!N42</f>
        <v/>
      </c>
      <c r="P42" s="36">
        <f>N42-O42</f>
        <v/>
      </c>
      <c r="Q42" s="32" t="n"/>
      <c r="R42" s="32" t="n"/>
      <c r="S42" s="32" t="n"/>
      <c r="T42" s="33" t="n"/>
      <c r="U42" s="42">
        <f>'S05'!T42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'S05'!M43+L43</f>
        <v/>
      </c>
      <c r="N43" s="31">
        <f>IFERROR(M43/K43,0)</f>
        <v/>
      </c>
      <c r="O43" s="40">
        <f>'S05'!N43</f>
        <v/>
      </c>
      <c r="P43" s="31">
        <f>N43-O43</f>
        <v/>
      </c>
      <c r="Q43" s="32" t="n"/>
      <c r="R43" s="32" t="n"/>
      <c r="S43" s="32" t="n"/>
      <c r="T43" s="33" t="n"/>
      <c r="U43" s="40">
        <f>'S05'!T43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'S05'!M44+L44</f>
        <v/>
      </c>
      <c r="N44" s="36">
        <f>IFERROR(M44/K44,0)</f>
        <v/>
      </c>
      <c r="O44" s="42">
        <f>'S05'!N44</f>
        <v/>
      </c>
      <c r="P44" s="36">
        <f>N44-O44</f>
        <v/>
      </c>
      <c r="Q44" s="32" t="n"/>
      <c r="R44" s="32" t="n"/>
      <c r="S44" s="32" t="n"/>
      <c r="T44" s="33" t="n"/>
      <c r="U44" s="42">
        <f>'S05'!T44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'S05'!M45+L45</f>
        <v/>
      </c>
      <c r="N45" s="31">
        <f>IFERROR(M45/K45,0)</f>
        <v/>
      </c>
      <c r="O45" s="40">
        <f>'S05'!N45</f>
        <v/>
      </c>
      <c r="P45" s="31">
        <f>N45-O45</f>
        <v/>
      </c>
      <c r="Q45" s="32" t="n"/>
      <c r="R45" s="32" t="n"/>
      <c r="S45" s="32" t="n"/>
      <c r="T45" s="33" t="n"/>
      <c r="U45" s="40">
        <f>'S05'!T45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'S05'!M46+L46</f>
        <v/>
      </c>
      <c r="N46" s="36">
        <f>IFERROR(M46/K46,0)</f>
        <v/>
      </c>
      <c r="O46" s="42">
        <f>'S05'!N46</f>
        <v/>
      </c>
      <c r="P46" s="36">
        <f>N46-O46</f>
        <v/>
      </c>
      <c r="Q46" s="32" t="n"/>
      <c r="R46" s="32" t="n"/>
      <c r="S46" s="32" t="n"/>
      <c r="T46" s="33" t="n"/>
      <c r="U46" s="42">
        <f>'S05'!T46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'S05'!M47+L47</f>
        <v/>
      </c>
      <c r="N47" s="31">
        <f>IFERROR(M47/K47,0)</f>
        <v/>
      </c>
      <c r="O47" s="40">
        <f>'S05'!N47</f>
        <v/>
      </c>
      <c r="P47" s="31">
        <f>N47-O47</f>
        <v/>
      </c>
      <c r="Q47" s="32" t="n"/>
      <c r="R47" s="32" t="n"/>
      <c r="S47" s="32" t="n"/>
      <c r="T47" s="33" t="n"/>
      <c r="U47" s="40">
        <f>'S05'!T47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'S05'!M48+L48</f>
        <v/>
      </c>
      <c r="N48" s="36">
        <f>IFERROR(M48/K48,0)</f>
        <v/>
      </c>
      <c r="O48" s="42">
        <f>'S05'!N48</f>
        <v/>
      </c>
      <c r="P48" s="36">
        <f>N48-O48</f>
        <v/>
      </c>
      <c r="Q48" s="32" t="n"/>
      <c r="R48" s="32" t="n"/>
      <c r="S48" s="32" t="n"/>
      <c r="T48" s="33" t="n"/>
      <c r="U48" s="42">
        <f>'S05'!T48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'S05'!M49+L49</f>
        <v/>
      </c>
      <c r="N49" s="31">
        <f>IFERROR(M49/K49,0)</f>
        <v/>
      </c>
      <c r="O49" s="40">
        <f>'S05'!N49</f>
        <v/>
      </c>
      <c r="P49" s="31">
        <f>N49-O49</f>
        <v/>
      </c>
      <c r="Q49" s="32" t="n"/>
      <c r="R49" s="32" t="n"/>
      <c r="S49" s="32" t="n"/>
      <c r="T49" s="33" t="n"/>
      <c r="U49" s="40">
        <f>'S05'!T49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'S05'!M50+L50</f>
        <v/>
      </c>
      <c r="N50" s="36">
        <f>IFERROR(M50/K50,0)</f>
        <v/>
      </c>
      <c r="O50" s="42">
        <f>'S05'!N50</f>
        <v/>
      </c>
      <c r="P50" s="36">
        <f>N50-O50</f>
        <v/>
      </c>
      <c r="Q50" s="32" t="n"/>
      <c r="R50" s="32" t="n"/>
      <c r="S50" s="32" t="n"/>
      <c r="T50" s="33" t="n"/>
      <c r="U50" s="42">
        <f>'S05'!T50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'S05'!M51+L51</f>
        <v/>
      </c>
      <c r="N51" s="31">
        <f>IFERROR(M51/K51,0)</f>
        <v/>
      </c>
      <c r="O51" s="40">
        <f>'S05'!N51</f>
        <v/>
      </c>
      <c r="P51" s="31">
        <f>N51-O51</f>
        <v/>
      </c>
      <c r="Q51" s="32" t="n"/>
      <c r="R51" s="32" t="n"/>
      <c r="S51" s="32" t="n"/>
      <c r="T51" s="33" t="n"/>
      <c r="U51" s="40">
        <f>'S05'!T51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'S05'!M52+L52</f>
        <v/>
      </c>
      <c r="N52" s="36">
        <f>IFERROR(M52/K52,0)</f>
        <v/>
      </c>
      <c r="O52" s="42">
        <f>'S05'!N52</f>
        <v/>
      </c>
      <c r="P52" s="36">
        <f>N52-O52</f>
        <v/>
      </c>
      <c r="Q52" s="32" t="n"/>
      <c r="R52" s="32" t="n"/>
      <c r="S52" s="32" t="n"/>
      <c r="T52" s="33" t="n"/>
      <c r="U52" s="42">
        <f>'S05'!T52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'S05'!M53+L53</f>
        <v/>
      </c>
      <c r="N53" s="31">
        <f>IFERROR(M53/K53,0)</f>
        <v/>
      </c>
      <c r="O53" s="40">
        <f>'S05'!N53</f>
        <v/>
      </c>
      <c r="P53" s="31">
        <f>N53-O53</f>
        <v/>
      </c>
      <c r="Q53" s="32" t="n"/>
      <c r="R53" s="32" t="n"/>
      <c r="S53" s="32" t="n"/>
      <c r="T53" s="33" t="n"/>
      <c r="U53" s="40">
        <f>'S05'!T53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'S05'!M54+L54</f>
        <v/>
      </c>
      <c r="N54" s="36">
        <f>IFERROR(M54/K54,0)</f>
        <v/>
      </c>
      <c r="O54" s="42">
        <f>'S05'!N54</f>
        <v/>
      </c>
      <c r="P54" s="36">
        <f>N54-O54</f>
        <v/>
      </c>
      <c r="Q54" s="32" t="n"/>
      <c r="R54" s="32" t="n"/>
      <c r="S54" s="32" t="n"/>
      <c r="T54" s="33" t="n"/>
      <c r="U54" s="42">
        <f>'S05'!T54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'S05'!M55+L55</f>
        <v/>
      </c>
      <c r="N55" s="31">
        <f>IFERROR(M55/K55,0)</f>
        <v/>
      </c>
      <c r="O55" s="40">
        <f>'S05'!N55</f>
        <v/>
      </c>
      <c r="P55" s="31">
        <f>N55-O55</f>
        <v/>
      </c>
      <c r="Q55" s="32" t="n"/>
      <c r="R55" s="32" t="n"/>
      <c r="S55" s="32" t="n"/>
      <c r="T55" s="33" t="n"/>
      <c r="U55" s="40">
        <f>'S05'!T55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'S05'!M56+L56</f>
        <v/>
      </c>
      <c r="N56" s="36">
        <f>IFERROR(M56/K56,0)</f>
        <v/>
      </c>
      <c r="O56" s="42">
        <f>'S05'!N56</f>
        <v/>
      </c>
      <c r="P56" s="36">
        <f>N56-O56</f>
        <v/>
      </c>
      <c r="Q56" s="32" t="n"/>
      <c r="R56" s="32" t="n"/>
      <c r="S56" s="32" t="n"/>
      <c r="T56" s="33" t="n"/>
      <c r="U56" s="42">
        <f>'S05'!T56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'S05'!M57+L57</f>
        <v/>
      </c>
      <c r="N57" s="31">
        <f>IFERROR(M57/K57,0)</f>
        <v/>
      </c>
      <c r="O57" s="40">
        <f>'S05'!N57</f>
        <v/>
      </c>
      <c r="P57" s="31">
        <f>N57-O57</f>
        <v/>
      </c>
      <c r="Q57" s="32" t="n"/>
      <c r="R57" s="32" t="n"/>
      <c r="S57" s="32" t="n"/>
      <c r="T57" s="33" t="n"/>
      <c r="U57" s="40">
        <f>'S05'!T57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'S05'!M58+L58</f>
        <v/>
      </c>
      <c r="N58" s="36">
        <f>IFERROR(M58/K58,0)</f>
        <v/>
      </c>
      <c r="O58" s="42">
        <f>'S05'!N58</f>
        <v/>
      </c>
      <c r="P58" s="36">
        <f>N58-O58</f>
        <v/>
      </c>
      <c r="Q58" s="32" t="n"/>
      <c r="R58" s="32" t="n"/>
      <c r="S58" s="32" t="n"/>
      <c r="T58" s="33" t="n"/>
      <c r="U58" s="42">
        <f>'S05'!T58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'S05'!M59+L59</f>
        <v/>
      </c>
      <c r="N59" s="31">
        <f>IFERROR(M59/K59,0)</f>
        <v/>
      </c>
      <c r="O59" s="40">
        <f>'S05'!N59</f>
        <v/>
      </c>
      <c r="P59" s="31">
        <f>N59-O59</f>
        <v/>
      </c>
      <c r="Q59" s="32" t="n"/>
      <c r="R59" s="32" t="n"/>
      <c r="S59" s="32" t="n"/>
      <c r="T59" s="33" t="n"/>
      <c r="U59" s="40">
        <f>'S05'!T59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'S05'!M60+L60</f>
        <v/>
      </c>
      <c r="N60" s="36">
        <f>IFERROR(M60/K60,0)</f>
        <v/>
      </c>
      <c r="O60" s="42">
        <f>'S05'!N60</f>
        <v/>
      </c>
      <c r="P60" s="36">
        <f>N60-O60</f>
        <v/>
      </c>
      <c r="Q60" s="32" t="n"/>
      <c r="R60" s="32" t="n"/>
      <c r="S60" s="32" t="n"/>
      <c r="T60" s="33" t="n"/>
      <c r="U60" s="42">
        <f>'S05'!T60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'S05'!M61+L61</f>
        <v/>
      </c>
      <c r="N61" s="31">
        <f>IFERROR(M61/K61,0)</f>
        <v/>
      </c>
      <c r="O61" s="40">
        <f>'S05'!N61</f>
        <v/>
      </c>
      <c r="P61" s="31">
        <f>N61-O61</f>
        <v/>
      </c>
      <c r="Q61" s="32" t="n"/>
      <c r="R61" s="32" t="n"/>
      <c r="S61" s="32" t="n"/>
      <c r="T61" s="33" t="n"/>
      <c r="U61" s="40">
        <f>'S05'!T61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'S05'!M62+L62</f>
        <v/>
      </c>
      <c r="N62" s="36">
        <f>IFERROR(M62/K62,0)</f>
        <v/>
      </c>
      <c r="O62" s="42">
        <f>'S05'!N62</f>
        <v/>
      </c>
      <c r="P62" s="36">
        <f>N62-O62</f>
        <v/>
      </c>
      <c r="Q62" s="32" t="n"/>
      <c r="R62" s="32" t="n"/>
      <c r="S62" s="32" t="n"/>
      <c r="T62" s="33" t="n"/>
      <c r="U62" s="42">
        <f>'S05'!T62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'S05'!M63+L63</f>
        <v/>
      </c>
      <c r="N63" s="31">
        <f>IFERROR(M63/K63,0)</f>
        <v/>
      </c>
      <c r="O63" s="40">
        <f>'S05'!N63</f>
        <v/>
      </c>
      <c r="P63" s="31">
        <f>N63-O63</f>
        <v/>
      </c>
      <c r="Q63" s="32" t="n"/>
      <c r="R63" s="32" t="n"/>
      <c r="S63" s="32" t="n"/>
      <c r="T63" s="33" t="n"/>
      <c r="U63" s="40">
        <f>'S05'!T63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'S05'!M64+L64</f>
        <v/>
      </c>
      <c r="N64" s="36">
        <f>IFERROR(M64/K64,0)</f>
        <v/>
      </c>
      <c r="O64" s="42">
        <f>'S05'!N64</f>
        <v/>
      </c>
      <c r="P64" s="36">
        <f>N64-O64</f>
        <v/>
      </c>
      <c r="Q64" s="32" t="n"/>
      <c r="R64" s="32" t="n"/>
      <c r="S64" s="32" t="n"/>
      <c r="T64" s="33" t="n"/>
      <c r="U64" s="42">
        <f>'S05'!T64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'S05'!M65+L65</f>
        <v/>
      </c>
      <c r="N65" s="31">
        <f>IFERROR(M65/K65,0)</f>
        <v/>
      </c>
      <c r="O65" s="40">
        <f>'S05'!N65</f>
        <v/>
      </c>
      <c r="P65" s="31">
        <f>N65-O65</f>
        <v/>
      </c>
      <c r="Q65" s="32" t="n"/>
      <c r="R65" s="32" t="n"/>
      <c r="S65" s="32" t="n"/>
      <c r="T65" s="33" t="n"/>
      <c r="U65" s="40">
        <f>'S05'!T65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'S05'!M66+L66</f>
        <v/>
      </c>
      <c r="N66" s="36">
        <f>IFERROR(M66/K66,0)</f>
        <v/>
      </c>
      <c r="O66" s="42">
        <f>'S05'!N66</f>
        <v/>
      </c>
      <c r="P66" s="36">
        <f>N66-O66</f>
        <v/>
      </c>
      <c r="Q66" s="32" t="n"/>
      <c r="R66" s="32" t="n"/>
      <c r="S66" s="32" t="n"/>
      <c r="T66" s="33" t="n"/>
      <c r="U66" s="42">
        <f>'S05'!T66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'S05'!M67+L67</f>
        <v/>
      </c>
      <c r="N67" s="31">
        <f>IFERROR(M67/K67,0)</f>
        <v/>
      </c>
      <c r="O67" s="40">
        <f>'S05'!N67</f>
        <v/>
      </c>
      <c r="P67" s="31">
        <f>N67-O67</f>
        <v/>
      </c>
      <c r="Q67" s="32" t="n"/>
      <c r="R67" s="32" t="n"/>
      <c r="S67" s="32" t="n"/>
      <c r="T67" s="33" t="n"/>
      <c r="U67" s="40">
        <f>'S05'!T67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'S05'!M68+L68</f>
        <v/>
      </c>
      <c r="N68" s="36">
        <f>IFERROR(M68/K68,0)</f>
        <v/>
      </c>
      <c r="O68" s="42">
        <f>'S05'!N68</f>
        <v/>
      </c>
      <c r="P68" s="36">
        <f>N68-O68</f>
        <v/>
      </c>
      <c r="Q68" s="32" t="n"/>
      <c r="R68" s="32" t="n"/>
      <c r="S68" s="32" t="n"/>
      <c r="T68" s="33" t="n"/>
      <c r="U68" s="42">
        <f>'S05'!T68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'S05'!M69+L69</f>
        <v/>
      </c>
      <c r="N69" s="31">
        <f>IFERROR(M69/K69,0)</f>
        <v/>
      </c>
      <c r="O69" s="40">
        <f>'S05'!N69</f>
        <v/>
      </c>
      <c r="P69" s="31">
        <f>N69-O69</f>
        <v/>
      </c>
      <c r="Q69" s="32" t="n"/>
      <c r="R69" s="32" t="n"/>
      <c r="S69" s="32" t="n"/>
      <c r="T69" s="33" t="n"/>
      <c r="U69" s="40">
        <f>'S05'!T69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'S05'!M70+L70</f>
        <v/>
      </c>
      <c r="N70" s="36">
        <f>IFERROR(M70/K70,0)</f>
        <v/>
      </c>
      <c r="O70" s="42">
        <f>'S05'!N70</f>
        <v/>
      </c>
      <c r="P70" s="36">
        <f>N70-O70</f>
        <v/>
      </c>
      <c r="Q70" s="32" t="n"/>
      <c r="R70" s="32" t="n"/>
      <c r="S70" s="32" t="n"/>
      <c r="T70" s="33" t="n"/>
      <c r="U70" s="42">
        <f>'S05'!T70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'S05'!M71+L71</f>
        <v/>
      </c>
      <c r="N71" s="31">
        <f>IFERROR(M71/K71,0)</f>
        <v/>
      </c>
      <c r="O71" s="40">
        <f>'S05'!N71</f>
        <v/>
      </c>
      <c r="P71" s="31">
        <f>N71-O71</f>
        <v/>
      </c>
      <c r="Q71" s="32" t="n"/>
      <c r="R71" s="32" t="n"/>
      <c r="S71" s="32" t="n"/>
      <c r="T71" s="33" t="n"/>
      <c r="U71" s="40">
        <f>'S05'!T71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'S05'!M72+L72</f>
        <v/>
      </c>
      <c r="N72" s="36">
        <f>IFERROR(M72/K72,0)</f>
        <v/>
      </c>
      <c r="O72" s="42">
        <f>'S05'!N72</f>
        <v/>
      </c>
      <c r="P72" s="36">
        <f>N72-O72</f>
        <v/>
      </c>
      <c r="Q72" s="32" t="n"/>
      <c r="R72" s="32" t="n"/>
      <c r="S72" s="32" t="n"/>
      <c r="T72" s="33" t="n"/>
      <c r="U72" s="42">
        <f>'S05'!T72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'S05'!M73+L73</f>
        <v/>
      </c>
      <c r="N73" s="31">
        <f>IFERROR(M73/K73,0)</f>
        <v/>
      </c>
      <c r="O73" s="40">
        <f>'S05'!N73</f>
        <v/>
      </c>
      <c r="P73" s="31">
        <f>N73-O73</f>
        <v/>
      </c>
      <c r="Q73" s="32" t="n"/>
      <c r="R73" s="32" t="n"/>
      <c r="S73" s="32" t="n"/>
      <c r="T73" s="33" t="n"/>
      <c r="U73" s="40">
        <f>'S05'!T73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'S05'!M74+L74</f>
        <v/>
      </c>
      <c r="N74" s="36">
        <f>IFERROR(M74/K74,0)</f>
        <v/>
      </c>
      <c r="O74" s="42">
        <f>'S05'!N74</f>
        <v/>
      </c>
      <c r="P74" s="36">
        <f>N74-O74</f>
        <v/>
      </c>
      <c r="Q74" s="32" t="n"/>
      <c r="R74" s="32" t="n"/>
      <c r="S74" s="32" t="n"/>
      <c r="T74" s="33" t="n"/>
      <c r="U74" s="42">
        <f>'S05'!T74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'S05'!M75+L75</f>
        <v/>
      </c>
      <c r="N75" s="31">
        <f>IFERROR(M75/K75,0)</f>
        <v/>
      </c>
      <c r="O75" s="40">
        <f>'S05'!N75</f>
        <v/>
      </c>
      <c r="P75" s="31">
        <f>N75-O75</f>
        <v/>
      </c>
      <c r="Q75" s="32" t="n"/>
      <c r="R75" s="32" t="n"/>
      <c r="S75" s="32" t="n"/>
      <c r="T75" s="33" t="n"/>
      <c r="U75" s="40">
        <f>'S05'!T75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'S05'!M76+L76</f>
        <v/>
      </c>
      <c r="N76" s="36">
        <f>IFERROR(M76/K76,0)</f>
        <v/>
      </c>
      <c r="O76" s="42">
        <f>'S05'!N76</f>
        <v/>
      </c>
      <c r="P76" s="36">
        <f>N76-O76</f>
        <v/>
      </c>
      <c r="Q76" s="32" t="n"/>
      <c r="R76" s="32" t="n"/>
      <c r="S76" s="32" t="n"/>
      <c r="T76" s="33" t="n"/>
      <c r="U76" s="42">
        <f>'S05'!T76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9.xml><?xml version="1.0" encoding="utf-8"?>
<worksheet xmlns="http://schemas.openxmlformats.org/spreadsheetml/2006/main">
  <sheetPr>
    <tabColor rgb="005B9BD5"/>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7 (09/02 - 15/02) — Février 2026 - Exécution Physique et Financière</t>
        </is>
      </c>
    </row>
    <row r="3" ht="22" customHeight="1">
      <c r="B3" s="20" t="inlineStr">
        <is>
          <t>Date :</t>
        </is>
      </c>
      <c r="C3" s="21" t="n">
        <v>46062</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'S06'!M5+L5</f>
        <v/>
      </c>
      <c r="N5" s="31">
        <f>IFERROR(M5/K5,0)</f>
        <v/>
      </c>
      <c r="O5" s="40">
        <f>'S06'!N5</f>
        <v/>
      </c>
      <c r="P5" s="31">
        <f>N5-O5</f>
        <v/>
      </c>
      <c r="Q5" s="32" t="n"/>
      <c r="R5" s="32" t="n"/>
      <c r="S5" s="32" t="n"/>
      <c r="T5" s="33" t="n"/>
      <c r="U5" s="40">
        <f>'S06'!T5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'S06'!M6+L6</f>
        <v/>
      </c>
      <c r="N6" s="36">
        <f>IFERROR(M6/K6,0)</f>
        <v/>
      </c>
      <c r="O6" s="42">
        <f>'S06'!N6</f>
        <v/>
      </c>
      <c r="P6" s="36">
        <f>N6-O6</f>
        <v/>
      </c>
      <c r="Q6" s="32" t="n"/>
      <c r="R6" s="32" t="n"/>
      <c r="S6" s="32" t="n"/>
      <c r="T6" s="33" t="n"/>
      <c r="U6" s="42">
        <f>'S06'!T6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'S06'!M7+L7</f>
        <v/>
      </c>
      <c r="N7" s="31">
        <f>IFERROR(M7/K7,0)</f>
        <v/>
      </c>
      <c r="O7" s="40">
        <f>'S06'!N7</f>
        <v/>
      </c>
      <c r="P7" s="31">
        <f>N7-O7</f>
        <v/>
      </c>
      <c r="Q7" s="32" t="n"/>
      <c r="R7" s="32" t="n"/>
      <c r="S7" s="32" t="n"/>
      <c r="T7" s="33" t="n"/>
      <c r="U7" s="40">
        <f>'S06'!T7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'S06'!M8+L8</f>
        <v/>
      </c>
      <c r="N8" s="36">
        <f>IFERROR(M8/K8,0)</f>
        <v/>
      </c>
      <c r="O8" s="42">
        <f>'S06'!N8</f>
        <v/>
      </c>
      <c r="P8" s="36">
        <f>N8-O8</f>
        <v/>
      </c>
      <c r="Q8" s="32" t="n"/>
      <c r="R8" s="32" t="n"/>
      <c r="S8" s="32" t="n"/>
      <c r="T8" s="33" t="n"/>
      <c r="U8" s="42">
        <f>'S06'!T8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'S06'!M9+L9</f>
        <v/>
      </c>
      <c r="N9" s="31">
        <f>IFERROR(M9/K9,0)</f>
        <v/>
      </c>
      <c r="O9" s="40">
        <f>'S06'!N9</f>
        <v/>
      </c>
      <c r="P9" s="31">
        <f>N9-O9</f>
        <v/>
      </c>
      <c r="Q9" s="32" t="n"/>
      <c r="R9" s="32" t="n"/>
      <c r="S9" s="32" t="n"/>
      <c r="T9" s="33" t="n"/>
      <c r="U9" s="40">
        <f>'S06'!T9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'S06'!M10+L10</f>
        <v/>
      </c>
      <c r="N10" s="36">
        <f>IFERROR(M10/K10,0)</f>
        <v/>
      </c>
      <c r="O10" s="42">
        <f>'S06'!N10</f>
        <v/>
      </c>
      <c r="P10" s="36">
        <f>N10-O10</f>
        <v/>
      </c>
      <c r="Q10" s="32" t="n"/>
      <c r="R10" s="32" t="n"/>
      <c r="S10" s="32" t="n"/>
      <c r="T10" s="33" t="n"/>
      <c r="U10" s="42">
        <f>'S06'!T10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'S06'!M11+L11</f>
        <v/>
      </c>
      <c r="N11" s="31">
        <f>IFERROR(M11/K11,0)</f>
        <v/>
      </c>
      <c r="O11" s="40">
        <f>'S06'!N11</f>
        <v/>
      </c>
      <c r="P11" s="31">
        <f>N11-O11</f>
        <v/>
      </c>
      <c r="Q11" s="32" t="n"/>
      <c r="R11" s="32" t="n"/>
      <c r="S11" s="32" t="n"/>
      <c r="T11" s="33" t="n"/>
      <c r="U11" s="40">
        <f>'S06'!T11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'S06'!M12+L12</f>
        <v/>
      </c>
      <c r="N12" s="36">
        <f>IFERROR(M12/K12,0)</f>
        <v/>
      </c>
      <c r="O12" s="42">
        <f>'S06'!N12</f>
        <v/>
      </c>
      <c r="P12" s="36">
        <f>N12-O12</f>
        <v/>
      </c>
      <c r="Q12" s="32" t="n"/>
      <c r="R12" s="32" t="n"/>
      <c r="S12" s="32" t="n"/>
      <c r="T12" s="33" t="n"/>
      <c r="U12" s="42">
        <f>'S06'!T12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'S06'!M13+L13</f>
        <v/>
      </c>
      <c r="N13" s="31">
        <f>IFERROR(M13/K13,0)</f>
        <v/>
      </c>
      <c r="O13" s="40">
        <f>'S06'!N13</f>
        <v/>
      </c>
      <c r="P13" s="31">
        <f>N13-O13</f>
        <v/>
      </c>
      <c r="Q13" s="32" t="n"/>
      <c r="R13" s="32" t="n"/>
      <c r="S13" s="32" t="n"/>
      <c r="T13" s="33" t="n"/>
      <c r="U13" s="40">
        <f>'S06'!T13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'S06'!M14+L14</f>
        <v/>
      </c>
      <c r="N14" s="36">
        <f>IFERROR(M14/K14,0)</f>
        <v/>
      </c>
      <c r="O14" s="42">
        <f>'S06'!N14</f>
        <v/>
      </c>
      <c r="P14" s="36">
        <f>N14-O14</f>
        <v/>
      </c>
      <c r="Q14" s="32" t="n"/>
      <c r="R14" s="32" t="n"/>
      <c r="S14" s="32" t="n"/>
      <c r="T14" s="33" t="n"/>
      <c r="U14" s="42">
        <f>'S06'!T14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'S06'!M15+L15</f>
        <v/>
      </c>
      <c r="N15" s="31">
        <f>IFERROR(M15/K15,0)</f>
        <v/>
      </c>
      <c r="O15" s="40">
        <f>'S06'!N15</f>
        <v/>
      </c>
      <c r="P15" s="31">
        <f>N15-O15</f>
        <v/>
      </c>
      <c r="Q15" s="32" t="n"/>
      <c r="R15" s="32" t="n"/>
      <c r="S15" s="32" t="n"/>
      <c r="T15" s="33" t="n"/>
      <c r="U15" s="40">
        <f>'S06'!T15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'S06'!M16+L16</f>
        <v/>
      </c>
      <c r="N16" s="36">
        <f>IFERROR(M16/K16,0)</f>
        <v/>
      </c>
      <c r="O16" s="42">
        <f>'S06'!N16</f>
        <v/>
      </c>
      <c r="P16" s="36">
        <f>N16-O16</f>
        <v/>
      </c>
      <c r="Q16" s="32" t="n"/>
      <c r="R16" s="32" t="n"/>
      <c r="S16" s="32" t="n"/>
      <c r="T16" s="33" t="n"/>
      <c r="U16" s="42">
        <f>'S06'!T16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'S06'!M17+L17</f>
        <v/>
      </c>
      <c r="N17" s="31">
        <f>IFERROR(M17/K17,0)</f>
        <v/>
      </c>
      <c r="O17" s="40">
        <f>'S06'!N17</f>
        <v/>
      </c>
      <c r="P17" s="31">
        <f>N17-O17</f>
        <v/>
      </c>
      <c r="Q17" s="32" t="n"/>
      <c r="R17" s="32" t="n"/>
      <c r="S17" s="32" t="n"/>
      <c r="T17" s="33" t="n"/>
      <c r="U17" s="40">
        <f>'S06'!T17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'S06'!M18+L18</f>
        <v/>
      </c>
      <c r="N18" s="36">
        <f>IFERROR(M18/K18,0)</f>
        <v/>
      </c>
      <c r="O18" s="42">
        <f>'S06'!N18</f>
        <v/>
      </c>
      <c r="P18" s="36">
        <f>N18-O18</f>
        <v/>
      </c>
      <c r="Q18" s="32" t="n"/>
      <c r="R18" s="32" t="n"/>
      <c r="S18" s="32" t="n"/>
      <c r="T18" s="33" t="n"/>
      <c r="U18" s="42">
        <f>'S06'!T18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'S06'!M19+L19</f>
        <v/>
      </c>
      <c r="N19" s="31">
        <f>IFERROR(M19/K19,0)</f>
        <v/>
      </c>
      <c r="O19" s="40">
        <f>'S06'!N19</f>
        <v/>
      </c>
      <c r="P19" s="31">
        <f>N19-O19</f>
        <v/>
      </c>
      <c r="Q19" s="32" t="n"/>
      <c r="R19" s="32" t="n"/>
      <c r="S19" s="32" t="n"/>
      <c r="T19" s="33" t="n"/>
      <c r="U19" s="40">
        <f>'S06'!T19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'S06'!M20+L20</f>
        <v/>
      </c>
      <c r="N20" s="36">
        <f>IFERROR(M20/K20,0)</f>
        <v/>
      </c>
      <c r="O20" s="42">
        <f>'S06'!N20</f>
        <v/>
      </c>
      <c r="P20" s="36">
        <f>N20-O20</f>
        <v/>
      </c>
      <c r="Q20" s="32" t="n"/>
      <c r="R20" s="32" t="n"/>
      <c r="S20" s="32" t="n"/>
      <c r="T20" s="33" t="n"/>
      <c r="U20" s="42">
        <f>'S06'!T20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'S06'!M21+L21</f>
        <v/>
      </c>
      <c r="N21" s="31">
        <f>IFERROR(M21/K21,0)</f>
        <v/>
      </c>
      <c r="O21" s="40">
        <f>'S06'!N21</f>
        <v/>
      </c>
      <c r="P21" s="31">
        <f>N21-O21</f>
        <v/>
      </c>
      <c r="Q21" s="32" t="n"/>
      <c r="R21" s="32" t="n"/>
      <c r="S21" s="32" t="n"/>
      <c r="T21" s="33" t="n"/>
      <c r="U21" s="40">
        <f>'S06'!T21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'S06'!M22+L22</f>
        <v/>
      </c>
      <c r="N22" s="36">
        <f>IFERROR(M22/K22,0)</f>
        <v/>
      </c>
      <c r="O22" s="42">
        <f>'S06'!N22</f>
        <v/>
      </c>
      <c r="P22" s="36">
        <f>N22-O22</f>
        <v/>
      </c>
      <c r="Q22" s="32" t="n"/>
      <c r="R22" s="32" t="n"/>
      <c r="S22" s="32" t="n"/>
      <c r="T22" s="33" t="n"/>
      <c r="U22" s="42">
        <f>'S06'!T22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'S06'!M23+L23</f>
        <v/>
      </c>
      <c r="N23" s="31">
        <f>IFERROR(M23/K23,0)</f>
        <v/>
      </c>
      <c r="O23" s="40">
        <f>'S06'!N23</f>
        <v/>
      </c>
      <c r="P23" s="31">
        <f>N23-O23</f>
        <v/>
      </c>
      <c r="Q23" s="32" t="n"/>
      <c r="R23" s="32" t="n"/>
      <c r="S23" s="32" t="n"/>
      <c r="T23" s="33" t="n"/>
      <c r="U23" s="40">
        <f>'S06'!T23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'S06'!M24+L24</f>
        <v/>
      </c>
      <c r="N24" s="36">
        <f>IFERROR(M24/K24,0)</f>
        <v/>
      </c>
      <c r="O24" s="42">
        <f>'S06'!N24</f>
        <v/>
      </c>
      <c r="P24" s="36">
        <f>N24-O24</f>
        <v/>
      </c>
      <c r="Q24" s="32" t="n"/>
      <c r="R24" s="32" t="n"/>
      <c r="S24" s="32" t="n"/>
      <c r="T24" s="33" t="n"/>
      <c r="U24" s="42">
        <f>'S06'!T24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'S06'!M25+L25</f>
        <v/>
      </c>
      <c r="N25" s="31">
        <f>IFERROR(M25/K25,0)</f>
        <v/>
      </c>
      <c r="O25" s="40">
        <f>'S06'!N25</f>
        <v/>
      </c>
      <c r="P25" s="31">
        <f>N25-O25</f>
        <v/>
      </c>
      <c r="Q25" s="32" t="n"/>
      <c r="R25" s="32" t="n"/>
      <c r="S25" s="32" t="n"/>
      <c r="T25" s="33" t="n"/>
      <c r="U25" s="40">
        <f>'S06'!T25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'S06'!M26+L26</f>
        <v/>
      </c>
      <c r="N26" s="36">
        <f>IFERROR(M26/K26,0)</f>
        <v/>
      </c>
      <c r="O26" s="42">
        <f>'S06'!N26</f>
        <v/>
      </c>
      <c r="P26" s="36">
        <f>N26-O26</f>
        <v/>
      </c>
      <c r="Q26" s="32" t="n"/>
      <c r="R26" s="32" t="n"/>
      <c r="S26" s="32" t="n"/>
      <c r="T26" s="33" t="n"/>
      <c r="U26" s="42">
        <f>'S06'!T26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'S06'!M27+L27</f>
        <v/>
      </c>
      <c r="N27" s="31">
        <f>IFERROR(M27/K27,0)</f>
        <v/>
      </c>
      <c r="O27" s="40">
        <f>'S06'!N27</f>
        <v/>
      </c>
      <c r="P27" s="31">
        <f>N27-O27</f>
        <v/>
      </c>
      <c r="Q27" s="32" t="n"/>
      <c r="R27" s="32" t="n"/>
      <c r="S27" s="32" t="n"/>
      <c r="T27" s="33" t="n"/>
      <c r="U27" s="40">
        <f>'S06'!T27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'S06'!M28+L28</f>
        <v/>
      </c>
      <c r="N28" s="36">
        <f>IFERROR(M28/K28,0)</f>
        <v/>
      </c>
      <c r="O28" s="42">
        <f>'S06'!N28</f>
        <v/>
      </c>
      <c r="P28" s="36">
        <f>N28-O28</f>
        <v/>
      </c>
      <c r="Q28" s="32" t="n"/>
      <c r="R28" s="32" t="n"/>
      <c r="S28" s="32" t="n"/>
      <c r="T28" s="33" t="n"/>
      <c r="U28" s="42">
        <f>'S06'!T28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'S06'!M29+L29</f>
        <v/>
      </c>
      <c r="N29" s="31">
        <f>IFERROR(M29/K29,0)</f>
        <v/>
      </c>
      <c r="O29" s="40">
        <f>'S06'!N29</f>
        <v/>
      </c>
      <c r="P29" s="31">
        <f>N29-O29</f>
        <v/>
      </c>
      <c r="Q29" s="32" t="n"/>
      <c r="R29" s="32" t="n"/>
      <c r="S29" s="32" t="n"/>
      <c r="T29" s="33" t="n"/>
      <c r="U29" s="40">
        <f>'S06'!T29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'S06'!M30+L30</f>
        <v/>
      </c>
      <c r="N30" s="36">
        <f>IFERROR(M30/K30,0)</f>
        <v/>
      </c>
      <c r="O30" s="42">
        <f>'S06'!N30</f>
        <v/>
      </c>
      <c r="P30" s="36">
        <f>N30-O30</f>
        <v/>
      </c>
      <c r="Q30" s="32" t="n"/>
      <c r="R30" s="32" t="n"/>
      <c r="S30" s="32" t="n"/>
      <c r="T30" s="33" t="n"/>
      <c r="U30" s="42">
        <f>'S06'!T30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'S06'!M31+L31</f>
        <v/>
      </c>
      <c r="N31" s="31">
        <f>IFERROR(M31/K31,0)</f>
        <v/>
      </c>
      <c r="O31" s="40">
        <f>'S06'!N31</f>
        <v/>
      </c>
      <c r="P31" s="31">
        <f>N31-O31</f>
        <v/>
      </c>
      <c r="Q31" s="32" t="n"/>
      <c r="R31" s="32" t="n"/>
      <c r="S31" s="32" t="n"/>
      <c r="T31" s="33" t="n"/>
      <c r="U31" s="40">
        <f>'S06'!T31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'S06'!M32+L32</f>
        <v/>
      </c>
      <c r="N32" s="36">
        <f>IFERROR(M32/K32,0)</f>
        <v/>
      </c>
      <c r="O32" s="42">
        <f>'S06'!N32</f>
        <v/>
      </c>
      <c r="P32" s="36">
        <f>N32-O32</f>
        <v/>
      </c>
      <c r="Q32" s="32" t="n"/>
      <c r="R32" s="32" t="n"/>
      <c r="S32" s="32" t="n"/>
      <c r="T32" s="33" t="n"/>
      <c r="U32" s="42">
        <f>'S06'!T32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'S06'!M33+L33</f>
        <v/>
      </c>
      <c r="N33" s="31">
        <f>IFERROR(M33/K33,0)</f>
        <v/>
      </c>
      <c r="O33" s="40">
        <f>'S06'!N33</f>
        <v/>
      </c>
      <c r="P33" s="31">
        <f>N33-O33</f>
        <v/>
      </c>
      <c r="Q33" s="32" t="n"/>
      <c r="R33" s="32" t="n"/>
      <c r="S33" s="32" t="n"/>
      <c r="T33" s="33" t="n"/>
      <c r="U33" s="40">
        <f>'S06'!T33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'S06'!M34+L34</f>
        <v/>
      </c>
      <c r="N34" s="36">
        <f>IFERROR(M34/K34,0)</f>
        <v/>
      </c>
      <c r="O34" s="42">
        <f>'S06'!N34</f>
        <v/>
      </c>
      <c r="P34" s="36">
        <f>N34-O34</f>
        <v/>
      </c>
      <c r="Q34" s="32" t="n"/>
      <c r="R34" s="32" t="n"/>
      <c r="S34" s="32" t="n"/>
      <c r="T34" s="33" t="n"/>
      <c r="U34" s="42">
        <f>'S06'!T34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'S06'!M35+L35</f>
        <v/>
      </c>
      <c r="N35" s="31">
        <f>IFERROR(M35/K35,0)</f>
        <v/>
      </c>
      <c r="O35" s="40">
        <f>'S06'!N35</f>
        <v/>
      </c>
      <c r="P35" s="31">
        <f>N35-O35</f>
        <v/>
      </c>
      <c r="Q35" s="32" t="n"/>
      <c r="R35" s="32" t="n"/>
      <c r="S35" s="32" t="n"/>
      <c r="T35" s="33" t="n"/>
      <c r="U35" s="40">
        <f>'S06'!T35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'S06'!M36+L36</f>
        <v/>
      </c>
      <c r="N36" s="36">
        <f>IFERROR(M36/K36,0)</f>
        <v/>
      </c>
      <c r="O36" s="42">
        <f>'S06'!N36</f>
        <v/>
      </c>
      <c r="P36" s="36">
        <f>N36-O36</f>
        <v/>
      </c>
      <c r="Q36" s="32" t="n"/>
      <c r="R36" s="32" t="n"/>
      <c r="S36" s="32" t="n"/>
      <c r="T36" s="33" t="n"/>
      <c r="U36" s="42">
        <f>'S06'!T36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'S06'!M37+L37</f>
        <v/>
      </c>
      <c r="N37" s="31">
        <f>IFERROR(M37/K37,0)</f>
        <v/>
      </c>
      <c r="O37" s="40">
        <f>'S06'!N37</f>
        <v/>
      </c>
      <c r="P37" s="31">
        <f>N37-O37</f>
        <v/>
      </c>
      <c r="Q37" s="32" t="n"/>
      <c r="R37" s="32" t="n"/>
      <c r="S37" s="32" t="n"/>
      <c r="T37" s="33" t="n"/>
      <c r="U37" s="40">
        <f>'S06'!T37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'S06'!M38+L38</f>
        <v/>
      </c>
      <c r="N38" s="36">
        <f>IFERROR(M38/K38,0)</f>
        <v/>
      </c>
      <c r="O38" s="42">
        <f>'S06'!N38</f>
        <v/>
      </c>
      <c r="P38" s="36">
        <f>N38-O38</f>
        <v/>
      </c>
      <c r="Q38" s="32" t="n"/>
      <c r="R38" s="32" t="n"/>
      <c r="S38" s="32" t="n"/>
      <c r="T38" s="33" t="n"/>
      <c r="U38" s="42">
        <f>'S06'!T38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'S06'!M39+L39</f>
        <v/>
      </c>
      <c r="N39" s="31">
        <f>IFERROR(M39/K39,0)</f>
        <v/>
      </c>
      <c r="O39" s="40">
        <f>'S06'!N39</f>
        <v/>
      </c>
      <c r="P39" s="31">
        <f>N39-O39</f>
        <v/>
      </c>
      <c r="Q39" s="32" t="n"/>
      <c r="R39" s="32" t="n"/>
      <c r="S39" s="32" t="n"/>
      <c r="T39" s="33" t="n"/>
      <c r="U39" s="40">
        <f>'S06'!T39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'S06'!M40+L40</f>
        <v/>
      </c>
      <c r="N40" s="36">
        <f>IFERROR(M40/K40,0)</f>
        <v/>
      </c>
      <c r="O40" s="42">
        <f>'S06'!N40</f>
        <v/>
      </c>
      <c r="P40" s="36">
        <f>N40-O40</f>
        <v/>
      </c>
      <c r="Q40" s="32" t="n"/>
      <c r="R40" s="32" t="n"/>
      <c r="S40" s="32" t="n"/>
      <c r="T40" s="33" t="n"/>
      <c r="U40" s="42">
        <f>'S06'!T40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'S06'!M41+L41</f>
        <v/>
      </c>
      <c r="N41" s="31">
        <f>IFERROR(M41/K41,0)</f>
        <v/>
      </c>
      <c r="O41" s="40">
        <f>'S06'!N41</f>
        <v/>
      </c>
      <c r="P41" s="31">
        <f>N41-O41</f>
        <v/>
      </c>
      <c r="Q41" s="32" t="n"/>
      <c r="R41" s="32" t="n"/>
      <c r="S41" s="32" t="n"/>
      <c r="T41" s="33" t="n"/>
      <c r="U41" s="40">
        <f>'S06'!T41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'S06'!M42+L42</f>
        <v/>
      </c>
      <c r="N42" s="36">
        <f>IFERROR(M42/K42,0)</f>
        <v/>
      </c>
      <c r="O42" s="42">
        <f>'S06'!N42</f>
        <v/>
      </c>
      <c r="P42" s="36">
        <f>N42-O42</f>
        <v/>
      </c>
      <c r="Q42" s="32" t="n"/>
      <c r="R42" s="32" t="n"/>
      <c r="S42" s="32" t="n"/>
      <c r="T42" s="33" t="n"/>
      <c r="U42" s="42">
        <f>'S06'!T42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'S06'!M43+L43</f>
        <v/>
      </c>
      <c r="N43" s="31">
        <f>IFERROR(M43/K43,0)</f>
        <v/>
      </c>
      <c r="O43" s="40">
        <f>'S06'!N43</f>
        <v/>
      </c>
      <c r="P43" s="31">
        <f>N43-O43</f>
        <v/>
      </c>
      <c r="Q43" s="32" t="n"/>
      <c r="R43" s="32" t="n"/>
      <c r="S43" s="32" t="n"/>
      <c r="T43" s="33" t="n"/>
      <c r="U43" s="40">
        <f>'S06'!T43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'S06'!M44+L44</f>
        <v/>
      </c>
      <c r="N44" s="36">
        <f>IFERROR(M44/K44,0)</f>
        <v/>
      </c>
      <c r="O44" s="42">
        <f>'S06'!N44</f>
        <v/>
      </c>
      <c r="P44" s="36">
        <f>N44-O44</f>
        <v/>
      </c>
      <c r="Q44" s="32" t="n"/>
      <c r="R44" s="32" t="n"/>
      <c r="S44" s="32" t="n"/>
      <c r="T44" s="33" t="n"/>
      <c r="U44" s="42">
        <f>'S06'!T44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'S06'!M45+L45</f>
        <v/>
      </c>
      <c r="N45" s="31">
        <f>IFERROR(M45/K45,0)</f>
        <v/>
      </c>
      <c r="O45" s="40">
        <f>'S06'!N45</f>
        <v/>
      </c>
      <c r="P45" s="31">
        <f>N45-O45</f>
        <v/>
      </c>
      <c r="Q45" s="32" t="n"/>
      <c r="R45" s="32" t="n"/>
      <c r="S45" s="32" t="n"/>
      <c r="T45" s="33" t="n"/>
      <c r="U45" s="40">
        <f>'S06'!T45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'S06'!M46+L46</f>
        <v/>
      </c>
      <c r="N46" s="36">
        <f>IFERROR(M46/K46,0)</f>
        <v/>
      </c>
      <c r="O46" s="42">
        <f>'S06'!N46</f>
        <v/>
      </c>
      <c r="P46" s="36">
        <f>N46-O46</f>
        <v/>
      </c>
      <c r="Q46" s="32" t="n"/>
      <c r="R46" s="32" t="n"/>
      <c r="S46" s="32" t="n"/>
      <c r="T46" s="33" t="n"/>
      <c r="U46" s="42">
        <f>'S06'!T46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'S06'!M47+L47</f>
        <v/>
      </c>
      <c r="N47" s="31">
        <f>IFERROR(M47/K47,0)</f>
        <v/>
      </c>
      <c r="O47" s="40">
        <f>'S06'!N47</f>
        <v/>
      </c>
      <c r="P47" s="31">
        <f>N47-O47</f>
        <v/>
      </c>
      <c r="Q47" s="32" t="n"/>
      <c r="R47" s="32" t="n"/>
      <c r="S47" s="32" t="n"/>
      <c r="T47" s="33" t="n"/>
      <c r="U47" s="40">
        <f>'S06'!T47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'S06'!M48+L48</f>
        <v/>
      </c>
      <c r="N48" s="36">
        <f>IFERROR(M48/K48,0)</f>
        <v/>
      </c>
      <c r="O48" s="42">
        <f>'S06'!N48</f>
        <v/>
      </c>
      <c r="P48" s="36">
        <f>N48-O48</f>
        <v/>
      </c>
      <c r="Q48" s="32" t="n"/>
      <c r="R48" s="32" t="n"/>
      <c r="S48" s="32" t="n"/>
      <c r="T48" s="33" t="n"/>
      <c r="U48" s="42">
        <f>'S06'!T48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'S06'!M49+L49</f>
        <v/>
      </c>
      <c r="N49" s="31">
        <f>IFERROR(M49/K49,0)</f>
        <v/>
      </c>
      <c r="O49" s="40">
        <f>'S06'!N49</f>
        <v/>
      </c>
      <c r="P49" s="31">
        <f>N49-O49</f>
        <v/>
      </c>
      <c r="Q49" s="32" t="n"/>
      <c r="R49" s="32" t="n"/>
      <c r="S49" s="32" t="n"/>
      <c r="T49" s="33" t="n"/>
      <c r="U49" s="40">
        <f>'S06'!T49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'S06'!M50+L50</f>
        <v/>
      </c>
      <c r="N50" s="36">
        <f>IFERROR(M50/K50,0)</f>
        <v/>
      </c>
      <c r="O50" s="42">
        <f>'S06'!N50</f>
        <v/>
      </c>
      <c r="P50" s="36">
        <f>N50-O50</f>
        <v/>
      </c>
      <c r="Q50" s="32" t="n"/>
      <c r="R50" s="32" t="n"/>
      <c r="S50" s="32" t="n"/>
      <c r="T50" s="33" t="n"/>
      <c r="U50" s="42">
        <f>'S06'!T50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'S06'!M51+L51</f>
        <v/>
      </c>
      <c r="N51" s="31">
        <f>IFERROR(M51/K51,0)</f>
        <v/>
      </c>
      <c r="O51" s="40">
        <f>'S06'!N51</f>
        <v/>
      </c>
      <c r="P51" s="31">
        <f>N51-O51</f>
        <v/>
      </c>
      <c r="Q51" s="32" t="n"/>
      <c r="R51" s="32" t="n"/>
      <c r="S51" s="32" t="n"/>
      <c r="T51" s="33" t="n"/>
      <c r="U51" s="40">
        <f>'S06'!T51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'S06'!M52+L52</f>
        <v/>
      </c>
      <c r="N52" s="36">
        <f>IFERROR(M52/K52,0)</f>
        <v/>
      </c>
      <c r="O52" s="42">
        <f>'S06'!N52</f>
        <v/>
      </c>
      <c r="P52" s="36">
        <f>N52-O52</f>
        <v/>
      </c>
      <c r="Q52" s="32" t="n"/>
      <c r="R52" s="32" t="n"/>
      <c r="S52" s="32" t="n"/>
      <c r="T52" s="33" t="n"/>
      <c r="U52" s="42">
        <f>'S06'!T52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'S06'!M53+L53</f>
        <v/>
      </c>
      <c r="N53" s="31">
        <f>IFERROR(M53/K53,0)</f>
        <v/>
      </c>
      <c r="O53" s="40">
        <f>'S06'!N53</f>
        <v/>
      </c>
      <c r="P53" s="31">
        <f>N53-O53</f>
        <v/>
      </c>
      <c r="Q53" s="32" t="n"/>
      <c r="R53" s="32" t="n"/>
      <c r="S53" s="32" t="n"/>
      <c r="T53" s="33" t="n"/>
      <c r="U53" s="40">
        <f>'S06'!T53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'S06'!M54+L54</f>
        <v/>
      </c>
      <c r="N54" s="36">
        <f>IFERROR(M54/K54,0)</f>
        <v/>
      </c>
      <c r="O54" s="42">
        <f>'S06'!N54</f>
        <v/>
      </c>
      <c r="P54" s="36">
        <f>N54-O54</f>
        <v/>
      </c>
      <c r="Q54" s="32" t="n"/>
      <c r="R54" s="32" t="n"/>
      <c r="S54" s="32" t="n"/>
      <c r="T54" s="33" t="n"/>
      <c r="U54" s="42">
        <f>'S06'!T54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'S06'!M55+L55</f>
        <v/>
      </c>
      <c r="N55" s="31">
        <f>IFERROR(M55/K55,0)</f>
        <v/>
      </c>
      <c r="O55" s="40">
        <f>'S06'!N55</f>
        <v/>
      </c>
      <c r="P55" s="31">
        <f>N55-O55</f>
        <v/>
      </c>
      <c r="Q55" s="32" t="n"/>
      <c r="R55" s="32" t="n"/>
      <c r="S55" s="32" t="n"/>
      <c r="T55" s="33" t="n"/>
      <c r="U55" s="40">
        <f>'S06'!T55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'S06'!M56+L56</f>
        <v/>
      </c>
      <c r="N56" s="36">
        <f>IFERROR(M56/K56,0)</f>
        <v/>
      </c>
      <c r="O56" s="42">
        <f>'S06'!N56</f>
        <v/>
      </c>
      <c r="P56" s="36">
        <f>N56-O56</f>
        <v/>
      </c>
      <c r="Q56" s="32" t="n"/>
      <c r="R56" s="32" t="n"/>
      <c r="S56" s="32" t="n"/>
      <c r="T56" s="33" t="n"/>
      <c r="U56" s="42">
        <f>'S06'!T56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'S06'!M57+L57</f>
        <v/>
      </c>
      <c r="N57" s="31">
        <f>IFERROR(M57/K57,0)</f>
        <v/>
      </c>
      <c r="O57" s="40">
        <f>'S06'!N57</f>
        <v/>
      </c>
      <c r="P57" s="31">
        <f>N57-O57</f>
        <v/>
      </c>
      <c r="Q57" s="32" t="n"/>
      <c r="R57" s="32" t="n"/>
      <c r="S57" s="32" t="n"/>
      <c r="T57" s="33" t="n"/>
      <c r="U57" s="40">
        <f>'S06'!T57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'S06'!M58+L58</f>
        <v/>
      </c>
      <c r="N58" s="36">
        <f>IFERROR(M58/K58,0)</f>
        <v/>
      </c>
      <c r="O58" s="42">
        <f>'S06'!N58</f>
        <v/>
      </c>
      <c r="P58" s="36">
        <f>N58-O58</f>
        <v/>
      </c>
      <c r="Q58" s="32" t="n"/>
      <c r="R58" s="32" t="n"/>
      <c r="S58" s="32" t="n"/>
      <c r="T58" s="33" t="n"/>
      <c r="U58" s="42">
        <f>'S06'!T58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'S06'!M59+L59</f>
        <v/>
      </c>
      <c r="N59" s="31">
        <f>IFERROR(M59/K59,0)</f>
        <v/>
      </c>
      <c r="O59" s="40">
        <f>'S06'!N59</f>
        <v/>
      </c>
      <c r="P59" s="31">
        <f>N59-O59</f>
        <v/>
      </c>
      <c r="Q59" s="32" t="n"/>
      <c r="R59" s="32" t="n"/>
      <c r="S59" s="32" t="n"/>
      <c r="T59" s="33" t="n"/>
      <c r="U59" s="40">
        <f>'S06'!T59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'S06'!M60+L60</f>
        <v/>
      </c>
      <c r="N60" s="36">
        <f>IFERROR(M60/K60,0)</f>
        <v/>
      </c>
      <c r="O60" s="42">
        <f>'S06'!N60</f>
        <v/>
      </c>
      <c r="P60" s="36">
        <f>N60-O60</f>
        <v/>
      </c>
      <c r="Q60" s="32" t="n"/>
      <c r="R60" s="32" t="n"/>
      <c r="S60" s="32" t="n"/>
      <c r="T60" s="33" t="n"/>
      <c r="U60" s="42">
        <f>'S06'!T60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'S06'!M61+L61</f>
        <v/>
      </c>
      <c r="N61" s="31">
        <f>IFERROR(M61/K61,0)</f>
        <v/>
      </c>
      <c r="O61" s="40">
        <f>'S06'!N61</f>
        <v/>
      </c>
      <c r="P61" s="31">
        <f>N61-O61</f>
        <v/>
      </c>
      <c r="Q61" s="32" t="n"/>
      <c r="R61" s="32" t="n"/>
      <c r="S61" s="32" t="n"/>
      <c r="T61" s="33" t="n"/>
      <c r="U61" s="40">
        <f>'S06'!T61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'S06'!M62+L62</f>
        <v/>
      </c>
      <c r="N62" s="36">
        <f>IFERROR(M62/K62,0)</f>
        <v/>
      </c>
      <c r="O62" s="42">
        <f>'S06'!N62</f>
        <v/>
      </c>
      <c r="P62" s="36">
        <f>N62-O62</f>
        <v/>
      </c>
      <c r="Q62" s="32" t="n"/>
      <c r="R62" s="32" t="n"/>
      <c r="S62" s="32" t="n"/>
      <c r="T62" s="33" t="n"/>
      <c r="U62" s="42">
        <f>'S06'!T62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'S06'!M63+L63</f>
        <v/>
      </c>
      <c r="N63" s="31">
        <f>IFERROR(M63/K63,0)</f>
        <v/>
      </c>
      <c r="O63" s="40">
        <f>'S06'!N63</f>
        <v/>
      </c>
      <c r="P63" s="31">
        <f>N63-O63</f>
        <v/>
      </c>
      <c r="Q63" s="32" t="n"/>
      <c r="R63" s="32" t="n"/>
      <c r="S63" s="32" t="n"/>
      <c r="T63" s="33" t="n"/>
      <c r="U63" s="40">
        <f>'S06'!T63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'S06'!M64+L64</f>
        <v/>
      </c>
      <c r="N64" s="36">
        <f>IFERROR(M64/K64,0)</f>
        <v/>
      </c>
      <c r="O64" s="42">
        <f>'S06'!N64</f>
        <v/>
      </c>
      <c r="P64" s="36">
        <f>N64-O64</f>
        <v/>
      </c>
      <c r="Q64" s="32" t="n"/>
      <c r="R64" s="32" t="n"/>
      <c r="S64" s="32" t="n"/>
      <c r="T64" s="33" t="n"/>
      <c r="U64" s="42">
        <f>'S06'!T64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'S06'!M65+L65</f>
        <v/>
      </c>
      <c r="N65" s="31">
        <f>IFERROR(M65/K65,0)</f>
        <v/>
      </c>
      <c r="O65" s="40">
        <f>'S06'!N65</f>
        <v/>
      </c>
      <c r="P65" s="31">
        <f>N65-O65</f>
        <v/>
      </c>
      <c r="Q65" s="32" t="n"/>
      <c r="R65" s="32" t="n"/>
      <c r="S65" s="32" t="n"/>
      <c r="T65" s="33" t="n"/>
      <c r="U65" s="40">
        <f>'S06'!T65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'S06'!M66+L66</f>
        <v/>
      </c>
      <c r="N66" s="36">
        <f>IFERROR(M66/K66,0)</f>
        <v/>
      </c>
      <c r="O66" s="42">
        <f>'S06'!N66</f>
        <v/>
      </c>
      <c r="P66" s="36">
        <f>N66-O66</f>
        <v/>
      </c>
      <c r="Q66" s="32" t="n"/>
      <c r="R66" s="32" t="n"/>
      <c r="S66" s="32" t="n"/>
      <c r="T66" s="33" t="n"/>
      <c r="U66" s="42">
        <f>'S06'!T66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'S06'!M67+L67</f>
        <v/>
      </c>
      <c r="N67" s="31">
        <f>IFERROR(M67/K67,0)</f>
        <v/>
      </c>
      <c r="O67" s="40">
        <f>'S06'!N67</f>
        <v/>
      </c>
      <c r="P67" s="31">
        <f>N67-O67</f>
        <v/>
      </c>
      <c r="Q67" s="32" t="n"/>
      <c r="R67" s="32" t="n"/>
      <c r="S67" s="32" t="n"/>
      <c r="T67" s="33" t="n"/>
      <c r="U67" s="40">
        <f>'S06'!T67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'S06'!M68+L68</f>
        <v/>
      </c>
      <c r="N68" s="36">
        <f>IFERROR(M68/K68,0)</f>
        <v/>
      </c>
      <c r="O68" s="42">
        <f>'S06'!N68</f>
        <v/>
      </c>
      <c r="P68" s="36">
        <f>N68-O68</f>
        <v/>
      </c>
      <c r="Q68" s="32" t="n"/>
      <c r="R68" s="32" t="n"/>
      <c r="S68" s="32" t="n"/>
      <c r="T68" s="33" t="n"/>
      <c r="U68" s="42">
        <f>'S06'!T68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'S06'!M69+L69</f>
        <v/>
      </c>
      <c r="N69" s="31">
        <f>IFERROR(M69/K69,0)</f>
        <v/>
      </c>
      <c r="O69" s="40">
        <f>'S06'!N69</f>
        <v/>
      </c>
      <c r="P69" s="31">
        <f>N69-O69</f>
        <v/>
      </c>
      <c r="Q69" s="32" t="n"/>
      <c r="R69" s="32" t="n"/>
      <c r="S69" s="32" t="n"/>
      <c r="T69" s="33" t="n"/>
      <c r="U69" s="40">
        <f>'S06'!T69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'S06'!M70+L70</f>
        <v/>
      </c>
      <c r="N70" s="36">
        <f>IFERROR(M70/K70,0)</f>
        <v/>
      </c>
      <c r="O70" s="42">
        <f>'S06'!N70</f>
        <v/>
      </c>
      <c r="P70" s="36">
        <f>N70-O70</f>
        <v/>
      </c>
      <c r="Q70" s="32" t="n"/>
      <c r="R70" s="32" t="n"/>
      <c r="S70" s="32" t="n"/>
      <c r="T70" s="33" t="n"/>
      <c r="U70" s="42">
        <f>'S06'!T70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'S06'!M71+L71</f>
        <v/>
      </c>
      <c r="N71" s="31">
        <f>IFERROR(M71/K71,0)</f>
        <v/>
      </c>
      <c r="O71" s="40">
        <f>'S06'!N71</f>
        <v/>
      </c>
      <c r="P71" s="31">
        <f>N71-O71</f>
        <v/>
      </c>
      <c r="Q71" s="32" t="n"/>
      <c r="R71" s="32" t="n"/>
      <c r="S71" s="32" t="n"/>
      <c r="T71" s="33" t="n"/>
      <c r="U71" s="40">
        <f>'S06'!T71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'S06'!M72+L72</f>
        <v/>
      </c>
      <c r="N72" s="36">
        <f>IFERROR(M72/K72,0)</f>
        <v/>
      </c>
      <c r="O72" s="42">
        <f>'S06'!N72</f>
        <v/>
      </c>
      <c r="P72" s="36">
        <f>N72-O72</f>
        <v/>
      </c>
      <c r="Q72" s="32" t="n"/>
      <c r="R72" s="32" t="n"/>
      <c r="S72" s="32" t="n"/>
      <c r="T72" s="33" t="n"/>
      <c r="U72" s="42">
        <f>'S06'!T72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'S06'!M73+L73</f>
        <v/>
      </c>
      <c r="N73" s="31">
        <f>IFERROR(M73/K73,0)</f>
        <v/>
      </c>
      <c r="O73" s="40">
        <f>'S06'!N73</f>
        <v/>
      </c>
      <c r="P73" s="31">
        <f>N73-O73</f>
        <v/>
      </c>
      <c r="Q73" s="32" t="n"/>
      <c r="R73" s="32" t="n"/>
      <c r="S73" s="32" t="n"/>
      <c r="T73" s="33" t="n"/>
      <c r="U73" s="40">
        <f>'S06'!T73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'S06'!M74+L74</f>
        <v/>
      </c>
      <c r="N74" s="36">
        <f>IFERROR(M74/K74,0)</f>
        <v/>
      </c>
      <c r="O74" s="42">
        <f>'S06'!N74</f>
        <v/>
      </c>
      <c r="P74" s="36">
        <f>N74-O74</f>
        <v/>
      </c>
      <c r="Q74" s="32" t="n"/>
      <c r="R74" s="32" t="n"/>
      <c r="S74" s="32" t="n"/>
      <c r="T74" s="33" t="n"/>
      <c r="U74" s="42">
        <f>'S06'!T74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'S06'!M75+L75</f>
        <v/>
      </c>
      <c r="N75" s="31">
        <f>IFERROR(M75/K75,0)</f>
        <v/>
      </c>
      <c r="O75" s="40">
        <f>'S06'!N75</f>
        <v/>
      </c>
      <c r="P75" s="31">
        <f>N75-O75</f>
        <v/>
      </c>
      <c r="Q75" s="32" t="n"/>
      <c r="R75" s="32" t="n"/>
      <c r="S75" s="32" t="n"/>
      <c r="T75" s="33" t="n"/>
      <c r="U75" s="40">
        <f>'S06'!T75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'S06'!M76+L76</f>
        <v/>
      </c>
      <c r="N76" s="36">
        <f>IFERROR(M76/K76,0)</f>
        <v/>
      </c>
      <c r="O76" s="42">
        <f>'S06'!N76</f>
        <v/>
      </c>
      <c r="P76" s="36">
        <f>N76-O76</f>
        <v/>
      </c>
      <c r="Q76" s="32" t="n"/>
      <c r="R76" s="32" t="n"/>
      <c r="S76" s="32" t="n"/>
      <c r="T76" s="33" t="n"/>
      <c r="U76" s="42">
        <f>'S06'!T76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10.xml><?xml version="1.0" encoding="utf-8"?>
<worksheet xmlns="http://schemas.openxmlformats.org/spreadsheetml/2006/main">
  <sheetPr>
    <tabColor rgb="005B9BD5"/>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8 (16/02 - 22/02) — Février 2026 - Exécution Physique et Financière</t>
        </is>
      </c>
    </row>
    <row r="3" ht="22" customHeight="1">
      <c r="B3" s="20" t="inlineStr">
        <is>
          <t>Date :</t>
        </is>
      </c>
      <c r="C3" s="21" t="n">
        <v>46069</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'S07'!M5+L5</f>
        <v/>
      </c>
      <c r="N5" s="31">
        <f>IFERROR(M5/K5,0)</f>
        <v/>
      </c>
      <c r="O5" s="40">
        <f>'S07'!N5</f>
        <v/>
      </c>
      <c r="P5" s="31">
        <f>N5-O5</f>
        <v/>
      </c>
      <c r="Q5" s="32" t="n"/>
      <c r="R5" s="32" t="n"/>
      <c r="S5" s="32" t="n"/>
      <c r="T5" s="33" t="n"/>
      <c r="U5" s="40">
        <f>'S07'!T5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'S07'!M6+L6</f>
        <v/>
      </c>
      <c r="N6" s="36">
        <f>IFERROR(M6/K6,0)</f>
        <v/>
      </c>
      <c r="O6" s="42">
        <f>'S07'!N6</f>
        <v/>
      </c>
      <c r="P6" s="36">
        <f>N6-O6</f>
        <v/>
      </c>
      <c r="Q6" s="32" t="n"/>
      <c r="R6" s="32" t="n"/>
      <c r="S6" s="32" t="n"/>
      <c r="T6" s="33" t="n"/>
      <c r="U6" s="42">
        <f>'S07'!T6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'S07'!M7+L7</f>
        <v/>
      </c>
      <c r="N7" s="31">
        <f>IFERROR(M7/K7,0)</f>
        <v/>
      </c>
      <c r="O7" s="40">
        <f>'S07'!N7</f>
        <v/>
      </c>
      <c r="P7" s="31">
        <f>N7-O7</f>
        <v/>
      </c>
      <c r="Q7" s="32" t="n"/>
      <c r="R7" s="32" t="n"/>
      <c r="S7" s="32" t="n"/>
      <c r="T7" s="33" t="n"/>
      <c r="U7" s="40">
        <f>'S07'!T7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'S07'!M8+L8</f>
        <v/>
      </c>
      <c r="N8" s="36">
        <f>IFERROR(M8/K8,0)</f>
        <v/>
      </c>
      <c r="O8" s="42">
        <f>'S07'!N8</f>
        <v/>
      </c>
      <c r="P8" s="36">
        <f>N8-O8</f>
        <v/>
      </c>
      <c r="Q8" s="32" t="n"/>
      <c r="R8" s="32" t="n"/>
      <c r="S8" s="32" t="n"/>
      <c r="T8" s="33" t="n"/>
      <c r="U8" s="42">
        <f>'S07'!T8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'S07'!M9+L9</f>
        <v/>
      </c>
      <c r="N9" s="31">
        <f>IFERROR(M9/K9,0)</f>
        <v/>
      </c>
      <c r="O9" s="40">
        <f>'S07'!N9</f>
        <v/>
      </c>
      <c r="P9" s="31">
        <f>N9-O9</f>
        <v/>
      </c>
      <c r="Q9" s="32" t="n"/>
      <c r="R9" s="32" t="n"/>
      <c r="S9" s="32" t="n"/>
      <c r="T9" s="33" t="n"/>
      <c r="U9" s="40">
        <f>'S07'!T9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'S07'!M10+L10</f>
        <v/>
      </c>
      <c r="N10" s="36">
        <f>IFERROR(M10/K10,0)</f>
        <v/>
      </c>
      <c r="O10" s="42">
        <f>'S07'!N10</f>
        <v/>
      </c>
      <c r="P10" s="36">
        <f>N10-O10</f>
        <v/>
      </c>
      <c r="Q10" s="32" t="n"/>
      <c r="R10" s="32" t="n"/>
      <c r="S10" s="32" t="n"/>
      <c r="T10" s="33" t="n"/>
      <c r="U10" s="42">
        <f>'S07'!T10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'S07'!M11+L11</f>
        <v/>
      </c>
      <c r="N11" s="31">
        <f>IFERROR(M11/K11,0)</f>
        <v/>
      </c>
      <c r="O11" s="40">
        <f>'S07'!N11</f>
        <v/>
      </c>
      <c r="P11" s="31">
        <f>N11-O11</f>
        <v/>
      </c>
      <c r="Q11" s="32" t="n"/>
      <c r="R11" s="32" t="n"/>
      <c r="S11" s="32" t="n"/>
      <c r="T11" s="33" t="n"/>
      <c r="U11" s="40">
        <f>'S07'!T11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'S07'!M12+L12</f>
        <v/>
      </c>
      <c r="N12" s="36">
        <f>IFERROR(M12/K12,0)</f>
        <v/>
      </c>
      <c r="O12" s="42">
        <f>'S07'!N12</f>
        <v/>
      </c>
      <c r="P12" s="36">
        <f>N12-O12</f>
        <v/>
      </c>
      <c r="Q12" s="32" t="n"/>
      <c r="R12" s="32" t="n"/>
      <c r="S12" s="32" t="n"/>
      <c r="T12" s="33" t="n"/>
      <c r="U12" s="42">
        <f>'S07'!T12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'S07'!M13+L13</f>
        <v/>
      </c>
      <c r="N13" s="31">
        <f>IFERROR(M13/K13,0)</f>
        <v/>
      </c>
      <c r="O13" s="40">
        <f>'S07'!N13</f>
        <v/>
      </c>
      <c r="P13" s="31">
        <f>N13-O13</f>
        <v/>
      </c>
      <c r="Q13" s="32" t="n"/>
      <c r="R13" s="32" t="n"/>
      <c r="S13" s="32" t="n"/>
      <c r="T13" s="33" t="n"/>
      <c r="U13" s="40">
        <f>'S07'!T13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'S07'!M14+L14</f>
        <v/>
      </c>
      <c r="N14" s="36">
        <f>IFERROR(M14/K14,0)</f>
        <v/>
      </c>
      <c r="O14" s="42">
        <f>'S07'!N14</f>
        <v/>
      </c>
      <c r="P14" s="36">
        <f>N14-O14</f>
        <v/>
      </c>
      <c r="Q14" s="32" t="n"/>
      <c r="R14" s="32" t="n"/>
      <c r="S14" s="32" t="n"/>
      <c r="T14" s="33" t="n"/>
      <c r="U14" s="42">
        <f>'S07'!T14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'S07'!M15+L15</f>
        <v/>
      </c>
      <c r="N15" s="31">
        <f>IFERROR(M15/K15,0)</f>
        <v/>
      </c>
      <c r="O15" s="40">
        <f>'S07'!N15</f>
        <v/>
      </c>
      <c r="P15" s="31">
        <f>N15-O15</f>
        <v/>
      </c>
      <c r="Q15" s="32" t="n"/>
      <c r="R15" s="32" t="n"/>
      <c r="S15" s="32" t="n"/>
      <c r="T15" s="33" t="n"/>
      <c r="U15" s="40">
        <f>'S07'!T15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'S07'!M16+L16</f>
        <v/>
      </c>
      <c r="N16" s="36">
        <f>IFERROR(M16/K16,0)</f>
        <v/>
      </c>
      <c r="O16" s="42">
        <f>'S07'!N16</f>
        <v/>
      </c>
      <c r="P16" s="36">
        <f>N16-O16</f>
        <v/>
      </c>
      <c r="Q16" s="32" t="n"/>
      <c r="R16" s="32" t="n"/>
      <c r="S16" s="32" t="n"/>
      <c r="T16" s="33" t="n"/>
      <c r="U16" s="42">
        <f>'S07'!T16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'S07'!M17+L17</f>
        <v/>
      </c>
      <c r="N17" s="31">
        <f>IFERROR(M17/K17,0)</f>
        <v/>
      </c>
      <c r="O17" s="40">
        <f>'S07'!N17</f>
        <v/>
      </c>
      <c r="P17" s="31">
        <f>N17-O17</f>
        <v/>
      </c>
      <c r="Q17" s="32" t="n"/>
      <c r="R17" s="32" t="n"/>
      <c r="S17" s="32" t="n"/>
      <c r="T17" s="33" t="n"/>
      <c r="U17" s="40">
        <f>'S07'!T17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'S07'!M18+L18</f>
        <v/>
      </c>
      <c r="N18" s="36">
        <f>IFERROR(M18/K18,0)</f>
        <v/>
      </c>
      <c r="O18" s="42">
        <f>'S07'!N18</f>
        <v/>
      </c>
      <c r="P18" s="36">
        <f>N18-O18</f>
        <v/>
      </c>
      <c r="Q18" s="32" t="n"/>
      <c r="R18" s="32" t="n"/>
      <c r="S18" s="32" t="n"/>
      <c r="T18" s="33" t="n"/>
      <c r="U18" s="42">
        <f>'S07'!T18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'S07'!M19+L19</f>
        <v/>
      </c>
      <c r="N19" s="31">
        <f>IFERROR(M19/K19,0)</f>
        <v/>
      </c>
      <c r="O19" s="40">
        <f>'S07'!N19</f>
        <v/>
      </c>
      <c r="P19" s="31">
        <f>N19-O19</f>
        <v/>
      </c>
      <c r="Q19" s="32" t="n"/>
      <c r="R19" s="32" t="n"/>
      <c r="S19" s="32" t="n"/>
      <c r="T19" s="33" t="n"/>
      <c r="U19" s="40">
        <f>'S07'!T19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'S07'!M20+L20</f>
        <v/>
      </c>
      <c r="N20" s="36">
        <f>IFERROR(M20/K20,0)</f>
        <v/>
      </c>
      <c r="O20" s="42">
        <f>'S07'!N20</f>
        <v/>
      </c>
      <c r="P20" s="36">
        <f>N20-O20</f>
        <v/>
      </c>
      <c r="Q20" s="32" t="n"/>
      <c r="R20" s="32" t="n"/>
      <c r="S20" s="32" t="n"/>
      <c r="T20" s="33" t="n"/>
      <c r="U20" s="42">
        <f>'S07'!T20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'S07'!M21+L21</f>
        <v/>
      </c>
      <c r="N21" s="31">
        <f>IFERROR(M21/K21,0)</f>
        <v/>
      </c>
      <c r="O21" s="40">
        <f>'S07'!N21</f>
        <v/>
      </c>
      <c r="P21" s="31">
        <f>N21-O21</f>
        <v/>
      </c>
      <c r="Q21" s="32" t="n"/>
      <c r="R21" s="32" t="n"/>
      <c r="S21" s="32" t="n"/>
      <c r="T21" s="33" t="n"/>
      <c r="U21" s="40">
        <f>'S07'!T21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'S07'!M22+L22</f>
        <v/>
      </c>
      <c r="N22" s="36">
        <f>IFERROR(M22/K22,0)</f>
        <v/>
      </c>
      <c r="O22" s="42">
        <f>'S07'!N22</f>
        <v/>
      </c>
      <c r="P22" s="36">
        <f>N22-O22</f>
        <v/>
      </c>
      <c r="Q22" s="32" t="n"/>
      <c r="R22" s="32" t="n"/>
      <c r="S22" s="32" t="n"/>
      <c r="T22" s="33" t="n"/>
      <c r="U22" s="42">
        <f>'S07'!T22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'S07'!M23+L23</f>
        <v/>
      </c>
      <c r="N23" s="31">
        <f>IFERROR(M23/K23,0)</f>
        <v/>
      </c>
      <c r="O23" s="40">
        <f>'S07'!N23</f>
        <v/>
      </c>
      <c r="P23" s="31">
        <f>N23-O23</f>
        <v/>
      </c>
      <c r="Q23" s="32" t="n"/>
      <c r="R23" s="32" t="n"/>
      <c r="S23" s="32" t="n"/>
      <c r="T23" s="33" t="n"/>
      <c r="U23" s="40">
        <f>'S07'!T23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'S07'!M24+L24</f>
        <v/>
      </c>
      <c r="N24" s="36">
        <f>IFERROR(M24/K24,0)</f>
        <v/>
      </c>
      <c r="O24" s="42">
        <f>'S07'!N24</f>
        <v/>
      </c>
      <c r="P24" s="36">
        <f>N24-O24</f>
        <v/>
      </c>
      <c r="Q24" s="32" t="n"/>
      <c r="R24" s="32" t="n"/>
      <c r="S24" s="32" t="n"/>
      <c r="T24" s="33" t="n"/>
      <c r="U24" s="42">
        <f>'S07'!T24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'S07'!M25+L25</f>
        <v/>
      </c>
      <c r="N25" s="31">
        <f>IFERROR(M25/K25,0)</f>
        <v/>
      </c>
      <c r="O25" s="40">
        <f>'S07'!N25</f>
        <v/>
      </c>
      <c r="P25" s="31">
        <f>N25-O25</f>
        <v/>
      </c>
      <c r="Q25" s="32" t="n"/>
      <c r="R25" s="32" t="n"/>
      <c r="S25" s="32" t="n"/>
      <c r="T25" s="33" t="n"/>
      <c r="U25" s="40">
        <f>'S07'!T25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'S07'!M26+L26</f>
        <v/>
      </c>
      <c r="N26" s="36">
        <f>IFERROR(M26/K26,0)</f>
        <v/>
      </c>
      <c r="O26" s="42">
        <f>'S07'!N26</f>
        <v/>
      </c>
      <c r="P26" s="36">
        <f>N26-O26</f>
        <v/>
      </c>
      <c r="Q26" s="32" t="n"/>
      <c r="R26" s="32" t="n"/>
      <c r="S26" s="32" t="n"/>
      <c r="T26" s="33" t="n"/>
      <c r="U26" s="42">
        <f>'S07'!T26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'S07'!M27+L27</f>
        <v/>
      </c>
      <c r="N27" s="31">
        <f>IFERROR(M27/K27,0)</f>
        <v/>
      </c>
      <c r="O27" s="40">
        <f>'S07'!N27</f>
        <v/>
      </c>
      <c r="P27" s="31">
        <f>N27-O27</f>
        <v/>
      </c>
      <c r="Q27" s="32" t="n"/>
      <c r="R27" s="32" t="n"/>
      <c r="S27" s="32" t="n"/>
      <c r="T27" s="33" t="n"/>
      <c r="U27" s="40">
        <f>'S07'!T27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'S07'!M28+L28</f>
        <v/>
      </c>
      <c r="N28" s="36">
        <f>IFERROR(M28/K28,0)</f>
        <v/>
      </c>
      <c r="O28" s="42">
        <f>'S07'!N28</f>
        <v/>
      </c>
      <c r="P28" s="36">
        <f>N28-O28</f>
        <v/>
      </c>
      <c r="Q28" s="32" t="n"/>
      <c r="R28" s="32" t="n"/>
      <c r="S28" s="32" t="n"/>
      <c r="T28" s="33" t="n"/>
      <c r="U28" s="42">
        <f>'S07'!T28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'S07'!M29+L29</f>
        <v/>
      </c>
      <c r="N29" s="31">
        <f>IFERROR(M29/K29,0)</f>
        <v/>
      </c>
      <c r="O29" s="40">
        <f>'S07'!N29</f>
        <v/>
      </c>
      <c r="P29" s="31">
        <f>N29-O29</f>
        <v/>
      </c>
      <c r="Q29" s="32" t="n"/>
      <c r="R29" s="32" t="n"/>
      <c r="S29" s="32" t="n"/>
      <c r="T29" s="33" t="n"/>
      <c r="U29" s="40">
        <f>'S07'!T29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'S07'!M30+L30</f>
        <v/>
      </c>
      <c r="N30" s="36">
        <f>IFERROR(M30/K30,0)</f>
        <v/>
      </c>
      <c r="O30" s="42">
        <f>'S07'!N30</f>
        <v/>
      </c>
      <c r="P30" s="36">
        <f>N30-O30</f>
        <v/>
      </c>
      <c r="Q30" s="32" t="n"/>
      <c r="R30" s="32" t="n"/>
      <c r="S30" s="32" t="n"/>
      <c r="T30" s="33" t="n"/>
      <c r="U30" s="42">
        <f>'S07'!T30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'S07'!M31+L31</f>
        <v/>
      </c>
      <c r="N31" s="31">
        <f>IFERROR(M31/K31,0)</f>
        <v/>
      </c>
      <c r="O31" s="40">
        <f>'S07'!N31</f>
        <v/>
      </c>
      <c r="P31" s="31">
        <f>N31-O31</f>
        <v/>
      </c>
      <c r="Q31" s="32" t="n"/>
      <c r="R31" s="32" t="n"/>
      <c r="S31" s="32" t="n"/>
      <c r="T31" s="33" t="n"/>
      <c r="U31" s="40">
        <f>'S07'!T31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'S07'!M32+L32</f>
        <v/>
      </c>
      <c r="N32" s="36">
        <f>IFERROR(M32/K32,0)</f>
        <v/>
      </c>
      <c r="O32" s="42">
        <f>'S07'!N32</f>
        <v/>
      </c>
      <c r="P32" s="36">
        <f>N32-O32</f>
        <v/>
      </c>
      <c r="Q32" s="32" t="n"/>
      <c r="R32" s="32" t="n"/>
      <c r="S32" s="32" t="n"/>
      <c r="T32" s="33" t="n"/>
      <c r="U32" s="42">
        <f>'S07'!T32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'S07'!M33+L33</f>
        <v/>
      </c>
      <c r="N33" s="31">
        <f>IFERROR(M33/K33,0)</f>
        <v/>
      </c>
      <c r="O33" s="40">
        <f>'S07'!N33</f>
        <v/>
      </c>
      <c r="P33" s="31">
        <f>N33-O33</f>
        <v/>
      </c>
      <c r="Q33" s="32" t="n"/>
      <c r="R33" s="32" t="n"/>
      <c r="S33" s="32" t="n"/>
      <c r="T33" s="33" t="n"/>
      <c r="U33" s="40">
        <f>'S07'!T33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'S07'!M34+L34</f>
        <v/>
      </c>
      <c r="N34" s="36">
        <f>IFERROR(M34/K34,0)</f>
        <v/>
      </c>
      <c r="O34" s="42">
        <f>'S07'!N34</f>
        <v/>
      </c>
      <c r="P34" s="36">
        <f>N34-O34</f>
        <v/>
      </c>
      <c r="Q34" s="32" t="n"/>
      <c r="R34" s="32" t="n"/>
      <c r="S34" s="32" t="n"/>
      <c r="T34" s="33" t="n"/>
      <c r="U34" s="42">
        <f>'S07'!T34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'S07'!M35+L35</f>
        <v/>
      </c>
      <c r="N35" s="31">
        <f>IFERROR(M35/K35,0)</f>
        <v/>
      </c>
      <c r="O35" s="40">
        <f>'S07'!N35</f>
        <v/>
      </c>
      <c r="P35" s="31">
        <f>N35-O35</f>
        <v/>
      </c>
      <c r="Q35" s="32" t="n"/>
      <c r="R35" s="32" t="n"/>
      <c r="S35" s="32" t="n"/>
      <c r="T35" s="33" t="n"/>
      <c r="U35" s="40">
        <f>'S07'!T35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'S07'!M36+L36</f>
        <v/>
      </c>
      <c r="N36" s="36">
        <f>IFERROR(M36/K36,0)</f>
        <v/>
      </c>
      <c r="O36" s="42">
        <f>'S07'!N36</f>
        <v/>
      </c>
      <c r="P36" s="36">
        <f>N36-O36</f>
        <v/>
      </c>
      <c r="Q36" s="32" t="n"/>
      <c r="R36" s="32" t="n"/>
      <c r="S36" s="32" t="n"/>
      <c r="T36" s="33" t="n"/>
      <c r="U36" s="42">
        <f>'S07'!T36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'S07'!M37+L37</f>
        <v/>
      </c>
      <c r="N37" s="31">
        <f>IFERROR(M37/K37,0)</f>
        <v/>
      </c>
      <c r="O37" s="40">
        <f>'S07'!N37</f>
        <v/>
      </c>
      <c r="P37" s="31">
        <f>N37-O37</f>
        <v/>
      </c>
      <c r="Q37" s="32" t="n"/>
      <c r="R37" s="32" t="n"/>
      <c r="S37" s="32" t="n"/>
      <c r="T37" s="33" t="n"/>
      <c r="U37" s="40">
        <f>'S07'!T37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'S07'!M38+L38</f>
        <v/>
      </c>
      <c r="N38" s="36">
        <f>IFERROR(M38/K38,0)</f>
        <v/>
      </c>
      <c r="O38" s="42">
        <f>'S07'!N38</f>
        <v/>
      </c>
      <c r="P38" s="36">
        <f>N38-O38</f>
        <v/>
      </c>
      <c r="Q38" s="32" t="n"/>
      <c r="R38" s="32" t="n"/>
      <c r="S38" s="32" t="n"/>
      <c r="T38" s="33" t="n"/>
      <c r="U38" s="42">
        <f>'S07'!T38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'S07'!M39+L39</f>
        <v/>
      </c>
      <c r="N39" s="31">
        <f>IFERROR(M39/K39,0)</f>
        <v/>
      </c>
      <c r="O39" s="40">
        <f>'S07'!N39</f>
        <v/>
      </c>
      <c r="P39" s="31">
        <f>N39-O39</f>
        <v/>
      </c>
      <c r="Q39" s="32" t="n"/>
      <c r="R39" s="32" t="n"/>
      <c r="S39" s="32" t="n"/>
      <c r="T39" s="33" t="n"/>
      <c r="U39" s="40">
        <f>'S07'!T39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'S07'!M40+L40</f>
        <v/>
      </c>
      <c r="N40" s="36">
        <f>IFERROR(M40/K40,0)</f>
        <v/>
      </c>
      <c r="O40" s="42">
        <f>'S07'!N40</f>
        <v/>
      </c>
      <c r="P40" s="36">
        <f>N40-O40</f>
        <v/>
      </c>
      <c r="Q40" s="32" t="n"/>
      <c r="R40" s="32" t="n"/>
      <c r="S40" s="32" t="n"/>
      <c r="T40" s="33" t="n"/>
      <c r="U40" s="42">
        <f>'S07'!T40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'S07'!M41+L41</f>
        <v/>
      </c>
      <c r="N41" s="31">
        <f>IFERROR(M41/K41,0)</f>
        <v/>
      </c>
      <c r="O41" s="40">
        <f>'S07'!N41</f>
        <v/>
      </c>
      <c r="P41" s="31">
        <f>N41-O41</f>
        <v/>
      </c>
      <c r="Q41" s="32" t="n"/>
      <c r="R41" s="32" t="n"/>
      <c r="S41" s="32" t="n"/>
      <c r="T41" s="33" t="n"/>
      <c r="U41" s="40">
        <f>'S07'!T41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'S07'!M42+L42</f>
        <v/>
      </c>
      <c r="N42" s="36">
        <f>IFERROR(M42/K42,0)</f>
        <v/>
      </c>
      <c r="O42" s="42">
        <f>'S07'!N42</f>
        <v/>
      </c>
      <c r="P42" s="36">
        <f>N42-O42</f>
        <v/>
      </c>
      <c r="Q42" s="32" t="n"/>
      <c r="R42" s="32" t="n"/>
      <c r="S42" s="32" t="n"/>
      <c r="T42" s="33" t="n"/>
      <c r="U42" s="42">
        <f>'S07'!T42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'S07'!M43+L43</f>
        <v/>
      </c>
      <c r="N43" s="31">
        <f>IFERROR(M43/K43,0)</f>
        <v/>
      </c>
      <c r="O43" s="40">
        <f>'S07'!N43</f>
        <v/>
      </c>
      <c r="P43" s="31">
        <f>N43-O43</f>
        <v/>
      </c>
      <c r="Q43" s="32" t="n"/>
      <c r="R43" s="32" t="n"/>
      <c r="S43" s="32" t="n"/>
      <c r="T43" s="33" t="n"/>
      <c r="U43" s="40">
        <f>'S07'!T43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'S07'!M44+L44</f>
        <v/>
      </c>
      <c r="N44" s="36">
        <f>IFERROR(M44/K44,0)</f>
        <v/>
      </c>
      <c r="O44" s="42">
        <f>'S07'!N44</f>
        <v/>
      </c>
      <c r="P44" s="36">
        <f>N44-O44</f>
        <v/>
      </c>
      <c r="Q44" s="32" t="n"/>
      <c r="R44" s="32" t="n"/>
      <c r="S44" s="32" t="n"/>
      <c r="T44" s="33" t="n"/>
      <c r="U44" s="42">
        <f>'S07'!T44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'S07'!M45+L45</f>
        <v/>
      </c>
      <c r="N45" s="31">
        <f>IFERROR(M45/K45,0)</f>
        <v/>
      </c>
      <c r="O45" s="40">
        <f>'S07'!N45</f>
        <v/>
      </c>
      <c r="P45" s="31">
        <f>N45-O45</f>
        <v/>
      </c>
      <c r="Q45" s="32" t="n"/>
      <c r="R45" s="32" t="n"/>
      <c r="S45" s="32" t="n"/>
      <c r="T45" s="33" t="n"/>
      <c r="U45" s="40">
        <f>'S07'!T45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'S07'!M46+L46</f>
        <v/>
      </c>
      <c r="N46" s="36">
        <f>IFERROR(M46/K46,0)</f>
        <v/>
      </c>
      <c r="O46" s="42">
        <f>'S07'!N46</f>
        <v/>
      </c>
      <c r="P46" s="36">
        <f>N46-O46</f>
        <v/>
      </c>
      <c r="Q46" s="32" t="n"/>
      <c r="R46" s="32" t="n"/>
      <c r="S46" s="32" t="n"/>
      <c r="T46" s="33" t="n"/>
      <c r="U46" s="42">
        <f>'S07'!T46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'S07'!M47+L47</f>
        <v/>
      </c>
      <c r="N47" s="31">
        <f>IFERROR(M47/K47,0)</f>
        <v/>
      </c>
      <c r="O47" s="40">
        <f>'S07'!N47</f>
        <v/>
      </c>
      <c r="P47" s="31">
        <f>N47-O47</f>
        <v/>
      </c>
      <c r="Q47" s="32" t="n"/>
      <c r="R47" s="32" t="n"/>
      <c r="S47" s="32" t="n"/>
      <c r="T47" s="33" t="n"/>
      <c r="U47" s="40">
        <f>'S07'!T47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'S07'!M48+L48</f>
        <v/>
      </c>
      <c r="N48" s="36">
        <f>IFERROR(M48/K48,0)</f>
        <v/>
      </c>
      <c r="O48" s="42">
        <f>'S07'!N48</f>
        <v/>
      </c>
      <c r="P48" s="36">
        <f>N48-O48</f>
        <v/>
      </c>
      <c r="Q48" s="32" t="n"/>
      <c r="R48" s="32" t="n"/>
      <c r="S48" s="32" t="n"/>
      <c r="T48" s="33" t="n"/>
      <c r="U48" s="42">
        <f>'S07'!T48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'S07'!M49+L49</f>
        <v/>
      </c>
      <c r="N49" s="31">
        <f>IFERROR(M49/K49,0)</f>
        <v/>
      </c>
      <c r="O49" s="40">
        <f>'S07'!N49</f>
        <v/>
      </c>
      <c r="P49" s="31">
        <f>N49-O49</f>
        <v/>
      </c>
      <c r="Q49" s="32" t="n"/>
      <c r="R49" s="32" t="n"/>
      <c r="S49" s="32" t="n"/>
      <c r="T49" s="33" t="n"/>
      <c r="U49" s="40">
        <f>'S07'!T49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'S07'!M50+L50</f>
        <v/>
      </c>
      <c r="N50" s="36">
        <f>IFERROR(M50/K50,0)</f>
        <v/>
      </c>
      <c r="O50" s="42">
        <f>'S07'!N50</f>
        <v/>
      </c>
      <c r="P50" s="36">
        <f>N50-O50</f>
        <v/>
      </c>
      <c r="Q50" s="32" t="n"/>
      <c r="R50" s="32" t="n"/>
      <c r="S50" s="32" t="n"/>
      <c r="T50" s="33" t="n"/>
      <c r="U50" s="42">
        <f>'S07'!T50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'S07'!M51+L51</f>
        <v/>
      </c>
      <c r="N51" s="31">
        <f>IFERROR(M51/K51,0)</f>
        <v/>
      </c>
      <c r="O51" s="40">
        <f>'S07'!N51</f>
        <v/>
      </c>
      <c r="P51" s="31">
        <f>N51-O51</f>
        <v/>
      </c>
      <c r="Q51" s="32" t="n"/>
      <c r="R51" s="32" t="n"/>
      <c r="S51" s="32" t="n"/>
      <c r="T51" s="33" t="n"/>
      <c r="U51" s="40">
        <f>'S07'!T51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'S07'!M52+L52</f>
        <v/>
      </c>
      <c r="N52" s="36">
        <f>IFERROR(M52/K52,0)</f>
        <v/>
      </c>
      <c r="O52" s="42">
        <f>'S07'!N52</f>
        <v/>
      </c>
      <c r="P52" s="36">
        <f>N52-O52</f>
        <v/>
      </c>
      <c r="Q52" s="32" t="n"/>
      <c r="R52" s="32" t="n"/>
      <c r="S52" s="32" t="n"/>
      <c r="T52" s="33" t="n"/>
      <c r="U52" s="42">
        <f>'S07'!T52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'S07'!M53+L53</f>
        <v/>
      </c>
      <c r="N53" s="31">
        <f>IFERROR(M53/K53,0)</f>
        <v/>
      </c>
      <c r="O53" s="40">
        <f>'S07'!N53</f>
        <v/>
      </c>
      <c r="P53" s="31">
        <f>N53-O53</f>
        <v/>
      </c>
      <c r="Q53" s="32" t="n"/>
      <c r="R53" s="32" t="n"/>
      <c r="S53" s="32" t="n"/>
      <c r="T53" s="33" t="n"/>
      <c r="U53" s="40">
        <f>'S07'!T53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'S07'!M54+L54</f>
        <v/>
      </c>
      <c r="N54" s="36">
        <f>IFERROR(M54/K54,0)</f>
        <v/>
      </c>
      <c r="O54" s="42">
        <f>'S07'!N54</f>
        <v/>
      </c>
      <c r="P54" s="36">
        <f>N54-O54</f>
        <v/>
      </c>
      <c r="Q54" s="32" t="n"/>
      <c r="R54" s="32" t="n"/>
      <c r="S54" s="32" t="n"/>
      <c r="T54" s="33" t="n"/>
      <c r="U54" s="42">
        <f>'S07'!T54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'S07'!M55+L55</f>
        <v/>
      </c>
      <c r="N55" s="31">
        <f>IFERROR(M55/K55,0)</f>
        <v/>
      </c>
      <c r="O55" s="40">
        <f>'S07'!N55</f>
        <v/>
      </c>
      <c r="P55" s="31">
        <f>N55-O55</f>
        <v/>
      </c>
      <c r="Q55" s="32" t="n"/>
      <c r="R55" s="32" t="n"/>
      <c r="S55" s="32" t="n"/>
      <c r="T55" s="33" t="n"/>
      <c r="U55" s="40">
        <f>'S07'!T55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'S07'!M56+L56</f>
        <v/>
      </c>
      <c r="N56" s="36">
        <f>IFERROR(M56/K56,0)</f>
        <v/>
      </c>
      <c r="O56" s="42">
        <f>'S07'!N56</f>
        <v/>
      </c>
      <c r="P56" s="36">
        <f>N56-O56</f>
        <v/>
      </c>
      <c r="Q56" s="32" t="n"/>
      <c r="R56" s="32" t="n"/>
      <c r="S56" s="32" t="n"/>
      <c r="T56" s="33" t="n"/>
      <c r="U56" s="42">
        <f>'S07'!T56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'S07'!M57+L57</f>
        <v/>
      </c>
      <c r="N57" s="31">
        <f>IFERROR(M57/K57,0)</f>
        <v/>
      </c>
      <c r="O57" s="40">
        <f>'S07'!N57</f>
        <v/>
      </c>
      <c r="P57" s="31">
        <f>N57-O57</f>
        <v/>
      </c>
      <c r="Q57" s="32" t="n"/>
      <c r="R57" s="32" t="n"/>
      <c r="S57" s="32" t="n"/>
      <c r="T57" s="33" t="n"/>
      <c r="U57" s="40">
        <f>'S07'!T57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'S07'!M58+L58</f>
        <v/>
      </c>
      <c r="N58" s="36">
        <f>IFERROR(M58/K58,0)</f>
        <v/>
      </c>
      <c r="O58" s="42">
        <f>'S07'!N58</f>
        <v/>
      </c>
      <c r="P58" s="36">
        <f>N58-O58</f>
        <v/>
      </c>
      <c r="Q58" s="32" t="n"/>
      <c r="R58" s="32" t="n"/>
      <c r="S58" s="32" t="n"/>
      <c r="T58" s="33" t="n"/>
      <c r="U58" s="42">
        <f>'S07'!T58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'S07'!M59+L59</f>
        <v/>
      </c>
      <c r="N59" s="31">
        <f>IFERROR(M59/K59,0)</f>
        <v/>
      </c>
      <c r="O59" s="40">
        <f>'S07'!N59</f>
        <v/>
      </c>
      <c r="P59" s="31">
        <f>N59-O59</f>
        <v/>
      </c>
      <c r="Q59" s="32" t="n"/>
      <c r="R59" s="32" t="n"/>
      <c r="S59" s="32" t="n"/>
      <c r="T59" s="33" t="n"/>
      <c r="U59" s="40">
        <f>'S07'!T59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'S07'!M60+L60</f>
        <v/>
      </c>
      <c r="N60" s="36">
        <f>IFERROR(M60/K60,0)</f>
        <v/>
      </c>
      <c r="O60" s="42">
        <f>'S07'!N60</f>
        <v/>
      </c>
      <c r="P60" s="36">
        <f>N60-O60</f>
        <v/>
      </c>
      <c r="Q60" s="32" t="n"/>
      <c r="R60" s="32" t="n"/>
      <c r="S60" s="32" t="n"/>
      <c r="T60" s="33" t="n"/>
      <c r="U60" s="42">
        <f>'S07'!T60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'S07'!M61+L61</f>
        <v/>
      </c>
      <c r="N61" s="31">
        <f>IFERROR(M61/K61,0)</f>
        <v/>
      </c>
      <c r="O61" s="40">
        <f>'S07'!N61</f>
        <v/>
      </c>
      <c r="P61" s="31">
        <f>N61-O61</f>
        <v/>
      </c>
      <c r="Q61" s="32" t="n"/>
      <c r="R61" s="32" t="n"/>
      <c r="S61" s="32" t="n"/>
      <c r="T61" s="33" t="n"/>
      <c r="U61" s="40">
        <f>'S07'!T61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'S07'!M62+L62</f>
        <v/>
      </c>
      <c r="N62" s="36">
        <f>IFERROR(M62/K62,0)</f>
        <v/>
      </c>
      <c r="O62" s="42">
        <f>'S07'!N62</f>
        <v/>
      </c>
      <c r="P62" s="36">
        <f>N62-O62</f>
        <v/>
      </c>
      <c r="Q62" s="32" t="n"/>
      <c r="R62" s="32" t="n"/>
      <c r="S62" s="32" t="n"/>
      <c r="T62" s="33" t="n"/>
      <c r="U62" s="42">
        <f>'S07'!T62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'S07'!M63+L63</f>
        <v/>
      </c>
      <c r="N63" s="31">
        <f>IFERROR(M63/K63,0)</f>
        <v/>
      </c>
      <c r="O63" s="40">
        <f>'S07'!N63</f>
        <v/>
      </c>
      <c r="P63" s="31">
        <f>N63-O63</f>
        <v/>
      </c>
      <c r="Q63" s="32" t="n"/>
      <c r="R63" s="32" t="n"/>
      <c r="S63" s="32" t="n"/>
      <c r="T63" s="33" t="n"/>
      <c r="U63" s="40">
        <f>'S07'!T63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'S07'!M64+L64</f>
        <v/>
      </c>
      <c r="N64" s="36">
        <f>IFERROR(M64/K64,0)</f>
        <v/>
      </c>
      <c r="O64" s="42">
        <f>'S07'!N64</f>
        <v/>
      </c>
      <c r="P64" s="36">
        <f>N64-O64</f>
        <v/>
      </c>
      <c r="Q64" s="32" t="n"/>
      <c r="R64" s="32" t="n"/>
      <c r="S64" s="32" t="n"/>
      <c r="T64" s="33" t="n"/>
      <c r="U64" s="42">
        <f>'S07'!T64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'S07'!M65+L65</f>
        <v/>
      </c>
      <c r="N65" s="31">
        <f>IFERROR(M65/K65,0)</f>
        <v/>
      </c>
      <c r="O65" s="40">
        <f>'S07'!N65</f>
        <v/>
      </c>
      <c r="P65" s="31">
        <f>N65-O65</f>
        <v/>
      </c>
      <c r="Q65" s="32" t="n"/>
      <c r="R65" s="32" t="n"/>
      <c r="S65" s="32" t="n"/>
      <c r="T65" s="33" t="n"/>
      <c r="U65" s="40">
        <f>'S07'!T65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'S07'!M66+L66</f>
        <v/>
      </c>
      <c r="N66" s="36">
        <f>IFERROR(M66/K66,0)</f>
        <v/>
      </c>
      <c r="O66" s="42">
        <f>'S07'!N66</f>
        <v/>
      </c>
      <c r="P66" s="36">
        <f>N66-O66</f>
        <v/>
      </c>
      <c r="Q66" s="32" t="n"/>
      <c r="R66" s="32" t="n"/>
      <c r="S66" s="32" t="n"/>
      <c r="T66" s="33" t="n"/>
      <c r="U66" s="42">
        <f>'S07'!T66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'S07'!M67+L67</f>
        <v/>
      </c>
      <c r="N67" s="31">
        <f>IFERROR(M67/K67,0)</f>
        <v/>
      </c>
      <c r="O67" s="40">
        <f>'S07'!N67</f>
        <v/>
      </c>
      <c r="P67" s="31">
        <f>N67-O67</f>
        <v/>
      </c>
      <c r="Q67" s="32" t="n"/>
      <c r="R67" s="32" t="n"/>
      <c r="S67" s="32" t="n"/>
      <c r="T67" s="33" t="n"/>
      <c r="U67" s="40">
        <f>'S07'!T67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'S07'!M68+L68</f>
        <v/>
      </c>
      <c r="N68" s="36">
        <f>IFERROR(M68/K68,0)</f>
        <v/>
      </c>
      <c r="O68" s="42">
        <f>'S07'!N68</f>
        <v/>
      </c>
      <c r="P68" s="36">
        <f>N68-O68</f>
        <v/>
      </c>
      <c r="Q68" s="32" t="n"/>
      <c r="R68" s="32" t="n"/>
      <c r="S68" s="32" t="n"/>
      <c r="T68" s="33" t="n"/>
      <c r="U68" s="42">
        <f>'S07'!T68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'S07'!M69+L69</f>
        <v/>
      </c>
      <c r="N69" s="31">
        <f>IFERROR(M69/K69,0)</f>
        <v/>
      </c>
      <c r="O69" s="40">
        <f>'S07'!N69</f>
        <v/>
      </c>
      <c r="P69" s="31">
        <f>N69-O69</f>
        <v/>
      </c>
      <c r="Q69" s="32" t="n"/>
      <c r="R69" s="32" t="n"/>
      <c r="S69" s="32" t="n"/>
      <c r="T69" s="33" t="n"/>
      <c r="U69" s="40">
        <f>'S07'!T69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'S07'!M70+L70</f>
        <v/>
      </c>
      <c r="N70" s="36">
        <f>IFERROR(M70/K70,0)</f>
        <v/>
      </c>
      <c r="O70" s="42">
        <f>'S07'!N70</f>
        <v/>
      </c>
      <c r="P70" s="36">
        <f>N70-O70</f>
        <v/>
      </c>
      <c r="Q70" s="32" t="n"/>
      <c r="R70" s="32" t="n"/>
      <c r="S70" s="32" t="n"/>
      <c r="T70" s="33" t="n"/>
      <c r="U70" s="42">
        <f>'S07'!T70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'S07'!M71+L71</f>
        <v/>
      </c>
      <c r="N71" s="31">
        <f>IFERROR(M71/K71,0)</f>
        <v/>
      </c>
      <c r="O71" s="40">
        <f>'S07'!N71</f>
        <v/>
      </c>
      <c r="P71" s="31">
        <f>N71-O71</f>
        <v/>
      </c>
      <c r="Q71" s="32" t="n"/>
      <c r="R71" s="32" t="n"/>
      <c r="S71" s="32" t="n"/>
      <c r="T71" s="33" t="n"/>
      <c r="U71" s="40">
        <f>'S07'!T71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'S07'!M72+L72</f>
        <v/>
      </c>
      <c r="N72" s="36">
        <f>IFERROR(M72/K72,0)</f>
        <v/>
      </c>
      <c r="O72" s="42">
        <f>'S07'!N72</f>
        <v/>
      </c>
      <c r="P72" s="36">
        <f>N72-O72</f>
        <v/>
      </c>
      <c r="Q72" s="32" t="n"/>
      <c r="R72" s="32" t="n"/>
      <c r="S72" s="32" t="n"/>
      <c r="T72" s="33" t="n"/>
      <c r="U72" s="42">
        <f>'S07'!T72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'S07'!M73+L73</f>
        <v/>
      </c>
      <c r="N73" s="31">
        <f>IFERROR(M73/K73,0)</f>
        <v/>
      </c>
      <c r="O73" s="40">
        <f>'S07'!N73</f>
        <v/>
      </c>
      <c r="P73" s="31">
        <f>N73-O73</f>
        <v/>
      </c>
      <c r="Q73" s="32" t="n"/>
      <c r="R73" s="32" t="n"/>
      <c r="S73" s="32" t="n"/>
      <c r="T73" s="33" t="n"/>
      <c r="U73" s="40">
        <f>'S07'!T73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'S07'!M74+L74</f>
        <v/>
      </c>
      <c r="N74" s="36">
        <f>IFERROR(M74/K74,0)</f>
        <v/>
      </c>
      <c r="O74" s="42">
        <f>'S07'!N74</f>
        <v/>
      </c>
      <c r="P74" s="36">
        <f>N74-O74</f>
        <v/>
      </c>
      <c r="Q74" s="32" t="n"/>
      <c r="R74" s="32" t="n"/>
      <c r="S74" s="32" t="n"/>
      <c r="T74" s="33" t="n"/>
      <c r="U74" s="42">
        <f>'S07'!T74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'S07'!M75+L75</f>
        <v/>
      </c>
      <c r="N75" s="31">
        <f>IFERROR(M75/K75,0)</f>
        <v/>
      </c>
      <c r="O75" s="40">
        <f>'S07'!N75</f>
        <v/>
      </c>
      <c r="P75" s="31">
        <f>N75-O75</f>
        <v/>
      </c>
      <c r="Q75" s="32" t="n"/>
      <c r="R75" s="32" t="n"/>
      <c r="S75" s="32" t="n"/>
      <c r="T75" s="33" t="n"/>
      <c r="U75" s="40">
        <f>'S07'!T75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'S07'!M76+L76</f>
        <v/>
      </c>
      <c r="N76" s="36">
        <f>IFERROR(M76/K76,0)</f>
        <v/>
      </c>
      <c r="O76" s="42">
        <f>'S07'!N76</f>
        <v/>
      </c>
      <c r="P76" s="36">
        <f>N76-O76</f>
        <v/>
      </c>
      <c r="Q76" s="32" t="n"/>
      <c r="R76" s="32" t="n"/>
      <c r="S76" s="32" t="n"/>
      <c r="T76" s="33" t="n"/>
      <c r="U76" s="42">
        <f>'S07'!T76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11.xml><?xml version="1.0" encoding="utf-8"?>
<worksheet xmlns="http://schemas.openxmlformats.org/spreadsheetml/2006/main">
  <sheetPr>
    <tabColor rgb="005B9BD5"/>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9 (23/02 - 01/03) — Février 2026 - Exécution Physique et Financière</t>
        </is>
      </c>
    </row>
    <row r="3" ht="22" customHeight="1">
      <c r="B3" s="20" t="inlineStr">
        <is>
          <t>Date :</t>
        </is>
      </c>
      <c r="C3" s="21" t="n">
        <v>46076</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'S08'!M5+L5</f>
        <v/>
      </c>
      <c r="N5" s="31">
        <f>IFERROR(M5/K5,0)</f>
        <v/>
      </c>
      <c r="O5" s="40">
        <f>'S08'!N5</f>
        <v/>
      </c>
      <c r="P5" s="31">
        <f>N5-O5</f>
        <v/>
      </c>
      <c r="Q5" s="32" t="n"/>
      <c r="R5" s="32" t="n"/>
      <c r="S5" s="32" t="n"/>
      <c r="T5" s="33" t="n"/>
      <c r="U5" s="40">
        <f>'S08'!T5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'S08'!M6+L6</f>
        <v/>
      </c>
      <c r="N6" s="36">
        <f>IFERROR(M6/K6,0)</f>
        <v/>
      </c>
      <c r="O6" s="42">
        <f>'S08'!N6</f>
        <v/>
      </c>
      <c r="P6" s="36">
        <f>N6-O6</f>
        <v/>
      </c>
      <c r="Q6" s="32" t="n"/>
      <c r="R6" s="32" t="n"/>
      <c r="S6" s="32" t="n"/>
      <c r="T6" s="33" t="n"/>
      <c r="U6" s="42">
        <f>'S08'!T6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'S08'!M7+L7</f>
        <v/>
      </c>
      <c r="N7" s="31">
        <f>IFERROR(M7/K7,0)</f>
        <v/>
      </c>
      <c r="O7" s="40">
        <f>'S08'!N7</f>
        <v/>
      </c>
      <c r="P7" s="31">
        <f>N7-O7</f>
        <v/>
      </c>
      <c r="Q7" s="32" t="n"/>
      <c r="R7" s="32" t="n"/>
      <c r="S7" s="32" t="n"/>
      <c r="T7" s="33" t="n"/>
      <c r="U7" s="40">
        <f>'S08'!T7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'S08'!M8+L8</f>
        <v/>
      </c>
      <c r="N8" s="36">
        <f>IFERROR(M8/K8,0)</f>
        <v/>
      </c>
      <c r="O8" s="42">
        <f>'S08'!N8</f>
        <v/>
      </c>
      <c r="P8" s="36">
        <f>N8-O8</f>
        <v/>
      </c>
      <c r="Q8" s="32" t="n"/>
      <c r="R8" s="32" t="n"/>
      <c r="S8" s="32" t="n"/>
      <c r="T8" s="33" t="n"/>
      <c r="U8" s="42">
        <f>'S08'!T8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'S08'!M9+L9</f>
        <v/>
      </c>
      <c r="N9" s="31">
        <f>IFERROR(M9/K9,0)</f>
        <v/>
      </c>
      <c r="O9" s="40">
        <f>'S08'!N9</f>
        <v/>
      </c>
      <c r="P9" s="31">
        <f>N9-O9</f>
        <v/>
      </c>
      <c r="Q9" s="32" t="n"/>
      <c r="R9" s="32" t="n"/>
      <c r="S9" s="32" t="n"/>
      <c r="T9" s="33" t="n"/>
      <c r="U9" s="40">
        <f>'S08'!T9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'S08'!M10+L10</f>
        <v/>
      </c>
      <c r="N10" s="36">
        <f>IFERROR(M10/K10,0)</f>
        <v/>
      </c>
      <c r="O10" s="42">
        <f>'S08'!N10</f>
        <v/>
      </c>
      <c r="P10" s="36">
        <f>N10-O10</f>
        <v/>
      </c>
      <c r="Q10" s="32" t="n"/>
      <c r="R10" s="32" t="n"/>
      <c r="S10" s="32" t="n"/>
      <c r="T10" s="33" t="n"/>
      <c r="U10" s="42">
        <f>'S08'!T10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'S08'!M11+L11</f>
        <v/>
      </c>
      <c r="N11" s="31">
        <f>IFERROR(M11/K11,0)</f>
        <v/>
      </c>
      <c r="O11" s="40">
        <f>'S08'!N11</f>
        <v/>
      </c>
      <c r="P11" s="31">
        <f>N11-O11</f>
        <v/>
      </c>
      <c r="Q11" s="32" t="n"/>
      <c r="R11" s="32" t="n"/>
      <c r="S11" s="32" t="n"/>
      <c r="T11" s="33" t="n"/>
      <c r="U11" s="40">
        <f>'S08'!T11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'S08'!M12+L12</f>
        <v/>
      </c>
      <c r="N12" s="36">
        <f>IFERROR(M12/K12,0)</f>
        <v/>
      </c>
      <c r="O12" s="42">
        <f>'S08'!N12</f>
        <v/>
      </c>
      <c r="P12" s="36">
        <f>N12-O12</f>
        <v/>
      </c>
      <c r="Q12" s="32" t="n"/>
      <c r="R12" s="32" t="n"/>
      <c r="S12" s="32" t="n"/>
      <c r="T12" s="33" t="n"/>
      <c r="U12" s="42">
        <f>'S08'!T12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'S08'!M13+L13</f>
        <v/>
      </c>
      <c r="N13" s="31">
        <f>IFERROR(M13/K13,0)</f>
        <v/>
      </c>
      <c r="O13" s="40">
        <f>'S08'!N13</f>
        <v/>
      </c>
      <c r="P13" s="31">
        <f>N13-O13</f>
        <v/>
      </c>
      <c r="Q13" s="32" t="n"/>
      <c r="R13" s="32" t="n"/>
      <c r="S13" s="32" t="n"/>
      <c r="T13" s="33" t="n"/>
      <c r="U13" s="40">
        <f>'S08'!T13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'S08'!M14+L14</f>
        <v/>
      </c>
      <c r="N14" s="36">
        <f>IFERROR(M14/K14,0)</f>
        <v/>
      </c>
      <c r="O14" s="42">
        <f>'S08'!N14</f>
        <v/>
      </c>
      <c r="P14" s="36">
        <f>N14-O14</f>
        <v/>
      </c>
      <c r="Q14" s="32" t="n"/>
      <c r="R14" s="32" t="n"/>
      <c r="S14" s="32" t="n"/>
      <c r="T14" s="33" t="n"/>
      <c r="U14" s="42">
        <f>'S08'!T14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'S08'!M15+L15</f>
        <v/>
      </c>
      <c r="N15" s="31">
        <f>IFERROR(M15/K15,0)</f>
        <v/>
      </c>
      <c r="O15" s="40">
        <f>'S08'!N15</f>
        <v/>
      </c>
      <c r="P15" s="31">
        <f>N15-O15</f>
        <v/>
      </c>
      <c r="Q15" s="32" t="n"/>
      <c r="R15" s="32" t="n"/>
      <c r="S15" s="32" t="n"/>
      <c r="T15" s="33" t="n"/>
      <c r="U15" s="40">
        <f>'S08'!T15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'S08'!M16+L16</f>
        <v/>
      </c>
      <c r="N16" s="36">
        <f>IFERROR(M16/K16,0)</f>
        <v/>
      </c>
      <c r="O16" s="42">
        <f>'S08'!N16</f>
        <v/>
      </c>
      <c r="P16" s="36">
        <f>N16-O16</f>
        <v/>
      </c>
      <c r="Q16" s="32" t="n"/>
      <c r="R16" s="32" t="n"/>
      <c r="S16" s="32" t="n"/>
      <c r="T16" s="33" t="n"/>
      <c r="U16" s="42">
        <f>'S08'!T16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'S08'!M17+L17</f>
        <v/>
      </c>
      <c r="N17" s="31">
        <f>IFERROR(M17/K17,0)</f>
        <v/>
      </c>
      <c r="O17" s="40">
        <f>'S08'!N17</f>
        <v/>
      </c>
      <c r="P17" s="31">
        <f>N17-O17</f>
        <v/>
      </c>
      <c r="Q17" s="32" t="n"/>
      <c r="R17" s="32" t="n"/>
      <c r="S17" s="32" t="n"/>
      <c r="T17" s="33" t="n"/>
      <c r="U17" s="40">
        <f>'S08'!T17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'S08'!M18+L18</f>
        <v/>
      </c>
      <c r="N18" s="36">
        <f>IFERROR(M18/K18,0)</f>
        <v/>
      </c>
      <c r="O18" s="42">
        <f>'S08'!N18</f>
        <v/>
      </c>
      <c r="P18" s="36">
        <f>N18-O18</f>
        <v/>
      </c>
      <c r="Q18" s="32" t="n"/>
      <c r="R18" s="32" t="n"/>
      <c r="S18" s="32" t="n"/>
      <c r="T18" s="33" t="n"/>
      <c r="U18" s="42">
        <f>'S08'!T18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'S08'!M19+L19</f>
        <v/>
      </c>
      <c r="N19" s="31">
        <f>IFERROR(M19/K19,0)</f>
        <v/>
      </c>
      <c r="O19" s="40">
        <f>'S08'!N19</f>
        <v/>
      </c>
      <c r="P19" s="31">
        <f>N19-O19</f>
        <v/>
      </c>
      <c r="Q19" s="32" t="n"/>
      <c r="R19" s="32" t="n"/>
      <c r="S19" s="32" t="n"/>
      <c r="T19" s="33" t="n"/>
      <c r="U19" s="40">
        <f>'S08'!T19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'S08'!M20+L20</f>
        <v/>
      </c>
      <c r="N20" s="36">
        <f>IFERROR(M20/K20,0)</f>
        <v/>
      </c>
      <c r="O20" s="42">
        <f>'S08'!N20</f>
        <v/>
      </c>
      <c r="P20" s="36">
        <f>N20-O20</f>
        <v/>
      </c>
      <c r="Q20" s="32" t="n"/>
      <c r="R20" s="32" t="n"/>
      <c r="S20" s="32" t="n"/>
      <c r="T20" s="33" t="n"/>
      <c r="U20" s="42">
        <f>'S08'!T20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'S08'!M21+L21</f>
        <v/>
      </c>
      <c r="N21" s="31">
        <f>IFERROR(M21/K21,0)</f>
        <v/>
      </c>
      <c r="O21" s="40">
        <f>'S08'!N21</f>
        <v/>
      </c>
      <c r="P21" s="31">
        <f>N21-O21</f>
        <v/>
      </c>
      <c r="Q21" s="32" t="n"/>
      <c r="R21" s="32" t="n"/>
      <c r="S21" s="32" t="n"/>
      <c r="T21" s="33" t="n"/>
      <c r="U21" s="40">
        <f>'S08'!T21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'S08'!M22+L22</f>
        <v/>
      </c>
      <c r="N22" s="36">
        <f>IFERROR(M22/K22,0)</f>
        <v/>
      </c>
      <c r="O22" s="42">
        <f>'S08'!N22</f>
        <v/>
      </c>
      <c r="P22" s="36">
        <f>N22-O22</f>
        <v/>
      </c>
      <c r="Q22" s="32" t="n"/>
      <c r="R22" s="32" t="n"/>
      <c r="S22" s="32" t="n"/>
      <c r="T22" s="33" t="n"/>
      <c r="U22" s="42">
        <f>'S08'!T22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'S08'!M23+L23</f>
        <v/>
      </c>
      <c r="N23" s="31">
        <f>IFERROR(M23/K23,0)</f>
        <v/>
      </c>
      <c r="O23" s="40">
        <f>'S08'!N23</f>
        <v/>
      </c>
      <c r="P23" s="31">
        <f>N23-O23</f>
        <v/>
      </c>
      <c r="Q23" s="32" t="n"/>
      <c r="R23" s="32" t="n"/>
      <c r="S23" s="32" t="n"/>
      <c r="T23" s="33" t="n"/>
      <c r="U23" s="40">
        <f>'S08'!T23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'S08'!M24+L24</f>
        <v/>
      </c>
      <c r="N24" s="36">
        <f>IFERROR(M24/K24,0)</f>
        <v/>
      </c>
      <c r="O24" s="42">
        <f>'S08'!N24</f>
        <v/>
      </c>
      <c r="P24" s="36">
        <f>N24-O24</f>
        <v/>
      </c>
      <c r="Q24" s="32" t="n"/>
      <c r="R24" s="32" t="n"/>
      <c r="S24" s="32" t="n"/>
      <c r="T24" s="33" t="n"/>
      <c r="U24" s="42">
        <f>'S08'!T24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'S08'!M25+L25</f>
        <v/>
      </c>
      <c r="N25" s="31">
        <f>IFERROR(M25/K25,0)</f>
        <v/>
      </c>
      <c r="O25" s="40">
        <f>'S08'!N25</f>
        <v/>
      </c>
      <c r="P25" s="31">
        <f>N25-O25</f>
        <v/>
      </c>
      <c r="Q25" s="32" t="n"/>
      <c r="R25" s="32" t="n"/>
      <c r="S25" s="32" t="n"/>
      <c r="T25" s="33" t="n"/>
      <c r="U25" s="40">
        <f>'S08'!T25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'S08'!M26+L26</f>
        <v/>
      </c>
      <c r="N26" s="36">
        <f>IFERROR(M26/K26,0)</f>
        <v/>
      </c>
      <c r="O26" s="42">
        <f>'S08'!N26</f>
        <v/>
      </c>
      <c r="P26" s="36">
        <f>N26-O26</f>
        <v/>
      </c>
      <c r="Q26" s="32" t="n"/>
      <c r="R26" s="32" t="n"/>
      <c r="S26" s="32" t="n"/>
      <c r="T26" s="33" t="n"/>
      <c r="U26" s="42">
        <f>'S08'!T26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'S08'!M27+L27</f>
        <v/>
      </c>
      <c r="N27" s="31">
        <f>IFERROR(M27/K27,0)</f>
        <v/>
      </c>
      <c r="O27" s="40">
        <f>'S08'!N27</f>
        <v/>
      </c>
      <c r="P27" s="31">
        <f>N27-O27</f>
        <v/>
      </c>
      <c r="Q27" s="32" t="n"/>
      <c r="R27" s="32" t="n"/>
      <c r="S27" s="32" t="n"/>
      <c r="T27" s="33" t="n"/>
      <c r="U27" s="40">
        <f>'S08'!T27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'S08'!M28+L28</f>
        <v/>
      </c>
      <c r="N28" s="36">
        <f>IFERROR(M28/K28,0)</f>
        <v/>
      </c>
      <c r="O28" s="42">
        <f>'S08'!N28</f>
        <v/>
      </c>
      <c r="P28" s="36">
        <f>N28-O28</f>
        <v/>
      </c>
      <c r="Q28" s="32" t="n"/>
      <c r="R28" s="32" t="n"/>
      <c r="S28" s="32" t="n"/>
      <c r="T28" s="33" t="n"/>
      <c r="U28" s="42">
        <f>'S08'!T28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'S08'!M29+L29</f>
        <v/>
      </c>
      <c r="N29" s="31">
        <f>IFERROR(M29/K29,0)</f>
        <v/>
      </c>
      <c r="O29" s="40">
        <f>'S08'!N29</f>
        <v/>
      </c>
      <c r="P29" s="31">
        <f>N29-O29</f>
        <v/>
      </c>
      <c r="Q29" s="32" t="n"/>
      <c r="R29" s="32" t="n"/>
      <c r="S29" s="32" t="n"/>
      <c r="T29" s="33" t="n"/>
      <c r="U29" s="40">
        <f>'S08'!T29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'S08'!M30+L30</f>
        <v/>
      </c>
      <c r="N30" s="36">
        <f>IFERROR(M30/K30,0)</f>
        <v/>
      </c>
      <c r="O30" s="42">
        <f>'S08'!N30</f>
        <v/>
      </c>
      <c r="P30" s="36">
        <f>N30-O30</f>
        <v/>
      </c>
      <c r="Q30" s="32" t="n"/>
      <c r="R30" s="32" t="n"/>
      <c r="S30" s="32" t="n"/>
      <c r="T30" s="33" t="n"/>
      <c r="U30" s="42">
        <f>'S08'!T30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'S08'!M31+L31</f>
        <v/>
      </c>
      <c r="N31" s="31">
        <f>IFERROR(M31/K31,0)</f>
        <v/>
      </c>
      <c r="O31" s="40">
        <f>'S08'!N31</f>
        <v/>
      </c>
      <c r="P31" s="31">
        <f>N31-O31</f>
        <v/>
      </c>
      <c r="Q31" s="32" t="n"/>
      <c r="R31" s="32" t="n"/>
      <c r="S31" s="32" t="n"/>
      <c r="T31" s="33" t="n"/>
      <c r="U31" s="40">
        <f>'S08'!T31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'S08'!M32+L32</f>
        <v/>
      </c>
      <c r="N32" s="36">
        <f>IFERROR(M32/K32,0)</f>
        <v/>
      </c>
      <c r="O32" s="42">
        <f>'S08'!N32</f>
        <v/>
      </c>
      <c r="P32" s="36">
        <f>N32-O32</f>
        <v/>
      </c>
      <c r="Q32" s="32" t="n"/>
      <c r="R32" s="32" t="n"/>
      <c r="S32" s="32" t="n"/>
      <c r="T32" s="33" t="n"/>
      <c r="U32" s="42">
        <f>'S08'!T32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'S08'!M33+L33</f>
        <v/>
      </c>
      <c r="N33" s="31">
        <f>IFERROR(M33/K33,0)</f>
        <v/>
      </c>
      <c r="O33" s="40">
        <f>'S08'!N33</f>
        <v/>
      </c>
      <c r="P33" s="31">
        <f>N33-O33</f>
        <v/>
      </c>
      <c r="Q33" s="32" t="n"/>
      <c r="R33" s="32" t="n"/>
      <c r="S33" s="32" t="n"/>
      <c r="T33" s="33" t="n"/>
      <c r="U33" s="40">
        <f>'S08'!T33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'S08'!M34+L34</f>
        <v/>
      </c>
      <c r="N34" s="36">
        <f>IFERROR(M34/K34,0)</f>
        <v/>
      </c>
      <c r="O34" s="42">
        <f>'S08'!N34</f>
        <v/>
      </c>
      <c r="P34" s="36">
        <f>N34-O34</f>
        <v/>
      </c>
      <c r="Q34" s="32" t="n"/>
      <c r="R34" s="32" t="n"/>
      <c r="S34" s="32" t="n"/>
      <c r="T34" s="33" t="n"/>
      <c r="U34" s="42">
        <f>'S08'!T34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'S08'!M35+L35</f>
        <v/>
      </c>
      <c r="N35" s="31">
        <f>IFERROR(M35/K35,0)</f>
        <v/>
      </c>
      <c r="O35" s="40">
        <f>'S08'!N35</f>
        <v/>
      </c>
      <c r="P35" s="31">
        <f>N35-O35</f>
        <v/>
      </c>
      <c r="Q35" s="32" t="n"/>
      <c r="R35" s="32" t="n"/>
      <c r="S35" s="32" t="n"/>
      <c r="T35" s="33" t="n"/>
      <c r="U35" s="40">
        <f>'S08'!T35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'S08'!M36+L36</f>
        <v/>
      </c>
      <c r="N36" s="36">
        <f>IFERROR(M36/K36,0)</f>
        <v/>
      </c>
      <c r="O36" s="42">
        <f>'S08'!N36</f>
        <v/>
      </c>
      <c r="P36" s="36">
        <f>N36-O36</f>
        <v/>
      </c>
      <c r="Q36" s="32" t="n"/>
      <c r="R36" s="32" t="n"/>
      <c r="S36" s="32" t="n"/>
      <c r="T36" s="33" t="n"/>
      <c r="U36" s="42">
        <f>'S08'!T36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'S08'!M37+L37</f>
        <v/>
      </c>
      <c r="N37" s="31">
        <f>IFERROR(M37/K37,0)</f>
        <v/>
      </c>
      <c r="O37" s="40">
        <f>'S08'!N37</f>
        <v/>
      </c>
      <c r="P37" s="31">
        <f>N37-O37</f>
        <v/>
      </c>
      <c r="Q37" s="32" t="n"/>
      <c r="R37" s="32" t="n"/>
      <c r="S37" s="32" t="n"/>
      <c r="T37" s="33" t="n"/>
      <c r="U37" s="40">
        <f>'S08'!T37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'S08'!M38+L38</f>
        <v/>
      </c>
      <c r="N38" s="36">
        <f>IFERROR(M38/K38,0)</f>
        <v/>
      </c>
      <c r="O38" s="42">
        <f>'S08'!N38</f>
        <v/>
      </c>
      <c r="P38" s="36">
        <f>N38-O38</f>
        <v/>
      </c>
      <c r="Q38" s="32" t="n"/>
      <c r="R38" s="32" t="n"/>
      <c r="S38" s="32" t="n"/>
      <c r="T38" s="33" t="n"/>
      <c r="U38" s="42">
        <f>'S08'!T38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'S08'!M39+L39</f>
        <v/>
      </c>
      <c r="N39" s="31">
        <f>IFERROR(M39/K39,0)</f>
        <v/>
      </c>
      <c r="O39" s="40">
        <f>'S08'!N39</f>
        <v/>
      </c>
      <c r="P39" s="31">
        <f>N39-O39</f>
        <v/>
      </c>
      <c r="Q39" s="32" t="n"/>
      <c r="R39" s="32" t="n"/>
      <c r="S39" s="32" t="n"/>
      <c r="T39" s="33" t="n"/>
      <c r="U39" s="40">
        <f>'S08'!T39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'S08'!M40+L40</f>
        <v/>
      </c>
      <c r="N40" s="36">
        <f>IFERROR(M40/K40,0)</f>
        <v/>
      </c>
      <c r="O40" s="42">
        <f>'S08'!N40</f>
        <v/>
      </c>
      <c r="P40" s="36">
        <f>N40-O40</f>
        <v/>
      </c>
      <c r="Q40" s="32" t="n"/>
      <c r="R40" s="32" t="n"/>
      <c r="S40" s="32" t="n"/>
      <c r="T40" s="33" t="n"/>
      <c r="U40" s="42">
        <f>'S08'!T40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'S08'!M41+L41</f>
        <v/>
      </c>
      <c r="N41" s="31">
        <f>IFERROR(M41/K41,0)</f>
        <v/>
      </c>
      <c r="O41" s="40">
        <f>'S08'!N41</f>
        <v/>
      </c>
      <c r="P41" s="31">
        <f>N41-O41</f>
        <v/>
      </c>
      <c r="Q41" s="32" t="n"/>
      <c r="R41" s="32" t="n"/>
      <c r="S41" s="32" t="n"/>
      <c r="T41" s="33" t="n"/>
      <c r="U41" s="40">
        <f>'S08'!T41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'S08'!M42+L42</f>
        <v/>
      </c>
      <c r="N42" s="36">
        <f>IFERROR(M42/K42,0)</f>
        <v/>
      </c>
      <c r="O42" s="42">
        <f>'S08'!N42</f>
        <v/>
      </c>
      <c r="P42" s="36">
        <f>N42-O42</f>
        <v/>
      </c>
      <c r="Q42" s="32" t="n"/>
      <c r="R42" s="32" t="n"/>
      <c r="S42" s="32" t="n"/>
      <c r="T42" s="33" t="n"/>
      <c r="U42" s="42">
        <f>'S08'!T42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'S08'!M43+L43</f>
        <v/>
      </c>
      <c r="N43" s="31">
        <f>IFERROR(M43/K43,0)</f>
        <v/>
      </c>
      <c r="O43" s="40">
        <f>'S08'!N43</f>
        <v/>
      </c>
      <c r="P43" s="31">
        <f>N43-O43</f>
        <v/>
      </c>
      <c r="Q43" s="32" t="n"/>
      <c r="R43" s="32" t="n"/>
      <c r="S43" s="32" t="n"/>
      <c r="T43" s="33" t="n"/>
      <c r="U43" s="40">
        <f>'S08'!T43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'S08'!M44+L44</f>
        <v/>
      </c>
      <c r="N44" s="36">
        <f>IFERROR(M44/K44,0)</f>
        <v/>
      </c>
      <c r="O44" s="42">
        <f>'S08'!N44</f>
        <v/>
      </c>
      <c r="P44" s="36">
        <f>N44-O44</f>
        <v/>
      </c>
      <c r="Q44" s="32" t="n"/>
      <c r="R44" s="32" t="n"/>
      <c r="S44" s="32" t="n"/>
      <c r="T44" s="33" t="n"/>
      <c r="U44" s="42">
        <f>'S08'!T44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'S08'!M45+L45</f>
        <v/>
      </c>
      <c r="N45" s="31">
        <f>IFERROR(M45/K45,0)</f>
        <v/>
      </c>
      <c r="O45" s="40">
        <f>'S08'!N45</f>
        <v/>
      </c>
      <c r="P45" s="31">
        <f>N45-O45</f>
        <v/>
      </c>
      <c r="Q45" s="32" t="n"/>
      <c r="R45" s="32" t="n"/>
      <c r="S45" s="32" t="n"/>
      <c r="T45" s="33" t="n"/>
      <c r="U45" s="40">
        <f>'S08'!T45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'S08'!M46+L46</f>
        <v/>
      </c>
      <c r="N46" s="36">
        <f>IFERROR(M46/K46,0)</f>
        <v/>
      </c>
      <c r="O46" s="42">
        <f>'S08'!N46</f>
        <v/>
      </c>
      <c r="P46" s="36">
        <f>N46-O46</f>
        <v/>
      </c>
      <c r="Q46" s="32" t="n"/>
      <c r="R46" s="32" t="n"/>
      <c r="S46" s="32" t="n"/>
      <c r="T46" s="33" t="n"/>
      <c r="U46" s="42">
        <f>'S08'!T46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'S08'!M47+L47</f>
        <v/>
      </c>
      <c r="N47" s="31">
        <f>IFERROR(M47/K47,0)</f>
        <v/>
      </c>
      <c r="O47" s="40">
        <f>'S08'!N47</f>
        <v/>
      </c>
      <c r="P47" s="31">
        <f>N47-O47</f>
        <v/>
      </c>
      <c r="Q47" s="32" t="n"/>
      <c r="R47" s="32" t="n"/>
      <c r="S47" s="32" t="n"/>
      <c r="T47" s="33" t="n"/>
      <c r="U47" s="40">
        <f>'S08'!T47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'S08'!M48+L48</f>
        <v/>
      </c>
      <c r="N48" s="36">
        <f>IFERROR(M48/K48,0)</f>
        <v/>
      </c>
      <c r="O48" s="42">
        <f>'S08'!N48</f>
        <v/>
      </c>
      <c r="P48" s="36">
        <f>N48-O48</f>
        <v/>
      </c>
      <c r="Q48" s="32" t="n"/>
      <c r="R48" s="32" t="n"/>
      <c r="S48" s="32" t="n"/>
      <c r="T48" s="33" t="n"/>
      <c r="U48" s="42">
        <f>'S08'!T48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'S08'!M49+L49</f>
        <v/>
      </c>
      <c r="N49" s="31">
        <f>IFERROR(M49/K49,0)</f>
        <v/>
      </c>
      <c r="O49" s="40">
        <f>'S08'!N49</f>
        <v/>
      </c>
      <c r="P49" s="31">
        <f>N49-O49</f>
        <v/>
      </c>
      <c r="Q49" s="32" t="n"/>
      <c r="R49" s="32" t="n"/>
      <c r="S49" s="32" t="n"/>
      <c r="T49" s="33" t="n"/>
      <c r="U49" s="40">
        <f>'S08'!T49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'S08'!M50+L50</f>
        <v/>
      </c>
      <c r="N50" s="36">
        <f>IFERROR(M50/K50,0)</f>
        <v/>
      </c>
      <c r="O50" s="42">
        <f>'S08'!N50</f>
        <v/>
      </c>
      <c r="P50" s="36">
        <f>N50-O50</f>
        <v/>
      </c>
      <c r="Q50" s="32" t="n"/>
      <c r="R50" s="32" t="n"/>
      <c r="S50" s="32" t="n"/>
      <c r="T50" s="33" t="n"/>
      <c r="U50" s="42">
        <f>'S08'!T50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'S08'!M51+L51</f>
        <v/>
      </c>
      <c r="N51" s="31">
        <f>IFERROR(M51/K51,0)</f>
        <v/>
      </c>
      <c r="O51" s="40">
        <f>'S08'!N51</f>
        <v/>
      </c>
      <c r="P51" s="31">
        <f>N51-O51</f>
        <v/>
      </c>
      <c r="Q51" s="32" t="n"/>
      <c r="R51" s="32" t="n"/>
      <c r="S51" s="32" t="n"/>
      <c r="T51" s="33" t="n"/>
      <c r="U51" s="40">
        <f>'S08'!T51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'S08'!M52+L52</f>
        <v/>
      </c>
      <c r="N52" s="36">
        <f>IFERROR(M52/K52,0)</f>
        <v/>
      </c>
      <c r="O52" s="42">
        <f>'S08'!N52</f>
        <v/>
      </c>
      <c r="P52" s="36">
        <f>N52-O52</f>
        <v/>
      </c>
      <c r="Q52" s="32" t="n"/>
      <c r="R52" s="32" t="n"/>
      <c r="S52" s="32" t="n"/>
      <c r="T52" s="33" t="n"/>
      <c r="U52" s="42">
        <f>'S08'!T52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'S08'!M53+L53</f>
        <v/>
      </c>
      <c r="N53" s="31">
        <f>IFERROR(M53/K53,0)</f>
        <v/>
      </c>
      <c r="O53" s="40">
        <f>'S08'!N53</f>
        <v/>
      </c>
      <c r="P53" s="31">
        <f>N53-O53</f>
        <v/>
      </c>
      <c r="Q53" s="32" t="n"/>
      <c r="R53" s="32" t="n"/>
      <c r="S53" s="32" t="n"/>
      <c r="T53" s="33" t="n"/>
      <c r="U53" s="40">
        <f>'S08'!T53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'S08'!M54+L54</f>
        <v/>
      </c>
      <c r="N54" s="36">
        <f>IFERROR(M54/K54,0)</f>
        <v/>
      </c>
      <c r="O54" s="42">
        <f>'S08'!N54</f>
        <v/>
      </c>
      <c r="P54" s="36">
        <f>N54-O54</f>
        <v/>
      </c>
      <c r="Q54" s="32" t="n"/>
      <c r="R54" s="32" t="n"/>
      <c r="S54" s="32" t="n"/>
      <c r="T54" s="33" t="n"/>
      <c r="U54" s="42">
        <f>'S08'!T54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'S08'!M55+L55</f>
        <v/>
      </c>
      <c r="N55" s="31">
        <f>IFERROR(M55/K55,0)</f>
        <v/>
      </c>
      <c r="O55" s="40">
        <f>'S08'!N55</f>
        <v/>
      </c>
      <c r="P55" s="31">
        <f>N55-O55</f>
        <v/>
      </c>
      <c r="Q55" s="32" t="n"/>
      <c r="R55" s="32" t="n"/>
      <c r="S55" s="32" t="n"/>
      <c r="T55" s="33" t="n"/>
      <c r="U55" s="40">
        <f>'S08'!T55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'S08'!M56+L56</f>
        <v/>
      </c>
      <c r="N56" s="36">
        <f>IFERROR(M56/K56,0)</f>
        <v/>
      </c>
      <c r="O56" s="42">
        <f>'S08'!N56</f>
        <v/>
      </c>
      <c r="P56" s="36">
        <f>N56-O56</f>
        <v/>
      </c>
      <c r="Q56" s="32" t="n"/>
      <c r="R56" s="32" t="n"/>
      <c r="S56" s="32" t="n"/>
      <c r="T56" s="33" t="n"/>
      <c r="U56" s="42">
        <f>'S08'!T56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'S08'!M57+L57</f>
        <v/>
      </c>
      <c r="N57" s="31">
        <f>IFERROR(M57/K57,0)</f>
        <v/>
      </c>
      <c r="O57" s="40">
        <f>'S08'!N57</f>
        <v/>
      </c>
      <c r="P57" s="31">
        <f>N57-O57</f>
        <v/>
      </c>
      <c r="Q57" s="32" t="n"/>
      <c r="R57" s="32" t="n"/>
      <c r="S57" s="32" t="n"/>
      <c r="T57" s="33" t="n"/>
      <c r="U57" s="40">
        <f>'S08'!T57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'S08'!M58+L58</f>
        <v/>
      </c>
      <c r="N58" s="36">
        <f>IFERROR(M58/K58,0)</f>
        <v/>
      </c>
      <c r="O58" s="42">
        <f>'S08'!N58</f>
        <v/>
      </c>
      <c r="P58" s="36">
        <f>N58-O58</f>
        <v/>
      </c>
      <c r="Q58" s="32" t="n"/>
      <c r="R58" s="32" t="n"/>
      <c r="S58" s="32" t="n"/>
      <c r="T58" s="33" t="n"/>
      <c r="U58" s="42">
        <f>'S08'!T58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'S08'!M59+L59</f>
        <v/>
      </c>
      <c r="N59" s="31">
        <f>IFERROR(M59/K59,0)</f>
        <v/>
      </c>
      <c r="O59" s="40">
        <f>'S08'!N59</f>
        <v/>
      </c>
      <c r="P59" s="31">
        <f>N59-O59</f>
        <v/>
      </c>
      <c r="Q59" s="32" t="n"/>
      <c r="R59" s="32" t="n"/>
      <c r="S59" s="32" t="n"/>
      <c r="T59" s="33" t="n"/>
      <c r="U59" s="40">
        <f>'S08'!T59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'S08'!M60+L60</f>
        <v/>
      </c>
      <c r="N60" s="36">
        <f>IFERROR(M60/K60,0)</f>
        <v/>
      </c>
      <c r="O60" s="42">
        <f>'S08'!N60</f>
        <v/>
      </c>
      <c r="P60" s="36">
        <f>N60-O60</f>
        <v/>
      </c>
      <c r="Q60" s="32" t="n"/>
      <c r="R60" s="32" t="n"/>
      <c r="S60" s="32" t="n"/>
      <c r="T60" s="33" t="n"/>
      <c r="U60" s="42">
        <f>'S08'!T60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'S08'!M61+L61</f>
        <v/>
      </c>
      <c r="N61" s="31">
        <f>IFERROR(M61/K61,0)</f>
        <v/>
      </c>
      <c r="O61" s="40">
        <f>'S08'!N61</f>
        <v/>
      </c>
      <c r="P61" s="31">
        <f>N61-O61</f>
        <v/>
      </c>
      <c r="Q61" s="32" t="n"/>
      <c r="R61" s="32" t="n"/>
      <c r="S61" s="32" t="n"/>
      <c r="T61" s="33" t="n"/>
      <c r="U61" s="40">
        <f>'S08'!T61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'S08'!M62+L62</f>
        <v/>
      </c>
      <c r="N62" s="36">
        <f>IFERROR(M62/K62,0)</f>
        <v/>
      </c>
      <c r="O62" s="42">
        <f>'S08'!N62</f>
        <v/>
      </c>
      <c r="P62" s="36">
        <f>N62-O62</f>
        <v/>
      </c>
      <c r="Q62" s="32" t="n"/>
      <c r="R62" s="32" t="n"/>
      <c r="S62" s="32" t="n"/>
      <c r="T62" s="33" t="n"/>
      <c r="U62" s="42">
        <f>'S08'!T62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'S08'!M63+L63</f>
        <v/>
      </c>
      <c r="N63" s="31">
        <f>IFERROR(M63/K63,0)</f>
        <v/>
      </c>
      <c r="O63" s="40">
        <f>'S08'!N63</f>
        <v/>
      </c>
      <c r="P63" s="31">
        <f>N63-O63</f>
        <v/>
      </c>
      <c r="Q63" s="32" t="n"/>
      <c r="R63" s="32" t="n"/>
      <c r="S63" s="32" t="n"/>
      <c r="T63" s="33" t="n"/>
      <c r="U63" s="40">
        <f>'S08'!T63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'S08'!M64+L64</f>
        <v/>
      </c>
      <c r="N64" s="36">
        <f>IFERROR(M64/K64,0)</f>
        <v/>
      </c>
      <c r="O64" s="42">
        <f>'S08'!N64</f>
        <v/>
      </c>
      <c r="P64" s="36">
        <f>N64-O64</f>
        <v/>
      </c>
      <c r="Q64" s="32" t="n"/>
      <c r="R64" s="32" t="n"/>
      <c r="S64" s="32" t="n"/>
      <c r="T64" s="33" t="n"/>
      <c r="U64" s="42">
        <f>'S08'!T64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'S08'!M65+L65</f>
        <v/>
      </c>
      <c r="N65" s="31">
        <f>IFERROR(M65/K65,0)</f>
        <v/>
      </c>
      <c r="O65" s="40">
        <f>'S08'!N65</f>
        <v/>
      </c>
      <c r="P65" s="31">
        <f>N65-O65</f>
        <v/>
      </c>
      <c r="Q65" s="32" t="n"/>
      <c r="R65" s="32" t="n"/>
      <c r="S65" s="32" t="n"/>
      <c r="T65" s="33" t="n"/>
      <c r="U65" s="40">
        <f>'S08'!T65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'S08'!M66+L66</f>
        <v/>
      </c>
      <c r="N66" s="36">
        <f>IFERROR(M66/K66,0)</f>
        <v/>
      </c>
      <c r="O66" s="42">
        <f>'S08'!N66</f>
        <v/>
      </c>
      <c r="P66" s="36">
        <f>N66-O66</f>
        <v/>
      </c>
      <c r="Q66" s="32" t="n"/>
      <c r="R66" s="32" t="n"/>
      <c r="S66" s="32" t="n"/>
      <c r="T66" s="33" t="n"/>
      <c r="U66" s="42">
        <f>'S08'!T66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'S08'!M67+L67</f>
        <v/>
      </c>
      <c r="N67" s="31">
        <f>IFERROR(M67/K67,0)</f>
        <v/>
      </c>
      <c r="O67" s="40">
        <f>'S08'!N67</f>
        <v/>
      </c>
      <c r="P67" s="31">
        <f>N67-O67</f>
        <v/>
      </c>
      <c r="Q67" s="32" t="n"/>
      <c r="R67" s="32" t="n"/>
      <c r="S67" s="32" t="n"/>
      <c r="T67" s="33" t="n"/>
      <c r="U67" s="40">
        <f>'S08'!T67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'S08'!M68+L68</f>
        <v/>
      </c>
      <c r="N68" s="36">
        <f>IFERROR(M68/K68,0)</f>
        <v/>
      </c>
      <c r="O68" s="42">
        <f>'S08'!N68</f>
        <v/>
      </c>
      <c r="P68" s="36">
        <f>N68-O68</f>
        <v/>
      </c>
      <c r="Q68" s="32" t="n"/>
      <c r="R68" s="32" t="n"/>
      <c r="S68" s="32" t="n"/>
      <c r="T68" s="33" t="n"/>
      <c r="U68" s="42">
        <f>'S08'!T68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'S08'!M69+L69</f>
        <v/>
      </c>
      <c r="N69" s="31">
        <f>IFERROR(M69/K69,0)</f>
        <v/>
      </c>
      <c r="O69" s="40">
        <f>'S08'!N69</f>
        <v/>
      </c>
      <c r="P69" s="31">
        <f>N69-O69</f>
        <v/>
      </c>
      <c r="Q69" s="32" t="n"/>
      <c r="R69" s="32" t="n"/>
      <c r="S69" s="32" t="n"/>
      <c r="T69" s="33" t="n"/>
      <c r="U69" s="40">
        <f>'S08'!T69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'S08'!M70+L70</f>
        <v/>
      </c>
      <c r="N70" s="36">
        <f>IFERROR(M70/K70,0)</f>
        <v/>
      </c>
      <c r="O70" s="42">
        <f>'S08'!N70</f>
        <v/>
      </c>
      <c r="P70" s="36">
        <f>N70-O70</f>
        <v/>
      </c>
      <c r="Q70" s="32" t="n"/>
      <c r="R70" s="32" t="n"/>
      <c r="S70" s="32" t="n"/>
      <c r="T70" s="33" t="n"/>
      <c r="U70" s="42">
        <f>'S08'!T70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'S08'!M71+L71</f>
        <v/>
      </c>
      <c r="N71" s="31">
        <f>IFERROR(M71/K71,0)</f>
        <v/>
      </c>
      <c r="O71" s="40">
        <f>'S08'!N71</f>
        <v/>
      </c>
      <c r="P71" s="31">
        <f>N71-O71</f>
        <v/>
      </c>
      <c r="Q71" s="32" t="n"/>
      <c r="R71" s="32" t="n"/>
      <c r="S71" s="32" t="n"/>
      <c r="T71" s="33" t="n"/>
      <c r="U71" s="40">
        <f>'S08'!T71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'S08'!M72+L72</f>
        <v/>
      </c>
      <c r="N72" s="36">
        <f>IFERROR(M72/K72,0)</f>
        <v/>
      </c>
      <c r="O72" s="42">
        <f>'S08'!N72</f>
        <v/>
      </c>
      <c r="P72" s="36">
        <f>N72-O72</f>
        <v/>
      </c>
      <c r="Q72" s="32" t="n"/>
      <c r="R72" s="32" t="n"/>
      <c r="S72" s="32" t="n"/>
      <c r="T72" s="33" t="n"/>
      <c r="U72" s="42">
        <f>'S08'!T72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'S08'!M73+L73</f>
        <v/>
      </c>
      <c r="N73" s="31">
        <f>IFERROR(M73/K73,0)</f>
        <v/>
      </c>
      <c r="O73" s="40">
        <f>'S08'!N73</f>
        <v/>
      </c>
      <c r="P73" s="31">
        <f>N73-O73</f>
        <v/>
      </c>
      <c r="Q73" s="32" t="n"/>
      <c r="R73" s="32" t="n"/>
      <c r="S73" s="32" t="n"/>
      <c r="T73" s="33" t="n"/>
      <c r="U73" s="40">
        <f>'S08'!T73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'S08'!M74+L74</f>
        <v/>
      </c>
      <c r="N74" s="36">
        <f>IFERROR(M74/K74,0)</f>
        <v/>
      </c>
      <c r="O74" s="42">
        <f>'S08'!N74</f>
        <v/>
      </c>
      <c r="P74" s="36">
        <f>N74-O74</f>
        <v/>
      </c>
      <c r="Q74" s="32" t="n"/>
      <c r="R74" s="32" t="n"/>
      <c r="S74" s="32" t="n"/>
      <c r="T74" s="33" t="n"/>
      <c r="U74" s="42">
        <f>'S08'!T74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'S08'!M75+L75</f>
        <v/>
      </c>
      <c r="N75" s="31">
        <f>IFERROR(M75/K75,0)</f>
        <v/>
      </c>
      <c r="O75" s="40">
        <f>'S08'!N75</f>
        <v/>
      </c>
      <c r="P75" s="31">
        <f>N75-O75</f>
        <v/>
      </c>
      <c r="Q75" s="32" t="n"/>
      <c r="R75" s="32" t="n"/>
      <c r="S75" s="32" t="n"/>
      <c r="T75" s="33" t="n"/>
      <c r="U75" s="40">
        <f>'S08'!T75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'S08'!M76+L76</f>
        <v/>
      </c>
      <c r="N76" s="36">
        <f>IFERROR(M76/K76,0)</f>
        <v/>
      </c>
      <c r="O76" s="42">
        <f>'S08'!N76</f>
        <v/>
      </c>
      <c r="P76" s="36">
        <f>N76-O76</f>
        <v/>
      </c>
      <c r="Q76" s="32" t="n"/>
      <c r="R76" s="32" t="n"/>
      <c r="S76" s="32" t="n"/>
      <c r="T76" s="33" t="n"/>
      <c r="U76" s="42">
        <f>'S08'!T76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12.xml><?xml version="1.0" encoding="utf-8"?>
<worksheet xmlns="http://schemas.openxmlformats.org/spreadsheetml/2006/main">
  <sheetPr>
    <tabColor rgb="0070AD47"/>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10 (02/03 - 08/03) — Mars 2026 - Exécution Physique et Financière</t>
        </is>
      </c>
    </row>
    <row r="3" ht="22" customHeight="1">
      <c r="B3" s="20" t="inlineStr">
        <is>
          <t>Date :</t>
        </is>
      </c>
      <c r="C3" s="21" t="n">
        <v>46083</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'S09'!M5+L5</f>
        <v/>
      </c>
      <c r="N5" s="31">
        <f>IFERROR(M5/K5,0)</f>
        <v/>
      </c>
      <c r="O5" s="40">
        <f>'S09'!N5</f>
        <v/>
      </c>
      <c r="P5" s="31">
        <f>N5-O5</f>
        <v/>
      </c>
      <c r="Q5" s="32" t="n"/>
      <c r="R5" s="32" t="n"/>
      <c r="S5" s="32" t="n"/>
      <c r="T5" s="33" t="n"/>
      <c r="U5" s="40">
        <f>'S09'!T5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'S09'!M6+L6</f>
        <v/>
      </c>
      <c r="N6" s="36">
        <f>IFERROR(M6/K6,0)</f>
        <v/>
      </c>
      <c r="O6" s="42">
        <f>'S09'!N6</f>
        <v/>
      </c>
      <c r="P6" s="36">
        <f>N6-O6</f>
        <v/>
      </c>
      <c r="Q6" s="32" t="n"/>
      <c r="R6" s="32" t="n"/>
      <c r="S6" s="32" t="n"/>
      <c r="T6" s="33" t="n"/>
      <c r="U6" s="42">
        <f>'S09'!T6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'S09'!M7+L7</f>
        <v/>
      </c>
      <c r="N7" s="31">
        <f>IFERROR(M7/K7,0)</f>
        <v/>
      </c>
      <c r="O7" s="40">
        <f>'S09'!N7</f>
        <v/>
      </c>
      <c r="P7" s="31">
        <f>N7-O7</f>
        <v/>
      </c>
      <c r="Q7" s="32" t="n"/>
      <c r="R7" s="32" t="n"/>
      <c r="S7" s="32" t="n"/>
      <c r="T7" s="33" t="n"/>
      <c r="U7" s="40">
        <f>'S09'!T7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'S09'!M8+L8</f>
        <v/>
      </c>
      <c r="N8" s="36">
        <f>IFERROR(M8/K8,0)</f>
        <v/>
      </c>
      <c r="O8" s="42">
        <f>'S09'!N8</f>
        <v/>
      </c>
      <c r="P8" s="36">
        <f>N8-O8</f>
        <v/>
      </c>
      <c r="Q8" s="32" t="n"/>
      <c r="R8" s="32" t="n"/>
      <c r="S8" s="32" t="n"/>
      <c r="T8" s="33" t="n"/>
      <c r="U8" s="42">
        <f>'S09'!T8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'S09'!M9+L9</f>
        <v/>
      </c>
      <c r="N9" s="31">
        <f>IFERROR(M9/K9,0)</f>
        <v/>
      </c>
      <c r="O9" s="40">
        <f>'S09'!N9</f>
        <v/>
      </c>
      <c r="P9" s="31">
        <f>N9-O9</f>
        <v/>
      </c>
      <c r="Q9" s="32" t="n"/>
      <c r="R9" s="32" t="n"/>
      <c r="S9" s="32" t="n"/>
      <c r="T9" s="33" t="n"/>
      <c r="U9" s="40">
        <f>'S09'!T9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'S09'!M10+L10</f>
        <v/>
      </c>
      <c r="N10" s="36">
        <f>IFERROR(M10/K10,0)</f>
        <v/>
      </c>
      <c r="O10" s="42">
        <f>'S09'!N10</f>
        <v/>
      </c>
      <c r="P10" s="36">
        <f>N10-O10</f>
        <v/>
      </c>
      <c r="Q10" s="32" t="n"/>
      <c r="R10" s="32" t="n"/>
      <c r="S10" s="32" t="n"/>
      <c r="T10" s="33" t="n"/>
      <c r="U10" s="42">
        <f>'S09'!T10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'S09'!M11+L11</f>
        <v/>
      </c>
      <c r="N11" s="31">
        <f>IFERROR(M11/K11,0)</f>
        <v/>
      </c>
      <c r="O11" s="40">
        <f>'S09'!N11</f>
        <v/>
      </c>
      <c r="P11" s="31">
        <f>N11-O11</f>
        <v/>
      </c>
      <c r="Q11" s="32" t="n"/>
      <c r="R11" s="32" t="n"/>
      <c r="S11" s="32" t="n"/>
      <c r="T11" s="33" t="n"/>
      <c r="U11" s="40">
        <f>'S09'!T11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'S09'!M12+L12</f>
        <v/>
      </c>
      <c r="N12" s="36">
        <f>IFERROR(M12/K12,0)</f>
        <v/>
      </c>
      <c r="O12" s="42">
        <f>'S09'!N12</f>
        <v/>
      </c>
      <c r="P12" s="36">
        <f>N12-O12</f>
        <v/>
      </c>
      <c r="Q12" s="32" t="n"/>
      <c r="R12" s="32" t="n"/>
      <c r="S12" s="32" t="n"/>
      <c r="T12" s="33" t="n"/>
      <c r="U12" s="42">
        <f>'S09'!T12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'S09'!M13+L13</f>
        <v/>
      </c>
      <c r="N13" s="31">
        <f>IFERROR(M13/K13,0)</f>
        <v/>
      </c>
      <c r="O13" s="40">
        <f>'S09'!N13</f>
        <v/>
      </c>
      <c r="P13" s="31">
        <f>N13-O13</f>
        <v/>
      </c>
      <c r="Q13" s="32" t="n"/>
      <c r="R13" s="32" t="n"/>
      <c r="S13" s="32" t="n"/>
      <c r="T13" s="33" t="n"/>
      <c r="U13" s="40">
        <f>'S09'!T13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'S09'!M14+L14</f>
        <v/>
      </c>
      <c r="N14" s="36">
        <f>IFERROR(M14/K14,0)</f>
        <v/>
      </c>
      <c r="O14" s="42">
        <f>'S09'!N14</f>
        <v/>
      </c>
      <c r="P14" s="36">
        <f>N14-O14</f>
        <v/>
      </c>
      <c r="Q14" s="32" t="n"/>
      <c r="R14" s="32" t="n"/>
      <c r="S14" s="32" t="n"/>
      <c r="T14" s="33" t="n"/>
      <c r="U14" s="42">
        <f>'S09'!T14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'S09'!M15+L15</f>
        <v/>
      </c>
      <c r="N15" s="31">
        <f>IFERROR(M15/K15,0)</f>
        <v/>
      </c>
      <c r="O15" s="40">
        <f>'S09'!N15</f>
        <v/>
      </c>
      <c r="P15" s="31">
        <f>N15-O15</f>
        <v/>
      </c>
      <c r="Q15" s="32" t="n"/>
      <c r="R15" s="32" t="n"/>
      <c r="S15" s="32" t="n"/>
      <c r="T15" s="33" t="n"/>
      <c r="U15" s="40">
        <f>'S09'!T15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'S09'!M16+L16</f>
        <v/>
      </c>
      <c r="N16" s="36">
        <f>IFERROR(M16/K16,0)</f>
        <v/>
      </c>
      <c r="O16" s="42">
        <f>'S09'!N16</f>
        <v/>
      </c>
      <c r="P16" s="36">
        <f>N16-O16</f>
        <v/>
      </c>
      <c r="Q16" s="32" t="n"/>
      <c r="R16" s="32" t="n"/>
      <c r="S16" s="32" t="n"/>
      <c r="T16" s="33" t="n"/>
      <c r="U16" s="42">
        <f>'S09'!T16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'S09'!M17+L17</f>
        <v/>
      </c>
      <c r="N17" s="31">
        <f>IFERROR(M17/K17,0)</f>
        <v/>
      </c>
      <c r="O17" s="40">
        <f>'S09'!N17</f>
        <v/>
      </c>
      <c r="P17" s="31">
        <f>N17-O17</f>
        <v/>
      </c>
      <c r="Q17" s="32" t="n"/>
      <c r="R17" s="32" t="n"/>
      <c r="S17" s="32" t="n"/>
      <c r="T17" s="33" t="n"/>
      <c r="U17" s="40">
        <f>'S09'!T17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'S09'!M18+L18</f>
        <v/>
      </c>
      <c r="N18" s="36">
        <f>IFERROR(M18/K18,0)</f>
        <v/>
      </c>
      <c r="O18" s="42">
        <f>'S09'!N18</f>
        <v/>
      </c>
      <c r="P18" s="36">
        <f>N18-O18</f>
        <v/>
      </c>
      <c r="Q18" s="32" t="n"/>
      <c r="R18" s="32" t="n"/>
      <c r="S18" s="32" t="n"/>
      <c r="T18" s="33" t="n"/>
      <c r="U18" s="42">
        <f>'S09'!T18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'S09'!M19+L19</f>
        <v/>
      </c>
      <c r="N19" s="31">
        <f>IFERROR(M19/K19,0)</f>
        <v/>
      </c>
      <c r="O19" s="40">
        <f>'S09'!N19</f>
        <v/>
      </c>
      <c r="P19" s="31">
        <f>N19-O19</f>
        <v/>
      </c>
      <c r="Q19" s="32" t="n"/>
      <c r="R19" s="32" t="n"/>
      <c r="S19" s="32" t="n"/>
      <c r="T19" s="33" t="n"/>
      <c r="U19" s="40">
        <f>'S09'!T19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'S09'!M20+L20</f>
        <v/>
      </c>
      <c r="N20" s="36">
        <f>IFERROR(M20/K20,0)</f>
        <v/>
      </c>
      <c r="O20" s="42">
        <f>'S09'!N20</f>
        <v/>
      </c>
      <c r="P20" s="36">
        <f>N20-O20</f>
        <v/>
      </c>
      <c r="Q20" s="32" t="n"/>
      <c r="R20" s="32" t="n"/>
      <c r="S20" s="32" t="n"/>
      <c r="T20" s="33" t="n"/>
      <c r="U20" s="42">
        <f>'S09'!T20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'S09'!M21+L21</f>
        <v/>
      </c>
      <c r="N21" s="31">
        <f>IFERROR(M21/K21,0)</f>
        <v/>
      </c>
      <c r="O21" s="40">
        <f>'S09'!N21</f>
        <v/>
      </c>
      <c r="P21" s="31">
        <f>N21-O21</f>
        <v/>
      </c>
      <c r="Q21" s="32" t="n"/>
      <c r="R21" s="32" t="n"/>
      <c r="S21" s="32" t="n"/>
      <c r="T21" s="33" t="n"/>
      <c r="U21" s="40">
        <f>'S09'!T21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'S09'!M22+L22</f>
        <v/>
      </c>
      <c r="N22" s="36">
        <f>IFERROR(M22/K22,0)</f>
        <v/>
      </c>
      <c r="O22" s="42">
        <f>'S09'!N22</f>
        <v/>
      </c>
      <c r="P22" s="36">
        <f>N22-O22</f>
        <v/>
      </c>
      <c r="Q22" s="32" t="n"/>
      <c r="R22" s="32" t="n"/>
      <c r="S22" s="32" t="n"/>
      <c r="T22" s="33" t="n"/>
      <c r="U22" s="42">
        <f>'S09'!T22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'S09'!M23+L23</f>
        <v/>
      </c>
      <c r="N23" s="31">
        <f>IFERROR(M23/K23,0)</f>
        <v/>
      </c>
      <c r="O23" s="40">
        <f>'S09'!N23</f>
        <v/>
      </c>
      <c r="P23" s="31">
        <f>N23-O23</f>
        <v/>
      </c>
      <c r="Q23" s="32" t="n"/>
      <c r="R23" s="32" t="n"/>
      <c r="S23" s="32" t="n"/>
      <c r="T23" s="33" t="n"/>
      <c r="U23" s="40">
        <f>'S09'!T23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'S09'!M24+L24</f>
        <v/>
      </c>
      <c r="N24" s="36">
        <f>IFERROR(M24/K24,0)</f>
        <v/>
      </c>
      <c r="O24" s="42">
        <f>'S09'!N24</f>
        <v/>
      </c>
      <c r="P24" s="36">
        <f>N24-O24</f>
        <v/>
      </c>
      <c r="Q24" s="32" t="n"/>
      <c r="R24" s="32" t="n"/>
      <c r="S24" s="32" t="n"/>
      <c r="T24" s="33" t="n"/>
      <c r="U24" s="42">
        <f>'S09'!T24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'S09'!M25+L25</f>
        <v/>
      </c>
      <c r="N25" s="31">
        <f>IFERROR(M25/K25,0)</f>
        <v/>
      </c>
      <c r="O25" s="40">
        <f>'S09'!N25</f>
        <v/>
      </c>
      <c r="P25" s="31">
        <f>N25-O25</f>
        <v/>
      </c>
      <c r="Q25" s="32" t="n"/>
      <c r="R25" s="32" t="n"/>
      <c r="S25" s="32" t="n"/>
      <c r="T25" s="33" t="n"/>
      <c r="U25" s="40">
        <f>'S09'!T25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'S09'!M26+L26</f>
        <v/>
      </c>
      <c r="N26" s="36">
        <f>IFERROR(M26/K26,0)</f>
        <v/>
      </c>
      <c r="O26" s="42">
        <f>'S09'!N26</f>
        <v/>
      </c>
      <c r="P26" s="36">
        <f>N26-O26</f>
        <v/>
      </c>
      <c r="Q26" s="32" t="n"/>
      <c r="R26" s="32" t="n"/>
      <c r="S26" s="32" t="n"/>
      <c r="T26" s="33" t="n"/>
      <c r="U26" s="42">
        <f>'S09'!T26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'S09'!M27+L27</f>
        <v/>
      </c>
      <c r="N27" s="31">
        <f>IFERROR(M27/K27,0)</f>
        <v/>
      </c>
      <c r="O27" s="40">
        <f>'S09'!N27</f>
        <v/>
      </c>
      <c r="P27" s="31">
        <f>N27-O27</f>
        <v/>
      </c>
      <c r="Q27" s="32" t="n"/>
      <c r="R27" s="32" t="n"/>
      <c r="S27" s="32" t="n"/>
      <c r="T27" s="33" t="n"/>
      <c r="U27" s="40">
        <f>'S09'!T27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'S09'!M28+L28</f>
        <v/>
      </c>
      <c r="N28" s="36">
        <f>IFERROR(M28/K28,0)</f>
        <v/>
      </c>
      <c r="O28" s="42">
        <f>'S09'!N28</f>
        <v/>
      </c>
      <c r="P28" s="36">
        <f>N28-O28</f>
        <v/>
      </c>
      <c r="Q28" s="32" t="n"/>
      <c r="R28" s="32" t="n"/>
      <c r="S28" s="32" t="n"/>
      <c r="T28" s="33" t="n"/>
      <c r="U28" s="42">
        <f>'S09'!T28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'S09'!M29+L29</f>
        <v/>
      </c>
      <c r="N29" s="31">
        <f>IFERROR(M29/K29,0)</f>
        <v/>
      </c>
      <c r="O29" s="40">
        <f>'S09'!N29</f>
        <v/>
      </c>
      <c r="P29" s="31">
        <f>N29-O29</f>
        <v/>
      </c>
      <c r="Q29" s="32" t="n"/>
      <c r="R29" s="32" t="n"/>
      <c r="S29" s="32" t="n"/>
      <c r="T29" s="33" t="n"/>
      <c r="U29" s="40">
        <f>'S09'!T29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'S09'!M30+L30</f>
        <v/>
      </c>
      <c r="N30" s="36">
        <f>IFERROR(M30/K30,0)</f>
        <v/>
      </c>
      <c r="O30" s="42">
        <f>'S09'!N30</f>
        <v/>
      </c>
      <c r="P30" s="36">
        <f>N30-O30</f>
        <v/>
      </c>
      <c r="Q30" s="32" t="n"/>
      <c r="R30" s="32" t="n"/>
      <c r="S30" s="32" t="n"/>
      <c r="T30" s="33" t="n"/>
      <c r="U30" s="42">
        <f>'S09'!T30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'S09'!M31+L31</f>
        <v/>
      </c>
      <c r="N31" s="31">
        <f>IFERROR(M31/K31,0)</f>
        <v/>
      </c>
      <c r="O31" s="40">
        <f>'S09'!N31</f>
        <v/>
      </c>
      <c r="P31" s="31">
        <f>N31-O31</f>
        <v/>
      </c>
      <c r="Q31" s="32" t="n"/>
      <c r="R31" s="32" t="n"/>
      <c r="S31" s="32" t="n"/>
      <c r="T31" s="33" t="n"/>
      <c r="U31" s="40">
        <f>'S09'!T31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'S09'!M32+L32</f>
        <v/>
      </c>
      <c r="N32" s="36">
        <f>IFERROR(M32/K32,0)</f>
        <v/>
      </c>
      <c r="O32" s="42">
        <f>'S09'!N32</f>
        <v/>
      </c>
      <c r="P32" s="36">
        <f>N32-O32</f>
        <v/>
      </c>
      <c r="Q32" s="32" t="n"/>
      <c r="R32" s="32" t="n"/>
      <c r="S32" s="32" t="n"/>
      <c r="T32" s="33" t="n"/>
      <c r="U32" s="42">
        <f>'S09'!T32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'S09'!M33+L33</f>
        <v/>
      </c>
      <c r="N33" s="31">
        <f>IFERROR(M33/K33,0)</f>
        <v/>
      </c>
      <c r="O33" s="40">
        <f>'S09'!N33</f>
        <v/>
      </c>
      <c r="P33" s="31">
        <f>N33-O33</f>
        <v/>
      </c>
      <c r="Q33" s="32" t="n"/>
      <c r="R33" s="32" t="n"/>
      <c r="S33" s="32" t="n"/>
      <c r="T33" s="33" t="n"/>
      <c r="U33" s="40">
        <f>'S09'!T33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'S09'!M34+L34</f>
        <v/>
      </c>
      <c r="N34" s="36">
        <f>IFERROR(M34/K34,0)</f>
        <v/>
      </c>
      <c r="O34" s="42">
        <f>'S09'!N34</f>
        <v/>
      </c>
      <c r="P34" s="36">
        <f>N34-O34</f>
        <v/>
      </c>
      <c r="Q34" s="32" t="n"/>
      <c r="R34" s="32" t="n"/>
      <c r="S34" s="32" t="n"/>
      <c r="T34" s="33" t="n"/>
      <c r="U34" s="42">
        <f>'S09'!T34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'S09'!M35+L35</f>
        <v/>
      </c>
      <c r="N35" s="31">
        <f>IFERROR(M35/K35,0)</f>
        <v/>
      </c>
      <c r="O35" s="40">
        <f>'S09'!N35</f>
        <v/>
      </c>
      <c r="P35" s="31">
        <f>N35-O35</f>
        <v/>
      </c>
      <c r="Q35" s="32" t="n"/>
      <c r="R35" s="32" t="n"/>
      <c r="S35" s="32" t="n"/>
      <c r="T35" s="33" t="n"/>
      <c r="U35" s="40">
        <f>'S09'!T35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'S09'!M36+L36</f>
        <v/>
      </c>
      <c r="N36" s="36">
        <f>IFERROR(M36/K36,0)</f>
        <v/>
      </c>
      <c r="O36" s="42">
        <f>'S09'!N36</f>
        <v/>
      </c>
      <c r="P36" s="36">
        <f>N36-O36</f>
        <v/>
      </c>
      <c r="Q36" s="32" t="n"/>
      <c r="R36" s="32" t="n"/>
      <c r="S36" s="32" t="n"/>
      <c r="T36" s="33" t="n"/>
      <c r="U36" s="42">
        <f>'S09'!T36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'S09'!M37+L37</f>
        <v/>
      </c>
      <c r="N37" s="31">
        <f>IFERROR(M37/K37,0)</f>
        <v/>
      </c>
      <c r="O37" s="40">
        <f>'S09'!N37</f>
        <v/>
      </c>
      <c r="P37" s="31">
        <f>N37-O37</f>
        <v/>
      </c>
      <c r="Q37" s="32" t="n"/>
      <c r="R37" s="32" t="n"/>
      <c r="S37" s="32" t="n"/>
      <c r="T37" s="33" t="n"/>
      <c r="U37" s="40">
        <f>'S09'!T37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'S09'!M38+L38</f>
        <v/>
      </c>
      <c r="N38" s="36">
        <f>IFERROR(M38/K38,0)</f>
        <v/>
      </c>
      <c r="O38" s="42">
        <f>'S09'!N38</f>
        <v/>
      </c>
      <c r="P38" s="36">
        <f>N38-O38</f>
        <v/>
      </c>
      <c r="Q38" s="32" t="n"/>
      <c r="R38" s="32" t="n"/>
      <c r="S38" s="32" t="n"/>
      <c r="T38" s="33" t="n"/>
      <c r="U38" s="42">
        <f>'S09'!T38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'S09'!M39+L39</f>
        <v/>
      </c>
      <c r="N39" s="31">
        <f>IFERROR(M39/K39,0)</f>
        <v/>
      </c>
      <c r="O39" s="40">
        <f>'S09'!N39</f>
        <v/>
      </c>
      <c r="P39" s="31">
        <f>N39-O39</f>
        <v/>
      </c>
      <c r="Q39" s="32" t="n"/>
      <c r="R39" s="32" t="n"/>
      <c r="S39" s="32" t="n"/>
      <c r="T39" s="33" t="n"/>
      <c r="U39" s="40">
        <f>'S09'!T39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'S09'!M40+L40</f>
        <v/>
      </c>
      <c r="N40" s="36">
        <f>IFERROR(M40/K40,0)</f>
        <v/>
      </c>
      <c r="O40" s="42">
        <f>'S09'!N40</f>
        <v/>
      </c>
      <c r="P40" s="36">
        <f>N40-O40</f>
        <v/>
      </c>
      <c r="Q40" s="32" t="n"/>
      <c r="R40" s="32" t="n"/>
      <c r="S40" s="32" t="n"/>
      <c r="T40" s="33" t="n"/>
      <c r="U40" s="42">
        <f>'S09'!T40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'S09'!M41+L41</f>
        <v/>
      </c>
      <c r="N41" s="31">
        <f>IFERROR(M41/K41,0)</f>
        <v/>
      </c>
      <c r="O41" s="40">
        <f>'S09'!N41</f>
        <v/>
      </c>
      <c r="P41" s="31">
        <f>N41-O41</f>
        <v/>
      </c>
      <c r="Q41" s="32" t="n"/>
      <c r="R41" s="32" t="n"/>
      <c r="S41" s="32" t="n"/>
      <c r="T41" s="33" t="n"/>
      <c r="U41" s="40">
        <f>'S09'!T41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'S09'!M42+L42</f>
        <v/>
      </c>
      <c r="N42" s="36">
        <f>IFERROR(M42/K42,0)</f>
        <v/>
      </c>
      <c r="O42" s="42">
        <f>'S09'!N42</f>
        <v/>
      </c>
      <c r="P42" s="36">
        <f>N42-O42</f>
        <v/>
      </c>
      <c r="Q42" s="32" t="n"/>
      <c r="R42" s="32" t="n"/>
      <c r="S42" s="32" t="n"/>
      <c r="T42" s="33" t="n"/>
      <c r="U42" s="42">
        <f>'S09'!T42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'S09'!M43+L43</f>
        <v/>
      </c>
      <c r="N43" s="31">
        <f>IFERROR(M43/K43,0)</f>
        <v/>
      </c>
      <c r="O43" s="40">
        <f>'S09'!N43</f>
        <v/>
      </c>
      <c r="P43" s="31">
        <f>N43-O43</f>
        <v/>
      </c>
      <c r="Q43" s="32" t="n"/>
      <c r="R43" s="32" t="n"/>
      <c r="S43" s="32" t="n"/>
      <c r="T43" s="33" t="n"/>
      <c r="U43" s="40">
        <f>'S09'!T43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'S09'!M44+L44</f>
        <v/>
      </c>
      <c r="N44" s="36">
        <f>IFERROR(M44/K44,0)</f>
        <v/>
      </c>
      <c r="O44" s="42">
        <f>'S09'!N44</f>
        <v/>
      </c>
      <c r="P44" s="36">
        <f>N44-O44</f>
        <v/>
      </c>
      <c r="Q44" s="32" t="n"/>
      <c r="R44" s="32" t="n"/>
      <c r="S44" s="32" t="n"/>
      <c r="T44" s="33" t="n"/>
      <c r="U44" s="42">
        <f>'S09'!T44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'S09'!M45+L45</f>
        <v/>
      </c>
      <c r="N45" s="31">
        <f>IFERROR(M45/K45,0)</f>
        <v/>
      </c>
      <c r="O45" s="40">
        <f>'S09'!N45</f>
        <v/>
      </c>
      <c r="P45" s="31">
        <f>N45-O45</f>
        <v/>
      </c>
      <c r="Q45" s="32" t="n"/>
      <c r="R45" s="32" t="n"/>
      <c r="S45" s="32" t="n"/>
      <c r="T45" s="33" t="n"/>
      <c r="U45" s="40">
        <f>'S09'!T45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'S09'!M46+L46</f>
        <v/>
      </c>
      <c r="N46" s="36">
        <f>IFERROR(M46/K46,0)</f>
        <v/>
      </c>
      <c r="O46" s="42">
        <f>'S09'!N46</f>
        <v/>
      </c>
      <c r="P46" s="36">
        <f>N46-O46</f>
        <v/>
      </c>
      <c r="Q46" s="32" t="n"/>
      <c r="R46" s="32" t="n"/>
      <c r="S46" s="32" t="n"/>
      <c r="T46" s="33" t="n"/>
      <c r="U46" s="42">
        <f>'S09'!T46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'S09'!M47+L47</f>
        <v/>
      </c>
      <c r="N47" s="31">
        <f>IFERROR(M47/K47,0)</f>
        <v/>
      </c>
      <c r="O47" s="40">
        <f>'S09'!N47</f>
        <v/>
      </c>
      <c r="P47" s="31">
        <f>N47-O47</f>
        <v/>
      </c>
      <c r="Q47" s="32" t="n"/>
      <c r="R47" s="32" t="n"/>
      <c r="S47" s="32" t="n"/>
      <c r="T47" s="33" t="n"/>
      <c r="U47" s="40">
        <f>'S09'!T47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'S09'!M48+L48</f>
        <v/>
      </c>
      <c r="N48" s="36">
        <f>IFERROR(M48/K48,0)</f>
        <v/>
      </c>
      <c r="O48" s="42">
        <f>'S09'!N48</f>
        <v/>
      </c>
      <c r="P48" s="36">
        <f>N48-O48</f>
        <v/>
      </c>
      <c r="Q48" s="32" t="n"/>
      <c r="R48" s="32" t="n"/>
      <c r="S48" s="32" t="n"/>
      <c r="T48" s="33" t="n"/>
      <c r="U48" s="42">
        <f>'S09'!T48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'S09'!M49+L49</f>
        <v/>
      </c>
      <c r="N49" s="31">
        <f>IFERROR(M49/K49,0)</f>
        <v/>
      </c>
      <c r="O49" s="40">
        <f>'S09'!N49</f>
        <v/>
      </c>
      <c r="P49" s="31">
        <f>N49-O49</f>
        <v/>
      </c>
      <c r="Q49" s="32" t="n"/>
      <c r="R49" s="32" t="n"/>
      <c r="S49" s="32" t="n"/>
      <c r="T49" s="33" t="n"/>
      <c r="U49" s="40">
        <f>'S09'!T49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'S09'!M50+L50</f>
        <v/>
      </c>
      <c r="N50" s="36">
        <f>IFERROR(M50/K50,0)</f>
        <v/>
      </c>
      <c r="O50" s="42">
        <f>'S09'!N50</f>
        <v/>
      </c>
      <c r="P50" s="36">
        <f>N50-O50</f>
        <v/>
      </c>
      <c r="Q50" s="32" t="n"/>
      <c r="R50" s="32" t="n"/>
      <c r="S50" s="32" t="n"/>
      <c r="T50" s="33" t="n"/>
      <c r="U50" s="42">
        <f>'S09'!T50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'S09'!M51+L51</f>
        <v/>
      </c>
      <c r="N51" s="31">
        <f>IFERROR(M51/K51,0)</f>
        <v/>
      </c>
      <c r="O51" s="40">
        <f>'S09'!N51</f>
        <v/>
      </c>
      <c r="P51" s="31">
        <f>N51-O51</f>
        <v/>
      </c>
      <c r="Q51" s="32" t="n"/>
      <c r="R51" s="32" t="n"/>
      <c r="S51" s="32" t="n"/>
      <c r="T51" s="33" t="n"/>
      <c r="U51" s="40">
        <f>'S09'!T51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'S09'!M52+L52</f>
        <v/>
      </c>
      <c r="N52" s="36">
        <f>IFERROR(M52/K52,0)</f>
        <v/>
      </c>
      <c r="O52" s="42">
        <f>'S09'!N52</f>
        <v/>
      </c>
      <c r="P52" s="36">
        <f>N52-O52</f>
        <v/>
      </c>
      <c r="Q52" s="32" t="n"/>
      <c r="R52" s="32" t="n"/>
      <c r="S52" s="32" t="n"/>
      <c r="T52" s="33" t="n"/>
      <c r="U52" s="42">
        <f>'S09'!T52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'S09'!M53+L53</f>
        <v/>
      </c>
      <c r="N53" s="31">
        <f>IFERROR(M53/K53,0)</f>
        <v/>
      </c>
      <c r="O53" s="40">
        <f>'S09'!N53</f>
        <v/>
      </c>
      <c r="P53" s="31">
        <f>N53-O53</f>
        <v/>
      </c>
      <c r="Q53" s="32" t="n"/>
      <c r="R53" s="32" t="n"/>
      <c r="S53" s="32" t="n"/>
      <c r="T53" s="33" t="n"/>
      <c r="U53" s="40">
        <f>'S09'!T53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'S09'!M54+L54</f>
        <v/>
      </c>
      <c r="N54" s="36">
        <f>IFERROR(M54/K54,0)</f>
        <v/>
      </c>
      <c r="O54" s="42">
        <f>'S09'!N54</f>
        <v/>
      </c>
      <c r="P54" s="36">
        <f>N54-O54</f>
        <v/>
      </c>
      <c r="Q54" s="32" t="n"/>
      <c r="R54" s="32" t="n"/>
      <c r="S54" s="32" t="n"/>
      <c r="T54" s="33" t="n"/>
      <c r="U54" s="42">
        <f>'S09'!T54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'S09'!M55+L55</f>
        <v/>
      </c>
      <c r="N55" s="31">
        <f>IFERROR(M55/K55,0)</f>
        <v/>
      </c>
      <c r="O55" s="40">
        <f>'S09'!N55</f>
        <v/>
      </c>
      <c r="P55" s="31">
        <f>N55-O55</f>
        <v/>
      </c>
      <c r="Q55" s="32" t="n"/>
      <c r="R55" s="32" t="n"/>
      <c r="S55" s="32" t="n"/>
      <c r="T55" s="33" t="n"/>
      <c r="U55" s="40">
        <f>'S09'!T55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'S09'!M56+L56</f>
        <v/>
      </c>
      <c r="N56" s="36">
        <f>IFERROR(M56/K56,0)</f>
        <v/>
      </c>
      <c r="O56" s="42">
        <f>'S09'!N56</f>
        <v/>
      </c>
      <c r="P56" s="36">
        <f>N56-O56</f>
        <v/>
      </c>
      <c r="Q56" s="32" t="n"/>
      <c r="R56" s="32" t="n"/>
      <c r="S56" s="32" t="n"/>
      <c r="T56" s="33" t="n"/>
      <c r="U56" s="42">
        <f>'S09'!T56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'S09'!M57+L57</f>
        <v/>
      </c>
      <c r="N57" s="31">
        <f>IFERROR(M57/K57,0)</f>
        <v/>
      </c>
      <c r="O57" s="40">
        <f>'S09'!N57</f>
        <v/>
      </c>
      <c r="P57" s="31">
        <f>N57-O57</f>
        <v/>
      </c>
      <c r="Q57" s="32" t="n"/>
      <c r="R57" s="32" t="n"/>
      <c r="S57" s="32" t="n"/>
      <c r="T57" s="33" t="n"/>
      <c r="U57" s="40">
        <f>'S09'!T57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'S09'!M58+L58</f>
        <v/>
      </c>
      <c r="N58" s="36">
        <f>IFERROR(M58/K58,0)</f>
        <v/>
      </c>
      <c r="O58" s="42">
        <f>'S09'!N58</f>
        <v/>
      </c>
      <c r="P58" s="36">
        <f>N58-O58</f>
        <v/>
      </c>
      <c r="Q58" s="32" t="n"/>
      <c r="R58" s="32" t="n"/>
      <c r="S58" s="32" t="n"/>
      <c r="T58" s="33" t="n"/>
      <c r="U58" s="42">
        <f>'S09'!T58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'S09'!M59+L59</f>
        <v/>
      </c>
      <c r="N59" s="31">
        <f>IFERROR(M59/K59,0)</f>
        <v/>
      </c>
      <c r="O59" s="40">
        <f>'S09'!N59</f>
        <v/>
      </c>
      <c r="P59" s="31">
        <f>N59-O59</f>
        <v/>
      </c>
      <c r="Q59" s="32" t="n"/>
      <c r="R59" s="32" t="n"/>
      <c r="S59" s="32" t="n"/>
      <c r="T59" s="33" t="n"/>
      <c r="U59" s="40">
        <f>'S09'!T59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'S09'!M60+L60</f>
        <v/>
      </c>
      <c r="N60" s="36">
        <f>IFERROR(M60/K60,0)</f>
        <v/>
      </c>
      <c r="O60" s="42">
        <f>'S09'!N60</f>
        <v/>
      </c>
      <c r="P60" s="36">
        <f>N60-O60</f>
        <v/>
      </c>
      <c r="Q60" s="32" t="n"/>
      <c r="R60" s="32" t="n"/>
      <c r="S60" s="32" t="n"/>
      <c r="T60" s="33" t="n"/>
      <c r="U60" s="42">
        <f>'S09'!T60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'S09'!M61+L61</f>
        <v/>
      </c>
      <c r="N61" s="31">
        <f>IFERROR(M61/K61,0)</f>
        <v/>
      </c>
      <c r="O61" s="40">
        <f>'S09'!N61</f>
        <v/>
      </c>
      <c r="P61" s="31">
        <f>N61-O61</f>
        <v/>
      </c>
      <c r="Q61" s="32" t="n"/>
      <c r="R61" s="32" t="n"/>
      <c r="S61" s="32" t="n"/>
      <c r="T61" s="33" t="n"/>
      <c r="U61" s="40">
        <f>'S09'!T61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'S09'!M62+L62</f>
        <v/>
      </c>
      <c r="N62" s="36">
        <f>IFERROR(M62/K62,0)</f>
        <v/>
      </c>
      <c r="O62" s="42">
        <f>'S09'!N62</f>
        <v/>
      </c>
      <c r="P62" s="36">
        <f>N62-O62</f>
        <v/>
      </c>
      <c r="Q62" s="32" t="n"/>
      <c r="R62" s="32" t="n"/>
      <c r="S62" s="32" t="n"/>
      <c r="T62" s="33" t="n"/>
      <c r="U62" s="42">
        <f>'S09'!T62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'S09'!M63+L63</f>
        <v/>
      </c>
      <c r="N63" s="31">
        <f>IFERROR(M63/K63,0)</f>
        <v/>
      </c>
      <c r="O63" s="40">
        <f>'S09'!N63</f>
        <v/>
      </c>
      <c r="P63" s="31">
        <f>N63-O63</f>
        <v/>
      </c>
      <c r="Q63" s="32" t="n"/>
      <c r="R63" s="32" t="n"/>
      <c r="S63" s="32" t="n"/>
      <c r="T63" s="33" t="n"/>
      <c r="U63" s="40">
        <f>'S09'!T63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'S09'!M64+L64</f>
        <v/>
      </c>
      <c r="N64" s="36">
        <f>IFERROR(M64/K64,0)</f>
        <v/>
      </c>
      <c r="O64" s="42">
        <f>'S09'!N64</f>
        <v/>
      </c>
      <c r="P64" s="36">
        <f>N64-O64</f>
        <v/>
      </c>
      <c r="Q64" s="32" t="n"/>
      <c r="R64" s="32" t="n"/>
      <c r="S64" s="32" t="n"/>
      <c r="T64" s="33" t="n"/>
      <c r="U64" s="42">
        <f>'S09'!T64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'S09'!M65+L65</f>
        <v/>
      </c>
      <c r="N65" s="31">
        <f>IFERROR(M65/K65,0)</f>
        <v/>
      </c>
      <c r="O65" s="40">
        <f>'S09'!N65</f>
        <v/>
      </c>
      <c r="P65" s="31">
        <f>N65-O65</f>
        <v/>
      </c>
      <c r="Q65" s="32" t="n"/>
      <c r="R65" s="32" t="n"/>
      <c r="S65" s="32" t="n"/>
      <c r="T65" s="33" t="n"/>
      <c r="U65" s="40">
        <f>'S09'!T65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'S09'!M66+L66</f>
        <v/>
      </c>
      <c r="N66" s="36">
        <f>IFERROR(M66/K66,0)</f>
        <v/>
      </c>
      <c r="O66" s="42">
        <f>'S09'!N66</f>
        <v/>
      </c>
      <c r="P66" s="36">
        <f>N66-O66</f>
        <v/>
      </c>
      <c r="Q66" s="32" t="n"/>
      <c r="R66" s="32" t="n"/>
      <c r="S66" s="32" t="n"/>
      <c r="T66" s="33" t="n"/>
      <c r="U66" s="42">
        <f>'S09'!T66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'S09'!M67+L67</f>
        <v/>
      </c>
      <c r="N67" s="31">
        <f>IFERROR(M67/K67,0)</f>
        <v/>
      </c>
      <c r="O67" s="40">
        <f>'S09'!N67</f>
        <v/>
      </c>
      <c r="P67" s="31">
        <f>N67-O67</f>
        <v/>
      </c>
      <c r="Q67" s="32" t="n"/>
      <c r="R67" s="32" t="n"/>
      <c r="S67" s="32" t="n"/>
      <c r="T67" s="33" t="n"/>
      <c r="U67" s="40">
        <f>'S09'!T67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'S09'!M68+L68</f>
        <v/>
      </c>
      <c r="N68" s="36">
        <f>IFERROR(M68/K68,0)</f>
        <v/>
      </c>
      <c r="O68" s="42">
        <f>'S09'!N68</f>
        <v/>
      </c>
      <c r="P68" s="36">
        <f>N68-O68</f>
        <v/>
      </c>
      <c r="Q68" s="32" t="n"/>
      <c r="R68" s="32" t="n"/>
      <c r="S68" s="32" t="n"/>
      <c r="T68" s="33" t="n"/>
      <c r="U68" s="42">
        <f>'S09'!T68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'S09'!M69+L69</f>
        <v/>
      </c>
      <c r="N69" s="31">
        <f>IFERROR(M69/K69,0)</f>
        <v/>
      </c>
      <c r="O69" s="40">
        <f>'S09'!N69</f>
        <v/>
      </c>
      <c r="P69" s="31">
        <f>N69-O69</f>
        <v/>
      </c>
      <c r="Q69" s="32" t="n"/>
      <c r="R69" s="32" t="n"/>
      <c r="S69" s="32" t="n"/>
      <c r="T69" s="33" t="n"/>
      <c r="U69" s="40">
        <f>'S09'!T69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'S09'!M70+L70</f>
        <v/>
      </c>
      <c r="N70" s="36">
        <f>IFERROR(M70/K70,0)</f>
        <v/>
      </c>
      <c r="O70" s="42">
        <f>'S09'!N70</f>
        <v/>
      </c>
      <c r="P70" s="36">
        <f>N70-O70</f>
        <v/>
      </c>
      <c r="Q70" s="32" t="n"/>
      <c r="R70" s="32" t="n"/>
      <c r="S70" s="32" t="n"/>
      <c r="T70" s="33" t="n"/>
      <c r="U70" s="42">
        <f>'S09'!T70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'S09'!M71+L71</f>
        <v/>
      </c>
      <c r="N71" s="31">
        <f>IFERROR(M71/K71,0)</f>
        <v/>
      </c>
      <c r="O71" s="40">
        <f>'S09'!N71</f>
        <v/>
      </c>
      <c r="P71" s="31">
        <f>N71-O71</f>
        <v/>
      </c>
      <c r="Q71" s="32" t="n"/>
      <c r="R71" s="32" t="n"/>
      <c r="S71" s="32" t="n"/>
      <c r="T71" s="33" t="n"/>
      <c r="U71" s="40">
        <f>'S09'!T71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'S09'!M72+L72</f>
        <v/>
      </c>
      <c r="N72" s="36">
        <f>IFERROR(M72/K72,0)</f>
        <v/>
      </c>
      <c r="O72" s="42">
        <f>'S09'!N72</f>
        <v/>
      </c>
      <c r="P72" s="36">
        <f>N72-O72</f>
        <v/>
      </c>
      <c r="Q72" s="32" t="n"/>
      <c r="R72" s="32" t="n"/>
      <c r="S72" s="32" t="n"/>
      <c r="T72" s="33" t="n"/>
      <c r="U72" s="42">
        <f>'S09'!T72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'S09'!M73+L73</f>
        <v/>
      </c>
      <c r="N73" s="31">
        <f>IFERROR(M73/K73,0)</f>
        <v/>
      </c>
      <c r="O73" s="40">
        <f>'S09'!N73</f>
        <v/>
      </c>
      <c r="P73" s="31">
        <f>N73-O73</f>
        <v/>
      </c>
      <c r="Q73" s="32" t="n"/>
      <c r="R73" s="32" t="n"/>
      <c r="S73" s="32" t="n"/>
      <c r="T73" s="33" t="n"/>
      <c r="U73" s="40">
        <f>'S09'!T73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'S09'!M74+L74</f>
        <v/>
      </c>
      <c r="N74" s="36">
        <f>IFERROR(M74/K74,0)</f>
        <v/>
      </c>
      <c r="O74" s="42">
        <f>'S09'!N74</f>
        <v/>
      </c>
      <c r="P74" s="36">
        <f>N74-O74</f>
        <v/>
      </c>
      <c r="Q74" s="32" t="n"/>
      <c r="R74" s="32" t="n"/>
      <c r="S74" s="32" t="n"/>
      <c r="T74" s="33" t="n"/>
      <c r="U74" s="42">
        <f>'S09'!T74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'S09'!M75+L75</f>
        <v/>
      </c>
      <c r="N75" s="31">
        <f>IFERROR(M75/K75,0)</f>
        <v/>
      </c>
      <c r="O75" s="40">
        <f>'S09'!N75</f>
        <v/>
      </c>
      <c r="P75" s="31">
        <f>N75-O75</f>
        <v/>
      </c>
      <c r="Q75" s="32" t="n"/>
      <c r="R75" s="32" t="n"/>
      <c r="S75" s="32" t="n"/>
      <c r="T75" s="33" t="n"/>
      <c r="U75" s="40">
        <f>'S09'!T75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'S09'!M76+L76</f>
        <v/>
      </c>
      <c r="N76" s="36">
        <f>IFERROR(M76/K76,0)</f>
        <v/>
      </c>
      <c r="O76" s="42">
        <f>'S09'!N76</f>
        <v/>
      </c>
      <c r="P76" s="36">
        <f>N76-O76</f>
        <v/>
      </c>
      <c r="Q76" s="32" t="n"/>
      <c r="R76" s="32" t="n"/>
      <c r="S76" s="32" t="n"/>
      <c r="T76" s="33" t="n"/>
      <c r="U76" s="42">
        <f>'S09'!T76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13.xml><?xml version="1.0" encoding="utf-8"?>
<worksheet xmlns="http://schemas.openxmlformats.org/spreadsheetml/2006/main">
  <sheetPr>
    <tabColor rgb="0070AD47"/>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11 (09/03 - 15/03) — Mars 2026 - Exécution Physique et Financière</t>
        </is>
      </c>
    </row>
    <row r="3" ht="22" customHeight="1">
      <c r="B3" s="20" t="inlineStr">
        <is>
          <t>Date :</t>
        </is>
      </c>
      <c r="C3" s="21" t="n">
        <v>46090</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'S10'!M5+L5</f>
        <v/>
      </c>
      <c r="N5" s="31">
        <f>IFERROR(M5/K5,0)</f>
        <v/>
      </c>
      <c r="O5" s="40">
        <f>'S10'!N5</f>
        <v/>
      </c>
      <c r="P5" s="31">
        <f>N5-O5</f>
        <v/>
      </c>
      <c r="Q5" s="32" t="n"/>
      <c r="R5" s="32" t="n"/>
      <c r="S5" s="32" t="n"/>
      <c r="T5" s="33" t="n"/>
      <c r="U5" s="40">
        <f>'S10'!T5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'S10'!M6+L6</f>
        <v/>
      </c>
      <c r="N6" s="36">
        <f>IFERROR(M6/K6,0)</f>
        <v/>
      </c>
      <c r="O6" s="42">
        <f>'S10'!N6</f>
        <v/>
      </c>
      <c r="P6" s="36">
        <f>N6-O6</f>
        <v/>
      </c>
      <c r="Q6" s="32" t="n"/>
      <c r="R6" s="32" t="n"/>
      <c r="S6" s="32" t="n"/>
      <c r="T6" s="33" t="n"/>
      <c r="U6" s="42">
        <f>'S10'!T6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'S10'!M7+L7</f>
        <v/>
      </c>
      <c r="N7" s="31">
        <f>IFERROR(M7/K7,0)</f>
        <v/>
      </c>
      <c r="O7" s="40">
        <f>'S10'!N7</f>
        <v/>
      </c>
      <c r="P7" s="31">
        <f>N7-O7</f>
        <v/>
      </c>
      <c r="Q7" s="32" t="n"/>
      <c r="R7" s="32" t="n"/>
      <c r="S7" s="32" t="n"/>
      <c r="T7" s="33" t="n"/>
      <c r="U7" s="40">
        <f>'S10'!T7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'S10'!M8+L8</f>
        <v/>
      </c>
      <c r="N8" s="36">
        <f>IFERROR(M8/K8,0)</f>
        <v/>
      </c>
      <c r="O8" s="42">
        <f>'S10'!N8</f>
        <v/>
      </c>
      <c r="P8" s="36">
        <f>N8-O8</f>
        <v/>
      </c>
      <c r="Q8" s="32" t="n"/>
      <c r="R8" s="32" t="n"/>
      <c r="S8" s="32" t="n"/>
      <c r="T8" s="33" t="n"/>
      <c r="U8" s="42">
        <f>'S10'!T8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'S10'!M9+L9</f>
        <v/>
      </c>
      <c r="N9" s="31">
        <f>IFERROR(M9/K9,0)</f>
        <v/>
      </c>
      <c r="O9" s="40">
        <f>'S10'!N9</f>
        <v/>
      </c>
      <c r="P9" s="31">
        <f>N9-O9</f>
        <v/>
      </c>
      <c r="Q9" s="32" t="n"/>
      <c r="R9" s="32" t="n"/>
      <c r="S9" s="32" t="n"/>
      <c r="T9" s="33" t="n"/>
      <c r="U9" s="40">
        <f>'S10'!T9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'S10'!M10+L10</f>
        <v/>
      </c>
      <c r="N10" s="36">
        <f>IFERROR(M10/K10,0)</f>
        <v/>
      </c>
      <c r="O10" s="42">
        <f>'S10'!N10</f>
        <v/>
      </c>
      <c r="P10" s="36">
        <f>N10-O10</f>
        <v/>
      </c>
      <c r="Q10" s="32" t="n"/>
      <c r="R10" s="32" t="n"/>
      <c r="S10" s="32" t="n"/>
      <c r="T10" s="33" t="n"/>
      <c r="U10" s="42">
        <f>'S10'!T10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'S10'!M11+L11</f>
        <v/>
      </c>
      <c r="N11" s="31">
        <f>IFERROR(M11/K11,0)</f>
        <v/>
      </c>
      <c r="O11" s="40">
        <f>'S10'!N11</f>
        <v/>
      </c>
      <c r="P11" s="31">
        <f>N11-O11</f>
        <v/>
      </c>
      <c r="Q11" s="32" t="n"/>
      <c r="R11" s="32" t="n"/>
      <c r="S11" s="32" t="n"/>
      <c r="T11" s="33" t="n"/>
      <c r="U11" s="40">
        <f>'S10'!T11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'S10'!M12+L12</f>
        <v/>
      </c>
      <c r="N12" s="36">
        <f>IFERROR(M12/K12,0)</f>
        <v/>
      </c>
      <c r="O12" s="42">
        <f>'S10'!N12</f>
        <v/>
      </c>
      <c r="P12" s="36">
        <f>N12-O12</f>
        <v/>
      </c>
      <c r="Q12" s="32" t="n"/>
      <c r="R12" s="32" t="n"/>
      <c r="S12" s="32" t="n"/>
      <c r="T12" s="33" t="n"/>
      <c r="U12" s="42">
        <f>'S10'!T12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'S10'!M13+L13</f>
        <v/>
      </c>
      <c r="N13" s="31">
        <f>IFERROR(M13/K13,0)</f>
        <v/>
      </c>
      <c r="O13" s="40">
        <f>'S10'!N13</f>
        <v/>
      </c>
      <c r="P13" s="31">
        <f>N13-O13</f>
        <v/>
      </c>
      <c r="Q13" s="32" t="n"/>
      <c r="R13" s="32" t="n"/>
      <c r="S13" s="32" t="n"/>
      <c r="T13" s="33" t="n"/>
      <c r="U13" s="40">
        <f>'S10'!T13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'S10'!M14+L14</f>
        <v/>
      </c>
      <c r="N14" s="36">
        <f>IFERROR(M14/K14,0)</f>
        <v/>
      </c>
      <c r="O14" s="42">
        <f>'S10'!N14</f>
        <v/>
      </c>
      <c r="P14" s="36">
        <f>N14-O14</f>
        <v/>
      </c>
      <c r="Q14" s="32" t="n"/>
      <c r="R14" s="32" t="n"/>
      <c r="S14" s="32" t="n"/>
      <c r="T14" s="33" t="n"/>
      <c r="U14" s="42">
        <f>'S10'!T14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'S10'!M15+L15</f>
        <v/>
      </c>
      <c r="N15" s="31">
        <f>IFERROR(M15/K15,0)</f>
        <v/>
      </c>
      <c r="O15" s="40">
        <f>'S10'!N15</f>
        <v/>
      </c>
      <c r="P15" s="31">
        <f>N15-O15</f>
        <v/>
      </c>
      <c r="Q15" s="32" t="n"/>
      <c r="R15" s="32" t="n"/>
      <c r="S15" s="32" t="n"/>
      <c r="T15" s="33" t="n"/>
      <c r="U15" s="40">
        <f>'S10'!T15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'S10'!M16+L16</f>
        <v/>
      </c>
      <c r="N16" s="36">
        <f>IFERROR(M16/K16,0)</f>
        <v/>
      </c>
      <c r="O16" s="42">
        <f>'S10'!N16</f>
        <v/>
      </c>
      <c r="P16" s="36">
        <f>N16-O16</f>
        <v/>
      </c>
      <c r="Q16" s="32" t="n"/>
      <c r="R16" s="32" t="n"/>
      <c r="S16" s="32" t="n"/>
      <c r="T16" s="33" t="n"/>
      <c r="U16" s="42">
        <f>'S10'!T16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'S10'!M17+L17</f>
        <v/>
      </c>
      <c r="N17" s="31">
        <f>IFERROR(M17/K17,0)</f>
        <v/>
      </c>
      <c r="O17" s="40">
        <f>'S10'!N17</f>
        <v/>
      </c>
      <c r="P17" s="31">
        <f>N17-O17</f>
        <v/>
      </c>
      <c r="Q17" s="32" t="n"/>
      <c r="R17" s="32" t="n"/>
      <c r="S17" s="32" t="n"/>
      <c r="T17" s="33" t="n"/>
      <c r="U17" s="40">
        <f>'S10'!T17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'S10'!M18+L18</f>
        <v/>
      </c>
      <c r="N18" s="36">
        <f>IFERROR(M18/K18,0)</f>
        <v/>
      </c>
      <c r="O18" s="42">
        <f>'S10'!N18</f>
        <v/>
      </c>
      <c r="P18" s="36">
        <f>N18-O18</f>
        <v/>
      </c>
      <c r="Q18" s="32" t="n"/>
      <c r="R18" s="32" t="n"/>
      <c r="S18" s="32" t="n"/>
      <c r="T18" s="33" t="n"/>
      <c r="U18" s="42">
        <f>'S10'!T18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'S10'!M19+L19</f>
        <v/>
      </c>
      <c r="N19" s="31">
        <f>IFERROR(M19/K19,0)</f>
        <v/>
      </c>
      <c r="O19" s="40">
        <f>'S10'!N19</f>
        <v/>
      </c>
      <c r="P19" s="31">
        <f>N19-O19</f>
        <v/>
      </c>
      <c r="Q19" s="32" t="n"/>
      <c r="R19" s="32" t="n"/>
      <c r="S19" s="32" t="n"/>
      <c r="T19" s="33" t="n"/>
      <c r="U19" s="40">
        <f>'S10'!T19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'S10'!M20+L20</f>
        <v/>
      </c>
      <c r="N20" s="36">
        <f>IFERROR(M20/K20,0)</f>
        <v/>
      </c>
      <c r="O20" s="42">
        <f>'S10'!N20</f>
        <v/>
      </c>
      <c r="P20" s="36">
        <f>N20-O20</f>
        <v/>
      </c>
      <c r="Q20" s="32" t="n"/>
      <c r="R20" s="32" t="n"/>
      <c r="S20" s="32" t="n"/>
      <c r="T20" s="33" t="n"/>
      <c r="U20" s="42">
        <f>'S10'!T20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'S10'!M21+L21</f>
        <v/>
      </c>
      <c r="N21" s="31">
        <f>IFERROR(M21/K21,0)</f>
        <v/>
      </c>
      <c r="O21" s="40">
        <f>'S10'!N21</f>
        <v/>
      </c>
      <c r="P21" s="31">
        <f>N21-O21</f>
        <v/>
      </c>
      <c r="Q21" s="32" t="n"/>
      <c r="R21" s="32" t="n"/>
      <c r="S21" s="32" t="n"/>
      <c r="T21" s="33" t="n"/>
      <c r="U21" s="40">
        <f>'S10'!T21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'S10'!M22+L22</f>
        <v/>
      </c>
      <c r="N22" s="36">
        <f>IFERROR(M22/K22,0)</f>
        <v/>
      </c>
      <c r="O22" s="42">
        <f>'S10'!N22</f>
        <v/>
      </c>
      <c r="P22" s="36">
        <f>N22-O22</f>
        <v/>
      </c>
      <c r="Q22" s="32" t="n"/>
      <c r="R22" s="32" t="n"/>
      <c r="S22" s="32" t="n"/>
      <c r="T22" s="33" t="n"/>
      <c r="U22" s="42">
        <f>'S10'!T22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'S10'!M23+L23</f>
        <v/>
      </c>
      <c r="N23" s="31">
        <f>IFERROR(M23/K23,0)</f>
        <v/>
      </c>
      <c r="O23" s="40">
        <f>'S10'!N23</f>
        <v/>
      </c>
      <c r="P23" s="31">
        <f>N23-O23</f>
        <v/>
      </c>
      <c r="Q23" s="32" t="n"/>
      <c r="R23" s="32" t="n"/>
      <c r="S23" s="32" t="n"/>
      <c r="T23" s="33" t="n"/>
      <c r="U23" s="40">
        <f>'S10'!T23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'S10'!M24+L24</f>
        <v/>
      </c>
      <c r="N24" s="36">
        <f>IFERROR(M24/K24,0)</f>
        <v/>
      </c>
      <c r="O24" s="42">
        <f>'S10'!N24</f>
        <v/>
      </c>
      <c r="P24" s="36">
        <f>N24-O24</f>
        <v/>
      </c>
      <c r="Q24" s="32" t="n"/>
      <c r="R24" s="32" t="n"/>
      <c r="S24" s="32" t="n"/>
      <c r="T24" s="33" t="n"/>
      <c r="U24" s="42">
        <f>'S10'!T24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'S10'!M25+L25</f>
        <v/>
      </c>
      <c r="N25" s="31">
        <f>IFERROR(M25/K25,0)</f>
        <v/>
      </c>
      <c r="O25" s="40">
        <f>'S10'!N25</f>
        <v/>
      </c>
      <c r="P25" s="31">
        <f>N25-O25</f>
        <v/>
      </c>
      <c r="Q25" s="32" t="n"/>
      <c r="R25" s="32" t="n"/>
      <c r="S25" s="32" t="n"/>
      <c r="T25" s="33" t="n"/>
      <c r="U25" s="40">
        <f>'S10'!T25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'S10'!M26+L26</f>
        <v/>
      </c>
      <c r="N26" s="36">
        <f>IFERROR(M26/K26,0)</f>
        <v/>
      </c>
      <c r="O26" s="42">
        <f>'S10'!N26</f>
        <v/>
      </c>
      <c r="P26" s="36">
        <f>N26-O26</f>
        <v/>
      </c>
      <c r="Q26" s="32" t="n"/>
      <c r="R26" s="32" t="n"/>
      <c r="S26" s="32" t="n"/>
      <c r="T26" s="33" t="n"/>
      <c r="U26" s="42">
        <f>'S10'!T26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'S10'!M27+L27</f>
        <v/>
      </c>
      <c r="N27" s="31">
        <f>IFERROR(M27/K27,0)</f>
        <v/>
      </c>
      <c r="O27" s="40">
        <f>'S10'!N27</f>
        <v/>
      </c>
      <c r="P27" s="31">
        <f>N27-O27</f>
        <v/>
      </c>
      <c r="Q27" s="32" t="n"/>
      <c r="R27" s="32" t="n"/>
      <c r="S27" s="32" t="n"/>
      <c r="T27" s="33" t="n"/>
      <c r="U27" s="40">
        <f>'S10'!T27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'S10'!M28+L28</f>
        <v/>
      </c>
      <c r="N28" s="36">
        <f>IFERROR(M28/K28,0)</f>
        <v/>
      </c>
      <c r="O28" s="42">
        <f>'S10'!N28</f>
        <v/>
      </c>
      <c r="P28" s="36">
        <f>N28-O28</f>
        <v/>
      </c>
      <c r="Q28" s="32" t="n"/>
      <c r="R28" s="32" t="n"/>
      <c r="S28" s="32" t="n"/>
      <c r="T28" s="33" t="n"/>
      <c r="U28" s="42">
        <f>'S10'!T28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'S10'!M29+L29</f>
        <v/>
      </c>
      <c r="N29" s="31">
        <f>IFERROR(M29/K29,0)</f>
        <v/>
      </c>
      <c r="O29" s="40">
        <f>'S10'!N29</f>
        <v/>
      </c>
      <c r="P29" s="31">
        <f>N29-O29</f>
        <v/>
      </c>
      <c r="Q29" s="32" t="n"/>
      <c r="R29" s="32" t="n"/>
      <c r="S29" s="32" t="n"/>
      <c r="T29" s="33" t="n"/>
      <c r="U29" s="40">
        <f>'S10'!T29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'S10'!M30+L30</f>
        <v/>
      </c>
      <c r="N30" s="36">
        <f>IFERROR(M30/K30,0)</f>
        <v/>
      </c>
      <c r="O30" s="42">
        <f>'S10'!N30</f>
        <v/>
      </c>
      <c r="P30" s="36">
        <f>N30-O30</f>
        <v/>
      </c>
      <c r="Q30" s="32" t="n"/>
      <c r="R30" s="32" t="n"/>
      <c r="S30" s="32" t="n"/>
      <c r="T30" s="33" t="n"/>
      <c r="U30" s="42">
        <f>'S10'!T30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'S10'!M31+L31</f>
        <v/>
      </c>
      <c r="N31" s="31">
        <f>IFERROR(M31/K31,0)</f>
        <v/>
      </c>
      <c r="O31" s="40">
        <f>'S10'!N31</f>
        <v/>
      </c>
      <c r="P31" s="31">
        <f>N31-O31</f>
        <v/>
      </c>
      <c r="Q31" s="32" t="n"/>
      <c r="R31" s="32" t="n"/>
      <c r="S31" s="32" t="n"/>
      <c r="T31" s="33" t="n"/>
      <c r="U31" s="40">
        <f>'S10'!T31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'S10'!M32+L32</f>
        <v/>
      </c>
      <c r="N32" s="36">
        <f>IFERROR(M32/K32,0)</f>
        <v/>
      </c>
      <c r="O32" s="42">
        <f>'S10'!N32</f>
        <v/>
      </c>
      <c r="P32" s="36">
        <f>N32-O32</f>
        <v/>
      </c>
      <c r="Q32" s="32" t="n"/>
      <c r="R32" s="32" t="n"/>
      <c r="S32" s="32" t="n"/>
      <c r="T32" s="33" t="n"/>
      <c r="U32" s="42">
        <f>'S10'!T32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'S10'!M33+L33</f>
        <v/>
      </c>
      <c r="N33" s="31">
        <f>IFERROR(M33/K33,0)</f>
        <v/>
      </c>
      <c r="O33" s="40">
        <f>'S10'!N33</f>
        <v/>
      </c>
      <c r="P33" s="31">
        <f>N33-O33</f>
        <v/>
      </c>
      <c r="Q33" s="32" t="n"/>
      <c r="R33" s="32" t="n"/>
      <c r="S33" s="32" t="n"/>
      <c r="T33" s="33" t="n"/>
      <c r="U33" s="40">
        <f>'S10'!T33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'S10'!M34+L34</f>
        <v/>
      </c>
      <c r="N34" s="36">
        <f>IFERROR(M34/K34,0)</f>
        <v/>
      </c>
      <c r="O34" s="42">
        <f>'S10'!N34</f>
        <v/>
      </c>
      <c r="P34" s="36">
        <f>N34-O34</f>
        <v/>
      </c>
      <c r="Q34" s="32" t="n"/>
      <c r="R34" s="32" t="n"/>
      <c r="S34" s="32" t="n"/>
      <c r="T34" s="33" t="n"/>
      <c r="U34" s="42">
        <f>'S10'!T34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'S10'!M35+L35</f>
        <v/>
      </c>
      <c r="N35" s="31">
        <f>IFERROR(M35/K35,0)</f>
        <v/>
      </c>
      <c r="O35" s="40">
        <f>'S10'!N35</f>
        <v/>
      </c>
      <c r="P35" s="31">
        <f>N35-O35</f>
        <v/>
      </c>
      <c r="Q35" s="32" t="n"/>
      <c r="R35" s="32" t="n"/>
      <c r="S35" s="32" t="n"/>
      <c r="T35" s="33" t="n"/>
      <c r="U35" s="40">
        <f>'S10'!T35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'S10'!M36+L36</f>
        <v/>
      </c>
      <c r="N36" s="36">
        <f>IFERROR(M36/K36,0)</f>
        <v/>
      </c>
      <c r="O36" s="42">
        <f>'S10'!N36</f>
        <v/>
      </c>
      <c r="P36" s="36">
        <f>N36-O36</f>
        <v/>
      </c>
      <c r="Q36" s="32" t="n"/>
      <c r="R36" s="32" t="n"/>
      <c r="S36" s="32" t="n"/>
      <c r="T36" s="33" t="n"/>
      <c r="U36" s="42">
        <f>'S10'!T36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'S10'!M37+L37</f>
        <v/>
      </c>
      <c r="N37" s="31">
        <f>IFERROR(M37/K37,0)</f>
        <v/>
      </c>
      <c r="O37" s="40">
        <f>'S10'!N37</f>
        <v/>
      </c>
      <c r="P37" s="31">
        <f>N37-O37</f>
        <v/>
      </c>
      <c r="Q37" s="32" t="n"/>
      <c r="R37" s="32" t="n"/>
      <c r="S37" s="32" t="n"/>
      <c r="T37" s="33" t="n"/>
      <c r="U37" s="40">
        <f>'S10'!T37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'S10'!M38+L38</f>
        <v/>
      </c>
      <c r="N38" s="36">
        <f>IFERROR(M38/K38,0)</f>
        <v/>
      </c>
      <c r="O38" s="42">
        <f>'S10'!N38</f>
        <v/>
      </c>
      <c r="P38" s="36">
        <f>N38-O38</f>
        <v/>
      </c>
      <c r="Q38" s="32" t="n"/>
      <c r="R38" s="32" t="n"/>
      <c r="S38" s="32" t="n"/>
      <c r="T38" s="33" t="n"/>
      <c r="U38" s="42">
        <f>'S10'!T38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'S10'!M39+L39</f>
        <v/>
      </c>
      <c r="N39" s="31">
        <f>IFERROR(M39/K39,0)</f>
        <v/>
      </c>
      <c r="O39" s="40">
        <f>'S10'!N39</f>
        <v/>
      </c>
      <c r="P39" s="31">
        <f>N39-O39</f>
        <v/>
      </c>
      <c r="Q39" s="32" t="n"/>
      <c r="R39" s="32" t="n"/>
      <c r="S39" s="32" t="n"/>
      <c r="T39" s="33" t="n"/>
      <c r="U39" s="40">
        <f>'S10'!T39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'S10'!M40+L40</f>
        <v/>
      </c>
      <c r="N40" s="36">
        <f>IFERROR(M40/K40,0)</f>
        <v/>
      </c>
      <c r="O40" s="42">
        <f>'S10'!N40</f>
        <v/>
      </c>
      <c r="P40" s="36">
        <f>N40-O40</f>
        <v/>
      </c>
      <c r="Q40" s="32" t="n"/>
      <c r="R40" s="32" t="n"/>
      <c r="S40" s="32" t="n"/>
      <c r="T40" s="33" t="n"/>
      <c r="U40" s="42">
        <f>'S10'!T40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'S10'!M41+L41</f>
        <v/>
      </c>
      <c r="N41" s="31">
        <f>IFERROR(M41/K41,0)</f>
        <v/>
      </c>
      <c r="O41" s="40">
        <f>'S10'!N41</f>
        <v/>
      </c>
      <c r="P41" s="31">
        <f>N41-O41</f>
        <v/>
      </c>
      <c r="Q41" s="32" t="n"/>
      <c r="R41" s="32" t="n"/>
      <c r="S41" s="32" t="n"/>
      <c r="T41" s="33" t="n"/>
      <c r="U41" s="40">
        <f>'S10'!T41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'S10'!M42+L42</f>
        <v/>
      </c>
      <c r="N42" s="36">
        <f>IFERROR(M42/K42,0)</f>
        <v/>
      </c>
      <c r="O42" s="42">
        <f>'S10'!N42</f>
        <v/>
      </c>
      <c r="P42" s="36">
        <f>N42-O42</f>
        <v/>
      </c>
      <c r="Q42" s="32" t="n"/>
      <c r="R42" s="32" t="n"/>
      <c r="S42" s="32" t="n"/>
      <c r="T42" s="33" t="n"/>
      <c r="U42" s="42">
        <f>'S10'!T42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'S10'!M43+L43</f>
        <v/>
      </c>
      <c r="N43" s="31">
        <f>IFERROR(M43/K43,0)</f>
        <v/>
      </c>
      <c r="O43" s="40">
        <f>'S10'!N43</f>
        <v/>
      </c>
      <c r="P43" s="31">
        <f>N43-O43</f>
        <v/>
      </c>
      <c r="Q43" s="32" t="n"/>
      <c r="R43" s="32" t="n"/>
      <c r="S43" s="32" t="n"/>
      <c r="T43" s="33" t="n"/>
      <c r="U43" s="40">
        <f>'S10'!T43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'S10'!M44+L44</f>
        <v/>
      </c>
      <c r="N44" s="36">
        <f>IFERROR(M44/K44,0)</f>
        <v/>
      </c>
      <c r="O44" s="42">
        <f>'S10'!N44</f>
        <v/>
      </c>
      <c r="P44" s="36">
        <f>N44-O44</f>
        <v/>
      </c>
      <c r="Q44" s="32" t="n"/>
      <c r="R44" s="32" t="n"/>
      <c r="S44" s="32" t="n"/>
      <c r="T44" s="33" t="n"/>
      <c r="U44" s="42">
        <f>'S10'!T44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'S10'!M45+L45</f>
        <v/>
      </c>
      <c r="N45" s="31">
        <f>IFERROR(M45/K45,0)</f>
        <v/>
      </c>
      <c r="O45" s="40">
        <f>'S10'!N45</f>
        <v/>
      </c>
      <c r="P45" s="31">
        <f>N45-O45</f>
        <v/>
      </c>
      <c r="Q45" s="32" t="n"/>
      <c r="R45" s="32" t="n"/>
      <c r="S45" s="32" t="n"/>
      <c r="T45" s="33" t="n"/>
      <c r="U45" s="40">
        <f>'S10'!T45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'S10'!M46+L46</f>
        <v/>
      </c>
      <c r="N46" s="36">
        <f>IFERROR(M46/K46,0)</f>
        <v/>
      </c>
      <c r="O46" s="42">
        <f>'S10'!N46</f>
        <v/>
      </c>
      <c r="P46" s="36">
        <f>N46-O46</f>
        <v/>
      </c>
      <c r="Q46" s="32" t="n"/>
      <c r="R46" s="32" t="n"/>
      <c r="S46" s="32" t="n"/>
      <c r="T46" s="33" t="n"/>
      <c r="U46" s="42">
        <f>'S10'!T46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'S10'!M47+L47</f>
        <v/>
      </c>
      <c r="N47" s="31">
        <f>IFERROR(M47/K47,0)</f>
        <v/>
      </c>
      <c r="O47" s="40">
        <f>'S10'!N47</f>
        <v/>
      </c>
      <c r="P47" s="31">
        <f>N47-O47</f>
        <v/>
      </c>
      <c r="Q47" s="32" t="n"/>
      <c r="R47" s="32" t="n"/>
      <c r="S47" s="32" t="n"/>
      <c r="T47" s="33" t="n"/>
      <c r="U47" s="40">
        <f>'S10'!T47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'S10'!M48+L48</f>
        <v/>
      </c>
      <c r="N48" s="36">
        <f>IFERROR(M48/K48,0)</f>
        <v/>
      </c>
      <c r="O48" s="42">
        <f>'S10'!N48</f>
        <v/>
      </c>
      <c r="P48" s="36">
        <f>N48-O48</f>
        <v/>
      </c>
      <c r="Q48" s="32" t="n"/>
      <c r="R48" s="32" t="n"/>
      <c r="S48" s="32" t="n"/>
      <c r="T48" s="33" t="n"/>
      <c r="U48" s="42">
        <f>'S10'!T48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'S10'!M49+L49</f>
        <v/>
      </c>
      <c r="N49" s="31">
        <f>IFERROR(M49/K49,0)</f>
        <v/>
      </c>
      <c r="O49" s="40">
        <f>'S10'!N49</f>
        <v/>
      </c>
      <c r="P49" s="31">
        <f>N49-O49</f>
        <v/>
      </c>
      <c r="Q49" s="32" t="n"/>
      <c r="R49" s="32" t="n"/>
      <c r="S49" s="32" t="n"/>
      <c r="T49" s="33" t="n"/>
      <c r="U49" s="40">
        <f>'S10'!T49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'S10'!M50+L50</f>
        <v/>
      </c>
      <c r="N50" s="36">
        <f>IFERROR(M50/K50,0)</f>
        <v/>
      </c>
      <c r="O50" s="42">
        <f>'S10'!N50</f>
        <v/>
      </c>
      <c r="P50" s="36">
        <f>N50-O50</f>
        <v/>
      </c>
      <c r="Q50" s="32" t="n"/>
      <c r="R50" s="32" t="n"/>
      <c r="S50" s="32" t="n"/>
      <c r="T50" s="33" t="n"/>
      <c r="U50" s="42">
        <f>'S10'!T50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'S10'!M51+L51</f>
        <v/>
      </c>
      <c r="N51" s="31">
        <f>IFERROR(M51/K51,0)</f>
        <v/>
      </c>
      <c r="O51" s="40">
        <f>'S10'!N51</f>
        <v/>
      </c>
      <c r="P51" s="31">
        <f>N51-O51</f>
        <v/>
      </c>
      <c r="Q51" s="32" t="n"/>
      <c r="R51" s="32" t="n"/>
      <c r="S51" s="32" t="n"/>
      <c r="T51" s="33" t="n"/>
      <c r="U51" s="40">
        <f>'S10'!T51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'S10'!M52+L52</f>
        <v/>
      </c>
      <c r="N52" s="36">
        <f>IFERROR(M52/K52,0)</f>
        <v/>
      </c>
      <c r="O52" s="42">
        <f>'S10'!N52</f>
        <v/>
      </c>
      <c r="P52" s="36">
        <f>N52-O52</f>
        <v/>
      </c>
      <c r="Q52" s="32" t="n"/>
      <c r="R52" s="32" t="n"/>
      <c r="S52" s="32" t="n"/>
      <c r="T52" s="33" t="n"/>
      <c r="U52" s="42">
        <f>'S10'!T52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'S10'!M53+L53</f>
        <v/>
      </c>
      <c r="N53" s="31">
        <f>IFERROR(M53/K53,0)</f>
        <v/>
      </c>
      <c r="O53" s="40">
        <f>'S10'!N53</f>
        <v/>
      </c>
      <c r="P53" s="31">
        <f>N53-O53</f>
        <v/>
      </c>
      <c r="Q53" s="32" t="n"/>
      <c r="R53" s="32" t="n"/>
      <c r="S53" s="32" t="n"/>
      <c r="T53" s="33" t="n"/>
      <c r="U53" s="40">
        <f>'S10'!T53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'S10'!M54+L54</f>
        <v/>
      </c>
      <c r="N54" s="36">
        <f>IFERROR(M54/K54,0)</f>
        <v/>
      </c>
      <c r="O54" s="42">
        <f>'S10'!N54</f>
        <v/>
      </c>
      <c r="P54" s="36">
        <f>N54-O54</f>
        <v/>
      </c>
      <c r="Q54" s="32" t="n"/>
      <c r="R54" s="32" t="n"/>
      <c r="S54" s="32" t="n"/>
      <c r="T54" s="33" t="n"/>
      <c r="U54" s="42">
        <f>'S10'!T54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'S10'!M55+L55</f>
        <v/>
      </c>
      <c r="N55" s="31">
        <f>IFERROR(M55/K55,0)</f>
        <v/>
      </c>
      <c r="O55" s="40">
        <f>'S10'!N55</f>
        <v/>
      </c>
      <c r="P55" s="31">
        <f>N55-O55</f>
        <v/>
      </c>
      <c r="Q55" s="32" t="n"/>
      <c r="R55" s="32" t="n"/>
      <c r="S55" s="32" t="n"/>
      <c r="T55" s="33" t="n"/>
      <c r="U55" s="40">
        <f>'S10'!T55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'S10'!M56+L56</f>
        <v/>
      </c>
      <c r="N56" s="36">
        <f>IFERROR(M56/K56,0)</f>
        <v/>
      </c>
      <c r="O56" s="42">
        <f>'S10'!N56</f>
        <v/>
      </c>
      <c r="P56" s="36">
        <f>N56-O56</f>
        <v/>
      </c>
      <c r="Q56" s="32" t="n"/>
      <c r="R56" s="32" t="n"/>
      <c r="S56" s="32" t="n"/>
      <c r="T56" s="33" t="n"/>
      <c r="U56" s="42">
        <f>'S10'!T56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'S10'!M57+L57</f>
        <v/>
      </c>
      <c r="N57" s="31">
        <f>IFERROR(M57/K57,0)</f>
        <v/>
      </c>
      <c r="O57" s="40">
        <f>'S10'!N57</f>
        <v/>
      </c>
      <c r="P57" s="31">
        <f>N57-O57</f>
        <v/>
      </c>
      <c r="Q57" s="32" t="n"/>
      <c r="R57" s="32" t="n"/>
      <c r="S57" s="32" t="n"/>
      <c r="T57" s="33" t="n"/>
      <c r="U57" s="40">
        <f>'S10'!T57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'S10'!M58+L58</f>
        <v/>
      </c>
      <c r="N58" s="36">
        <f>IFERROR(M58/K58,0)</f>
        <v/>
      </c>
      <c r="O58" s="42">
        <f>'S10'!N58</f>
        <v/>
      </c>
      <c r="P58" s="36">
        <f>N58-O58</f>
        <v/>
      </c>
      <c r="Q58" s="32" t="n"/>
      <c r="R58" s="32" t="n"/>
      <c r="S58" s="32" t="n"/>
      <c r="T58" s="33" t="n"/>
      <c r="U58" s="42">
        <f>'S10'!T58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'S10'!M59+L59</f>
        <v/>
      </c>
      <c r="N59" s="31">
        <f>IFERROR(M59/K59,0)</f>
        <v/>
      </c>
      <c r="O59" s="40">
        <f>'S10'!N59</f>
        <v/>
      </c>
      <c r="P59" s="31">
        <f>N59-O59</f>
        <v/>
      </c>
      <c r="Q59" s="32" t="n"/>
      <c r="R59" s="32" t="n"/>
      <c r="S59" s="32" t="n"/>
      <c r="T59" s="33" t="n"/>
      <c r="U59" s="40">
        <f>'S10'!T59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'S10'!M60+L60</f>
        <v/>
      </c>
      <c r="N60" s="36">
        <f>IFERROR(M60/K60,0)</f>
        <v/>
      </c>
      <c r="O60" s="42">
        <f>'S10'!N60</f>
        <v/>
      </c>
      <c r="P60" s="36">
        <f>N60-O60</f>
        <v/>
      </c>
      <c r="Q60" s="32" t="n"/>
      <c r="R60" s="32" t="n"/>
      <c r="S60" s="32" t="n"/>
      <c r="T60" s="33" t="n"/>
      <c r="U60" s="42">
        <f>'S10'!T60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'S10'!M61+L61</f>
        <v/>
      </c>
      <c r="N61" s="31">
        <f>IFERROR(M61/K61,0)</f>
        <v/>
      </c>
      <c r="O61" s="40">
        <f>'S10'!N61</f>
        <v/>
      </c>
      <c r="P61" s="31">
        <f>N61-O61</f>
        <v/>
      </c>
      <c r="Q61" s="32" t="n"/>
      <c r="R61" s="32" t="n"/>
      <c r="S61" s="32" t="n"/>
      <c r="T61" s="33" t="n"/>
      <c r="U61" s="40">
        <f>'S10'!T61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'S10'!M62+L62</f>
        <v/>
      </c>
      <c r="N62" s="36">
        <f>IFERROR(M62/K62,0)</f>
        <v/>
      </c>
      <c r="O62" s="42">
        <f>'S10'!N62</f>
        <v/>
      </c>
      <c r="P62" s="36">
        <f>N62-O62</f>
        <v/>
      </c>
      <c r="Q62" s="32" t="n"/>
      <c r="R62" s="32" t="n"/>
      <c r="S62" s="32" t="n"/>
      <c r="T62" s="33" t="n"/>
      <c r="U62" s="42">
        <f>'S10'!T62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'S10'!M63+L63</f>
        <v/>
      </c>
      <c r="N63" s="31">
        <f>IFERROR(M63/K63,0)</f>
        <v/>
      </c>
      <c r="O63" s="40">
        <f>'S10'!N63</f>
        <v/>
      </c>
      <c r="P63" s="31">
        <f>N63-O63</f>
        <v/>
      </c>
      <c r="Q63" s="32" t="n"/>
      <c r="R63" s="32" t="n"/>
      <c r="S63" s="32" t="n"/>
      <c r="T63" s="33" t="n"/>
      <c r="U63" s="40">
        <f>'S10'!T63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'S10'!M64+L64</f>
        <v/>
      </c>
      <c r="N64" s="36">
        <f>IFERROR(M64/K64,0)</f>
        <v/>
      </c>
      <c r="O64" s="42">
        <f>'S10'!N64</f>
        <v/>
      </c>
      <c r="P64" s="36">
        <f>N64-O64</f>
        <v/>
      </c>
      <c r="Q64" s="32" t="n"/>
      <c r="R64" s="32" t="n"/>
      <c r="S64" s="32" t="n"/>
      <c r="T64" s="33" t="n"/>
      <c r="U64" s="42">
        <f>'S10'!T64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'S10'!M65+L65</f>
        <v/>
      </c>
      <c r="N65" s="31">
        <f>IFERROR(M65/K65,0)</f>
        <v/>
      </c>
      <c r="O65" s="40">
        <f>'S10'!N65</f>
        <v/>
      </c>
      <c r="P65" s="31">
        <f>N65-O65</f>
        <v/>
      </c>
      <c r="Q65" s="32" t="n"/>
      <c r="R65" s="32" t="n"/>
      <c r="S65" s="32" t="n"/>
      <c r="T65" s="33" t="n"/>
      <c r="U65" s="40">
        <f>'S10'!T65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'S10'!M66+L66</f>
        <v/>
      </c>
      <c r="N66" s="36">
        <f>IFERROR(M66/K66,0)</f>
        <v/>
      </c>
      <c r="O66" s="42">
        <f>'S10'!N66</f>
        <v/>
      </c>
      <c r="P66" s="36">
        <f>N66-O66</f>
        <v/>
      </c>
      <c r="Q66" s="32" t="n"/>
      <c r="R66" s="32" t="n"/>
      <c r="S66" s="32" t="n"/>
      <c r="T66" s="33" t="n"/>
      <c r="U66" s="42">
        <f>'S10'!T66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'S10'!M67+L67</f>
        <v/>
      </c>
      <c r="N67" s="31">
        <f>IFERROR(M67/K67,0)</f>
        <v/>
      </c>
      <c r="O67" s="40">
        <f>'S10'!N67</f>
        <v/>
      </c>
      <c r="P67" s="31">
        <f>N67-O67</f>
        <v/>
      </c>
      <c r="Q67" s="32" t="n"/>
      <c r="R67" s="32" t="n"/>
      <c r="S67" s="32" t="n"/>
      <c r="T67" s="33" t="n"/>
      <c r="U67" s="40">
        <f>'S10'!T67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'S10'!M68+L68</f>
        <v/>
      </c>
      <c r="N68" s="36">
        <f>IFERROR(M68/K68,0)</f>
        <v/>
      </c>
      <c r="O68" s="42">
        <f>'S10'!N68</f>
        <v/>
      </c>
      <c r="P68" s="36">
        <f>N68-O68</f>
        <v/>
      </c>
      <c r="Q68" s="32" t="n"/>
      <c r="R68" s="32" t="n"/>
      <c r="S68" s="32" t="n"/>
      <c r="T68" s="33" t="n"/>
      <c r="U68" s="42">
        <f>'S10'!T68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'S10'!M69+L69</f>
        <v/>
      </c>
      <c r="N69" s="31">
        <f>IFERROR(M69/K69,0)</f>
        <v/>
      </c>
      <c r="O69" s="40">
        <f>'S10'!N69</f>
        <v/>
      </c>
      <c r="P69" s="31">
        <f>N69-O69</f>
        <v/>
      </c>
      <c r="Q69" s="32" t="n"/>
      <c r="R69" s="32" t="n"/>
      <c r="S69" s="32" t="n"/>
      <c r="T69" s="33" t="n"/>
      <c r="U69" s="40">
        <f>'S10'!T69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'S10'!M70+L70</f>
        <v/>
      </c>
      <c r="N70" s="36">
        <f>IFERROR(M70/K70,0)</f>
        <v/>
      </c>
      <c r="O70" s="42">
        <f>'S10'!N70</f>
        <v/>
      </c>
      <c r="P70" s="36">
        <f>N70-O70</f>
        <v/>
      </c>
      <c r="Q70" s="32" t="n"/>
      <c r="R70" s="32" t="n"/>
      <c r="S70" s="32" t="n"/>
      <c r="T70" s="33" t="n"/>
      <c r="U70" s="42">
        <f>'S10'!T70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'S10'!M71+L71</f>
        <v/>
      </c>
      <c r="N71" s="31">
        <f>IFERROR(M71/K71,0)</f>
        <v/>
      </c>
      <c r="O71" s="40">
        <f>'S10'!N71</f>
        <v/>
      </c>
      <c r="P71" s="31">
        <f>N71-O71</f>
        <v/>
      </c>
      <c r="Q71" s="32" t="n"/>
      <c r="R71" s="32" t="n"/>
      <c r="S71" s="32" t="n"/>
      <c r="T71" s="33" t="n"/>
      <c r="U71" s="40">
        <f>'S10'!T71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'S10'!M72+L72</f>
        <v/>
      </c>
      <c r="N72" s="36">
        <f>IFERROR(M72/K72,0)</f>
        <v/>
      </c>
      <c r="O72" s="42">
        <f>'S10'!N72</f>
        <v/>
      </c>
      <c r="P72" s="36">
        <f>N72-O72</f>
        <v/>
      </c>
      <c r="Q72" s="32" t="n"/>
      <c r="R72" s="32" t="n"/>
      <c r="S72" s="32" t="n"/>
      <c r="T72" s="33" t="n"/>
      <c r="U72" s="42">
        <f>'S10'!T72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'S10'!M73+L73</f>
        <v/>
      </c>
      <c r="N73" s="31">
        <f>IFERROR(M73/K73,0)</f>
        <v/>
      </c>
      <c r="O73" s="40">
        <f>'S10'!N73</f>
        <v/>
      </c>
      <c r="P73" s="31">
        <f>N73-O73</f>
        <v/>
      </c>
      <c r="Q73" s="32" t="n"/>
      <c r="R73" s="32" t="n"/>
      <c r="S73" s="32" t="n"/>
      <c r="T73" s="33" t="n"/>
      <c r="U73" s="40">
        <f>'S10'!T73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'S10'!M74+L74</f>
        <v/>
      </c>
      <c r="N74" s="36">
        <f>IFERROR(M74/K74,0)</f>
        <v/>
      </c>
      <c r="O74" s="42">
        <f>'S10'!N74</f>
        <v/>
      </c>
      <c r="P74" s="36">
        <f>N74-O74</f>
        <v/>
      </c>
      <c r="Q74" s="32" t="n"/>
      <c r="R74" s="32" t="n"/>
      <c r="S74" s="32" t="n"/>
      <c r="T74" s="33" t="n"/>
      <c r="U74" s="42">
        <f>'S10'!T74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'S10'!M75+L75</f>
        <v/>
      </c>
      <c r="N75" s="31">
        <f>IFERROR(M75/K75,0)</f>
        <v/>
      </c>
      <c r="O75" s="40">
        <f>'S10'!N75</f>
        <v/>
      </c>
      <c r="P75" s="31">
        <f>N75-O75</f>
        <v/>
      </c>
      <c r="Q75" s="32" t="n"/>
      <c r="R75" s="32" t="n"/>
      <c r="S75" s="32" t="n"/>
      <c r="T75" s="33" t="n"/>
      <c r="U75" s="40">
        <f>'S10'!T75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'S10'!M76+L76</f>
        <v/>
      </c>
      <c r="N76" s="36">
        <f>IFERROR(M76/K76,0)</f>
        <v/>
      </c>
      <c r="O76" s="42">
        <f>'S10'!N76</f>
        <v/>
      </c>
      <c r="P76" s="36">
        <f>N76-O76</f>
        <v/>
      </c>
      <c r="Q76" s="32" t="n"/>
      <c r="R76" s="32" t="n"/>
      <c r="S76" s="32" t="n"/>
      <c r="T76" s="33" t="n"/>
      <c r="U76" s="42">
        <f>'S10'!T76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14.xml><?xml version="1.0" encoding="utf-8"?>
<worksheet xmlns="http://schemas.openxmlformats.org/spreadsheetml/2006/main">
  <sheetPr>
    <tabColor rgb="0070AD47"/>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12 (16/03 - 22/03) — Mars 2026 - Exécution Physique et Financière</t>
        </is>
      </c>
    </row>
    <row r="3" ht="22" customHeight="1">
      <c r="B3" s="20" t="inlineStr">
        <is>
          <t>Date :</t>
        </is>
      </c>
      <c r="C3" s="21" t="n">
        <v>46097</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'S11'!M5+L5</f>
        <v/>
      </c>
      <c r="N5" s="31">
        <f>IFERROR(M5/K5,0)</f>
        <v/>
      </c>
      <c r="O5" s="40">
        <f>'S11'!N5</f>
        <v/>
      </c>
      <c r="P5" s="31">
        <f>N5-O5</f>
        <v/>
      </c>
      <c r="Q5" s="32" t="n"/>
      <c r="R5" s="32" t="n"/>
      <c r="S5" s="32" t="n"/>
      <c r="T5" s="33" t="n"/>
      <c r="U5" s="40">
        <f>'S11'!T5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'S11'!M6+L6</f>
        <v/>
      </c>
      <c r="N6" s="36">
        <f>IFERROR(M6/K6,0)</f>
        <v/>
      </c>
      <c r="O6" s="42">
        <f>'S11'!N6</f>
        <v/>
      </c>
      <c r="P6" s="36">
        <f>N6-O6</f>
        <v/>
      </c>
      <c r="Q6" s="32" t="n"/>
      <c r="R6" s="32" t="n"/>
      <c r="S6" s="32" t="n"/>
      <c r="T6" s="33" t="n"/>
      <c r="U6" s="42">
        <f>'S11'!T6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'S11'!M7+L7</f>
        <v/>
      </c>
      <c r="N7" s="31">
        <f>IFERROR(M7/K7,0)</f>
        <v/>
      </c>
      <c r="O7" s="40">
        <f>'S11'!N7</f>
        <v/>
      </c>
      <c r="P7" s="31">
        <f>N7-O7</f>
        <v/>
      </c>
      <c r="Q7" s="32" t="n"/>
      <c r="R7" s="32" t="n"/>
      <c r="S7" s="32" t="n"/>
      <c r="T7" s="33" t="n"/>
      <c r="U7" s="40">
        <f>'S11'!T7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'S11'!M8+L8</f>
        <v/>
      </c>
      <c r="N8" s="36">
        <f>IFERROR(M8/K8,0)</f>
        <v/>
      </c>
      <c r="O8" s="42">
        <f>'S11'!N8</f>
        <v/>
      </c>
      <c r="P8" s="36">
        <f>N8-O8</f>
        <v/>
      </c>
      <c r="Q8" s="32" t="n"/>
      <c r="R8" s="32" t="n"/>
      <c r="S8" s="32" t="n"/>
      <c r="T8" s="33" t="n"/>
      <c r="U8" s="42">
        <f>'S11'!T8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'S11'!M9+L9</f>
        <v/>
      </c>
      <c r="N9" s="31">
        <f>IFERROR(M9/K9,0)</f>
        <v/>
      </c>
      <c r="O9" s="40">
        <f>'S11'!N9</f>
        <v/>
      </c>
      <c r="P9" s="31">
        <f>N9-O9</f>
        <v/>
      </c>
      <c r="Q9" s="32" t="n"/>
      <c r="R9" s="32" t="n"/>
      <c r="S9" s="32" t="n"/>
      <c r="T9" s="33" t="n"/>
      <c r="U9" s="40">
        <f>'S11'!T9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'S11'!M10+L10</f>
        <v/>
      </c>
      <c r="N10" s="36">
        <f>IFERROR(M10/K10,0)</f>
        <v/>
      </c>
      <c r="O10" s="42">
        <f>'S11'!N10</f>
        <v/>
      </c>
      <c r="P10" s="36">
        <f>N10-O10</f>
        <v/>
      </c>
      <c r="Q10" s="32" t="n"/>
      <c r="R10" s="32" t="n"/>
      <c r="S10" s="32" t="n"/>
      <c r="T10" s="33" t="n"/>
      <c r="U10" s="42">
        <f>'S11'!T10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'S11'!M11+L11</f>
        <v/>
      </c>
      <c r="N11" s="31">
        <f>IFERROR(M11/K11,0)</f>
        <v/>
      </c>
      <c r="O11" s="40">
        <f>'S11'!N11</f>
        <v/>
      </c>
      <c r="P11" s="31">
        <f>N11-O11</f>
        <v/>
      </c>
      <c r="Q11" s="32" t="n"/>
      <c r="R11" s="32" t="n"/>
      <c r="S11" s="32" t="n"/>
      <c r="T11" s="33" t="n"/>
      <c r="U11" s="40">
        <f>'S11'!T11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'S11'!M12+L12</f>
        <v/>
      </c>
      <c r="N12" s="36">
        <f>IFERROR(M12/K12,0)</f>
        <v/>
      </c>
      <c r="O12" s="42">
        <f>'S11'!N12</f>
        <v/>
      </c>
      <c r="P12" s="36">
        <f>N12-O12</f>
        <v/>
      </c>
      <c r="Q12" s="32" t="n"/>
      <c r="R12" s="32" t="n"/>
      <c r="S12" s="32" t="n"/>
      <c r="T12" s="33" t="n"/>
      <c r="U12" s="42">
        <f>'S11'!T12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'S11'!M13+L13</f>
        <v/>
      </c>
      <c r="N13" s="31">
        <f>IFERROR(M13/K13,0)</f>
        <v/>
      </c>
      <c r="O13" s="40">
        <f>'S11'!N13</f>
        <v/>
      </c>
      <c r="P13" s="31">
        <f>N13-O13</f>
        <v/>
      </c>
      <c r="Q13" s="32" t="n"/>
      <c r="R13" s="32" t="n"/>
      <c r="S13" s="32" t="n"/>
      <c r="T13" s="33" t="n"/>
      <c r="U13" s="40">
        <f>'S11'!T13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'S11'!M14+L14</f>
        <v/>
      </c>
      <c r="N14" s="36">
        <f>IFERROR(M14/K14,0)</f>
        <v/>
      </c>
      <c r="O14" s="42">
        <f>'S11'!N14</f>
        <v/>
      </c>
      <c r="P14" s="36">
        <f>N14-O14</f>
        <v/>
      </c>
      <c r="Q14" s="32" t="n"/>
      <c r="R14" s="32" t="n"/>
      <c r="S14" s="32" t="n"/>
      <c r="T14" s="33" t="n"/>
      <c r="U14" s="42">
        <f>'S11'!T14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'S11'!M15+L15</f>
        <v/>
      </c>
      <c r="N15" s="31">
        <f>IFERROR(M15/K15,0)</f>
        <v/>
      </c>
      <c r="O15" s="40">
        <f>'S11'!N15</f>
        <v/>
      </c>
      <c r="P15" s="31">
        <f>N15-O15</f>
        <v/>
      </c>
      <c r="Q15" s="32" t="n"/>
      <c r="R15" s="32" t="n"/>
      <c r="S15" s="32" t="n"/>
      <c r="T15" s="33" t="n"/>
      <c r="U15" s="40">
        <f>'S11'!T15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'S11'!M16+L16</f>
        <v/>
      </c>
      <c r="N16" s="36">
        <f>IFERROR(M16/K16,0)</f>
        <v/>
      </c>
      <c r="O16" s="42">
        <f>'S11'!N16</f>
        <v/>
      </c>
      <c r="P16" s="36">
        <f>N16-O16</f>
        <v/>
      </c>
      <c r="Q16" s="32" t="n"/>
      <c r="R16" s="32" t="n"/>
      <c r="S16" s="32" t="n"/>
      <c r="T16" s="33" t="n"/>
      <c r="U16" s="42">
        <f>'S11'!T16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'S11'!M17+L17</f>
        <v/>
      </c>
      <c r="N17" s="31">
        <f>IFERROR(M17/K17,0)</f>
        <v/>
      </c>
      <c r="O17" s="40">
        <f>'S11'!N17</f>
        <v/>
      </c>
      <c r="P17" s="31">
        <f>N17-O17</f>
        <v/>
      </c>
      <c r="Q17" s="32" t="n"/>
      <c r="R17" s="32" t="n"/>
      <c r="S17" s="32" t="n"/>
      <c r="T17" s="33" t="n"/>
      <c r="U17" s="40">
        <f>'S11'!T17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'S11'!M18+L18</f>
        <v/>
      </c>
      <c r="N18" s="36">
        <f>IFERROR(M18/K18,0)</f>
        <v/>
      </c>
      <c r="O18" s="42">
        <f>'S11'!N18</f>
        <v/>
      </c>
      <c r="P18" s="36">
        <f>N18-O18</f>
        <v/>
      </c>
      <c r="Q18" s="32" t="n"/>
      <c r="R18" s="32" t="n"/>
      <c r="S18" s="32" t="n"/>
      <c r="T18" s="33" t="n"/>
      <c r="U18" s="42">
        <f>'S11'!T18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'S11'!M19+L19</f>
        <v/>
      </c>
      <c r="N19" s="31">
        <f>IFERROR(M19/K19,0)</f>
        <v/>
      </c>
      <c r="O19" s="40">
        <f>'S11'!N19</f>
        <v/>
      </c>
      <c r="P19" s="31">
        <f>N19-O19</f>
        <v/>
      </c>
      <c r="Q19" s="32" t="n"/>
      <c r="R19" s="32" t="n"/>
      <c r="S19" s="32" t="n"/>
      <c r="T19" s="33" t="n"/>
      <c r="U19" s="40">
        <f>'S11'!T19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'S11'!M20+L20</f>
        <v/>
      </c>
      <c r="N20" s="36">
        <f>IFERROR(M20/K20,0)</f>
        <v/>
      </c>
      <c r="O20" s="42">
        <f>'S11'!N20</f>
        <v/>
      </c>
      <c r="P20" s="36">
        <f>N20-O20</f>
        <v/>
      </c>
      <c r="Q20" s="32" t="n"/>
      <c r="R20" s="32" t="n"/>
      <c r="S20" s="32" t="n"/>
      <c r="T20" s="33" t="n"/>
      <c r="U20" s="42">
        <f>'S11'!T20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'S11'!M21+L21</f>
        <v/>
      </c>
      <c r="N21" s="31">
        <f>IFERROR(M21/K21,0)</f>
        <v/>
      </c>
      <c r="O21" s="40">
        <f>'S11'!N21</f>
        <v/>
      </c>
      <c r="P21" s="31">
        <f>N21-O21</f>
        <v/>
      </c>
      <c r="Q21" s="32" t="n"/>
      <c r="R21" s="32" t="n"/>
      <c r="S21" s="32" t="n"/>
      <c r="T21" s="33" t="n"/>
      <c r="U21" s="40">
        <f>'S11'!T21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'S11'!M22+L22</f>
        <v/>
      </c>
      <c r="N22" s="36">
        <f>IFERROR(M22/K22,0)</f>
        <v/>
      </c>
      <c r="O22" s="42">
        <f>'S11'!N22</f>
        <v/>
      </c>
      <c r="P22" s="36">
        <f>N22-O22</f>
        <v/>
      </c>
      <c r="Q22" s="32" t="n"/>
      <c r="R22" s="32" t="n"/>
      <c r="S22" s="32" t="n"/>
      <c r="T22" s="33" t="n"/>
      <c r="U22" s="42">
        <f>'S11'!T22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'S11'!M23+L23</f>
        <v/>
      </c>
      <c r="N23" s="31">
        <f>IFERROR(M23/K23,0)</f>
        <v/>
      </c>
      <c r="O23" s="40">
        <f>'S11'!N23</f>
        <v/>
      </c>
      <c r="P23" s="31">
        <f>N23-O23</f>
        <v/>
      </c>
      <c r="Q23" s="32" t="n"/>
      <c r="R23" s="32" t="n"/>
      <c r="S23" s="32" t="n"/>
      <c r="T23" s="33" t="n"/>
      <c r="U23" s="40">
        <f>'S11'!T23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'S11'!M24+L24</f>
        <v/>
      </c>
      <c r="N24" s="36">
        <f>IFERROR(M24/K24,0)</f>
        <v/>
      </c>
      <c r="O24" s="42">
        <f>'S11'!N24</f>
        <v/>
      </c>
      <c r="P24" s="36">
        <f>N24-O24</f>
        <v/>
      </c>
      <c r="Q24" s="32" t="n"/>
      <c r="R24" s="32" t="n"/>
      <c r="S24" s="32" t="n"/>
      <c r="T24" s="33" t="n"/>
      <c r="U24" s="42">
        <f>'S11'!T24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'S11'!M25+L25</f>
        <v/>
      </c>
      <c r="N25" s="31">
        <f>IFERROR(M25/K25,0)</f>
        <v/>
      </c>
      <c r="O25" s="40">
        <f>'S11'!N25</f>
        <v/>
      </c>
      <c r="P25" s="31">
        <f>N25-O25</f>
        <v/>
      </c>
      <c r="Q25" s="32" t="n"/>
      <c r="R25" s="32" t="n"/>
      <c r="S25" s="32" t="n"/>
      <c r="T25" s="33" t="n"/>
      <c r="U25" s="40">
        <f>'S11'!T25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'S11'!M26+L26</f>
        <v/>
      </c>
      <c r="N26" s="36">
        <f>IFERROR(M26/K26,0)</f>
        <v/>
      </c>
      <c r="O26" s="42">
        <f>'S11'!N26</f>
        <v/>
      </c>
      <c r="P26" s="36">
        <f>N26-O26</f>
        <v/>
      </c>
      <c r="Q26" s="32" t="n"/>
      <c r="R26" s="32" t="n"/>
      <c r="S26" s="32" t="n"/>
      <c r="T26" s="33" t="n"/>
      <c r="U26" s="42">
        <f>'S11'!T26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'S11'!M27+L27</f>
        <v/>
      </c>
      <c r="N27" s="31">
        <f>IFERROR(M27/K27,0)</f>
        <v/>
      </c>
      <c r="O27" s="40">
        <f>'S11'!N27</f>
        <v/>
      </c>
      <c r="P27" s="31">
        <f>N27-O27</f>
        <v/>
      </c>
      <c r="Q27" s="32" t="n"/>
      <c r="R27" s="32" t="n"/>
      <c r="S27" s="32" t="n"/>
      <c r="T27" s="33" t="n"/>
      <c r="U27" s="40">
        <f>'S11'!T27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'S11'!M28+L28</f>
        <v/>
      </c>
      <c r="N28" s="36">
        <f>IFERROR(M28/K28,0)</f>
        <v/>
      </c>
      <c r="O28" s="42">
        <f>'S11'!N28</f>
        <v/>
      </c>
      <c r="P28" s="36">
        <f>N28-O28</f>
        <v/>
      </c>
      <c r="Q28" s="32" t="n"/>
      <c r="R28" s="32" t="n"/>
      <c r="S28" s="32" t="n"/>
      <c r="T28" s="33" t="n"/>
      <c r="U28" s="42">
        <f>'S11'!T28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'S11'!M29+L29</f>
        <v/>
      </c>
      <c r="N29" s="31">
        <f>IFERROR(M29/K29,0)</f>
        <v/>
      </c>
      <c r="O29" s="40">
        <f>'S11'!N29</f>
        <v/>
      </c>
      <c r="P29" s="31">
        <f>N29-O29</f>
        <v/>
      </c>
      <c r="Q29" s="32" t="n"/>
      <c r="R29" s="32" t="n"/>
      <c r="S29" s="32" t="n"/>
      <c r="T29" s="33" t="n"/>
      <c r="U29" s="40">
        <f>'S11'!T29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'S11'!M30+L30</f>
        <v/>
      </c>
      <c r="N30" s="36">
        <f>IFERROR(M30/K30,0)</f>
        <v/>
      </c>
      <c r="O30" s="42">
        <f>'S11'!N30</f>
        <v/>
      </c>
      <c r="P30" s="36">
        <f>N30-O30</f>
        <v/>
      </c>
      <c r="Q30" s="32" t="n"/>
      <c r="R30" s="32" t="n"/>
      <c r="S30" s="32" t="n"/>
      <c r="T30" s="33" t="n"/>
      <c r="U30" s="42">
        <f>'S11'!T30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'S11'!M31+L31</f>
        <v/>
      </c>
      <c r="N31" s="31">
        <f>IFERROR(M31/K31,0)</f>
        <v/>
      </c>
      <c r="O31" s="40">
        <f>'S11'!N31</f>
        <v/>
      </c>
      <c r="P31" s="31">
        <f>N31-O31</f>
        <v/>
      </c>
      <c r="Q31" s="32" t="n"/>
      <c r="R31" s="32" t="n"/>
      <c r="S31" s="32" t="n"/>
      <c r="T31" s="33" t="n"/>
      <c r="U31" s="40">
        <f>'S11'!T31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'S11'!M32+L32</f>
        <v/>
      </c>
      <c r="N32" s="36">
        <f>IFERROR(M32/K32,0)</f>
        <v/>
      </c>
      <c r="O32" s="42">
        <f>'S11'!N32</f>
        <v/>
      </c>
      <c r="P32" s="36">
        <f>N32-O32</f>
        <v/>
      </c>
      <c r="Q32" s="32" t="n"/>
      <c r="R32" s="32" t="n"/>
      <c r="S32" s="32" t="n"/>
      <c r="T32" s="33" t="n"/>
      <c r="U32" s="42">
        <f>'S11'!T32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'S11'!M33+L33</f>
        <v/>
      </c>
      <c r="N33" s="31">
        <f>IFERROR(M33/K33,0)</f>
        <v/>
      </c>
      <c r="O33" s="40">
        <f>'S11'!N33</f>
        <v/>
      </c>
      <c r="P33" s="31">
        <f>N33-O33</f>
        <v/>
      </c>
      <c r="Q33" s="32" t="n"/>
      <c r="R33" s="32" t="n"/>
      <c r="S33" s="32" t="n"/>
      <c r="T33" s="33" t="n"/>
      <c r="U33" s="40">
        <f>'S11'!T33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'S11'!M34+L34</f>
        <v/>
      </c>
      <c r="N34" s="36">
        <f>IFERROR(M34/K34,0)</f>
        <v/>
      </c>
      <c r="O34" s="42">
        <f>'S11'!N34</f>
        <v/>
      </c>
      <c r="P34" s="36">
        <f>N34-O34</f>
        <v/>
      </c>
      <c r="Q34" s="32" t="n"/>
      <c r="R34" s="32" t="n"/>
      <c r="S34" s="32" t="n"/>
      <c r="T34" s="33" t="n"/>
      <c r="U34" s="42">
        <f>'S11'!T34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'S11'!M35+L35</f>
        <v/>
      </c>
      <c r="N35" s="31">
        <f>IFERROR(M35/K35,0)</f>
        <v/>
      </c>
      <c r="O35" s="40">
        <f>'S11'!N35</f>
        <v/>
      </c>
      <c r="P35" s="31">
        <f>N35-O35</f>
        <v/>
      </c>
      <c r="Q35" s="32" t="n"/>
      <c r="R35" s="32" t="n"/>
      <c r="S35" s="32" t="n"/>
      <c r="T35" s="33" t="n"/>
      <c r="U35" s="40">
        <f>'S11'!T35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'S11'!M36+L36</f>
        <v/>
      </c>
      <c r="N36" s="36">
        <f>IFERROR(M36/K36,0)</f>
        <v/>
      </c>
      <c r="O36" s="42">
        <f>'S11'!N36</f>
        <v/>
      </c>
      <c r="P36" s="36">
        <f>N36-O36</f>
        <v/>
      </c>
      <c r="Q36" s="32" t="n"/>
      <c r="R36" s="32" t="n"/>
      <c r="S36" s="32" t="n"/>
      <c r="T36" s="33" t="n"/>
      <c r="U36" s="42">
        <f>'S11'!T36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'S11'!M37+L37</f>
        <v/>
      </c>
      <c r="N37" s="31">
        <f>IFERROR(M37/K37,0)</f>
        <v/>
      </c>
      <c r="O37" s="40">
        <f>'S11'!N37</f>
        <v/>
      </c>
      <c r="P37" s="31">
        <f>N37-O37</f>
        <v/>
      </c>
      <c r="Q37" s="32" t="n"/>
      <c r="R37" s="32" t="n"/>
      <c r="S37" s="32" t="n"/>
      <c r="T37" s="33" t="n"/>
      <c r="U37" s="40">
        <f>'S11'!T37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'S11'!M38+L38</f>
        <v/>
      </c>
      <c r="N38" s="36">
        <f>IFERROR(M38/K38,0)</f>
        <v/>
      </c>
      <c r="O38" s="42">
        <f>'S11'!N38</f>
        <v/>
      </c>
      <c r="P38" s="36">
        <f>N38-O38</f>
        <v/>
      </c>
      <c r="Q38" s="32" t="n"/>
      <c r="R38" s="32" t="n"/>
      <c r="S38" s="32" t="n"/>
      <c r="T38" s="33" t="n"/>
      <c r="U38" s="42">
        <f>'S11'!T38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'S11'!M39+L39</f>
        <v/>
      </c>
      <c r="N39" s="31">
        <f>IFERROR(M39/K39,0)</f>
        <v/>
      </c>
      <c r="O39" s="40">
        <f>'S11'!N39</f>
        <v/>
      </c>
      <c r="P39" s="31">
        <f>N39-O39</f>
        <v/>
      </c>
      <c r="Q39" s="32" t="n"/>
      <c r="R39" s="32" t="n"/>
      <c r="S39" s="32" t="n"/>
      <c r="T39" s="33" t="n"/>
      <c r="U39" s="40">
        <f>'S11'!T39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'S11'!M40+L40</f>
        <v/>
      </c>
      <c r="N40" s="36">
        <f>IFERROR(M40/K40,0)</f>
        <v/>
      </c>
      <c r="O40" s="42">
        <f>'S11'!N40</f>
        <v/>
      </c>
      <c r="P40" s="36">
        <f>N40-O40</f>
        <v/>
      </c>
      <c r="Q40" s="32" t="n"/>
      <c r="R40" s="32" t="n"/>
      <c r="S40" s="32" t="n"/>
      <c r="T40" s="33" t="n"/>
      <c r="U40" s="42">
        <f>'S11'!T40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'S11'!M41+L41</f>
        <v/>
      </c>
      <c r="N41" s="31">
        <f>IFERROR(M41/K41,0)</f>
        <v/>
      </c>
      <c r="O41" s="40">
        <f>'S11'!N41</f>
        <v/>
      </c>
      <c r="P41" s="31">
        <f>N41-O41</f>
        <v/>
      </c>
      <c r="Q41" s="32" t="n"/>
      <c r="R41" s="32" t="n"/>
      <c r="S41" s="32" t="n"/>
      <c r="T41" s="33" t="n"/>
      <c r="U41" s="40">
        <f>'S11'!T41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'S11'!M42+L42</f>
        <v/>
      </c>
      <c r="N42" s="36">
        <f>IFERROR(M42/K42,0)</f>
        <v/>
      </c>
      <c r="O42" s="42">
        <f>'S11'!N42</f>
        <v/>
      </c>
      <c r="P42" s="36">
        <f>N42-O42</f>
        <v/>
      </c>
      <c r="Q42" s="32" t="n"/>
      <c r="R42" s="32" t="n"/>
      <c r="S42" s="32" t="n"/>
      <c r="T42" s="33" t="n"/>
      <c r="U42" s="42">
        <f>'S11'!T42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'S11'!M43+L43</f>
        <v/>
      </c>
      <c r="N43" s="31">
        <f>IFERROR(M43/K43,0)</f>
        <v/>
      </c>
      <c r="O43" s="40">
        <f>'S11'!N43</f>
        <v/>
      </c>
      <c r="P43" s="31">
        <f>N43-O43</f>
        <v/>
      </c>
      <c r="Q43" s="32" t="n"/>
      <c r="R43" s="32" t="n"/>
      <c r="S43" s="32" t="n"/>
      <c r="T43" s="33" t="n"/>
      <c r="U43" s="40">
        <f>'S11'!T43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'S11'!M44+L44</f>
        <v/>
      </c>
      <c r="N44" s="36">
        <f>IFERROR(M44/K44,0)</f>
        <v/>
      </c>
      <c r="O44" s="42">
        <f>'S11'!N44</f>
        <v/>
      </c>
      <c r="P44" s="36">
        <f>N44-O44</f>
        <v/>
      </c>
      <c r="Q44" s="32" t="n"/>
      <c r="R44" s="32" t="n"/>
      <c r="S44" s="32" t="n"/>
      <c r="T44" s="33" t="n"/>
      <c r="U44" s="42">
        <f>'S11'!T44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'S11'!M45+L45</f>
        <v/>
      </c>
      <c r="N45" s="31">
        <f>IFERROR(M45/K45,0)</f>
        <v/>
      </c>
      <c r="O45" s="40">
        <f>'S11'!N45</f>
        <v/>
      </c>
      <c r="P45" s="31">
        <f>N45-O45</f>
        <v/>
      </c>
      <c r="Q45" s="32" t="n"/>
      <c r="R45" s="32" t="n"/>
      <c r="S45" s="32" t="n"/>
      <c r="T45" s="33" t="n"/>
      <c r="U45" s="40">
        <f>'S11'!T45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'S11'!M46+L46</f>
        <v/>
      </c>
      <c r="N46" s="36">
        <f>IFERROR(M46/K46,0)</f>
        <v/>
      </c>
      <c r="O46" s="42">
        <f>'S11'!N46</f>
        <v/>
      </c>
      <c r="P46" s="36">
        <f>N46-O46</f>
        <v/>
      </c>
      <c r="Q46" s="32" t="n"/>
      <c r="R46" s="32" t="n"/>
      <c r="S46" s="32" t="n"/>
      <c r="T46" s="33" t="n"/>
      <c r="U46" s="42">
        <f>'S11'!T46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'S11'!M47+L47</f>
        <v/>
      </c>
      <c r="N47" s="31">
        <f>IFERROR(M47/K47,0)</f>
        <v/>
      </c>
      <c r="O47" s="40">
        <f>'S11'!N47</f>
        <v/>
      </c>
      <c r="P47" s="31">
        <f>N47-O47</f>
        <v/>
      </c>
      <c r="Q47" s="32" t="n"/>
      <c r="R47" s="32" t="n"/>
      <c r="S47" s="32" t="n"/>
      <c r="T47" s="33" t="n"/>
      <c r="U47" s="40">
        <f>'S11'!T47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'S11'!M48+L48</f>
        <v/>
      </c>
      <c r="N48" s="36">
        <f>IFERROR(M48/K48,0)</f>
        <v/>
      </c>
      <c r="O48" s="42">
        <f>'S11'!N48</f>
        <v/>
      </c>
      <c r="P48" s="36">
        <f>N48-O48</f>
        <v/>
      </c>
      <c r="Q48" s="32" t="n"/>
      <c r="R48" s="32" t="n"/>
      <c r="S48" s="32" t="n"/>
      <c r="T48" s="33" t="n"/>
      <c r="U48" s="42">
        <f>'S11'!T48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'S11'!M49+L49</f>
        <v/>
      </c>
      <c r="N49" s="31">
        <f>IFERROR(M49/K49,0)</f>
        <v/>
      </c>
      <c r="O49" s="40">
        <f>'S11'!N49</f>
        <v/>
      </c>
      <c r="P49" s="31">
        <f>N49-O49</f>
        <v/>
      </c>
      <c r="Q49" s="32" t="n"/>
      <c r="R49" s="32" t="n"/>
      <c r="S49" s="32" t="n"/>
      <c r="T49" s="33" t="n"/>
      <c r="U49" s="40">
        <f>'S11'!T49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'S11'!M50+L50</f>
        <v/>
      </c>
      <c r="N50" s="36">
        <f>IFERROR(M50/K50,0)</f>
        <v/>
      </c>
      <c r="O50" s="42">
        <f>'S11'!N50</f>
        <v/>
      </c>
      <c r="P50" s="36">
        <f>N50-O50</f>
        <v/>
      </c>
      <c r="Q50" s="32" t="n"/>
      <c r="R50" s="32" t="n"/>
      <c r="S50" s="32" t="n"/>
      <c r="T50" s="33" t="n"/>
      <c r="U50" s="42">
        <f>'S11'!T50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'S11'!M51+L51</f>
        <v/>
      </c>
      <c r="N51" s="31">
        <f>IFERROR(M51/K51,0)</f>
        <v/>
      </c>
      <c r="O51" s="40">
        <f>'S11'!N51</f>
        <v/>
      </c>
      <c r="P51" s="31">
        <f>N51-O51</f>
        <v/>
      </c>
      <c r="Q51" s="32" t="n"/>
      <c r="R51" s="32" t="n"/>
      <c r="S51" s="32" t="n"/>
      <c r="T51" s="33" t="n"/>
      <c r="U51" s="40">
        <f>'S11'!T51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'S11'!M52+L52</f>
        <v/>
      </c>
      <c r="N52" s="36">
        <f>IFERROR(M52/K52,0)</f>
        <v/>
      </c>
      <c r="O52" s="42">
        <f>'S11'!N52</f>
        <v/>
      </c>
      <c r="P52" s="36">
        <f>N52-O52</f>
        <v/>
      </c>
      <c r="Q52" s="32" t="n"/>
      <c r="R52" s="32" t="n"/>
      <c r="S52" s="32" t="n"/>
      <c r="T52" s="33" t="n"/>
      <c r="U52" s="42">
        <f>'S11'!T52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'S11'!M53+L53</f>
        <v/>
      </c>
      <c r="N53" s="31">
        <f>IFERROR(M53/K53,0)</f>
        <v/>
      </c>
      <c r="O53" s="40">
        <f>'S11'!N53</f>
        <v/>
      </c>
      <c r="P53" s="31">
        <f>N53-O53</f>
        <v/>
      </c>
      <c r="Q53" s="32" t="n"/>
      <c r="R53" s="32" t="n"/>
      <c r="S53" s="32" t="n"/>
      <c r="T53" s="33" t="n"/>
      <c r="U53" s="40">
        <f>'S11'!T53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'S11'!M54+L54</f>
        <v/>
      </c>
      <c r="N54" s="36">
        <f>IFERROR(M54/K54,0)</f>
        <v/>
      </c>
      <c r="O54" s="42">
        <f>'S11'!N54</f>
        <v/>
      </c>
      <c r="P54" s="36">
        <f>N54-O54</f>
        <v/>
      </c>
      <c r="Q54" s="32" t="n"/>
      <c r="R54" s="32" t="n"/>
      <c r="S54" s="32" t="n"/>
      <c r="T54" s="33" t="n"/>
      <c r="U54" s="42">
        <f>'S11'!T54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'S11'!M55+L55</f>
        <v/>
      </c>
      <c r="N55" s="31">
        <f>IFERROR(M55/K55,0)</f>
        <v/>
      </c>
      <c r="O55" s="40">
        <f>'S11'!N55</f>
        <v/>
      </c>
      <c r="P55" s="31">
        <f>N55-O55</f>
        <v/>
      </c>
      <c r="Q55" s="32" t="n"/>
      <c r="R55" s="32" t="n"/>
      <c r="S55" s="32" t="n"/>
      <c r="T55" s="33" t="n"/>
      <c r="U55" s="40">
        <f>'S11'!T55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'S11'!M56+L56</f>
        <v/>
      </c>
      <c r="N56" s="36">
        <f>IFERROR(M56/K56,0)</f>
        <v/>
      </c>
      <c r="O56" s="42">
        <f>'S11'!N56</f>
        <v/>
      </c>
      <c r="P56" s="36">
        <f>N56-O56</f>
        <v/>
      </c>
      <c r="Q56" s="32" t="n"/>
      <c r="R56" s="32" t="n"/>
      <c r="S56" s="32" t="n"/>
      <c r="T56" s="33" t="n"/>
      <c r="U56" s="42">
        <f>'S11'!T56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'S11'!M57+L57</f>
        <v/>
      </c>
      <c r="N57" s="31">
        <f>IFERROR(M57/K57,0)</f>
        <v/>
      </c>
      <c r="O57" s="40">
        <f>'S11'!N57</f>
        <v/>
      </c>
      <c r="P57" s="31">
        <f>N57-O57</f>
        <v/>
      </c>
      <c r="Q57" s="32" t="n"/>
      <c r="R57" s="32" t="n"/>
      <c r="S57" s="32" t="n"/>
      <c r="T57" s="33" t="n"/>
      <c r="U57" s="40">
        <f>'S11'!T57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'S11'!M58+L58</f>
        <v/>
      </c>
      <c r="N58" s="36">
        <f>IFERROR(M58/K58,0)</f>
        <v/>
      </c>
      <c r="O58" s="42">
        <f>'S11'!N58</f>
        <v/>
      </c>
      <c r="P58" s="36">
        <f>N58-O58</f>
        <v/>
      </c>
      <c r="Q58" s="32" t="n"/>
      <c r="R58" s="32" t="n"/>
      <c r="S58" s="32" t="n"/>
      <c r="T58" s="33" t="n"/>
      <c r="U58" s="42">
        <f>'S11'!T58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'S11'!M59+L59</f>
        <v/>
      </c>
      <c r="N59" s="31">
        <f>IFERROR(M59/K59,0)</f>
        <v/>
      </c>
      <c r="O59" s="40">
        <f>'S11'!N59</f>
        <v/>
      </c>
      <c r="P59" s="31">
        <f>N59-O59</f>
        <v/>
      </c>
      <c r="Q59" s="32" t="n"/>
      <c r="R59" s="32" t="n"/>
      <c r="S59" s="32" t="n"/>
      <c r="T59" s="33" t="n"/>
      <c r="U59" s="40">
        <f>'S11'!T59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'S11'!M60+L60</f>
        <v/>
      </c>
      <c r="N60" s="36">
        <f>IFERROR(M60/K60,0)</f>
        <v/>
      </c>
      <c r="O60" s="42">
        <f>'S11'!N60</f>
        <v/>
      </c>
      <c r="P60" s="36">
        <f>N60-O60</f>
        <v/>
      </c>
      <c r="Q60" s="32" t="n"/>
      <c r="R60" s="32" t="n"/>
      <c r="S60" s="32" t="n"/>
      <c r="T60" s="33" t="n"/>
      <c r="U60" s="42">
        <f>'S11'!T60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'S11'!M61+L61</f>
        <v/>
      </c>
      <c r="N61" s="31">
        <f>IFERROR(M61/K61,0)</f>
        <v/>
      </c>
      <c r="O61" s="40">
        <f>'S11'!N61</f>
        <v/>
      </c>
      <c r="P61" s="31">
        <f>N61-O61</f>
        <v/>
      </c>
      <c r="Q61" s="32" t="n"/>
      <c r="R61" s="32" t="n"/>
      <c r="S61" s="32" t="n"/>
      <c r="T61" s="33" t="n"/>
      <c r="U61" s="40">
        <f>'S11'!T61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'S11'!M62+L62</f>
        <v/>
      </c>
      <c r="N62" s="36">
        <f>IFERROR(M62/K62,0)</f>
        <v/>
      </c>
      <c r="O62" s="42">
        <f>'S11'!N62</f>
        <v/>
      </c>
      <c r="P62" s="36">
        <f>N62-O62</f>
        <v/>
      </c>
      <c r="Q62" s="32" t="n"/>
      <c r="R62" s="32" t="n"/>
      <c r="S62" s="32" t="n"/>
      <c r="T62" s="33" t="n"/>
      <c r="U62" s="42">
        <f>'S11'!T62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'S11'!M63+L63</f>
        <v/>
      </c>
      <c r="N63" s="31">
        <f>IFERROR(M63/K63,0)</f>
        <v/>
      </c>
      <c r="O63" s="40">
        <f>'S11'!N63</f>
        <v/>
      </c>
      <c r="P63" s="31">
        <f>N63-O63</f>
        <v/>
      </c>
      <c r="Q63" s="32" t="n"/>
      <c r="R63" s="32" t="n"/>
      <c r="S63" s="32" t="n"/>
      <c r="T63" s="33" t="n"/>
      <c r="U63" s="40">
        <f>'S11'!T63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'S11'!M64+L64</f>
        <v/>
      </c>
      <c r="N64" s="36">
        <f>IFERROR(M64/K64,0)</f>
        <v/>
      </c>
      <c r="O64" s="42">
        <f>'S11'!N64</f>
        <v/>
      </c>
      <c r="P64" s="36">
        <f>N64-O64</f>
        <v/>
      </c>
      <c r="Q64" s="32" t="n"/>
      <c r="R64" s="32" t="n"/>
      <c r="S64" s="32" t="n"/>
      <c r="T64" s="33" t="n"/>
      <c r="U64" s="42">
        <f>'S11'!T64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'S11'!M65+L65</f>
        <v/>
      </c>
      <c r="N65" s="31">
        <f>IFERROR(M65/K65,0)</f>
        <v/>
      </c>
      <c r="O65" s="40">
        <f>'S11'!N65</f>
        <v/>
      </c>
      <c r="P65" s="31">
        <f>N65-O65</f>
        <v/>
      </c>
      <c r="Q65" s="32" t="n"/>
      <c r="R65" s="32" t="n"/>
      <c r="S65" s="32" t="n"/>
      <c r="T65" s="33" t="n"/>
      <c r="U65" s="40">
        <f>'S11'!T65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'S11'!M66+L66</f>
        <v/>
      </c>
      <c r="N66" s="36">
        <f>IFERROR(M66/K66,0)</f>
        <v/>
      </c>
      <c r="O66" s="42">
        <f>'S11'!N66</f>
        <v/>
      </c>
      <c r="P66" s="36">
        <f>N66-O66</f>
        <v/>
      </c>
      <c r="Q66" s="32" t="n"/>
      <c r="R66" s="32" t="n"/>
      <c r="S66" s="32" t="n"/>
      <c r="T66" s="33" t="n"/>
      <c r="U66" s="42">
        <f>'S11'!T66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'S11'!M67+L67</f>
        <v/>
      </c>
      <c r="N67" s="31">
        <f>IFERROR(M67/K67,0)</f>
        <v/>
      </c>
      <c r="O67" s="40">
        <f>'S11'!N67</f>
        <v/>
      </c>
      <c r="P67" s="31">
        <f>N67-O67</f>
        <v/>
      </c>
      <c r="Q67" s="32" t="n"/>
      <c r="R67" s="32" t="n"/>
      <c r="S67" s="32" t="n"/>
      <c r="T67" s="33" t="n"/>
      <c r="U67" s="40">
        <f>'S11'!T67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'S11'!M68+L68</f>
        <v/>
      </c>
      <c r="N68" s="36">
        <f>IFERROR(M68/K68,0)</f>
        <v/>
      </c>
      <c r="O68" s="42">
        <f>'S11'!N68</f>
        <v/>
      </c>
      <c r="P68" s="36">
        <f>N68-O68</f>
        <v/>
      </c>
      <c r="Q68" s="32" t="n"/>
      <c r="R68" s="32" t="n"/>
      <c r="S68" s="32" t="n"/>
      <c r="T68" s="33" t="n"/>
      <c r="U68" s="42">
        <f>'S11'!T68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'S11'!M69+L69</f>
        <v/>
      </c>
      <c r="N69" s="31">
        <f>IFERROR(M69/K69,0)</f>
        <v/>
      </c>
      <c r="O69" s="40">
        <f>'S11'!N69</f>
        <v/>
      </c>
      <c r="P69" s="31">
        <f>N69-O69</f>
        <v/>
      </c>
      <c r="Q69" s="32" t="n"/>
      <c r="R69" s="32" t="n"/>
      <c r="S69" s="32" t="n"/>
      <c r="T69" s="33" t="n"/>
      <c r="U69" s="40">
        <f>'S11'!T69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'S11'!M70+L70</f>
        <v/>
      </c>
      <c r="N70" s="36">
        <f>IFERROR(M70/K70,0)</f>
        <v/>
      </c>
      <c r="O70" s="42">
        <f>'S11'!N70</f>
        <v/>
      </c>
      <c r="P70" s="36">
        <f>N70-O70</f>
        <v/>
      </c>
      <c r="Q70" s="32" t="n"/>
      <c r="R70" s="32" t="n"/>
      <c r="S70" s="32" t="n"/>
      <c r="T70" s="33" t="n"/>
      <c r="U70" s="42">
        <f>'S11'!T70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'S11'!M71+L71</f>
        <v/>
      </c>
      <c r="N71" s="31">
        <f>IFERROR(M71/K71,0)</f>
        <v/>
      </c>
      <c r="O71" s="40">
        <f>'S11'!N71</f>
        <v/>
      </c>
      <c r="P71" s="31">
        <f>N71-O71</f>
        <v/>
      </c>
      <c r="Q71" s="32" t="n"/>
      <c r="R71" s="32" t="n"/>
      <c r="S71" s="32" t="n"/>
      <c r="T71" s="33" t="n"/>
      <c r="U71" s="40">
        <f>'S11'!T71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'S11'!M72+L72</f>
        <v/>
      </c>
      <c r="N72" s="36">
        <f>IFERROR(M72/K72,0)</f>
        <v/>
      </c>
      <c r="O72" s="42">
        <f>'S11'!N72</f>
        <v/>
      </c>
      <c r="P72" s="36">
        <f>N72-O72</f>
        <v/>
      </c>
      <c r="Q72" s="32" t="n"/>
      <c r="R72" s="32" t="n"/>
      <c r="S72" s="32" t="n"/>
      <c r="T72" s="33" t="n"/>
      <c r="U72" s="42">
        <f>'S11'!T72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'S11'!M73+L73</f>
        <v/>
      </c>
      <c r="N73" s="31">
        <f>IFERROR(M73/K73,0)</f>
        <v/>
      </c>
      <c r="O73" s="40">
        <f>'S11'!N73</f>
        <v/>
      </c>
      <c r="P73" s="31">
        <f>N73-O73</f>
        <v/>
      </c>
      <c r="Q73" s="32" t="n"/>
      <c r="R73" s="32" t="n"/>
      <c r="S73" s="32" t="n"/>
      <c r="T73" s="33" t="n"/>
      <c r="U73" s="40">
        <f>'S11'!T73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'S11'!M74+L74</f>
        <v/>
      </c>
      <c r="N74" s="36">
        <f>IFERROR(M74/K74,0)</f>
        <v/>
      </c>
      <c r="O74" s="42">
        <f>'S11'!N74</f>
        <v/>
      </c>
      <c r="P74" s="36">
        <f>N74-O74</f>
        <v/>
      </c>
      <c r="Q74" s="32" t="n"/>
      <c r="R74" s="32" t="n"/>
      <c r="S74" s="32" t="n"/>
      <c r="T74" s="33" t="n"/>
      <c r="U74" s="42">
        <f>'S11'!T74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'S11'!M75+L75</f>
        <v/>
      </c>
      <c r="N75" s="31">
        <f>IFERROR(M75/K75,0)</f>
        <v/>
      </c>
      <c r="O75" s="40">
        <f>'S11'!N75</f>
        <v/>
      </c>
      <c r="P75" s="31">
        <f>N75-O75</f>
        <v/>
      </c>
      <c r="Q75" s="32" t="n"/>
      <c r="R75" s="32" t="n"/>
      <c r="S75" s="32" t="n"/>
      <c r="T75" s="33" t="n"/>
      <c r="U75" s="40">
        <f>'S11'!T75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'S11'!M76+L76</f>
        <v/>
      </c>
      <c r="N76" s="36">
        <f>IFERROR(M76/K76,0)</f>
        <v/>
      </c>
      <c r="O76" s="42">
        <f>'S11'!N76</f>
        <v/>
      </c>
      <c r="P76" s="36">
        <f>N76-O76</f>
        <v/>
      </c>
      <c r="Q76" s="32" t="n"/>
      <c r="R76" s="32" t="n"/>
      <c r="S76" s="32" t="n"/>
      <c r="T76" s="33" t="n"/>
      <c r="U76" s="42">
        <f>'S11'!T76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15.xml><?xml version="1.0" encoding="utf-8"?>
<worksheet xmlns="http://schemas.openxmlformats.org/spreadsheetml/2006/main">
  <sheetPr>
    <tabColor rgb="0070AD47"/>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13 (23/03 - 29/03) — Mars 2026 - Exécution Physique et Financière</t>
        </is>
      </c>
    </row>
    <row r="3" ht="22" customHeight="1">
      <c r="B3" s="20" t="inlineStr">
        <is>
          <t>Date :</t>
        </is>
      </c>
      <c r="C3" s="21" t="n">
        <v>46104</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'S12'!M5+L5</f>
        <v/>
      </c>
      <c r="N5" s="31">
        <f>IFERROR(M5/K5,0)</f>
        <v/>
      </c>
      <c r="O5" s="40">
        <f>'S12'!N5</f>
        <v/>
      </c>
      <c r="P5" s="31">
        <f>N5-O5</f>
        <v/>
      </c>
      <c r="Q5" s="32" t="n"/>
      <c r="R5" s="32" t="n"/>
      <c r="S5" s="32" t="n"/>
      <c r="T5" s="33" t="n"/>
      <c r="U5" s="40">
        <f>'S12'!T5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'S12'!M6+L6</f>
        <v/>
      </c>
      <c r="N6" s="36">
        <f>IFERROR(M6/K6,0)</f>
        <v/>
      </c>
      <c r="O6" s="42">
        <f>'S12'!N6</f>
        <v/>
      </c>
      <c r="P6" s="36">
        <f>N6-O6</f>
        <v/>
      </c>
      <c r="Q6" s="32" t="n"/>
      <c r="R6" s="32" t="n"/>
      <c r="S6" s="32" t="n"/>
      <c r="T6" s="33" t="n"/>
      <c r="U6" s="42">
        <f>'S12'!T6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'S12'!M7+L7</f>
        <v/>
      </c>
      <c r="N7" s="31">
        <f>IFERROR(M7/K7,0)</f>
        <v/>
      </c>
      <c r="O7" s="40">
        <f>'S12'!N7</f>
        <v/>
      </c>
      <c r="P7" s="31">
        <f>N7-O7</f>
        <v/>
      </c>
      <c r="Q7" s="32" t="n"/>
      <c r="R7" s="32" t="n"/>
      <c r="S7" s="32" t="n"/>
      <c r="T7" s="33" t="n"/>
      <c r="U7" s="40">
        <f>'S12'!T7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'S12'!M8+L8</f>
        <v/>
      </c>
      <c r="N8" s="36">
        <f>IFERROR(M8/K8,0)</f>
        <v/>
      </c>
      <c r="O8" s="42">
        <f>'S12'!N8</f>
        <v/>
      </c>
      <c r="P8" s="36">
        <f>N8-O8</f>
        <v/>
      </c>
      <c r="Q8" s="32" t="n"/>
      <c r="R8" s="32" t="n"/>
      <c r="S8" s="32" t="n"/>
      <c r="T8" s="33" t="n"/>
      <c r="U8" s="42">
        <f>'S12'!T8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'S12'!M9+L9</f>
        <v/>
      </c>
      <c r="N9" s="31">
        <f>IFERROR(M9/K9,0)</f>
        <v/>
      </c>
      <c r="O9" s="40">
        <f>'S12'!N9</f>
        <v/>
      </c>
      <c r="P9" s="31">
        <f>N9-O9</f>
        <v/>
      </c>
      <c r="Q9" s="32" t="n"/>
      <c r="R9" s="32" t="n"/>
      <c r="S9" s="32" t="n"/>
      <c r="T9" s="33" t="n"/>
      <c r="U9" s="40">
        <f>'S12'!T9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'S12'!M10+L10</f>
        <v/>
      </c>
      <c r="N10" s="36">
        <f>IFERROR(M10/K10,0)</f>
        <v/>
      </c>
      <c r="O10" s="42">
        <f>'S12'!N10</f>
        <v/>
      </c>
      <c r="P10" s="36">
        <f>N10-O10</f>
        <v/>
      </c>
      <c r="Q10" s="32" t="n"/>
      <c r="R10" s="32" t="n"/>
      <c r="S10" s="32" t="n"/>
      <c r="T10" s="33" t="n"/>
      <c r="U10" s="42">
        <f>'S12'!T10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'S12'!M11+L11</f>
        <v/>
      </c>
      <c r="N11" s="31">
        <f>IFERROR(M11/K11,0)</f>
        <v/>
      </c>
      <c r="O11" s="40">
        <f>'S12'!N11</f>
        <v/>
      </c>
      <c r="P11" s="31">
        <f>N11-O11</f>
        <v/>
      </c>
      <c r="Q11" s="32" t="n"/>
      <c r="R11" s="32" t="n"/>
      <c r="S11" s="32" t="n"/>
      <c r="T11" s="33" t="n"/>
      <c r="U11" s="40">
        <f>'S12'!T11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'S12'!M12+L12</f>
        <v/>
      </c>
      <c r="N12" s="36">
        <f>IFERROR(M12/K12,0)</f>
        <v/>
      </c>
      <c r="O12" s="42">
        <f>'S12'!N12</f>
        <v/>
      </c>
      <c r="P12" s="36">
        <f>N12-O12</f>
        <v/>
      </c>
      <c r="Q12" s="32" t="n"/>
      <c r="R12" s="32" t="n"/>
      <c r="S12" s="32" t="n"/>
      <c r="T12" s="33" t="n"/>
      <c r="U12" s="42">
        <f>'S12'!T12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'S12'!M13+L13</f>
        <v/>
      </c>
      <c r="N13" s="31">
        <f>IFERROR(M13/K13,0)</f>
        <v/>
      </c>
      <c r="O13" s="40">
        <f>'S12'!N13</f>
        <v/>
      </c>
      <c r="P13" s="31">
        <f>N13-O13</f>
        <v/>
      </c>
      <c r="Q13" s="32" t="n"/>
      <c r="R13" s="32" t="n"/>
      <c r="S13" s="32" t="n"/>
      <c r="T13" s="33" t="n"/>
      <c r="U13" s="40">
        <f>'S12'!T13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'S12'!M14+L14</f>
        <v/>
      </c>
      <c r="N14" s="36">
        <f>IFERROR(M14/K14,0)</f>
        <v/>
      </c>
      <c r="O14" s="42">
        <f>'S12'!N14</f>
        <v/>
      </c>
      <c r="P14" s="36">
        <f>N14-O14</f>
        <v/>
      </c>
      <c r="Q14" s="32" t="n"/>
      <c r="R14" s="32" t="n"/>
      <c r="S14" s="32" t="n"/>
      <c r="T14" s="33" t="n"/>
      <c r="U14" s="42">
        <f>'S12'!T14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'S12'!M15+L15</f>
        <v/>
      </c>
      <c r="N15" s="31">
        <f>IFERROR(M15/K15,0)</f>
        <v/>
      </c>
      <c r="O15" s="40">
        <f>'S12'!N15</f>
        <v/>
      </c>
      <c r="P15" s="31">
        <f>N15-O15</f>
        <v/>
      </c>
      <c r="Q15" s="32" t="n"/>
      <c r="R15" s="32" t="n"/>
      <c r="S15" s="32" t="n"/>
      <c r="T15" s="33" t="n"/>
      <c r="U15" s="40">
        <f>'S12'!T15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'S12'!M16+L16</f>
        <v/>
      </c>
      <c r="N16" s="36">
        <f>IFERROR(M16/K16,0)</f>
        <v/>
      </c>
      <c r="O16" s="42">
        <f>'S12'!N16</f>
        <v/>
      </c>
      <c r="P16" s="36">
        <f>N16-O16</f>
        <v/>
      </c>
      <c r="Q16" s="32" t="n"/>
      <c r="R16" s="32" t="n"/>
      <c r="S16" s="32" t="n"/>
      <c r="T16" s="33" t="n"/>
      <c r="U16" s="42">
        <f>'S12'!T16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'S12'!M17+L17</f>
        <v/>
      </c>
      <c r="N17" s="31">
        <f>IFERROR(M17/K17,0)</f>
        <v/>
      </c>
      <c r="O17" s="40">
        <f>'S12'!N17</f>
        <v/>
      </c>
      <c r="P17" s="31">
        <f>N17-O17</f>
        <v/>
      </c>
      <c r="Q17" s="32" t="n"/>
      <c r="R17" s="32" t="n"/>
      <c r="S17" s="32" t="n"/>
      <c r="T17" s="33" t="n"/>
      <c r="U17" s="40">
        <f>'S12'!T17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'S12'!M18+L18</f>
        <v/>
      </c>
      <c r="N18" s="36">
        <f>IFERROR(M18/K18,0)</f>
        <v/>
      </c>
      <c r="O18" s="42">
        <f>'S12'!N18</f>
        <v/>
      </c>
      <c r="P18" s="36">
        <f>N18-O18</f>
        <v/>
      </c>
      <c r="Q18" s="32" t="n"/>
      <c r="R18" s="32" t="n"/>
      <c r="S18" s="32" t="n"/>
      <c r="T18" s="33" t="n"/>
      <c r="U18" s="42">
        <f>'S12'!T18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'S12'!M19+L19</f>
        <v/>
      </c>
      <c r="N19" s="31">
        <f>IFERROR(M19/K19,0)</f>
        <v/>
      </c>
      <c r="O19" s="40">
        <f>'S12'!N19</f>
        <v/>
      </c>
      <c r="P19" s="31">
        <f>N19-O19</f>
        <v/>
      </c>
      <c r="Q19" s="32" t="n"/>
      <c r="R19" s="32" t="n"/>
      <c r="S19" s="32" t="n"/>
      <c r="T19" s="33" t="n"/>
      <c r="U19" s="40">
        <f>'S12'!T19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'S12'!M20+L20</f>
        <v/>
      </c>
      <c r="N20" s="36">
        <f>IFERROR(M20/K20,0)</f>
        <v/>
      </c>
      <c r="O20" s="42">
        <f>'S12'!N20</f>
        <v/>
      </c>
      <c r="P20" s="36">
        <f>N20-O20</f>
        <v/>
      </c>
      <c r="Q20" s="32" t="n"/>
      <c r="R20" s="32" t="n"/>
      <c r="S20" s="32" t="n"/>
      <c r="T20" s="33" t="n"/>
      <c r="U20" s="42">
        <f>'S12'!T20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'S12'!M21+L21</f>
        <v/>
      </c>
      <c r="N21" s="31">
        <f>IFERROR(M21/K21,0)</f>
        <v/>
      </c>
      <c r="O21" s="40">
        <f>'S12'!N21</f>
        <v/>
      </c>
      <c r="P21" s="31">
        <f>N21-O21</f>
        <v/>
      </c>
      <c r="Q21" s="32" t="n"/>
      <c r="R21" s="32" t="n"/>
      <c r="S21" s="32" t="n"/>
      <c r="T21" s="33" t="n"/>
      <c r="U21" s="40">
        <f>'S12'!T21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'S12'!M22+L22</f>
        <v/>
      </c>
      <c r="N22" s="36">
        <f>IFERROR(M22/K22,0)</f>
        <v/>
      </c>
      <c r="O22" s="42">
        <f>'S12'!N22</f>
        <v/>
      </c>
      <c r="P22" s="36">
        <f>N22-O22</f>
        <v/>
      </c>
      <c r="Q22" s="32" t="n"/>
      <c r="R22" s="32" t="n"/>
      <c r="S22" s="32" t="n"/>
      <c r="T22" s="33" t="n"/>
      <c r="U22" s="42">
        <f>'S12'!T22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'S12'!M23+L23</f>
        <v/>
      </c>
      <c r="N23" s="31">
        <f>IFERROR(M23/K23,0)</f>
        <v/>
      </c>
      <c r="O23" s="40">
        <f>'S12'!N23</f>
        <v/>
      </c>
      <c r="P23" s="31">
        <f>N23-O23</f>
        <v/>
      </c>
      <c r="Q23" s="32" t="n"/>
      <c r="R23" s="32" t="n"/>
      <c r="S23" s="32" t="n"/>
      <c r="T23" s="33" t="n"/>
      <c r="U23" s="40">
        <f>'S12'!T23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'S12'!M24+L24</f>
        <v/>
      </c>
      <c r="N24" s="36">
        <f>IFERROR(M24/K24,0)</f>
        <v/>
      </c>
      <c r="O24" s="42">
        <f>'S12'!N24</f>
        <v/>
      </c>
      <c r="P24" s="36">
        <f>N24-O24</f>
        <v/>
      </c>
      <c r="Q24" s="32" t="n"/>
      <c r="R24" s="32" t="n"/>
      <c r="S24" s="32" t="n"/>
      <c r="T24" s="33" t="n"/>
      <c r="U24" s="42">
        <f>'S12'!T24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'S12'!M25+L25</f>
        <v/>
      </c>
      <c r="N25" s="31">
        <f>IFERROR(M25/K25,0)</f>
        <v/>
      </c>
      <c r="O25" s="40">
        <f>'S12'!N25</f>
        <v/>
      </c>
      <c r="P25" s="31">
        <f>N25-O25</f>
        <v/>
      </c>
      <c r="Q25" s="32" t="n"/>
      <c r="R25" s="32" t="n"/>
      <c r="S25" s="32" t="n"/>
      <c r="T25" s="33" t="n"/>
      <c r="U25" s="40">
        <f>'S12'!T25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'S12'!M26+L26</f>
        <v/>
      </c>
      <c r="N26" s="36">
        <f>IFERROR(M26/K26,0)</f>
        <v/>
      </c>
      <c r="O26" s="42">
        <f>'S12'!N26</f>
        <v/>
      </c>
      <c r="P26" s="36">
        <f>N26-O26</f>
        <v/>
      </c>
      <c r="Q26" s="32" t="n"/>
      <c r="R26" s="32" t="n"/>
      <c r="S26" s="32" t="n"/>
      <c r="T26" s="33" t="n"/>
      <c r="U26" s="42">
        <f>'S12'!T26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'S12'!M27+L27</f>
        <v/>
      </c>
      <c r="N27" s="31">
        <f>IFERROR(M27/K27,0)</f>
        <v/>
      </c>
      <c r="O27" s="40">
        <f>'S12'!N27</f>
        <v/>
      </c>
      <c r="P27" s="31">
        <f>N27-O27</f>
        <v/>
      </c>
      <c r="Q27" s="32" t="n"/>
      <c r="R27" s="32" t="n"/>
      <c r="S27" s="32" t="n"/>
      <c r="T27" s="33" t="n"/>
      <c r="U27" s="40">
        <f>'S12'!T27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'S12'!M28+L28</f>
        <v/>
      </c>
      <c r="N28" s="36">
        <f>IFERROR(M28/K28,0)</f>
        <v/>
      </c>
      <c r="O28" s="42">
        <f>'S12'!N28</f>
        <v/>
      </c>
      <c r="P28" s="36">
        <f>N28-O28</f>
        <v/>
      </c>
      <c r="Q28" s="32" t="n"/>
      <c r="R28" s="32" t="n"/>
      <c r="S28" s="32" t="n"/>
      <c r="T28" s="33" t="n"/>
      <c r="U28" s="42">
        <f>'S12'!T28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'S12'!M29+L29</f>
        <v/>
      </c>
      <c r="N29" s="31">
        <f>IFERROR(M29/K29,0)</f>
        <v/>
      </c>
      <c r="O29" s="40">
        <f>'S12'!N29</f>
        <v/>
      </c>
      <c r="P29" s="31">
        <f>N29-O29</f>
        <v/>
      </c>
      <c r="Q29" s="32" t="n"/>
      <c r="R29" s="32" t="n"/>
      <c r="S29" s="32" t="n"/>
      <c r="T29" s="33" t="n"/>
      <c r="U29" s="40">
        <f>'S12'!T29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'S12'!M30+L30</f>
        <v/>
      </c>
      <c r="N30" s="36">
        <f>IFERROR(M30/K30,0)</f>
        <v/>
      </c>
      <c r="O30" s="42">
        <f>'S12'!N30</f>
        <v/>
      </c>
      <c r="P30" s="36">
        <f>N30-O30</f>
        <v/>
      </c>
      <c r="Q30" s="32" t="n"/>
      <c r="R30" s="32" t="n"/>
      <c r="S30" s="32" t="n"/>
      <c r="T30" s="33" t="n"/>
      <c r="U30" s="42">
        <f>'S12'!T30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'S12'!M31+L31</f>
        <v/>
      </c>
      <c r="N31" s="31">
        <f>IFERROR(M31/K31,0)</f>
        <v/>
      </c>
      <c r="O31" s="40">
        <f>'S12'!N31</f>
        <v/>
      </c>
      <c r="P31" s="31">
        <f>N31-O31</f>
        <v/>
      </c>
      <c r="Q31" s="32" t="n"/>
      <c r="R31" s="32" t="n"/>
      <c r="S31" s="32" t="n"/>
      <c r="T31" s="33" t="n"/>
      <c r="U31" s="40">
        <f>'S12'!T31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'S12'!M32+L32</f>
        <v/>
      </c>
      <c r="N32" s="36">
        <f>IFERROR(M32/K32,0)</f>
        <v/>
      </c>
      <c r="O32" s="42">
        <f>'S12'!N32</f>
        <v/>
      </c>
      <c r="P32" s="36">
        <f>N32-O32</f>
        <v/>
      </c>
      <c r="Q32" s="32" t="n"/>
      <c r="R32" s="32" t="n"/>
      <c r="S32" s="32" t="n"/>
      <c r="T32" s="33" t="n"/>
      <c r="U32" s="42">
        <f>'S12'!T32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'S12'!M33+L33</f>
        <v/>
      </c>
      <c r="N33" s="31">
        <f>IFERROR(M33/K33,0)</f>
        <v/>
      </c>
      <c r="O33" s="40">
        <f>'S12'!N33</f>
        <v/>
      </c>
      <c r="P33" s="31">
        <f>N33-O33</f>
        <v/>
      </c>
      <c r="Q33" s="32" t="n"/>
      <c r="R33" s="32" t="n"/>
      <c r="S33" s="32" t="n"/>
      <c r="T33" s="33" t="n"/>
      <c r="U33" s="40">
        <f>'S12'!T33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'S12'!M34+L34</f>
        <v/>
      </c>
      <c r="N34" s="36">
        <f>IFERROR(M34/K34,0)</f>
        <v/>
      </c>
      <c r="O34" s="42">
        <f>'S12'!N34</f>
        <v/>
      </c>
      <c r="P34" s="36">
        <f>N34-O34</f>
        <v/>
      </c>
      <c r="Q34" s="32" t="n"/>
      <c r="R34" s="32" t="n"/>
      <c r="S34" s="32" t="n"/>
      <c r="T34" s="33" t="n"/>
      <c r="U34" s="42">
        <f>'S12'!T34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'S12'!M35+L35</f>
        <v/>
      </c>
      <c r="N35" s="31">
        <f>IFERROR(M35/K35,0)</f>
        <v/>
      </c>
      <c r="O35" s="40">
        <f>'S12'!N35</f>
        <v/>
      </c>
      <c r="P35" s="31">
        <f>N35-O35</f>
        <v/>
      </c>
      <c r="Q35" s="32" t="n"/>
      <c r="R35" s="32" t="n"/>
      <c r="S35" s="32" t="n"/>
      <c r="T35" s="33" t="n"/>
      <c r="U35" s="40">
        <f>'S12'!T35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'S12'!M36+L36</f>
        <v/>
      </c>
      <c r="N36" s="36">
        <f>IFERROR(M36/K36,0)</f>
        <v/>
      </c>
      <c r="O36" s="42">
        <f>'S12'!N36</f>
        <v/>
      </c>
      <c r="P36" s="36">
        <f>N36-O36</f>
        <v/>
      </c>
      <c r="Q36" s="32" t="n"/>
      <c r="R36" s="32" t="n"/>
      <c r="S36" s="32" t="n"/>
      <c r="T36" s="33" t="n"/>
      <c r="U36" s="42">
        <f>'S12'!T36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'S12'!M37+L37</f>
        <v/>
      </c>
      <c r="N37" s="31">
        <f>IFERROR(M37/K37,0)</f>
        <v/>
      </c>
      <c r="O37" s="40">
        <f>'S12'!N37</f>
        <v/>
      </c>
      <c r="P37" s="31">
        <f>N37-O37</f>
        <v/>
      </c>
      <c r="Q37" s="32" t="n"/>
      <c r="R37" s="32" t="n"/>
      <c r="S37" s="32" t="n"/>
      <c r="T37" s="33" t="n"/>
      <c r="U37" s="40">
        <f>'S12'!T37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'S12'!M38+L38</f>
        <v/>
      </c>
      <c r="N38" s="36">
        <f>IFERROR(M38/K38,0)</f>
        <v/>
      </c>
      <c r="O38" s="42">
        <f>'S12'!N38</f>
        <v/>
      </c>
      <c r="P38" s="36">
        <f>N38-O38</f>
        <v/>
      </c>
      <c r="Q38" s="32" t="n"/>
      <c r="R38" s="32" t="n"/>
      <c r="S38" s="32" t="n"/>
      <c r="T38" s="33" t="n"/>
      <c r="U38" s="42">
        <f>'S12'!T38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'S12'!M39+L39</f>
        <v/>
      </c>
      <c r="N39" s="31">
        <f>IFERROR(M39/K39,0)</f>
        <v/>
      </c>
      <c r="O39" s="40">
        <f>'S12'!N39</f>
        <v/>
      </c>
      <c r="P39" s="31">
        <f>N39-O39</f>
        <v/>
      </c>
      <c r="Q39" s="32" t="n"/>
      <c r="R39" s="32" t="n"/>
      <c r="S39" s="32" t="n"/>
      <c r="T39" s="33" t="n"/>
      <c r="U39" s="40">
        <f>'S12'!T39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'S12'!M40+L40</f>
        <v/>
      </c>
      <c r="N40" s="36">
        <f>IFERROR(M40/K40,0)</f>
        <v/>
      </c>
      <c r="O40" s="42">
        <f>'S12'!N40</f>
        <v/>
      </c>
      <c r="P40" s="36">
        <f>N40-O40</f>
        <v/>
      </c>
      <c r="Q40" s="32" t="n"/>
      <c r="R40" s="32" t="n"/>
      <c r="S40" s="32" t="n"/>
      <c r="T40" s="33" t="n"/>
      <c r="U40" s="42">
        <f>'S12'!T40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'S12'!M41+L41</f>
        <v/>
      </c>
      <c r="N41" s="31">
        <f>IFERROR(M41/K41,0)</f>
        <v/>
      </c>
      <c r="O41" s="40">
        <f>'S12'!N41</f>
        <v/>
      </c>
      <c r="P41" s="31">
        <f>N41-O41</f>
        <v/>
      </c>
      <c r="Q41" s="32" t="n"/>
      <c r="R41" s="32" t="n"/>
      <c r="S41" s="32" t="n"/>
      <c r="T41" s="33" t="n"/>
      <c r="U41" s="40">
        <f>'S12'!T41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'S12'!M42+L42</f>
        <v/>
      </c>
      <c r="N42" s="36">
        <f>IFERROR(M42/K42,0)</f>
        <v/>
      </c>
      <c r="O42" s="42">
        <f>'S12'!N42</f>
        <v/>
      </c>
      <c r="P42" s="36">
        <f>N42-O42</f>
        <v/>
      </c>
      <c r="Q42" s="32" t="n"/>
      <c r="R42" s="32" t="n"/>
      <c r="S42" s="32" t="n"/>
      <c r="T42" s="33" t="n"/>
      <c r="U42" s="42">
        <f>'S12'!T42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'S12'!M43+L43</f>
        <v/>
      </c>
      <c r="N43" s="31">
        <f>IFERROR(M43/K43,0)</f>
        <v/>
      </c>
      <c r="O43" s="40">
        <f>'S12'!N43</f>
        <v/>
      </c>
      <c r="P43" s="31">
        <f>N43-O43</f>
        <v/>
      </c>
      <c r="Q43" s="32" t="n"/>
      <c r="R43" s="32" t="n"/>
      <c r="S43" s="32" t="n"/>
      <c r="T43" s="33" t="n"/>
      <c r="U43" s="40">
        <f>'S12'!T43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'S12'!M44+L44</f>
        <v/>
      </c>
      <c r="N44" s="36">
        <f>IFERROR(M44/K44,0)</f>
        <v/>
      </c>
      <c r="O44" s="42">
        <f>'S12'!N44</f>
        <v/>
      </c>
      <c r="P44" s="36">
        <f>N44-O44</f>
        <v/>
      </c>
      <c r="Q44" s="32" t="n"/>
      <c r="R44" s="32" t="n"/>
      <c r="S44" s="32" t="n"/>
      <c r="T44" s="33" t="n"/>
      <c r="U44" s="42">
        <f>'S12'!T44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'S12'!M45+L45</f>
        <v/>
      </c>
      <c r="N45" s="31">
        <f>IFERROR(M45/K45,0)</f>
        <v/>
      </c>
      <c r="O45" s="40">
        <f>'S12'!N45</f>
        <v/>
      </c>
      <c r="P45" s="31">
        <f>N45-O45</f>
        <v/>
      </c>
      <c r="Q45" s="32" t="n"/>
      <c r="R45" s="32" t="n"/>
      <c r="S45" s="32" t="n"/>
      <c r="T45" s="33" t="n"/>
      <c r="U45" s="40">
        <f>'S12'!T45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'S12'!M46+L46</f>
        <v/>
      </c>
      <c r="N46" s="36">
        <f>IFERROR(M46/K46,0)</f>
        <v/>
      </c>
      <c r="O46" s="42">
        <f>'S12'!N46</f>
        <v/>
      </c>
      <c r="P46" s="36">
        <f>N46-O46</f>
        <v/>
      </c>
      <c r="Q46" s="32" t="n"/>
      <c r="R46" s="32" t="n"/>
      <c r="S46" s="32" t="n"/>
      <c r="T46" s="33" t="n"/>
      <c r="U46" s="42">
        <f>'S12'!T46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'S12'!M47+L47</f>
        <v/>
      </c>
      <c r="N47" s="31">
        <f>IFERROR(M47/K47,0)</f>
        <v/>
      </c>
      <c r="O47" s="40">
        <f>'S12'!N47</f>
        <v/>
      </c>
      <c r="P47" s="31">
        <f>N47-O47</f>
        <v/>
      </c>
      <c r="Q47" s="32" t="n"/>
      <c r="R47" s="32" t="n"/>
      <c r="S47" s="32" t="n"/>
      <c r="T47" s="33" t="n"/>
      <c r="U47" s="40">
        <f>'S12'!T47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'S12'!M48+L48</f>
        <v/>
      </c>
      <c r="N48" s="36">
        <f>IFERROR(M48/K48,0)</f>
        <v/>
      </c>
      <c r="O48" s="42">
        <f>'S12'!N48</f>
        <v/>
      </c>
      <c r="P48" s="36">
        <f>N48-O48</f>
        <v/>
      </c>
      <c r="Q48" s="32" t="n"/>
      <c r="R48" s="32" t="n"/>
      <c r="S48" s="32" t="n"/>
      <c r="T48" s="33" t="n"/>
      <c r="U48" s="42">
        <f>'S12'!T48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'S12'!M49+L49</f>
        <v/>
      </c>
      <c r="N49" s="31">
        <f>IFERROR(M49/K49,0)</f>
        <v/>
      </c>
      <c r="O49" s="40">
        <f>'S12'!N49</f>
        <v/>
      </c>
      <c r="P49" s="31">
        <f>N49-O49</f>
        <v/>
      </c>
      <c r="Q49" s="32" t="n"/>
      <c r="R49" s="32" t="n"/>
      <c r="S49" s="32" t="n"/>
      <c r="T49" s="33" t="n"/>
      <c r="U49" s="40">
        <f>'S12'!T49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'S12'!M50+L50</f>
        <v/>
      </c>
      <c r="N50" s="36">
        <f>IFERROR(M50/K50,0)</f>
        <v/>
      </c>
      <c r="O50" s="42">
        <f>'S12'!N50</f>
        <v/>
      </c>
      <c r="P50" s="36">
        <f>N50-O50</f>
        <v/>
      </c>
      <c r="Q50" s="32" t="n"/>
      <c r="R50" s="32" t="n"/>
      <c r="S50" s="32" t="n"/>
      <c r="T50" s="33" t="n"/>
      <c r="U50" s="42">
        <f>'S12'!T50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'S12'!M51+L51</f>
        <v/>
      </c>
      <c r="N51" s="31">
        <f>IFERROR(M51/K51,0)</f>
        <v/>
      </c>
      <c r="O51" s="40">
        <f>'S12'!N51</f>
        <v/>
      </c>
      <c r="P51" s="31">
        <f>N51-O51</f>
        <v/>
      </c>
      <c r="Q51" s="32" t="n"/>
      <c r="R51" s="32" t="n"/>
      <c r="S51" s="32" t="n"/>
      <c r="T51" s="33" t="n"/>
      <c r="U51" s="40">
        <f>'S12'!T51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'S12'!M52+L52</f>
        <v/>
      </c>
      <c r="N52" s="36">
        <f>IFERROR(M52/K52,0)</f>
        <v/>
      </c>
      <c r="O52" s="42">
        <f>'S12'!N52</f>
        <v/>
      </c>
      <c r="P52" s="36">
        <f>N52-O52</f>
        <v/>
      </c>
      <c r="Q52" s="32" t="n"/>
      <c r="R52" s="32" t="n"/>
      <c r="S52" s="32" t="n"/>
      <c r="T52" s="33" t="n"/>
      <c r="U52" s="42">
        <f>'S12'!T52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'S12'!M53+L53</f>
        <v/>
      </c>
      <c r="N53" s="31">
        <f>IFERROR(M53/K53,0)</f>
        <v/>
      </c>
      <c r="O53" s="40">
        <f>'S12'!N53</f>
        <v/>
      </c>
      <c r="P53" s="31">
        <f>N53-O53</f>
        <v/>
      </c>
      <c r="Q53" s="32" t="n"/>
      <c r="R53" s="32" t="n"/>
      <c r="S53" s="32" t="n"/>
      <c r="T53" s="33" t="n"/>
      <c r="U53" s="40">
        <f>'S12'!T53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'S12'!M54+L54</f>
        <v/>
      </c>
      <c r="N54" s="36">
        <f>IFERROR(M54/K54,0)</f>
        <v/>
      </c>
      <c r="O54" s="42">
        <f>'S12'!N54</f>
        <v/>
      </c>
      <c r="P54" s="36">
        <f>N54-O54</f>
        <v/>
      </c>
      <c r="Q54" s="32" t="n"/>
      <c r="R54" s="32" t="n"/>
      <c r="S54" s="32" t="n"/>
      <c r="T54" s="33" t="n"/>
      <c r="U54" s="42">
        <f>'S12'!T54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'S12'!M55+L55</f>
        <v/>
      </c>
      <c r="N55" s="31">
        <f>IFERROR(M55/K55,0)</f>
        <v/>
      </c>
      <c r="O55" s="40">
        <f>'S12'!N55</f>
        <v/>
      </c>
      <c r="P55" s="31">
        <f>N55-O55</f>
        <v/>
      </c>
      <c r="Q55" s="32" t="n"/>
      <c r="R55" s="32" t="n"/>
      <c r="S55" s="32" t="n"/>
      <c r="T55" s="33" t="n"/>
      <c r="U55" s="40">
        <f>'S12'!T55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'S12'!M56+L56</f>
        <v/>
      </c>
      <c r="N56" s="36">
        <f>IFERROR(M56/K56,0)</f>
        <v/>
      </c>
      <c r="O56" s="42">
        <f>'S12'!N56</f>
        <v/>
      </c>
      <c r="P56" s="36">
        <f>N56-O56</f>
        <v/>
      </c>
      <c r="Q56" s="32" t="n"/>
      <c r="R56" s="32" t="n"/>
      <c r="S56" s="32" t="n"/>
      <c r="T56" s="33" t="n"/>
      <c r="U56" s="42">
        <f>'S12'!T56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'S12'!M57+L57</f>
        <v/>
      </c>
      <c r="N57" s="31">
        <f>IFERROR(M57/K57,0)</f>
        <v/>
      </c>
      <c r="O57" s="40">
        <f>'S12'!N57</f>
        <v/>
      </c>
      <c r="P57" s="31">
        <f>N57-O57</f>
        <v/>
      </c>
      <c r="Q57" s="32" t="n"/>
      <c r="R57" s="32" t="n"/>
      <c r="S57" s="32" t="n"/>
      <c r="T57" s="33" t="n"/>
      <c r="U57" s="40">
        <f>'S12'!T57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'S12'!M58+L58</f>
        <v/>
      </c>
      <c r="N58" s="36">
        <f>IFERROR(M58/K58,0)</f>
        <v/>
      </c>
      <c r="O58" s="42">
        <f>'S12'!N58</f>
        <v/>
      </c>
      <c r="P58" s="36">
        <f>N58-O58</f>
        <v/>
      </c>
      <c r="Q58" s="32" t="n"/>
      <c r="R58" s="32" t="n"/>
      <c r="S58" s="32" t="n"/>
      <c r="T58" s="33" t="n"/>
      <c r="U58" s="42">
        <f>'S12'!T58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'S12'!M59+L59</f>
        <v/>
      </c>
      <c r="N59" s="31">
        <f>IFERROR(M59/K59,0)</f>
        <v/>
      </c>
      <c r="O59" s="40">
        <f>'S12'!N59</f>
        <v/>
      </c>
      <c r="P59" s="31">
        <f>N59-O59</f>
        <v/>
      </c>
      <c r="Q59" s="32" t="n"/>
      <c r="R59" s="32" t="n"/>
      <c r="S59" s="32" t="n"/>
      <c r="T59" s="33" t="n"/>
      <c r="U59" s="40">
        <f>'S12'!T59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'S12'!M60+L60</f>
        <v/>
      </c>
      <c r="N60" s="36">
        <f>IFERROR(M60/K60,0)</f>
        <v/>
      </c>
      <c r="O60" s="42">
        <f>'S12'!N60</f>
        <v/>
      </c>
      <c r="P60" s="36">
        <f>N60-O60</f>
        <v/>
      </c>
      <c r="Q60" s="32" t="n"/>
      <c r="R60" s="32" t="n"/>
      <c r="S60" s="32" t="n"/>
      <c r="T60" s="33" t="n"/>
      <c r="U60" s="42">
        <f>'S12'!T60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'S12'!M61+L61</f>
        <v/>
      </c>
      <c r="N61" s="31">
        <f>IFERROR(M61/K61,0)</f>
        <v/>
      </c>
      <c r="O61" s="40">
        <f>'S12'!N61</f>
        <v/>
      </c>
      <c r="P61" s="31">
        <f>N61-O61</f>
        <v/>
      </c>
      <c r="Q61" s="32" t="n"/>
      <c r="R61" s="32" t="n"/>
      <c r="S61" s="32" t="n"/>
      <c r="T61" s="33" t="n"/>
      <c r="U61" s="40">
        <f>'S12'!T61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'S12'!M62+L62</f>
        <v/>
      </c>
      <c r="N62" s="36">
        <f>IFERROR(M62/K62,0)</f>
        <v/>
      </c>
      <c r="O62" s="42">
        <f>'S12'!N62</f>
        <v/>
      </c>
      <c r="P62" s="36">
        <f>N62-O62</f>
        <v/>
      </c>
      <c r="Q62" s="32" t="n"/>
      <c r="R62" s="32" t="n"/>
      <c r="S62" s="32" t="n"/>
      <c r="T62" s="33" t="n"/>
      <c r="U62" s="42">
        <f>'S12'!T62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'S12'!M63+L63</f>
        <v/>
      </c>
      <c r="N63" s="31">
        <f>IFERROR(M63/K63,0)</f>
        <v/>
      </c>
      <c r="O63" s="40">
        <f>'S12'!N63</f>
        <v/>
      </c>
      <c r="P63" s="31">
        <f>N63-O63</f>
        <v/>
      </c>
      <c r="Q63" s="32" t="n"/>
      <c r="R63" s="32" t="n"/>
      <c r="S63" s="32" t="n"/>
      <c r="T63" s="33" t="n"/>
      <c r="U63" s="40">
        <f>'S12'!T63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'S12'!M64+L64</f>
        <v/>
      </c>
      <c r="N64" s="36">
        <f>IFERROR(M64/K64,0)</f>
        <v/>
      </c>
      <c r="O64" s="42">
        <f>'S12'!N64</f>
        <v/>
      </c>
      <c r="P64" s="36">
        <f>N64-O64</f>
        <v/>
      </c>
      <c r="Q64" s="32" t="n"/>
      <c r="R64" s="32" t="n"/>
      <c r="S64" s="32" t="n"/>
      <c r="T64" s="33" t="n"/>
      <c r="U64" s="42">
        <f>'S12'!T64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'S12'!M65+L65</f>
        <v/>
      </c>
      <c r="N65" s="31">
        <f>IFERROR(M65/K65,0)</f>
        <v/>
      </c>
      <c r="O65" s="40">
        <f>'S12'!N65</f>
        <v/>
      </c>
      <c r="P65" s="31">
        <f>N65-O65</f>
        <v/>
      </c>
      <c r="Q65" s="32" t="n"/>
      <c r="R65" s="32" t="n"/>
      <c r="S65" s="32" t="n"/>
      <c r="T65" s="33" t="n"/>
      <c r="U65" s="40">
        <f>'S12'!T65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'S12'!M66+L66</f>
        <v/>
      </c>
      <c r="N66" s="36">
        <f>IFERROR(M66/K66,0)</f>
        <v/>
      </c>
      <c r="O66" s="42">
        <f>'S12'!N66</f>
        <v/>
      </c>
      <c r="P66" s="36">
        <f>N66-O66</f>
        <v/>
      </c>
      <c r="Q66" s="32" t="n"/>
      <c r="R66" s="32" t="n"/>
      <c r="S66" s="32" t="n"/>
      <c r="T66" s="33" t="n"/>
      <c r="U66" s="42">
        <f>'S12'!T66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'S12'!M67+L67</f>
        <v/>
      </c>
      <c r="N67" s="31">
        <f>IFERROR(M67/K67,0)</f>
        <v/>
      </c>
      <c r="O67" s="40">
        <f>'S12'!N67</f>
        <v/>
      </c>
      <c r="P67" s="31">
        <f>N67-O67</f>
        <v/>
      </c>
      <c r="Q67" s="32" t="n"/>
      <c r="R67" s="32" t="n"/>
      <c r="S67" s="32" t="n"/>
      <c r="T67" s="33" t="n"/>
      <c r="U67" s="40">
        <f>'S12'!T67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'S12'!M68+L68</f>
        <v/>
      </c>
      <c r="N68" s="36">
        <f>IFERROR(M68/K68,0)</f>
        <v/>
      </c>
      <c r="O68" s="42">
        <f>'S12'!N68</f>
        <v/>
      </c>
      <c r="P68" s="36">
        <f>N68-O68</f>
        <v/>
      </c>
      <c r="Q68" s="32" t="n"/>
      <c r="R68" s="32" t="n"/>
      <c r="S68" s="32" t="n"/>
      <c r="T68" s="33" t="n"/>
      <c r="U68" s="42">
        <f>'S12'!T68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'S12'!M69+L69</f>
        <v/>
      </c>
      <c r="N69" s="31">
        <f>IFERROR(M69/K69,0)</f>
        <v/>
      </c>
      <c r="O69" s="40">
        <f>'S12'!N69</f>
        <v/>
      </c>
      <c r="P69" s="31">
        <f>N69-O69</f>
        <v/>
      </c>
      <c r="Q69" s="32" t="n"/>
      <c r="R69" s="32" t="n"/>
      <c r="S69" s="32" t="n"/>
      <c r="T69" s="33" t="n"/>
      <c r="U69" s="40">
        <f>'S12'!T69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'S12'!M70+L70</f>
        <v/>
      </c>
      <c r="N70" s="36">
        <f>IFERROR(M70/K70,0)</f>
        <v/>
      </c>
      <c r="O70" s="42">
        <f>'S12'!N70</f>
        <v/>
      </c>
      <c r="P70" s="36">
        <f>N70-O70</f>
        <v/>
      </c>
      <c r="Q70" s="32" t="n"/>
      <c r="R70" s="32" t="n"/>
      <c r="S70" s="32" t="n"/>
      <c r="T70" s="33" t="n"/>
      <c r="U70" s="42">
        <f>'S12'!T70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'S12'!M71+L71</f>
        <v/>
      </c>
      <c r="N71" s="31">
        <f>IFERROR(M71/K71,0)</f>
        <v/>
      </c>
      <c r="O71" s="40">
        <f>'S12'!N71</f>
        <v/>
      </c>
      <c r="P71" s="31">
        <f>N71-O71</f>
        <v/>
      </c>
      <c r="Q71" s="32" t="n"/>
      <c r="R71" s="32" t="n"/>
      <c r="S71" s="32" t="n"/>
      <c r="T71" s="33" t="n"/>
      <c r="U71" s="40">
        <f>'S12'!T71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'S12'!M72+L72</f>
        <v/>
      </c>
      <c r="N72" s="36">
        <f>IFERROR(M72/K72,0)</f>
        <v/>
      </c>
      <c r="O72" s="42">
        <f>'S12'!N72</f>
        <v/>
      </c>
      <c r="P72" s="36">
        <f>N72-O72</f>
        <v/>
      </c>
      <c r="Q72" s="32" t="n"/>
      <c r="R72" s="32" t="n"/>
      <c r="S72" s="32" t="n"/>
      <c r="T72" s="33" t="n"/>
      <c r="U72" s="42">
        <f>'S12'!T72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'S12'!M73+L73</f>
        <v/>
      </c>
      <c r="N73" s="31">
        <f>IFERROR(M73/K73,0)</f>
        <v/>
      </c>
      <c r="O73" s="40">
        <f>'S12'!N73</f>
        <v/>
      </c>
      <c r="P73" s="31">
        <f>N73-O73</f>
        <v/>
      </c>
      <c r="Q73" s="32" t="n"/>
      <c r="R73" s="32" t="n"/>
      <c r="S73" s="32" t="n"/>
      <c r="T73" s="33" t="n"/>
      <c r="U73" s="40">
        <f>'S12'!T73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'S12'!M74+L74</f>
        <v/>
      </c>
      <c r="N74" s="36">
        <f>IFERROR(M74/K74,0)</f>
        <v/>
      </c>
      <c r="O74" s="42">
        <f>'S12'!N74</f>
        <v/>
      </c>
      <c r="P74" s="36">
        <f>N74-O74</f>
        <v/>
      </c>
      <c r="Q74" s="32" t="n"/>
      <c r="R74" s="32" t="n"/>
      <c r="S74" s="32" t="n"/>
      <c r="T74" s="33" t="n"/>
      <c r="U74" s="42">
        <f>'S12'!T74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'S12'!M75+L75</f>
        <v/>
      </c>
      <c r="N75" s="31">
        <f>IFERROR(M75/K75,0)</f>
        <v/>
      </c>
      <c r="O75" s="40">
        <f>'S12'!N75</f>
        <v/>
      </c>
      <c r="P75" s="31">
        <f>N75-O75</f>
        <v/>
      </c>
      <c r="Q75" s="32" t="n"/>
      <c r="R75" s="32" t="n"/>
      <c r="S75" s="32" t="n"/>
      <c r="T75" s="33" t="n"/>
      <c r="U75" s="40">
        <f>'S12'!T75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'S12'!M76+L76</f>
        <v/>
      </c>
      <c r="N76" s="36">
        <f>IFERROR(M76/K76,0)</f>
        <v/>
      </c>
      <c r="O76" s="42">
        <f>'S12'!N76</f>
        <v/>
      </c>
      <c r="P76" s="36">
        <f>N76-O76</f>
        <v/>
      </c>
      <c r="Q76" s="32" t="n"/>
      <c r="R76" s="32" t="n"/>
      <c r="S76" s="32" t="n"/>
      <c r="T76" s="33" t="n"/>
      <c r="U76" s="42">
        <f>'S12'!T76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16.xml><?xml version="1.0" encoding="utf-8"?>
<worksheet xmlns="http://schemas.openxmlformats.org/spreadsheetml/2006/main">
  <sheetPr>
    <tabColor rgb="0070AD47"/>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14 (30/03 - 05/04) — Mars 2026 - Exécution Physique et Financière</t>
        </is>
      </c>
    </row>
    <row r="3" ht="22" customHeight="1">
      <c r="B3" s="20" t="inlineStr">
        <is>
          <t>Date :</t>
        </is>
      </c>
      <c r="C3" s="21" t="n">
        <v>46111</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'S13'!M5+L5</f>
        <v/>
      </c>
      <c r="N5" s="31">
        <f>IFERROR(M5/K5,0)</f>
        <v/>
      </c>
      <c r="O5" s="40">
        <f>'S13'!N5</f>
        <v/>
      </c>
      <c r="P5" s="31">
        <f>N5-O5</f>
        <v/>
      </c>
      <c r="Q5" s="32" t="n"/>
      <c r="R5" s="32" t="n"/>
      <c r="S5" s="32" t="n"/>
      <c r="T5" s="33" t="n"/>
      <c r="U5" s="40">
        <f>'S13'!T5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'S13'!M6+L6</f>
        <v/>
      </c>
      <c r="N6" s="36">
        <f>IFERROR(M6/K6,0)</f>
        <v/>
      </c>
      <c r="O6" s="42">
        <f>'S13'!N6</f>
        <v/>
      </c>
      <c r="P6" s="36">
        <f>N6-O6</f>
        <v/>
      </c>
      <c r="Q6" s="32" t="n"/>
      <c r="R6" s="32" t="n"/>
      <c r="S6" s="32" t="n"/>
      <c r="T6" s="33" t="n"/>
      <c r="U6" s="42">
        <f>'S13'!T6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'S13'!M7+L7</f>
        <v/>
      </c>
      <c r="N7" s="31">
        <f>IFERROR(M7/K7,0)</f>
        <v/>
      </c>
      <c r="O7" s="40">
        <f>'S13'!N7</f>
        <v/>
      </c>
      <c r="P7" s="31">
        <f>N7-O7</f>
        <v/>
      </c>
      <c r="Q7" s="32" t="n"/>
      <c r="R7" s="32" t="n"/>
      <c r="S7" s="32" t="n"/>
      <c r="T7" s="33" t="n"/>
      <c r="U7" s="40">
        <f>'S13'!T7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'S13'!M8+L8</f>
        <v/>
      </c>
      <c r="N8" s="36">
        <f>IFERROR(M8/K8,0)</f>
        <v/>
      </c>
      <c r="O8" s="42">
        <f>'S13'!N8</f>
        <v/>
      </c>
      <c r="P8" s="36">
        <f>N8-O8</f>
        <v/>
      </c>
      <c r="Q8" s="32" t="n"/>
      <c r="R8" s="32" t="n"/>
      <c r="S8" s="32" t="n"/>
      <c r="T8" s="33" t="n"/>
      <c r="U8" s="42">
        <f>'S13'!T8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'S13'!M9+L9</f>
        <v/>
      </c>
      <c r="N9" s="31">
        <f>IFERROR(M9/K9,0)</f>
        <v/>
      </c>
      <c r="O9" s="40">
        <f>'S13'!N9</f>
        <v/>
      </c>
      <c r="P9" s="31">
        <f>N9-O9</f>
        <v/>
      </c>
      <c r="Q9" s="32" t="n"/>
      <c r="R9" s="32" t="n"/>
      <c r="S9" s="32" t="n"/>
      <c r="T9" s="33" t="n"/>
      <c r="U9" s="40">
        <f>'S13'!T9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'S13'!M10+L10</f>
        <v/>
      </c>
      <c r="N10" s="36">
        <f>IFERROR(M10/K10,0)</f>
        <v/>
      </c>
      <c r="O10" s="42">
        <f>'S13'!N10</f>
        <v/>
      </c>
      <c r="P10" s="36">
        <f>N10-O10</f>
        <v/>
      </c>
      <c r="Q10" s="32" t="n"/>
      <c r="R10" s="32" t="n"/>
      <c r="S10" s="32" t="n"/>
      <c r="T10" s="33" t="n"/>
      <c r="U10" s="42">
        <f>'S13'!T10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'S13'!M11+L11</f>
        <v/>
      </c>
      <c r="N11" s="31">
        <f>IFERROR(M11/K11,0)</f>
        <v/>
      </c>
      <c r="O11" s="40">
        <f>'S13'!N11</f>
        <v/>
      </c>
      <c r="P11" s="31">
        <f>N11-O11</f>
        <v/>
      </c>
      <c r="Q11" s="32" t="n"/>
      <c r="R11" s="32" t="n"/>
      <c r="S11" s="32" t="n"/>
      <c r="T11" s="33" t="n"/>
      <c r="U11" s="40">
        <f>'S13'!T11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'S13'!M12+L12</f>
        <v/>
      </c>
      <c r="N12" s="36">
        <f>IFERROR(M12/K12,0)</f>
        <v/>
      </c>
      <c r="O12" s="42">
        <f>'S13'!N12</f>
        <v/>
      </c>
      <c r="P12" s="36">
        <f>N12-O12</f>
        <v/>
      </c>
      <c r="Q12" s="32" t="n"/>
      <c r="R12" s="32" t="n"/>
      <c r="S12" s="32" t="n"/>
      <c r="T12" s="33" t="n"/>
      <c r="U12" s="42">
        <f>'S13'!T12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'S13'!M13+L13</f>
        <v/>
      </c>
      <c r="N13" s="31">
        <f>IFERROR(M13/K13,0)</f>
        <v/>
      </c>
      <c r="O13" s="40">
        <f>'S13'!N13</f>
        <v/>
      </c>
      <c r="P13" s="31">
        <f>N13-O13</f>
        <v/>
      </c>
      <c r="Q13" s="32" t="n"/>
      <c r="R13" s="32" t="n"/>
      <c r="S13" s="32" t="n"/>
      <c r="T13" s="33" t="n"/>
      <c r="U13" s="40">
        <f>'S13'!T13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'S13'!M14+L14</f>
        <v/>
      </c>
      <c r="N14" s="36">
        <f>IFERROR(M14/K14,0)</f>
        <v/>
      </c>
      <c r="O14" s="42">
        <f>'S13'!N14</f>
        <v/>
      </c>
      <c r="P14" s="36">
        <f>N14-O14</f>
        <v/>
      </c>
      <c r="Q14" s="32" t="n"/>
      <c r="R14" s="32" t="n"/>
      <c r="S14" s="32" t="n"/>
      <c r="T14" s="33" t="n"/>
      <c r="U14" s="42">
        <f>'S13'!T14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'S13'!M15+L15</f>
        <v/>
      </c>
      <c r="N15" s="31">
        <f>IFERROR(M15/K15,0)</f>
        <v/>
      </c>
      <c r="O15" s="40">
        <f>'S13'!N15</f>
        <v/>
      </c>
      <c r="P15" s="31">
        <f>N15-O15</f>
        <v/>
      </c>
      <c r="Q15" s="32" t="n"/>
      <c r="R15" s="32" t="n"/>
      <c r="S15" s="32" t="n"/>
      <c r="T15" s="33" t="n"/>
      <c r="U15" s="40">
        <f>'S13'!T15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'S13'!M16+L16</f>
        <v/>
      </c>
      <c r="N16" s="36">
        <f>IFERROR(M16/K16,0)</f>
        <v/>
      </c>
      <c r="O16" s="42">
        <f>'S13'!N16</f>
        <v/>
      </c>
      <c r="P16" s="36">
        <f>N16-O16</f>
        <v/>
      </c>
      <c r="Q16" s="32" t="n"/>
      <c r="R16" s="32" t="n"/>
      <c r="S16" s="32" t="n"/>
      <c r="T16" s="33" t="n"/>
      <c r="U16" s="42">
        <f>'S13'!T16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'S13'!M17+L17</f>
        <v/>
      </c>
      <c r="N17" s="31">
        <f>IFERROR(M17/K17,0)</f>
        <v/>
      </c>
      <c r="O17" s="40">
        <f>'S13'!N17</f>
        <v/>
      </c>
      <c r="P17" s="31">
        <f>N17-O17</f>
        <v/>
      </c>
      <c r="Q17" s="32" t="n"/>
      <c r="R17" s="32" t="n"/>
      <c r="S17" s="32" t="n"/>
      <c r="T17" s="33" t="n"/>
      <c r="U17" s="40">
        <f>'S13'!T17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'S13'!M18+L18</f>
        <v/>
      </c>
      <c r="N18" s="36">
        <f>IFERROR(M18/K18,0)</f>
        <v/>
      </c>
      <c r="O18" s="42">
        <f>'S13'!N18</f>
        <v/>
      </c>
      <c r="P18" s="36">
        <f>N18-O18</f>
        <v/>
      </c>
      <c r="Q18" s="32" t="n"/>
      <c r="R18" s="32" t="n"/>
      <c r="S18" s="32" t="n"/>
      <c r="T18" s="33" t="n"/>
      <c r="U18" s="42">
        <f>'S13'!T18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'S13'!M19+L19</f>
        <v/>
      </c>
      <c r="N19" s="31">
        <f>IFERROR(M19/K19,0)</f>
        <v/>
      </c>
      <c r="O19" s="40">
        <f>'S13'!N19</f>
        <v/>
      </c>
      <c r="P19" s="31">
        <f>N19-O19</f>
        <v/>
      </c>
      <c r="Q19" s="32" t="n"/>
      <c r="R19" s="32" t="n"/>
      <c r="S19" s="32" t="n"/>
      <c r="T19" s="33" t="n"/>
      <c r="U19" s="40">
        <f>'S13'!T19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'S13'!M20+L20</f>
        <v/>
      </c>
      <c r="N20" s="36">
        <f>IFERROR(M20/K20,0)</f>
        <v/>
      </c>
      <c r="O20" s="42">
        <f>'S13'!N20</f>
        <v/>
      </c>
      <c r="P20" s="36">
        <f>N20-O20</f>
        <v/>
      </c>
      <c r="Q20" s="32" t="n"/>
      <c r="R20" s="32" t="n"/>
      <c r="S20" s="32" t="n"/>
      <c r="T20" s="33" t="n"/>
      <c r="U20" s="42">
        <f>'S13'!T20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'S13'!M21+L21</f>
        <v/>
      </c>
      <c r="N21" s="31">
        <f>IFERROR(M21/K21,0)</f>
        <v/>
      </c>
      <c r="O21" s="40">
        <f>'S13'!N21</f>
        <v/>
      </c>
      <c r="P21" s="31">
        <f>N21-O21</f>
        <v/>
      </c>
      <c r="Q21" s="32" t="n"/>
      <c r="R21" s="32" t="n"/>
      <c r="S21" s="32" t="n"/>
      <c r="T21" s="33" t="n"/>
      <c r="U21" s="40">
        <f>'S13'!T21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'S13'!M22+L22</f>
        <v/>
      </c>
      <c r="N22" s="36">
        <f>IFERROR(M22/K22,0)</f>
        <v/>
      </c>
      <c r="O22" s="42">
        <f>'S13'!N22</f>
        <v/>
      </c>
      <c r="P22" s="36">
        <f>N22-O22</f>
        <v/>
      </c>
      <c r="Q22" s="32" t="n"/>
      <c r="R22" s="32" t="n"/>
      <c r="S22" s="32" t="n"/>
      <c r="T22" s="33" t="n"/>
      <c r="U22" s="42">
        <f>'S13'!T22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'S13'!M23+L23</f>
        <v/>
      </c>
      <c r="N23" s="31">
        <f>IFERROR(M23/K23,0)</f>
        <v/>
      </c>
      <c r="O23" s="40">
        <f>'S13'!N23</f>
        <v/>
      </c>
      <c r="P23" s="31">
        <f>N23-O23</f>
        <v/>
      </c>
      <c r="Q23" s="32" t="n"/>
      <c r="R23" s="32" t="n"/>
      <c r="S23" s="32" t="n"/>
      <c r="T23" s="33" t="n"/>
      <c r="U23" s="40">
        <f>'S13'!T23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'S13'!M24+L24</f>
        <v/>
      </c>
      <c r="N24" s="36">
        <f>IFERROR(M24/K24,0)</f>
        <v/>
      </c>
      <c r="O24" s="42">
        <f>'S13'!N24</f>
        <v/>
      </c>
      <c r="P24" s="36">
        <f>N24-O24</f>
        <v/>
      </c>
      <c r="Q24" s="32" t="n"/>
      <c r="R24" s="32" t="n"/>
      <c r="S24" s="32" t="n"/>
      <c r="T24" s="33" t="n"/>
      <c r="U24" s="42">
        <f>'S13'!T24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'S13'!M25+L25</f>
        <v/>
      </c>
      <c r="N25" s="31">
        <f>IFERROR(M25/K25,0)</f>
        <v/>
      </c>
      <c r="O25" s="40">
        <f>'S13'!N25</f>
        <v/>
      </c>
      <c r="P25" s="31">
        <f>N25-O25</f>
        <v/>
      </c>
      <c r="Q25" s="32" t="n"/>
      <c r="R25" s="32" t="n"/>
      <c r="S25" s="32" t="n"/>
      <c r="T25" s="33" t="n"/>
      <c r="U25" s="40">
        <f>'S13'!T25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'S13'!M26+L26</f>
        <v/>
      </c>
      <c r="N26" s="36">
        <f>IFERROR(M26/K26,0)</f>
        <v/>
      </c>
      <c r="O26" s="42">
        <f>'S13'!N26</f>
        <v/>
      </c>
      <c r="P26" s="36">
        <f>N26-O26</f>
        <v/>
      </c>
      <c r="Q26" s="32" t="n"/>
      <c r="R26" s="32" t="n"/>
      <c r="S26" s="32" t="n"/>
      <c r="T26" s="33" t="n"/>
      <c r="U26" s="42">
        <f>'S13'!T26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'S13'!M27+L27</f>
        <v/>
      </c>
      <c r="N27" s="31">
        <f>IFERROR(M27/K27,0)</f>
        <v/>
      </c>
      <c r="O27" s="40">
        <f>'S13'!N27</f>
        <v/>
      </c>
      <c r="P27" s="31">
        <f>N27-O27</f>
        <v/>
      </c>
      <c r="Q27" s="32" t="n"/>
      <c r="R27" s="32" t="n"/>
      <c r="S27" s="32" t="n"/>
      <c r="T27" s="33" t="n"/>
      <c r="U27" s="40">
        <f>'S13'!T27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'S13'!M28+L28</f>
        <v/>
      </c>
      <c r="N28" s="36">
        <f>IFERROR(M28/K28,0)</f>
        <v/>
      </c>
      <c r="O28" s="42">
        <f>'S13'!N28</f>
        <v/>
      </c>
      <c r="P28" s="36">
        <f>N28-O28</f>
        <v/>
      </c>
      <c r="Q28" s="32" t="n"/>
      <c r="R28" s="32" t="n"/>
      <c r="S28" s="32" t="n"/>
      <c r="T28" s="33" t="n"/>
      <c r="U28" s="42">
        <f>'S13'!T28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'S13'!M29+L29</f>
        <v/>
      </c>
      <c r="N29" s="31">
        <f>IFERROR(M29/K29,0)</f>
        <v/>
      </c>
      <c r="O29" s="40">
        <f>'S13'!N29</f>
        <v/>
      </c>
      <c r="P29" s="31">
        <f>N29-O29</f>
        <v/>
      </c>
      <c r="Q29" s="32" t="n"/>
      <c r="R29" s="32" t="n"/>
      <c r="S29" s="32" t="n"/>
      <c r="T29" s="33" t="n"/>
      <c r="U29" s="40">
        <f>'S13'!T29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'S13'!M30+L30</f>
        <v/>
      </c>
      <c r="N30" s="36">
        <f>IFERROR(M30/K30,0)</f>
        <v/>
      </c>
      <c r="O30" s="42">
        <f>'S13'!N30</f>
        <v/>
      </c>
      <c r="P30" s="36">
        <f>N30-O30</f>
        <v/>
      </c>
      <c r="Q30" s="32" t="n"/>
      <c r="R30" s="32" t="n"/>
      <c r="S30" s="32" t="n"/>
      <c r="T30" s="33" t="n"/>
      <c r="U30" s="42">
        <f>'S13'!T30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'S13'!M31+L31</f>
        <v/>
      </c>
      <c r="N31" s="31">
        <f>IFERROR(M31/K31,0)</f>
        <v/>
      </c>
      <c r="O31" s="40">
        <f>'S13'!N31</f>
        <v/>
      </c>
      <c r="P31" s="31">
        <f>N31-O31</f>
        <v/>
      </c>
      <c r="Q31" s="32" t="n"/>
      <c r="R31" s="32" t="n"/>
      <c r="S31" s="32" t="n"/>
      <c r="T31" s="33" t="n"/>
      <c r="U31" s="40">
        <f>'S13'!T31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'S13'!M32+L32</f>
        <v/>
      </c>
      <c r="N32" s="36">
        <f>IFERROR(M32/K32,0)</f>
        <v/>
      </c>
      <c r="O32" s="42">
        <f>'S13'!N32</f>
        <v/>
      </c>
      <c r="P32" s="36">
        <f>N32-O32</f>
        <v/>
      </c>
      <c r="Q32" s="32" t="n"/>
      <c r="R32" s="32" t="n"/>
      <c r="S32" s="32" t="n"/>
      <c r="T32" s="33" t="n"/>
      <c r="U32" s="42">
        <f>'S13'!T32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'S13'!M33+L33</f>
        <v/>
      </c>
      <c r="N33" s="31">
        <f>IFERROR(M33/K33,0)</f>
        <v/>
      </c>
      <c r="O33" s="40">
        <f>'S13'!N33</f>
        <v/>
      </c>
      <c r="P33" s="31">
        <f>N33-O33</f>
        <v/>
      </c>
      <c r="Q33" s="32" t="n"/>
      <c r="R33" s="32" t="n"/>
      <c r="S33" s="32" t="n"/>
      <c r="T33" s="33" t="n"/>
      <c r="U33" s="40">
        <f>'S13'!T33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'S13'!M34+L34</f>
        <v/>
      </c>
      <c r="N34" s="36">
        <f>IFERROR(M34/K34,0)</f>
        <v/>
      </c>
      <c r="O34" s="42">
        <f>'S13'!N34</f>
        <v/>
      </c>
      <c r="P34" s="36">
        <f>N34-O34</f>
        <v/>
      </c>
      <c r="Q34" s="32" t="n"/>
      <c r="R34" s="32" t="n"/>
      <c r="S34" s="32" t="n"/>
      <c r="T34" s="33" t="n"/>
      <c r="U34" s="42">
        <f>'S13'!T34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'S13'!M35+L35</f>
        <v/>
      </c>
      <c r="N35" s="31">
        <f>IFERROR(M35/K35,0)</f>
        <v/>
      </c>
      <c r="O35" s="40">
        <f>'S13'!N35</f>
        <v/>
      </c>
      <c r="P35" s="31">
        <f>N35-O35</f>
        <v/>
      </c>
      <c r="Q35" s="32" t="n"/>
      <c r="R35" s="32" t="n"/>
      <c r="S35" s="32" t="n"/>
      <c r="T35" s="33" t="n"/>
      <c r="U35" s="40">
        <f>'S13'!T35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'S13'!M36+L36</f>
        <v/>
      </c>
      <c r="N36" s="36">
        <f>IFERROR(M36/K36,0)</f>
        <v/>
      </c>
      <c r="O36" s="42">
        <f>'S13'!N36</f>
        <v/>
      </c>
      <c r="P36" s="36">
        <f>N36-O36</f>
        <v/>
      </c>
      <c r="Q36" s="32" t="n"/>
      <c r="R36" s="32" t="n"/>
      <c r="S36" s="32" t="n"/>
      <c r="T36" s="33" t="n"/>
      <c r="U36" s="42">
        <f>'S13'!T36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'S13'!M37+L37</f>
        <v/>
      </c>
      <c r="N37" s="31">
        <f>IFERROR(M37/K37,0)</f>
        <v/>
      </c>
      <c r="O37" s="40">
        <f>'S13'!N37</f>
        <v/>
      </c>
      <c r="P37" s="31">
        <f>N37-O37</f>
        <v/>
      </c>
      <c r="Q37" s="32" t="n"/>
      <c r="R37" s="32" t="n"/>
      <c r="S37" s="32" t="n"/>
      <c r="T37" s="33" t="n"/>
      <c r="U37" s="40">
        <f>'S13'!T37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'S13'!M38+L38</f>
        <v/>
      </c>
      <c r="N38" s="36">
        <f>IFERROR(M38/K38,0)</f>
        <v/>
      </c>
      <c r="O38" s="42">
        <f>'S13'!N38</f>
        <v/>
      </c>
      <c r="P38" s="36">
        <f>N38-O38</f>
        <v/>
      </c>
      <c r="Q38" s="32" t="n"/>
      <c r="R38" s="32" t="n"/>
      <c r="S38" s="32" t="n"/>
      <c r="T38" s="33" t="n"/>
      <c r="U38" s="42">
        <f>'S13'!T38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'S13'!M39+L39</f>
        <v/>
      </c>
      <c r="N39" s="31">
        <f>IFERROR(M39/K39,0)</f>
        <v/>
      </c>
      <c r="O39" s="40">
        <f>'S13'!N39</f>
        <v/>
      </c>
      <c r="P39" s="31">
        <f>N39-O39</f>
        <v/>
      </c>
      <c r="Q39" s="32" t="n"/>
      <c r="R39" s="32" t="n"/>
      <c r="S39" s="32" t="n"/>
      <c r="T39" s="33" t="n"/>
      <c r="U39" s="40">
        <f>'S13'!T39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'S13'!M40+L40</f>
        <v/>
      </c>
      <c r="N40" s="36">
        <f>IFERROR(M40/K40,0)</f>
        <v/>
      </c>
      <c r="O40" s="42">
        <f>'S13'!N40</f>
        <v/>
      </c>
      <c r="P40" s="36">
        <f>N40-O40</f>
        <v/>
      </c>
      <c r="Q40" s="32" t="n"/>
      <c r="R40" s="32" t="n"/>
      <c r="S40" s="32" t="n"/>
      <c r="T40" s="33" t="n"/>
      <c r="U40" s="42">
        <f>'S13'!T40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'S13'!M41+L41</f>
        <v/>
      </c>
      <c r="N41" s="31">
        <f>IFERROR(M41/K41,0)</f>
        <v/>
      </c>
      <c r="O41" s="40">
        <f>'S13'!N41</f>
        <v/>
      </c>
      <c r="P41" s="31">
        <f>N41-O41</f>
        <v/>
      </c>
      <c r="Q41" s="32" t="n"/>
      <c r="R41" s="32" t="n"/>
      <c r="S41" s="32" t="n"/>
      <c r="T41" s="33" t="n"/>
      <c r="U41" s="40">
        <f>'S13'!T41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'S13'!M42+L42</f>
        <v/>
      </c>
      <c r="N42" s="36">
        <f>IFERROR(M42/K42,0)</f>
        <v/>
      </c>
      <c r="O42" s="42">
        <f>'S13'!N42</f>
        <v/>
      </c>
      <c r="P42" s="36">
        <f>N42-O42</f>
        <v/>
      </c>
      <c r="Q42" s="32" t="n"/>
      <c r="R42" s="32" t="n"/>
      <c r="S42" s="32" t="n"/>
      <c r="T42" s="33" t="n"/>
      <c r="U42" s="42">
        <f>'S13'!T42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'S13'!M43+L43</f>
        <v/>
      </c>
      <c r="N43" s="31">
        <f>IFERROR(M43/K43,0)</f>
        <v/>
      </c>
      <c r="O43" s="40">
        <f>'S13'!N43</f>
        <v/>
      </c>
      <c r="P43" s="31">
        <f>N43-O43</f>
        <v/>
      </c>
      <c r="Q43" s="32" t="n"/>
      <c r="R43" s="32" t="n"/>
      <c r="S43" s="32" t="n"/>
      <c r="T43" s="33" t="n"/>
      <c r="U43" s="40">
        <f>'S13'!T43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'S13'!M44+L44</f>
        <v/>
      </c>
      <c r="N44" s="36">
        <f>IFERROR(M44/K44,0)</f>
        <v/>
      </c>
      <c r="O44" s="42">
        <f>'S13'!N44</f>
        <v/>
      </c>
      <c r="P44" s="36">
        <f>N44-O44</f>
        <v/>
      </c>
      <c r="Q44" s="32" t="n"/>
      <c r="R44" s="32" t="n"/>
      <c r="S44" s="32" t="n"/>
      <c r="T44" s="33" t="n"/>
      <c r="U44" s="42">
        <f>'S13'!T44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'S13'!M45+L45</f>
        <v/>
      </c>
      <c r="N45" s="31">
        <f>IFERROR(M45/K45,0)</f>
        <v/>
      </c>
      <c r="O45" s="40">
        <f>'S13'!N45</f>
        <v/>
      </c>
      <c r="P45" s="31">
        <f>N45-O45</f>
        <v/>
      </c>
      <c r="Q45" s="32" t="n"/>
      <c r="R45" s="32" t="n"/>
      <c r="S45" s="32" t="n"/>
      <c r="T45" s="33" t="n"/>
      <c r="U45" s="40">
        <f>'S13'!T45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'S13'!M46+L46</f>
        <v/>
      </c>
      <c r="N46" s="36">
        <f>IFERROR(M46/K46,0)</f>
        <v/>
      </c>
      <c r="O46" s="42">
        <f>'S13'!N46</f>
        <v/>
      </c>
      <c r="P46" s="36">
        <f>N46-O46</f>
        <v/>
      </c>
      <c r="Q46" s="32" t="n"/>
      <c r="R46" s="32" t="n"/>
      <c r="S46" s="32" t="n"/>
      <c r="T46" s="33" t="n"/>
      <c r="U46" s="42">
        <f>'S13'!T46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'S13'!M47+L47</f>
        <v/>
      </c>
      <c r="N47" s="31">
        <f>IFERROR(M47/K47,0)</f>
        <v/>
      </c>
      <c r="O47" s="40">
        <f>'S13'!N47</f>
        <v/>
      </c>
      <c r="P47" s="31">
        <f>N47-O47</f>
        <v/>
      </c>
      <c r="Q47" s="32" t="n"/>
      <c r="R47" s="32" t="n"/>
      <c r="S47" s="32" t="n"/>
      <c r="T47" s="33" t="n"/>
      <c r="U47" s="40">
        <f>'S13'!T47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'S13'!M48+L48</f>
        <v/>
      </c>
      <c r="N48" s="36">
        <f>IFERROR(M48/K48,0)</f>
        <v/>
      </c>
      <c r="O48" s="42">
        <f>'S13'!N48</f>
        <v/>
      </c>
      <c r="P48" s="36">
        <f>N48-O48</f>
        <v/>
      </c>
      <c r="Q48" s="32" t="n"/>
      <c r="R48" s="32" t="n"/>
      <c r="S48" s="32" t="n"/>
      <c r="T48" s="33" t="n"/>
      <c r="U48" s="42">
        <f>'S13'!T48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'S13'!M49+L49</f>
        <v/>
      </c>
      <c r="N49" s="31">
        <f>IFERROR(M49/K49,0)</f>
        <v/>
      </c>
      <c r="O49" s="40">
        <f>'S13'!N49</f>
        <v/>
      </c>
      <c r="P49" s="31">
        <f>N49-O49</f>
        <v/>
      </c>
      <c r="Q49" s="32" t="n"/>
      <c r="R49" s="32" t="n"/>
      <c r="S49" s="32" t="n"/>
      <c r="T49" s="33" t="n"/>
      <c r="U49" s="40">
        <f>'S13'!T49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'S13'!M50+L50</f>
        <v/>
      </c>
      <c r="N50" s="36">
        <f>IFERROR(M50/K50,0)</f>
        <v/>
      </c>
      <c r="O50" s="42">
        <f>'S13'!N50</f>
        <v/>
      </c>
      <c r="P50" s="36">
        <f>N50-O50</f>
        <v/>
      </c>
      <c r="Q50" s="32" t="n"/>
      <c r="R50" s="32" t="n"/>
      <c r="S50" s="32" t="n"/>
      <c r="T50" s="33" t="n"/>
      <c r="U50" s="42">
        <f>'S13'!T50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'S13'!M51+L51</f>
        <v/>
      </c>
      <c r="N51" s="31">
        <f>IFERROR(M51/K51,0)</f>
        <v/>
      </c>
      <c r="O51" s="40">
        <f>'S13'!N51</f>
        <v/>
      </c>
      <c r="P51" s="31">
        <f>N51-O51</f>
        <v/>
      </c>
      <c r="Q51" s="32" t="n"/>
      <c r="R51" s="32" t="n"/>
      <c r="S51" s="32" t="n"/>
      <c r="T51" s="33" t="n"/>
      <c r="U51" s="40">
        <f>'S13'!T51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'S13'!M52+L52</f>
        <v/>
      </c>
      <c r="N52" s="36">
        <f>IFERROR(M52/K52,0)</f>
        <v/>
      </c>
      <c r="O52" s="42">
        <f>'S13'!N52</f>
        <v/>
      </c>
      <c r="P52" s="36">
        <f>N52-O52</f>
        <v/>
      </c>
      <c r="Q52" s="32" t="n"/>
      <c r="R52" s="32" t="n"/>
      <c r="S52" s="32" t="n"/>
      <c r="T52" s="33" t="n"/>
      <c r="U52" s="42">
        <f>'S13'!T52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'S13'!M53+L53</f>
        <v/>
      </c>
      <c r="N53" s="31">
        <f>IFERROR(M53/K53,0)</f>
        <v/>
      </c>
      <c r="O53" s="40">
        <f>'S13'!N53</f>
        <v/>
      </c>
      <c r="P53" s="31">
        <f>N53-O53</f>
        <v/>
      </c>
      <c r="Q53" s="32" t="n"/>
      <c r="R53" s="32" t="n"/>
      <c r="S53" s="32" t="n"/>
      <c r="T53" s="33" t="n"/>
      <c r="U53" s="40">
        <f>'S13'!T53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'S13'!M54+L54</f>
        <v/>
      </c>
      <c r="N54" s="36">
        <f>IFERROR(M54/K54,0)</f>
        <v/>
      </c>
      <c r="O54" s="42">
        <f>'S13'!N54</f>
        <v/>
      </c>
      <c r="P54" s="36">
        <f>N54-O54</f>
        <v/>
      </c>
      <c r="Q54" s="32" t="n"/>
      <c r="R54" s="32" t="n"/>
      <c r="S54" s="32" t="n"/>
      <c r="T54" s="33" t="n"/>
      <c r="U54" s="42">
        <f>'S13'!T54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'S13'!M55+L55</f>
        <v/>
      </c>
      <c r="N55" s="31">
        <f>IFERROR(M55/K55,0)</f>
        <v/>
      </c>
      <c r="O55" s="40">
        <f>'S13'!N55</f>
        <v/>
      </c>
      <c r="P55" s="31">
        <f>N55-O55</f>
        <v/>
      </c>
      <c r="Q55" s="32" t="n"/>
      <c r="R55" s="32" t="n"/>
      <c r="S55" s="32" t="n"/>
      <c r="T55" s="33" t="n"/>
      <c r="U55" s="40">
        <f>'S13'!T55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'S13'!M56+L56</f>
        <v/>
      </c>
      <c r="N56" s="36">
        <f>IFERROR(M56/K56,0)</f>
        <v/>
      </c>
      <c r="O56" s="42">
        <f>'S13'!N56</f>
        <v/>
      </c>
      <c r="P56" s="36">
        <f>N56-O56</f>
        <v/>
      </c>
      <c r="Q56" s="32" t="n"/>
      <c r="R56" s="32" t="n"/>
      <c r="S56" s="32" t="n"/>
      <c r="T56" s="33" t="n"/>
      <c r="U56" s="42">
        <f>'S13'!T56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'S13'!M57+L57</f>
        <v/>
      </c>
      <c r="N57" s="31">
        <f>IFERROR(M57/K57,0)</f>
        <v/>
      </c>
      <c r="O57" s="40">
        <f>'S13'!N57</f>
        <v/>
      </c>
      <c r="P57" s="31">
        <f>N57-O57</f>
        <v/>
      </c>
      <c r="Q57" s="32" t="n"/>
      <c r="R57" s="32" t="n"/>
      <c r="S57" s="32" t="n"/>
      <c r="T57" s="33" t="n"/>
      <c r="U57" s="40">
        <f>'S13'!T57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'S13'!M58+L58</f>
        <v/>
      </c>
      <c r="N58" s="36">
        <f>IFERROR(M58/K58,0)</f>
        <v/>
      </c>
      <c r="O58" s="42">
        <f>'S13'!N58</f>
        <v/>
      </c>
      <c r="P58" s="36">
        <f>N58-O58</f>
        <v/>
      </c>
      <c r="Q58" s="32" t="n"/>
      <c r="R58" s="32" t="n"/>
      <c r="S58" s="32" t="n"/>
      <c r="T58" s="33" t="n"/>
      <c r="U58" s="42">
        <f>'S13'!T58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'S13'!M59+L59</f>
        <v/>
      </c>
      <c r="N59" s="31">
        <f>IFERROR(M59/K59,0)</f>
        <v/>
      </c>
      <c r="O59" s="40">
        <f>'S13'!N59</f>
        <v/>
      </c>
      <c r="P59" s="31">
        <f>N59-O59</f>
        <v/>
      </c>
      <c r="Q59" s="32" t="n"/>
      <c r="R59" s="32" t="n"/>
      <c r="S59" s="32" t="n"/>
      <c r="T59" s="33" t="n"/>
      <c r="U59" s="40">
        <f>'S13'!T59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'S13'!M60+L60</f>
        <v/>
      </c>
      <c r="N60" s="36">
        <f>IFERROR(M60/K60,0)</f>
        <v/>
      </c>
      <c r="O60" s="42">
        <f>'S13'!N60</f>
        <v/>
      </c>
      <c r="P60" s="36">
        <f>N60-O60</f>
        <v/>
      </c>
      <c r="Q60" s="32" t="n"/>
      <c r="R60" s="32" t="n"/>
      <c r="S60" s="32" t="n"/>
      <c r="T60" s="33" t="n"/>
      <c r="U60" s="42">
        <f>'S13'!T60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'S13'!M61+L61</f>
        <v/>
      </c>
      <c r="N61" s="31">
        <f>IFERROR(M61/K61,0)</f>
        <v/>
      </c>
      <c r="O61" s="40">
        <f>'S13'!N61</f>
        <v/>
      </c>
      <c r="P61" s="31">
        <f>N61-O61</f>
        <v/>
      </c>
      <c r="Q61" s="32" t="n"/>
      <c r="R61" s="32" t="n"/>
      <c r="S61" s="32" t="n"/>
      <c r="T61" s="33" t="n"/>
      <c r="U61" s="40">
        <f>'S13'!T61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'S13'!M62+L62</f>
        <v/>
      </c>
      <c r="N62" s="36">
        <f>IFERROR(M62/K62,0)</f>
        <v/>
      </c>
      <c r="O62" s="42">
        <f>'S13'!N62</f>
        <v/>
      </c>
      <c r="P62" s="36">
        <f>N62-O62</f>
        <v/>
      </c>
      <c r="Q62" s="32" t="n"/>
      <c r="R62" s="32" t="n"/>
      <c r="S62" s="32" t="n"/>
      <c r="T62" s="33" t="n"/>
      <c r="U62" s="42">
        <f>'S13'!T62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'S13'!M63+L63</f>
        <v/>
      </c>
      <c r="N63" s="31">
        <f>IFERROR(M63/K63,0)</f>
        <v/>
      </c>
      <c r="O63" s="40">
        <f>'S13'!N63</f>
        <v/>
      </c>
      <c r="P63" s="31">
        <f>N63-O63</f>
        <v/>
      </c>
      <c r="Q63" s="32" t="n"/>
      <c r="R63" s="32" t="n"/>
      <c r="S63" s="32" t="n"/>
      <c r="T63" s="33" t="n"/>
      <c r="U63" s="40">
        <f>'S13'!T63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'S13'!M64+L64</f>
        <v/>
      </c>
      <c r="N64" s="36">
        <f>IFERROR(M64/K64,0)</f>
        <v/>
      </c>
      <c r="O64" s="42">
        <f>'S13'!N64</f>
        <v/>
      </c>
      <c r="P64" s="36">
        <f>N64-O64</f>
        <v/>
      </c>
      <c r="Q64" s="32" t="n"/>
      <c r="R64" s="32" t="n"/>
      <c r="S64" s="32" t="n"/>
      <c r="T64" s="33" t="n"/>
      <c r="U64" s="42">
        <f>'S13'!T64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'S13'!M65+L65</f>
        <v/>
      </c>
      <c r="N65" s="31">
        <f>IFERROR(M65/K65,0)</f>
        <v/>
      </c>
      <c r="O65" s="40">
        <f>'S13'!N65</f>
        <v/>
      </c>
      <c r="P65" s="31">
        <f>N65-O65</f>
        <v/>
      </c>
      <c r="Q65" s="32" t="n"/>
      <c r="R65" s="32" t="n"/>
      <c r="S65" s="32" t="n"/>
      <c r="T65" s="33" t="n"/>
      <c r="U65" s="40">
        <f>'S13'!T65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'S13'!M66+L66</f>
        <v/>
      </c>
      <c r="N66" s="36">
        <f>IFERROR(M66/K66,0)</f>
        <v/>
      </c>
      <c r="O66" s="42">
        <f>'S13'!N66</f>
        <v/>
      </c>
      <c r="P66" s="36">
        <f>N66-O66</f>
        <v/>
      </c>
      <c r="Q66" s="32" t="n"/>
      <c r="R66" s="32" t="n"/>
      <c r="S66" s="32" t="n"/>
      <c r="T66" s="33" t="n"/>
      <c r="U66" s="42">
        <f>'S13'!T66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'S13'!M67+L67</f>
        <v/>
      </c>
      <c r="N67" s="31">
        <f>IFERROR(M67/K67,0)</f>
        <v/>
      </c>
      <c r="O67" s="40">
        <f>'S13'!N67</f>
        <v/>
      </c>
      <c r="P67" s="31">
        <f>N67-O67</f>
        <v/>
      </c>
      <c r="Q67" s="32" t="n"/>
      <c r="R67" s="32" t="n"/>
      <c r="S67" s="32" t="n"/>
      <c r="T67" s="33" t="n"/>
      <c r="U67" s="40">
        <f>'S13'!T67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'S13'!M68+L68</f>
        <v/>
      </c>
      <c r="N68" s="36">
        <f>IFERROR(M68/K68,0)</f>
        <v/>
      </c>
      <c r="O68" s="42">
        <f>'S13'!N68</f>
        <v/>
      </c>
      <c r="P68" s="36">
        <f>N68-O68</f>
        <v/>
      </c>
      <c r="Q68" s="32" t="n"/>
      <c r="R68" s="32" t="n"/>
      <c r="S68" s="32" t="n"/>
      <c r="T68" s="33" t="n"/>
      <c r="U68" s="42">
        <f>'S13'!T68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'S13'!M69+L69</f>
        <v/>
      </c>
      <c r="N69" s="31">
        <f>IFERROR(M69/K69,0)</f>
        <v/>
      </c>
      <c r="O69" s="40">
        <f>'S13'!N69</f>
        <v/>
      </c>
      <c r="P69" s="31">
        <f>N69-O69</f>
        <v/>
      </c>
      <c r="Q69" s="32" t="n"/>
      <c r="R69" s="32" t="n"/>
      <c r="S69" s="32" t="n"/>
      <c r="T69" s="33" t="n"/>
      <c r="U69" s="40">
        <f>'S13'!T69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'S13'!M70+L70</f>
        <v/>
      </c>
      <c r="N70" s="36">
        <f>IFERROR(M70/K70,0)</f>
        <v/>
      </c>
      <c r="O70" s="42">
        <f>'S13'!N70</f>
        <v/>
      </c>
      <c r="P70" s="36">
        <f>N70-O70</f>
        <v/>
      </c>
      <c r="Q70" s="32" t="n"/>
      <c r="R70" s="32" t="n"/>
      <c r="S70" s="32" t="n"/>
      <c r="T70" s="33" t="n"/>
      <c r="U70" s="42">
        <f>'S13'!T70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'S13'!M71+L71</f>
        <v/>
      </c>
      <c r="N71" s="31">
        <f>IFERROR(M71/K71,0)</f>
        <v/>
      </c>
      <c r="O71" s="40">
        <f>'S13'!N71</f>
        <v/>
      </c>
      <c r="P71" s="31">
        <f>N71-O71</f>
        <v/>
      </c>
      <c r="Q71" s="32" t="n"/>
      <c r="R71" s="32" t="n"/>
      <c r="S71" s="32" t="n"/>
      <c r="T71" s="33" t="n"/>
      <c r="U71" s="40">
        <f>'S13'!T71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'S13'!M72+L72</f>
        <v/>
      </c>
      <c r="N72" s="36">
        <f>IFERROR(M72/K72,0)</f>
        <v/>
      </c>
      <c r="O72" s="42">
        <f>'S13'!N72</f>
        <v/>
      </c>
      <c r="P72" s="36">
        <f>N72-O72</f>
        <v/>
      </c>
      <c r="Q72" s="32" t="n"/>
      <c r="R72" s="32" t="n"/>
      <c r="S72" s="32" t="n"/>
      <c r="T72" s="33" t="n"/>
      <c r="U72" s="42">
        <f>'S13'!T72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'S13'!M73+L73</f>
        <v/>
      </c>
      <c r="N73" s="31">
        <f>IFERROR(M73/K73,0)</f>
        <v/>
      </c>
      <c r="O73" s="40">
        <f>'S13'!N73</f>
        <v/>
      </c>
      <c r="P73" s="31">
        <f>N73-O73</f>
        <v/>
      </c>
      <c r="Q73" s="32" t="n"/>
      <c r="R73" s="32" t="n"/>
      <c r="S73" s="32" t="n"/>
      <c r="T73" s="33" t="n"/>
      <c r="U73" s="40">
        <f>'S13'!T73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'S13'!M74+L74</f>
        <v/>
      </c>
      <c r="N74" s="36">
        <f>IFERROR(M74/K74,0)</f>
        <v/>
      </c>
      <c r="O74" s="42">
        <f>'S13'!N74</f>
        <v/>
      </c>
      <c r="P74" s="36">
        <f>N74-O74</f>
        <v/>
      </c>
      <c r="Q74" s="32" t="n"/>
      <c r="R74" s="32" t="n"/>
      <c r="S74" s="32" t="n"/>
      <c r="T74" s="33" t="n"/>
      <c r="U74" s="42">
        <f>'S13'!T74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'S13'!M75+L75</f>
        <v/>
      </c>
      <c r="N75" s="31">
        <f>IFERROR(M75/K75,0)</f>
        <v/>
      </c>
      <c r="O75" s="40">
        <f>'S13'!N75</f>
        <v/>
      </c>
      <c r="P75" s="31">
        <f>N75-O75</f>
        <v/>
      </c>
      <c r="Q75" s="32" t="n"/>
      <c r="R75" s="32" t="n"/>
      <c r="S75" s="32" t="n"/>
      <c r="T75" s="33" t="n"/>
      <c r="U75" s="40">
        <f>'S13'!T75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'S13'!M76+L76</f>
        <v/>
      </c>
      <c r="N76" s="36">
        <f>IFERROR(M76/K76,0)</f>
        <v/>
      </c>
      <c r="O76" s="42">
        <f>'S13'!N76</f>
        <v/>
      </c>
      <c r="P76" s="36">
        <f>N76-O76</f>
        <v/>
      </c>
      <c r="Q76" s="32" t="n"/>
      <c r="R76" s="32" t="n"/>
      <c r="S76" s="32" t="n"/>
      <c r="T76" s="33" t="n"/>
      <c r="U76" s="42">
        <f>'S13'!T76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17.xml><?xml version="1.0" encoding="utf-8"?>
<worksheet xmlns="http://schemas.openxmlformats.org/spreadsheetml/2006/main">
  <sheetPr>
    <tabColor rgb="00A9D18E"/>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15 (06/04 - 12/04) — Avril 2026 - Exécution Physique et Financière</t>
        </is>
      </c>
    </row>
    <row r="3" ht="22" customHeight="1">
      <c r="B3" s="20" t="inlineStr">
        <is>
          <t>Date :</t>
        </is>
      </c>
      <c r="C3" s="21" t="n">
        <v>46118</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'S14'!M5+L5</f>
        <v/>
      </c>
      <c r="N5" s="31">
        <f>IFERROR(M5/K5,0)</f>
        <v/>
      </c>
      <c r="O5" s="40">
        <f>'S14'!N5</f>
        <v/>
      </c>
      <c r="P5" s="31">
        <f>N5-O5</f>
        <v/>
      </c>
      <c r="Q5" s="32" t="n"/>
      <c r="R5" s="32" t="n"/>
      <c r="S5" s="32" t="n"/>
      <c r="T5" s="33" t="n"/>
      <c r="U5" s="40">
        <f>'S14'!T5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'S14'!M6+L6</f>
        <v/>
      </c>
      <c r="N6" s="36">
        <f>IFERROR(M6/K6,0)</f>
        <v/>
      </c>
      <c r="O6" s="42">
        <f>'S14'!N6</f>
        <v/>
      </c>
      <c r="P6" s="36">
        <f>N6-O6</f>
        <v/>
      </c>
      <c r="Q6" s="32" t="n"/>
      <c r="R6" s="32" t="n"/>
      <c r="S6" s="32" t="n"/>
      <c r="T6" s="33" t="n"/>
      <c r="U6" s="42">
        <f>'S14'!T6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'S14'!M7+L7</f>
        <v/>
      </c>
      <c r="N7" s="31">
        <f>IFERROR(M7/K7,0)</f>
        <v/>
      </c>
      <c r="O7" s="40">
        <f>'S14'!N7</f>
        <v/>
      </c>
      <c r="P7" s="31">
        <f>N7-O7</f>
        <v/>
      </c>
      <c r="Q7" s="32" t="n"/>
      <c r="R7" s="32" t="n"/>
      <c r="S7" s="32" t="n"/>
      <c r="T7" s="33" t="n"/>
      <c r="U7" s="40">
        <f>'S14'!T7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'S14'!M8+L8</f>
        <v/>
      </c>
      <c r="N8" s="36">
        <f>IFERROR(M8/K8,0)</f>
        <v/>
      </c>
      <c r="O8" s="42">
        <f>'S14'!N8</f>
        <v/>
      </c>
      <c r="P8" s="36">
        <f>N8-O8</f>
        <v/>
      </c>
      <c r="Q8" s="32" t="n"/>
      <c r="R8" s="32" t="n"/>
      <c r="S8" s="32" t="n"/>
      <c r="T8" s="33" t="n"/>
      <c r="U8" s="42">
        <f>'S14'!T8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'S14'!M9+L9</f>
        <v/>
      </c>
      <c r="N9" s="31">
        <f>IFERROR(M9/K9,0)</f>
        <v/>
      </c>
      <c r="O9" s="40">
        <f>'S14'!N9</f>
        <v/>
      </c>
      <c r="P9" s="31">
        <f>N9-O9</f>
        <v/>
      </c>
      <c r="Q9" s="32" t="n"/>
      <c r="R9" s="32" t="n"/>
      <c r="S9" s="32" t="n"/>
      <c r="T9" s="33" t="n"/>
      <c r="U9" s="40">
        <f>'S14'!T9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'S14'!M10+L10</f>
        <v/>
      </c>
      <c r="N10" s="36">
        <f>IFERROR(M10/K10,0)</f>
        <v/>
      </c>
      <c r="O10" s="42">
        <f>'S14'!N10</f>
        <v/>
      </c>
      <c r="P10" s="36">
        <f>N10-O10</f>
        <v/>
      </c>
      <c r="Q10" s="32" t="n"/>
      <c r="R10" s="32" t="n"/>
      <c r="S10" s="32" t="n"/>
      <c r="T10" s="33" t="n"/>
      <c r="U10" s="42">
        <f>'S14'!T10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'S14'!M11+L11</f>
        <v/>
      </c>
      <c r="N11" s="31">
        <f>IFERROR(M11/K11,0)</f>
        <v/>
      </c>
      <c r="O11" s="40">
        <f>'S14'!N11</f>
        <v/>
      </c>
      <c r="P11" s="31">
        <f>N11-O11</f>
        <v/>
      </c>
      <c r="Q11" s="32" t="n"/>
      <c r="R11" s="32" t="n"/>
      <c r="S11" s="32" t="n"/>
      <c r="T11" s="33" t="n"/>
      <c r="U11" s="40">
        <f>'S14'!T11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'S14'!M12+L12</f>
        <v/>
      </c>
      <c r="N12" s="36">
        <f>IFERROR(M12/K12,0)</f>
        <v/>
      </c>
      <c r="O12" s="42">
        <f>'S14'!N12</f>
        <v/>
      </c>
      <c r="P12" s="36">
        <f>N12-O12</f>
        <v/>
      </c>
      <c r="Q12" s="32" t="n"/>
      <c r="R12" s="32" t="n"/>
      <c r="S12" s="32" t="n"/>
      <c r="T12" s="33" t="n"/>
      <c r="U12" s="42">
        <f>'S14'!T12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'S14'!M13+L13</f>
        <v/>
      </c>
      <c r="N13" s="31">
        <f>IFERROR(M13/K13,0)</f>
        <v/>
      </c>
      <c r="O13" s="40">
        <f>'S14'!N13</f>
        <v/>
      </c>
      <c r="P13" s="31">
        <f>N13-O13</f>
        <v/>
      </c>
      <c r="Q13" s="32" t="n"/>
      <c r="R13" s="32" t="n"/>
      <c r="S13" s="32" t="n"/>
      <c r="T13" s="33" t="n"/>
      <c r="U13" s="40">
        <f>'S14'!T13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'S14'!M14+L14</f>
        <v/>
      </c>
      <c r="N14" s="36">
        <f>IFERROR(M14/K14,0)</f>
        <v/>
      </c>
      <c r="O14" s="42">
        <f>'S14'!N14</f>
        <v/>
      </c>
      <c r="P14" s="36">
        <f>N14-O14</f>
        <v/>
      </c>
      <c r="Q14" s="32" t="n"/>
      <c r="R14" s="32" t="n"/>
      <c r="S14" s="32" t="n"/>
      <c r="T14" s="33" t="n"/>
      <c r="U14" s="42">
        <f>'S14'!T14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'S14'!M15+L15</f>
        <v/>
      </c>
      <c r="N15" s="31">
        <f>IFERROR(M15/K15,0)</f>
        <v/>
      </c>
      <c r="O15" s="40">
        <f>'S14'!N15</f>
        <v/>
      </c>
      <c r="P15" s="31">
        <f>N15-O15</f>
        <v/>
      </c>
      <c r="Q15" s="32" t="n"/>
      <c r="R15" s="32" t="n"/>
      <c r="S15" s="32" t="n"/>
      <c r="T15" s="33" t="n"/>
      <c r="U15" s="40">
        <f>'S14'!T15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'S14'!M16+L16</f>
        <v/>
      </c>
      <c r="N16" s="36">
        <f>IFERROR(M16/K16,0)</f>
        <v/>
      </c>
      <c r="O16" s="42">
        <f>'S14'!N16</f>
        <v/>
      </c>
      <c r="P16" s="36">
        <f>N16-O16</f>
        <v/>
      </c>
      <c r="Q16" s="32" t="n"/>
      <c r="R16" s="32" t="n"/>
      <c r="S16" s="32" t="n"/>
      <c r="T16" s="33" t="n"/>
      <c r="U16" s="42">
        <f>'S14'!T16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'S14'!M17+L17</f>
        <v/>
      </c>
      <c r="N17" s="31">
        <f>IFERROR(M17/K17,0)</f>
        <v/>
      </c>
      <c r="O17" s="40">
        <f>'S14'!N17</f>
        <v/>
      </c>
      <c r="P17" s="31">
        <f>N17-O17</f>
        <v/>
      </c>
      <c r="Q17" s="32" t="n"/>
      <c r="R17" s="32" t="n"/>
      <c r="S17" s="32" t="n"/>
      <c r="T17" s="33" t="n"/>
      <c r="U17" s="40">
        <f>'S14'!T17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'S14'!M18+L18</f>
        <v/>
      </c>
      <c r="N18" s="36">
        <f>IFERROR(M18/K18,0)</f>
        <v/>
      </c>
      <c r="O18" s="42">
        <f>'S14'!N18</f>
        <v/>
      </c>
      <c r="P18" s="36">
        <f>N18-O18</f>
        <v/>
      </c>
      <c r="Q18" s="32" t="n"/>
      <c r="R18" s="32" t="n"/>
      <c r="S18" s="32" t="n"/>
      <c r="T18" s="33" t="n"/>
      <c r="U18" s="42">
        <f>'S14'!T18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'S14'!M19+L19</f>
        <v/>
      </c>
      <c r="N19" s="31">
        <f>IFERROR(M19/K19,0)</f>
        <v/>
      </c>
      <c r="O19" s="40">
        <f>'S14'!N19</f>
        <v/>
      </c>
      <c r="P19" s="31">
        <f>N19-O19</f>
        <v/>
      </c>
      <c r="Q19" s="32" t="n"/>
      <c r="R19" s="32" t="n"/>
      <c r="S19" s="32" t="n"/>
      <c r="T19" s="33" t="n"/>
      <c r="U19" s="40">
        <f>'S14'!T19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'S14'!M20+L20</f>
        <v/>
      </c>
      <c r="N20" s="36">
        <f>IFERROR(M20/K20,0)</f>
        <v/>
      </c>
      <c r="O20" s="42">
        <f>'S14'!N20</f>
        <v/>
      </c>
      <c r="P20" s="36">
        <f>N20-O20</f>
        <v/>
      </c>
      <c r="Q20" s="32" t="n"/>
      <c r="R20" s="32" t="n"/>
      <c r="S20" s="32" t="n"/>
      <c r="T20" s="33" t="n"/>
      <c r="U20" s="42">
        <f>'S14'!T20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'S14'!M21+L21</f>
        <v/>
      </c>
      <c r="N21" s="31">
        <f>IFERROR(M21/K21,0)</f>
        <v/>
      </c>
      <c r="O21" s="40">
        <f>'S14'!N21</f>
        <v/>
      </c>
      <c r="P21" s="31">
        <f>N21-O21</f>
        <v/>
      </c>
      <c r="Q21" s="32" t="n"/>
      <c r="R21" s="32" t="n"/>
      <c r="S21" s="32" t="n"/>
      <c r="T21" s="33" t="n"/>
      <c r="U21" s="40">
        <f>'S14'!T21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'S14'!M22+L22</f>
        <v/>
      </c>
      <c r="N22" s="36">
        <f>IFERROR(M22/K22,0)</f>
        <v/>
      </c>
      <c r="O22" s="42">
        <f>'S14'!N22</f>
        <v/>
      </c>
      <c r="P22" s="36">
        <f>N22-O22</f>
        <v/>
      </c>
      <c r="Q22" s="32" t="n"/>
      <c r="R22" s="32" t="n"/>
      <c r="S22" s="32" t="n"/>
      <c r="T22" s="33" t="n"/>
      <c r="U22" s="42">
        <f>'S14'!T22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'S14'!M23+L23</f>
        <v/>
      </c>
      <c r="N23" s="31">
        <f>IFERROR(M23/K23,0)</f>
        <v/>
      </c>
      <c r="O23" s="40">
        <f>'S14'!N23</f>
        <v/>
      </c>
      <c r="P23" s="31">
        <f>N23-O23</f>
        <v/>
      </c>
      <c r="Q23" s="32" t="n"/>
      <c r="R23" s="32" t="n"/>
      <c r="S23" s="32" t="n"/>
      <c r="T23" s="33" t="n"/>
      <c r="U23" s="40">
        <f>'S14'!T23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'S14'!M24+L24</f>
        <v/>
      </c>
      <c r="N24" s="36">
        <f>IFERROR(M24/K24,0)</f>
        <v/>
      </c>
      <c r="O24" s="42">
        <f>'S14'!N24</f>
        <v/>
      </c>
      <c r="P24" s="36">
        <f>N24-O24</f>
        <v/>
      </c>
      <c r="Q24" s="32" t="n"/>
      <c r="R24" s="32" t="n"/>
      <c r="S24" s="32" t="n"/>
      <c r="T24" s="33" t="n"/>
      <c r="U24" s="42">
        <f>'S14'!T24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'S14'!M25+L25</f>
        <v/>
      </c>
      <c r="N25" s="31">
        <f>IFERROR(M25/K25,0)</f>
        <v/>
      </c>
      <c r="O25" s="40">
        <f>'S14'!N25</f>
        <v/>
      </c>
      <c r="P25" s="31">
        <f>N25-O25</f>
        <v/>
      </c>
      <c r="Q25" s="32" t="n"/>
      <c r="R25" s="32" t="n"/>
      <c r="S25" s="32" t="n"/>
      <c r="T25" s="33" t="n"/>
      <c r="U25" s="40">
        <f>'S14'!T25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'S14'!M26+L26</f>
        <v/>
      </c>
      <c r="N26" s="36">
        <f>IFERROR(M26/K26,0)</f>
        <v/>
      </c>
      <c r="O26" s="42">
        <f>'S14'!N26</f>
        <v/>
      </c>
      <c r="P26" s="36">
        <f>N26-O26</f>
        <v/>
      </c>
      <c r="Q26" s="32" t="n"/>
      <c r="R26" s="32" t="n"/>
      <c r="S26" s="32" t="n"/>
      <c r="T26" s="33" t="n"/>
      <c r="U26" s="42">
        <f>'S14'!T26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'S14'!M27+L27</f>
        <v/>
      </c>
      <c r="N27" s="31">
        <f>IFERROR(M27/K27,0)</f>
        <v/>
      </c>
      <c r="O27" s="40">
        <f>'S14'!N27</f>
        <v/>
      </c>
      <c r="P27" s="31">
        <f>N27-O27</f>
        <v/>
      </c>
      <c r="Q27" s="32" t="n"/>
      <c r="R27" s="32" t="n"/>
      <c r="S27" s="32" t="n"/>
      <c r="T27" s="33" t="n"/>
      <c r="U27" s="40">
        <f>'S14'!T27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'S14'!M28+L28</f>
        <v/>
      </c>
      <c r="N28" s="36">
        <f>IFERROR(M28/K28,0)</f>
        <v/>
      </c>
      <c r="O28" s="42">
        <f>'S14'!N28</f>
        <v/>
      </c>
      <c r="P28" s="36">
        <f>N28-O28</f>
        <v/>
      </c>
      <c r="Q28" s="32" t="n"/>
      <c r="R28" s="32" t="n"/>
      <c r="S28" s="32" t="n"/>
      <c r="T28" s="33" t="n"/>
      <c r="U28" s="42">
        <f>'S14'!T28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'S14'!M29+L29</f>
        <v/>
      </c>
      <c r="N29" s="31">
        <f>IFERROR(M29/K29,0)</f>
        <v/>
      </c>
      <c r="O29" s="40">
        <f>'S14'!N29</f>
        <v/>
      </c>
      <c r="P29" s="31">
        <f>N29-O29</f>
        <v/>
      </c>
      <c r="Q29" s="32" t="n"/>
      <c r="R29" s="32" t="n"/>
      <c r="S29" s="32" t="n"/>
      <c r="T29" s="33" t="n"/>
      <c r="U29" s="40">
        <f>'S14'!T29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'S14'!M30+L30</f>
        <v/>
      </c>
      <c r="N30" s="36">
        <f>IFERROR(M30/K30,0)</f>
        <v/>
      </c>
      <c r="O30" s="42">
        <f>'S14'!N30</f>
        <v/>
      </c>
      <c r="P30" s="36">
        <f>N30-O30</f>
        <v/>
      </c>
      <c r="Q30" s="32" t="n"/>
      <c r="R30" s="32" t="n"/>
      <c r="S30" s="32" t="n"/>
      <c r="T30" s="33" t="n"/>
      <c r="U30" s="42">
        <f>'S14'!T30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'S14'!M31+L31</f>
        <v/>
      </c>
      <c r="N31" s="31">
        <f>IFERROR(M31/K31,0)</f>
        <v/>
      </c>
      <c r="O31" s="40">
        <f>'S14'!N31</f>
        <v/>
      </c>
      <c r="P31" s="31">
        <f>N31-O31</f>
        <v/>
      </c>
      <c r="Q31" s="32" t="n"/>
      <c r="R31" s="32" t="n"/>
      <c r="S31" s="32" t="n"/>
      <c r="T31" s="33" t="n"/>
      <c r="U31" s="40">
        <f>'S14'!T31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'S14'!M32+L32</f>
        <v/>
      </c>
      <c r="N32" s="36">
        <f>IFERROR(M32/K32,0)</f>
        <v/>
      </c>
      <c r="O32" s="42">
        <f>'S14'!N32</f>
        <v/>
      </c>
      <c r="P32" s="36">
        <f>N32-O32</f>
        <v/>
      </c>
      <c r="Q32" s="32" t="n"/>
      <c r="R32" s="32" t="n"/>
      <c r="S32" s="32" t="n"/>
      <c r="T32" s="33" t="n"/>
      <c r="U32" s="42">
        <f>'S14'!T32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'S14'!M33+L33</f>
        <v/>
      </c>
      <c r="N33" s="31">
        <f>IFERROR(M33/K33,0)</f>
        <v/>
      </c>
      <c r="O33" s="40">
        <f>'S14'!N33</f>
        <v/>
      </c>
      <c r="P33" s="31">
        <f>N33-O33</f>
        <v/>
      </c>
      <c r="Q33" s="32" t="n"/>
      <c r="R33" s="32" t="n"/>
      <c r="S33" s="32" t="n"/>
      <c r="T33" s="33" t="n"/>
      <c r="U33" s="40">
        <f>'S14'!T33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'S14'!M34+L34</f>
        <v/>
      </c>
      <c r="N34" s="36">
        <f>IFERROR(M34/K34,0)</f>
        <v/>
      </c>
      <c r="O34" s="42">
        <f>'S14'!N34</f>
        <v/>
      </c>
      <c r="P34" s="36">
        <f>N34-O34</f>
        <v/>
      </c>
      <c r="Q34" s="32" t="n"/>
      <c r="R34" s="32" t="n"/>
      <c r="S34" s="32" t="n"/>
      <c r="T34" s="33" t="n"/>
      <c r="U34" s="42">
        <f>'S14'!T34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'S14'!M35+L35</f>
        <v/>
      </c>
      <c r="N35" s="31">
        <f>IFERROR(M35/K35,0)</f>
        <v/>
      </c>
      <c r="O35" s="40">
        <f>'S14'!N35</f>
        <v/>
      </c>
      <c r="P35" s="31">
        <f>N35-O35</f>
        <v/>
      </c>
      <c r="Q35" s="32" t="n"/>
      <c r="R35" s="32" t="n"/>
      <c r="S35" s="32" t="n"/>
      <c r="T35" s="33" t="n"/>
      <c r="U35" s="40">
        <f>'S14'!T35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'S14'!M36+L36</f>
        <v/>
      </c>
      <c r="N36" s="36">
        <f>IFERROR(M36/K36,0)</f>
        <v/>
      </c>
      <c r="O36" s="42">
        <f>'S14'!N36</f>
        <v/>
      </c>
      <c r="P36" s="36">
        <f>N36-O36</f>
        <v/>
      </c>
      <c r="Q36" s="32" t="n"/>
      <c r="R36" s="32" t="n"/>
      <c r="S36" s="32" t="n"/>
      <c r="T36" s="33" t="n"/>
      <c r="U36" s="42">
        <f>'S14'!T36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'S14'!M37+L37</f>
        <v/>
      </c>
      <c r="N37" s="31">
        <f>IFERROR(M37/K37,0)</f>
        <v/>
      </c>
      <c r="O37" s="40">
        <f>'S14'!N37</f>
        <v/>
      </c>
      <c r="P37" s="31">
        <f>N37-O37</f>
        <v/>
      </c>
      <c r="Q37" s="32" t="n"/>
      <c r="R37" s="32" t="n"/>
      <c r="S37" s="32" t="n"/>
      <c r="T37" s="33" t="n"/>
      <c r="U37" s="40">
        <f>'S14'!T37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'S14'!M38+L38</f>
        <v/>
      </c>
      <c r="N38" s="36">
        <f>IFERROR(M38/K38,0)</f>
        <v/>
      </c>
      <c r="O38" s="42">
        <f>'S14'!N38</f>
        <v/>
      </c>
      <c r="P38" s="36">
        <f>N38-O38</f>
        <v/>
      </c>
      <c r="Q38" s="32" t="n"/>
      <c r="R38" s="32" t="n"/>
      <c r="S38" s="32" t="n"/>
      <c r="T38" s="33" t="n"/>
      <c r="U38" s="42">
        <f>'S14'!T38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'S14'!M39+L39</f>
        <v/>
      </c>
      <c r="N39" s="31">
        <f>IFERROR(M39/K39,0)</f>
        <v/>
      </c>
      <c r="O39" s="40">
        <f>'S14'!N39</f>
        <v/>
      </c>
      <c r="P39" s="31">
        <f>N39-O39</f>
        <v/>
      </c>
      <c r="Q39" s="32" t="n"/>
      <c r="R39" s="32" t="n"/>
      <c r="S39" s="32" t="n"/>
      <c r="T39" s="33" t="n"/>
      <c r="U39" s="40">
        <f>'S14'!T39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'S14'!M40+L40</f>
        <v/>
      </c>
      <c r="N40" s="36">
        <f>IFERROR(M40/K40,0)</f>
        <v/>
      </c>
      <c r="O40" s="42">
        <f>'S14'!N40</f>
        <v/>
      </c>
      <c r="P40" s="36">
        <f>N40-O40</f>
        <v/>
      </c>
      <c r="Q40" s="32" t="n"/>
      <c r="R40" s="32" t="n"/>
      <c r="S40" s="32" t="n"/>
      <c r="T40" s="33" t="n"/>
      <c r="U40" s="42">
        <f>'S14'!T40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'S14'!M41+L41</f>
        <v/>
      </c>
      <c r="N41" s="31">
        <f>IFERROR(M41/K41,0)</f>
        <v/>
      </c>
      <c r="O41" s="40">
        <f>'S14'!N41</f>
        <v/>
      </c>
      <c r="P41" s="31">
        <f>N41-O41</f>
        <v/>
      </c>
      <c r="Q41" s="32" t="n"/>
      <c r="R41" s="32" t="n"/>
      <c r="S41" s="32" t="n"/>
      <c r="T41" s="33" t="n"/>
      <c r="U41" s="40">
        <f>'S14'!T41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'S14'!M42+L42</f>
        <v/>
      </c>
      <c r="N42" s="36">
        <f>IFERROR(M42/K42,0)</f>
        <v/>
      </c>
      <c r="O42" s="42">
        <f>'S14'!N42</f>
        <v/>
      </c>
      <c r="P42" s="36">
        <f>N42-O42</f>
        <v/>
      </c>
      <c r="Q42" s="32" t="n"/>
      <c r="R42" s="32" t="n"/>
      <c r="S42" s="32" t="n"/>
      <c r="T42" s="33" t="n"/>
      <c r="U42" s="42">
        <f>'S14'!T42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'S14'!M43+L43</f>
        <v/>
      </c>
      <c r="N43" s="31">
        <f>IFERROR(M43/K43,0)</f>
        <v/>
      </c>
      <c r="O43" s="40">
        <f>'S14'!N43</f>
        <v/>
      </c>
      <c r="P43" s="31">
        <f>N43-O43</f>
        <v/>
      </c>
      <c r="Q43" s="32" t="n"/>
      <c r="R43" s="32" t="n"/>
      <c r="S43" s="32" t="n"/>
      <c r="T43" s="33" t="n"/>
      <c r="U43" s="40">
        <f>'S14'!T43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'S14'!M44+L44</f>
        <v/>
      </c>
      <c r="N44" s="36">
        <f>IFERROR(M44/K44,0)</f>
        <v/>
      </c>
      <c r="O44" s="42">
        <f>'S14'!N44</f>
        <v/>
      </c>
      <c r="P44" s="36">
        <f>N44-O44</f>
        <v/>
      </c>
      <c r="Q44" s="32" t="n"/>
      <c r="R44" s="32" t="n"/>
      <c r="S44" s="32" t="n"/>
      <c r="T44" s="33" t="n"/>
      <c r="U44" s="42">
        <f>'S14'!T44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'S14'!M45+L45</f>
        <v/>
      </c>
      <c r="N45" s="31">
        <f>IFERROR(M45/K45,0)</f>
        <v/>
      </c>
      <c r="O45" s="40">
        <f>'S14'!N45</f>
        <v/>
      </c>
      <c r="P45" s="31">
        <f>N45-O45</f>
        <v/>
      </c>
      <c r="Q45" s="32" t="n"/>
      <c r="R45" s="32" t="n"/>
      <c r="S45" s="32" t="n"/>
      <c r="T45" s="33" t="n"/>
      <c r="U45" s="40">
        <f>'S14'!T45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'S14'!M46+L46</f>
        <v/>
      </c>
      <c r="N46" s="36">
        <f>IFERROR(M46/K46,0)</f>
        <v/>
      </c>
      <c r="O46" s="42">
        <f>'S14'!N46</f>
        <v/>
      </c>
      <c r="P46" s="36">
        <f>N46-O46</f>
        <v/>
      </c>
      <c r="Q46" s="32" t="n"/>
      <c r="R46" s="32" t="n"/>
      <c r="S46" s="32" t="n"/>
      <c r="T46" s="33" t="n"/>
      <c r="U46" s="42">
        <f>'S14'!T46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'S14'!M47+L47</f>
        <v/>
      </c>
      <c r="N47" s="31">
        <f>IFERROR(M47/K47,0)</f>
        <v/>
      </c>
      <c r="O47" s="40">
        <f>'S14'!N47</f>
        <v/>
      </c>
      <c r="P47" s="31">
        <f>N47-O47</f>
        <v/>
      </c>
      <c r="Q47" s="32" t="n"/>
      <c r="R47" s="32" t="n"/>
      <c r="S47" s="32" t="n"/>
      <c r="T47" s="33" t="n"/>
      <c r="U47" s="40">
        <f>'S14'!T47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'S14'!M48+L48</f>
        <v/>
      </c>
      <c r="N48" s="36">
        <f>IFERROR(M48/K48,0)</f>
        <v/>
      </c>
      <c r="O48" s="42">
        <f>'S14'!N48</f>
        <v/>
      </c>
      <c r="P48" s="36">
        <f>N48-O48</f>
        <v/>
      </c>
      <c r="Q48" s="32" t="n"/>
      <c r="R48" s="32" t="n"/>
      <c r="S48" s="32" t="n"/>
      <c r="T48" s="33" t="n"/>
      <c r="U48" s="42">
        <f>'S14'!T48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'S14'!M49+L49</f>
        <v/>
      </c>
      <c r="N49" s="31">
        <f>IFERROR(M49/K49,0)</f>
        <v/>
      </c>
      <c r="O49" s="40">
        <f>'S14'!N49</f>
        <v/>
      </c>
      <c r="P49" s="31">
        <f>N49-O49</f>
        <v/>
      </c>
      <c r="Q49" s="32" t="n"/>
      <c r="R49" s="32" t="n"/>
      <c r="S49" s="32" t="n"/>
      <c r="T49" s="33" t="n"/>
      <c r="U49" s="40">
        <f>'S14'!T49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'S14'!M50+L50</f>
        <v/>
      </c>
      <c r="N50" s="36">
        <f>IFERROR(M50/K50,0)</f>
        <v/>
      </c>
      <c r="O50" s="42">
        <f>'S14'!N50</f>
        <v/>
      </c>
      <c r="P50" s="36">
        <f>N50-O50</f>
        <v/>
      </c>
      <c r="Q50" s="32" t="n"/>
      <c r="R50" s="32" t="n"/>
      <c r="S50" s="32" t="n"/>
      <c r="T50" s="33" t="n"/>
      <c r="U50" s="42">
        <f>'S14'!T50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'S14'!M51+L51</f>
        <v/>
      </c>
      <c r="N51" s="31">
        <f>IFERROR(M51/K51,0)</f>
        <v/>
      </c>
      <c r="O51" s="40">
        <f>'S14'!N51</f>
        <v/>
      </c>
      <c r="P51" s="31">
        <f>N51-O51</f>
        <v/>
      </c>
      <c r="Q51" s="32" t="n"/>
      <c r="R51" s="32" t="n"/>
      <c r="S51" s="32" t="n"/>
      <c r="T51" s="33" t="n"/>
      <c r="U51" s="40">
        <f>'S14'!T51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'S14'!M52+L52</f>
        <v/>
      </c>
      <c r="N52" s="36">
        <f>IFERROR(M52/K52,0)</f>
        <v/>
      </c>
      <c r="O52" s="42">
        <f>'S14'!N52</f>
        <v/>
      </c>
      <c r="P52" s="36">
        <f>N52-O52</f>
        <v/>
      </c>
      <c r="Q52" s="32" t="n"/>
      <c r="R52" s="32" t="n"/>
      <c r="S52" s="32" t="n"/>
      <c r="T52" s="33" t="n"/>
      <c r="U52" s="42">
        <f>'S14'!T52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'S14'!M53+L53</f>
        <v/>
      </c>
      <c r="N53" s="31">
        <f>IFERROR(M53/K53,0)</f>
        <v/>
      </c>
      <c r="O53" s="40">
        <f>'S14'!N53</f>
        <v/>
      </c>
      <c r="P53" s="31">
        <f>N53-O53</f>
        <v/>
      </c>
      <c r="Q53" s="32" t="n"/>
      <c r="R53" s="32" t="n"/>
      <c r="S53" s="32" t="n"/>
      <c r="T53" s="33" t="n"/>
      <c r="U53" s="40">
        <f>'S14'!T53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'S14'!M54+L54</f>
        <v/>
      </c>
      <c r="N54" s="36">
        <f>IFERROR(M54/K54,0)</f>
        <v/>
      </c>
      <c r="O54" s="42">
        <f>'S14'!N54</f>
        <v/>
      </c>
      <c r="P54" s="36">
        <f>N54-O54</f>
        <v/>
      </c>
      <c r="Q54" s="32" t="n"/>
      <c r="R54" s="32" t="n"/>
      <c r="S54" s="32" t="n"/>
      <c r="T54" s="33" t="n"/>
      <c r="U54" s="42">
        <f>'S14'!T54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'S14'!M55+L55</f>
        <v/>
      </c>
      <c r="N55" s="31">
        <f>IFERROR(M55/K55,0)</f>
        <v/>
      </c>
      <c r="O55" s="40">
        <f>'S14'!N55</f>
        <v/>
      </c>
      <c r="P55" s="31">
        <f>N55-O55</f>
        <v/>
      </c>
      <c r="Q55" s="32" t="n"/>
      <c r="R55" s="32" t="n"/>
      <c r="S55" s="32" t="n"/>
      <c r="T55" s="33" t="n"/>
      <c r="U55" s="40">
        <f>'S14'!T55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'S14'!M56+L56</f>
        <v/>
      </c>
      <c r="N56" s="36">
        <f>IFERROR(M56/K56,0)</f>
        <v/>
      </c>
      <c r="O56" s="42">
        <f>'S14'!N56</f>
        <v/>
      </c>
      <c r="P56" s="36">
        <f>N56-O56</f>
        <v/>
      </c>
      <c r="Q56" s="32" t="n"/>
      <c r="R56" s="32" t="n"/>
      <c r="S56" s="32" t="n"/>
      <c r="T56" s="33" t="n"/>
      <c r="U56" s="42">
        <f>'S14'!T56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'S14'!M57+L57</f>
        <v/>
      </c>
      <c r="N57" s="31">
        <f>IFERROR(M57/K57,0)</f>
        <v/>
      </c>
      <c r="O57" s="40">
        <f>'S14'!N57</f>
        <v/>
      </c>
      <c r="P57" s="31">
        <f>N57-O57</f>
        <v/>
      </c>
      <c r="Q57" s="32" t="n"/>
      <c r="R57" s="32" t="n"/>
      <c r="S57" s="32" t="n"/>
      <c r="T57" s="33" t="n"/>
      <c r="U57" s="40">
        <f>'S14'!T57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'S14'!M58+L58</f>
        <v/>
      </c>
      <c r="N58" s="36">
        <f>IFERROR(M58/K58,0)</f>
        <v/>
      </c>
      <c r="O58" s="42">
        <f>'S14'!N58</f>
        <v/>
      </c>
      <c r="P58" s="36">
        <f>N58-O58</f>
        <v/>
      </c>
      <c r="Q58" s="32" t="n"/>
      <c r="R58" s="32" t="n"/>
      <c r="S58" s="32" t="n"/>
      <c r="T58" s="33" t="n"/>
      <c r="U58" s="42">
        <f>'S14'!T58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'S14'!M59+L59</f>
        <v/>
      </c>
      <c r="N59" s="31">
        <f>IFERROR(M59/K59,0)</f>
        <v/>
      </c>
      <c r="O59" s="40">
        <f>'S14'!N59</f>
        <v/>
      </c>
      <c r="P59" s="31">
        <f>N59-O59</f>
        <v/>
      </c>
      <c r="Q59" s="32" t="n"/>
      <c r="R59" s="32" t="n"/>
      <c r="S59" s="32" t="n"/>
      <c r="T59" s="33" t="n"/>
      <c r="U59" s="40">
        <f>'S14'!T59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'S14'!M60+L60</f>
        <v/>
      </c>
      <c r="N60" s="36">
        <f>IFERROR(M60/K60,0)</f>
        <v/>
      </c>
      <c r="O60" s="42">
        <f>'S14'!N60</f>
        <v/>
      </c>
      <c r="P60" s="36">
        <f>N60-O60</f>
        <v/>
      </c>
      <c r="Q60" s="32" t="n"/>
      <c r="R60" s="32" t="n"/>
      <c r="S60" s="32" t="n"/>
      <c r="T60" s="33" t="n"/>
      <c r="U60" s="42">
        <f>'S14'!T60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'S14'!M61+L61</f>
        <v/>
      </c>
      <c r="N61" s="31">
        <f>IFERROR(M61/K61,0)</f>
        <v/>
      </c>
      <c r="O61" s="40">
        <f>'S14'!N61</f>
        <v/>
      </c>
      <c r="P61" s="31">
        <f>N61-O61</f>
        <v/>
      </c>
      <c r="Q61" s="32" t="n"/>
      <c r="R61" s="32" t="n"/>
      <c r="S61" s="32" t="n"/>
      <c r="T61" s="33" t="n"/>
      <c r="U61" s="40">
        <f>'S14'!T61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'S14'!M62+L62</f>
        <v/>
      </c>
      <c r="N62" s="36">
        <f>IFERROR(M62/K62,0)</f>
        <v/>
      </c>
      <c r="O62" s="42">
        <f>'S14'!N62</f>
        <v/>
      </c>
      <c r="P62" s="36">
        <f>N62-O62</f>
        <v/>
      </c>
      <c r="Q62" s="32" t="n"/>
      <c r="R62" s="32" t="n"/>
      <c r="S62" s="32" t="n"/>
      <c r="T62" s="33" t="n"/>
      <c r="U62" s="42">
        <f>'S14'!T62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'S14'!M63+L63</f>
        <v/>
      </c>
      <c r="N63" s="31">
        <f>IFERROR(M63/K63,0)</f>
        <v/>
      </c>
      <c r="O63" s="40">
        <f>'S14'!N63</f>
        <v/>
      </c>
      <c r="P63" s="31">
        <f>N63-O63</f>
        <v/>
      </c>
      <c r="Q63" s="32" t="n"/>
      <c r="R63" s="32" t="n"/>
      <c r="S63" s="32" t="n"/>
      <c r="T63" s="33" t="n"/>
      <c r="U63" s="40">
        <f>'S14'!T63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'S14'!M64+L64</f>
        <v/>
      </c>
      <c r="N64" s="36">
        <f>IFERROR(M64/K64,0)</f>
        <v/>
      </c>
      <c r="O64" s="42">
        <f>'S14'!N64</f>
        <v/>
      </c>
      <c r="P64" s="36">
        <f>N64-O64</f>
        <v/>
      </c>
      <c r="Q64" s="32" t="n"/>
      <c r="R64" s="32" t="n"/>
      <c r="S64" s="32" t="n"/>
      <c r="T64" s="33" t="n"/>
      <c r="U64" s="42">
        <f>'S14'!T64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'S14'!M65+L65</f>
        <v/>
      </c>
      <c r="N65" s="31">
        <f>IFERROR(M65/K65,0)</f>
        <v/>
      </c>
      <c r="O65" s="40">
        <f>'S14'!N65</f>
        <v/>
      </c>
      <c r="P65" s="31">
        <f>N65-O65</f>
        <v/>
      </c>
      <c r="Q65" s="32" t="n"/>
      <c r="R65" s="32" t="n"/>
      <c r="S65" s="32" t="n"/>
      <c r="T65" s="33" t="n"/>
      <c r="U65" s="40">
        <f>'S14'!T65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'S14'!M66+L66</f>
        <v/>
      </c>
      <c r="N66" s="36">
        <f>IFERROR(M66/K66,0)</f>
        <v/>
      </c>
      <c r="O66" s="42">
        <f>'S14'!N66</f>
        <v/>
      </c>
      <c r="P66" s="36">
        <f>N66-O66</f>
        <v/>
      </c>
      <c r="Q66" s="32" t="n"/>
      <c r="R66" s="32" t="n"/>
      <c r="S66" s="32" t="n"/>
      <c r="T66" s="33" t="n"/>
      <c r="U66" s="42">
        <f>'S14'!T66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'S14'!M67+L67</f>
        <v/>
      </c>
      <c r="N67" s="31">
        <f>IFERROR(M67/K67,0)</f>
        <v/>
      </c>
      <c r="O67" s="40">
        <f>'S14'!N67</f>
        <v/>
      </c>
      <c r="P67" s="31">
        <f>N67-O67</f>
        <v/>
      </c>
      <c r="Q67" s="32" t="n"/>
      <c r="R67" s="32" t="n"/>
      <c r="S67" s="32" t="n"/>
      <c r="T67" s="33" t="n"/>
      <c r="U67" s="40">
        <f>'S14'!T67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'S14'!M68+L68</f>
        <v/>
      </c>
      <c r="N68" s="36">
        <f>IFERROR(M68/K68,0)</f>
        <v/>
      </c>
      <c r="O68" s="42">
        <f>'S14'!N68</f>
        <v/>
      </c>
      <c r="P68" s="36">
        <f>N68-O68</f>
        <v/>
      </c>
      <c r="Q68" s="32" t="n"/>
      <c r="R68" s="32" t="n"/>
      <c r="S68" s="32" t="n"/>
      <c r="T68" s="33" t="n"/>
      <c r="U68" s="42">
        <f>'S14'!T68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'S14'!M69+L69</f>
        <v/>
      </c>
      <c r="N69" s="31">
        <f>IFERROR(M69/K69,0)</f>
        <v/>
      </c>
      <c r="O69" s="40">
        <f>'S14'!N69</f>
        <v/>
      </c>
      <c r="P69" s="31">
        <f>N69-O69</f>
        <v/>
      </c>
      <c r="Q69" s="32" t="n"/>
      <c r="R69" s="32" t="n"/>
      <c r="S69" s="32" t="n"/>
      <c r="T69" s="33" t="n"/>
      <c r="U69" s="40">
        <f>'S14'!T69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'S14'!M70+L70</f>
        <v/>
      </c>
      <c r="N70" s="36">
        <f>IFERROR(M70/K70,0)</f>
        <v/>
      </c>
      <c r="O70" s="42">
        <f>'S14'!N70</f>
        <v/>
      </c>
      <c r="P70" s="36">
        <f>N70-O70</f>
        <v/>
      </c>
      <c r="Q70" s="32" t="n"/>
      <c r="R70" s="32" t="n"/>
      <c r="S70" s="32" t="n"/>
      <c r="T70" s="33" t="n"/>
      <c r="U70" s="42">
        <f>'S14'!T70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'S14'!M71+L71</f>
        <v/>
      </c>
      <c r="N71" s="31">
        <f>IFERROR(M71/K71,0)</f>
        <v/>
      </c>
      <c r="O71" s="40">
        <f>'S14'!N71</f>
        <v/>
      </c>
      <c r="P71" s="31">
        <f>N71-O71</f>
        <v/>
      </c>
      <c r="Q71" s="32" t="n"/>
      <c r="R71" s="32" t="n"/>
      <c r="S71" s="32" t="n"/>
      <c r="T71" s="33" t="n"/>
      <c r="U71" s="40">
        <f>'S14'!T71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'S14'!M72+L72</f>
        <v/>
      </c>
      <c r="N72" s="36">
        <f>IFERROR(M72/K72,0)</f>
        <v/>
      </c>
      <c r="O72" s="42">
        <f>'S14'!N72</f>
        <v/>
      </c>
      <c r="P72" s="36">
        <f>N72-O72</f>
        <v/>
      </c>
      <c r="Q72" s="32" t="n"/>
      <c r="R72" s="32" t="n"/>
      <c r="S72" s="32" t="n"/>
      <c r="T72" s="33" t="n"/>
      <c r="U72" s="42">
        <f>'S14'!T72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'S14'!M73+L73</f>
        <v/>
      </c>
      <c r="N73" s="31">
        <f>IFERROR(M73/K73,0)</f>
        <v/>
      </c>
      <c r="O73" s="40">
        <f>'S14'!N73</f>
        <v/>
      </c>
      <c r="P73" s="31">
        <f>N73-O73</f>
        <v/>
      </c>
      <c r="Q73" s="32" t="n"/>
      <c r="R73" s="32" t="n"/>
      <c r="S73" s="32" t="n"/>
      <c r="T73" s="33" t="n"/>
      <c r="U73" s="40">
        <f>'S14'!T73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'S14'!M74+L74</f>
        <v/>
      </c>
      <c r="N74" s="36">
        <f>IFERROR(M74/K74,0)</f>
        <v/>
      </c>
      <c r="O74" s="42">
        <f>'S14'!N74</f>
        <v/>
      </c>
      <c r="P74" s="36">
        <f>N74-O74</f>
        <v/>
      </c>
      <c r="Q74" s="32" t="n"/>
      <c r="R74" s="32" t="n"/>
      <c r="S74" s="32" t="n"/>
      <c r="T74" s="33" t="n"/>
      <c r="U74" s="42">
        <f>'S14'!T74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'S14'!M75+L75</f>
        <v/>
      </c>
      <c r="N75" s="31">
        <f>IFERROR(M75/K75,0)</f>
        <v/>
      </c>
      <c r="O75" s="40">
        <f>'S14'!N75</f>
        <v/>
      </c>
      <c r="P75" s="31">
        <f>N75-O75</f>
        <v/>
      </c>
      <c r="Q75" s="32" t="n"/>
      <c r="R75" s="32" t="n"/>
      <c r="S75" s="32" t="n"/>
      <c r="T75" s="33" t="n"/>
      <c r="U75" s="40">
        <f>'S14'!T75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'S14'!M76+L76</f>
        <v/>
      </c>
      <c r="N76" s="36">
        <f>IFERROR(M76/K76,0)</f>
        <v/>
      </c>
      <c r="O76" s="42">
        <f>'S14'!N76</f>
        <v/>
      </c>
      <c r="P76" s="36">
        <f>N76-O76</f>
        <v/>
      </c>
      <c r="Q76" s="32" t="n"/>
      <c r="R76" s="32" t="n"/>
      <c r="S76" s="32" t="n"/>
      <c r="T76" s="33" t="n"/>
      <c r="U76" s="42">
        <f>'S14'!T76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18.xml><?xml version="1.0" encoding="utf-8"?>
<worksheet xmlns="http://schemas.openxmlformats.org/spreadsheetml/2006/main">
  <sheetPr>
    <tabColor rgb="00A9D18E"/>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16 (13/04 - 19/04) — Avril 2026 - Exécution Physique et Financière</t>
        </is>
      </c>
    </row>
    <row r="3" ht="22" customHeight="1">
      <c r="B3" s="20" t="inlineStr">
        <is>
          <t>Date :</t>
        </is>
      </c>
      <c r="C3" s="21" t="n">
        <v>46125</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'S15'!M5+L5</f>
        <v/>
      </c>
      <c r="N5" s="31">
        <f>IFERROR(M5/K5,0)</f>
        <v/>
      </c>
      <c r="O5" s="40">
        <f>'S15'!N5</f>
        <v/>
      </c>
      <c r="P5" s="31">
        <f>N5-O5</f>
        <v/>
      </c>
      <c r="Q5" s="32" t="n"/>
      <c r="R5" s="32" t="n"/>
      <c r="S5" s="32" t="n"/>
      <c r="T5" s="33" t="n"/>
      <c r="U5" s="40">
        <f>'S15'!T5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'S15'!M6+L6</f>
        <v/>
      </c>
      <c r="N6" s="36">
        <f>IFERROR(M6/K6,0)</f>
        <v/>
      </c>
      <c r="O6" s="42">
        <f>'S15'!N6</f>
        <v/>
      </c>
      <c r="P6" s="36">
        <f>N6-O6</f>
        <v/>
      </c>
      <c r="Q6" s="32" t="n"/>
      <c r="R6" s="32" t="n"/>
      <c r="S6" s="32" t="n"/>
      <c r="T6" s="33" t="n"/>
      <c r="U6" s="42">
        <f>'S15'!T6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'S15'!M7+L7</f>
        <v/>
      </c>
      <c r="N7" s="31">
        <f>IFERROR(M7/K7,0)</f>
        <v/>
      </c>
      <c r="O7" s="40">
        <f>'S15'!N7</f>
        <v/>
      </c>
      <c r="P7" s="31">
        <f>N7-O7</f>
        <v/>
      </c>
      <c r="Q7" s="32" t="n"/>
      <c r="R7" s="32" t="n"/>
      <c r="S7" s="32" t="n"/>
      <c r="T7" s="33" t="n"/>
      <c r="U7" s="40">
        <f>'S15'!T7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'S15'!M8+L8</f>
        <v/>
      </c>
      <c r="N8" s="36">
        <f>IFERROR(M8/K8,0)</f>
        <v/>
      </c>
      <c r="O8" s="42">
        <f>'S15'!N8</f>
        <v/>
      </c>
      <c r="P8" s="36">
        <f>N8-O8</f>
        <v/>
      </c>
      <c r="Q8" s="32" t="n"/>
      <c r="R8" s="32" t="n"/>
      <c r="S8" s="32" t="n"/>
      <c r="T8" s="33" t="n"/>
      <c r="U8" s="42">
        <f>'S15'!T8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'S15'!M9+L9</f>
        <v/>
      </c>
      <c r="N9" s="31">
        <f>IFERROR(M9/K9,0)</f>
        <v/>
      </c>
      <c r="O9" s="40">
        <f>'S15'!N9</f>
        <v/>
      </c>
      <c r="P9" s="31">
        <f>N9-O9</f>
        <v/>
      </c>
      <c r="Q9" s="32" t="n"/>
      <c r="R9" s="32" t="n"/>
      <c r="S9" s="32" t="n"/>
      <c r="T9" s="33" t="n"/>
      <c r="U9" s="40">
        <f>'S15'!T9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'S15'!M10+L10</f>
        <v/>
      </c>
      <c r="N10" s="36">
        <f>IFERROR(M10/K10,0)</f>
        <v/>
      </c>
      <c r="O10" s="42">
        <f>'S15'!N10</f>
        <v/>
      </c>
      <c r="P10" s="36">
        <f>N10-O10</f>
        <v/>
      </c>
      <c r="Q10" s="32" t="n"/>
      <c r="R10" s="32" t="n"/>
      <c r="S10" s="32" t="n"/>
      <c r="T10" s="33" t="n"/>
      <c r="U10" s="42">
        <f>'S15'!T10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'S15'!M11+L11</f>
        <v/>
      </c>
      <c r="N11" s="31">
        <f>IFERROR(M11/K11,0)</f>
        <v/>
      </c>
      <c r="O11" s="40">
        <f>'S15'!N11</f>
        <v/>
      </c>
      <c r="P11" s="31">
        <f>N11-O11</f>
        <v/>
      </c>
      <c r="Q11" s="32" t="n"/>
      <c r="R11" s="32" t="n"/>
      <c r="S11" s="32" t="n"/>
      <c r="T11" s="33" t="n"/>
      <c r="U11" s="40">
        <f>'S15'!T11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'S15'!M12+L12</f>
        <v/>
      </c>
      <c r="N12" s="36">
        <f>IFERROR(M12/K12,0)</f>
        <v/>
      </c>
      <c r="O12" s="42">
        <f>'S15'!N12</f>
        <v/>
      </c>
      <c r="P12" s="36">
        <f>N12-O12</f>
        <v/>
      </c>
      <c r="Q12" s="32" t="n"/>
      <c r="R12" s="32" t="n"/>
      <c r="S12" s="32" t="n"/>
      <c r="T12" s="33" t="n"/>
      <c r="U12" s="42">
        <f>'S15'!T12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'S15'!M13+L13</f>
        <v/>
      </c>
      <c r="N13" s="31">
        <f>IFERROR(M13/K13,0)</f>
        <v/>
      </c>
      <c r="O13" s="40">
        <f>'S15'!N13</f>
        <v/>
      </c>
      <c r="P13" s="31">
        <f>N13-O13</f>
        <v/>
      </c>
      <c r="Q13" s="32" t="n"/>
      <c r="R13" s="32" t="n"/>
      <c r="S13" s="32" t="n"/>
      <c r="T13" s="33" t="n"/>
      <c r="U13" s="40">
        <f>'S15'!T13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'S15'!M14+L14</f>
        <v/>
      </c>
      <c r="N14" s="36">
        <f>IFERROR(M14/K14,0)</f>
        <v/>
      </c>
      <c r="O14" s="42">
        <f>'S15'!N14</f>
        <v/>
      </c>
      <c r="P14" s="36">
        <f>N14-O14</f>
        <v/>
      </c>
      <c r="Q14" s="32" t="n"/>
      <c r="R14" s="32" t="n"/>
      <c r="S14" s="32" t="n"/>
      <c r="T14" s="33" t="n"/>
      <c r="U14" s="42">
        <f>'S15'!T14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'S15'!M15+L15</f>
        <v/>
      </c>
      <c r="N15" s="31">
        <f>IFERROR(M15/K15,0)</f>
        <v/>
      </c>
      <c r="O15" s="40">
        <f>'S15'!N15</f>
        <v/>
      </c>
      <c r="P15" s="31">
        <f>N15-O15</f>
        <v/>
      </c>
      <c r="Q15" s="32" t="n"/>
      <c r="R15" s="32" t="n"/>
      <c r="S15" s="32" t="n"/>
      <c r="T15" s="33" t="n"/>
      <c r="U15" s="40">
        <f>'S15'!T15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'S15'!M16+L16</f>
        <v/>
      </c>
      <c r="N16" s="36">
        <f>IFERROR(M16/K16,0)</f>
        <v/>
      </c>
      <c r="O16" s="42">
        <f>'S15'!N16</f>
        <v/>
      </c>
      <c r="P16" s="36">
        <f>N16-O16</f>
        <v/>
      </c>
      <c r="Q16" s="32" t="n"/>
      <c r="R16" s="32" t="n"/>
      <c r="S16" s="32" t="n"/>
      <c r="T16" s="33" t="n"/>
      <c r="U16" s="42">
        <f>'S15'!T16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'S15'!M17+L17</f>
        <v/>
      </c>
      <c r="N17" s="31">
        <f>IFERROR(M17/K17,0)</f>
        <v/>
      </c>
      <c r="O17" s="40">
        <f>'S15'!N17</f>
        <v/>
      </c>
      <c r="P17" s="31">
        <f>N17-O17</f>
        <v/>
      </c>
      <c r="Q17" s="32" t="n"/>
      <c r="R17" s="32" t="n"/>
      <c r="S17" s="32" t="n"/>
      <c r="T17" s="33" t="n"/>
      <c r="U17" s="40">
        <f>'S15'!T17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'S15'!M18+L18</f>
        <v/>
      </c>
      <c r="N18" s="36">
        <f>IFERROR(M18/K18,0)</f>
        <v/>
      </c>
      <c r="O18" s="42">
        <f>'S15'!N18</f>
        <v/>
      </c>
      <c r="P18" s="36">
        <f>N18-O18</f>
        <v/>
      </c>
      <c r="Q18" s="32" t="n"/>
      <c r="R18" s="32" t="n"/>
      <c r="S18" s="32" t="n"/>
      <c r="T18" s="33" t="n"/>
      <c r="U18" s="42">
        <f>'S15'!T18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'S15'!M19+L19</f>
        <v/>
      </c>
      <c r="N19" s="31">
        <f>IFERROR(M19/K19,0)</f>
        <v/>
      </c>
      <c r="O19" s="40">
        <f>'S15'!N19</f>
        <v/>
      </c>
      <c r="P19" s="31">
        <f>N19-O19</f>
        <v/>
      </c>
      <c r="Q19" s="32" t="n"/>
      <c r="R19" s="32" t="n"/>
      <c r="S19" s="32" t="n"/>
      <c r="T19" s="33" t="n"/>
      <c r="U19" s="40">
        <f>'S15'!T19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'S15'!M20+L20</f>
        <v/>
      </c>
      <c r="N20" s="36">
        <f>IFERROR(M20/K20,0)</f>
        <v/>
      </c>
      <c r="O20" s="42">
        <f>'S15'!N20</f>
        <v/>
      </c>
      <c r="P20" s="36">
        <f>N20-O20</f>
        <v/>
      </c>
      <c r="Q20" s="32" t="n"/>
      <c r="R20" s="32" t="n"/>
      <c r="S20" s="32" t="n"/>
      <c r="T20" s="33" t="n"/>
      <c r="U20" s="42">
        <f>'S15'!T20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'S15'!M21+L21</f>
        <v/>
      </c>
      <c r="N21" s="31">
        <f>IFERROR(M21/K21,0)</f>
        <v/>
      </c>
      <c r="O21" s="40">
        <f>'S15'!N21</f>
        <v/>
      </c>
      <c r="P21" s="31">
        <f>N21-O21</f>
        <v/>
      </c>
      <c r="Q21" s="32" t="n"/>
      <c r="R21" s="32" t="n"/>
      <c r="S21" s="32" t="n"/>
      <c r="T21" s="33" t="n"/>
      <c r="U21" s="40">
        <f>'S15'!T21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'S15'!M22+L22</f>
        <v/>
      </c>
      <c r="N22" s="36">
        <f>IFERROR(M22/K22,0)</f>
        <v/>
      </c>
      <c r="O22" s="42">
        <f>'S15'!N22</f>
        <v/>
      </c>
      <c r="P22" s="36">
        <f>N22-O22</f>
        <v/>
      </c>
      <c r="Q22" s="32" t="n"/>
      <c r="R22" s="32" t="n"/>
      <c r="S22" s="32" t="n"/>
      <c r="T22" s="33" t="n"/>
      <c r="U22" s="42">
        <f>'S15'!T22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'S15'!M23+L23</f>
        <v/>
      </c>
      <c r="N23" s="31">
        <f>IFERROR(M23/K23,0)</f>
        <v/>
      </c>
      <c r="O23" s="40">
        <f>'S15'!N23</f>
        <v/>
      </c>
      <c r="P23" s="31">
        <f>N23-O23</f>
        <v/>
      </c>
      <c r="Q23" s="32" t="n"/>
      <c r="R23" s="32" t="n"/>
      <c r="S23" s="32" t="n"/>
      <c r="T23" s="33" t="n"/>
      <c r="U23" s="40">
        <f>'S15'!T23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'S15'!M24+L24</f>
        <v/>
      </c>
      <c r="N24" s="36">
        <f>IFERROR(M24/K24,0)</f>
        <v/>
      </c>
      <c r="O24" s="42">
        <f>'S15'!N24</f>
        <v/>
      </c>
      <c r="P24" s="36">
        <f>N24-O24</f>
        <v/>
      </c>
      <c r="Q24" s="32" t="n"/>
      <c r="R24" s="32" t="n"/>
      <c r="S24" s="32" t="n"/>
      <c r="T24" s="33" t="n"/>
      <c r="U24" s="42">
        <f>'S15'!T24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'S15'!M25+L25</f>
        <v/>
      </c>
      <c r="N25" s="31">
        <f>IFERROR(M25/K25,0)</f>
        <v/>
      </c>
      <c r="O25" s="40">
        <f>'S15'!N25</f>
        <v/>
      </c>
      <c r="P25" s="31">
        <f>N25-O25</f>
        <v/>
      </c>
      <c r="Q25" s="32" t="n"/>
      <c r="R25" s="32" t="n"/>
      <c r="S25" s="32" t="n"/>
      <c r="T25" s="33" t="n"/>
      <c r="U25" s="40">
        <f>'S15'!T25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'S15'!M26+L26</f>
        <v/>
      </c>
      <c r="N26" s="36">
        <f>IFERROR(M26/K26,0)</f>
        <v/>
      </c>
      <c r="O26" s="42">
        <f>'S15'!N26</f>
        <v/>
      </c>
      <c r="P26" s="36">
        <f>N26-O26</f>
        <v/>
      </c>
      <c r="Q26" s="32" t="n"/>
      <c r="R26" s="32" t="n"/>
      <c r="S26" s="32" t="n"/>
      <c r="T26" s="33" t="n"/>
      <c r="U26" s="42">
        <f>'S15'!T26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'S15'!M27+L27</f>
        <v/>
      </c>
      <c r="N27" s="31">
        <f>IFERROR(M27/K27,0)</f>
        <v/>
      </c>
      <c r="O27" s="40">
        <f>'S15'!N27</f>
        <v/>
      </c>
      <c r="P27" s="31">
        <f>N27-O27</f>
        <v/>
      </c>
      <c r="Q27" s="32" t="n"/>
      <c r="R27" s="32" t="n"/>
      <c r="S27" s="32" t="n"/>
      <c r="T27" s="33" t="n"/>
      <c r="U27" s="40">
        <f>'S15'!T27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'S15'!M28+L28</f>
        <v/>
      </c>
      <c r="N28" s="36">
        <f>IFERROR(M28/K28,0)</f>
        <v/>
      </c>
      <c r="O28" s="42">
        <f>'S15'!N28</f>
        <v/>
      </c>
      <c r="P28" s="36">
        <f>N28-O28</f>
        <v/>
      </c>
      <c r="Q28" s="32" t="n"/>
      <c r="R28" s="32" t="n"/>
      <c r="S28" s="32" t="n"/>
      <c r="T28" s="33" t="n"/>
      <c r="U28" s="42">
        <f>'S15'!T28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'S15'!M29+L29</f>
        <v/>
      </c>
      <c r="N29" s="31">
        <f>IFERROR(M29/K29,0)</f>
        <v/>
      </c>
      <c r="O29" s="40">
        <f>'S15'!N29</f>
        <v/>
      </c>
      <c r="P29" s="31">
        <f>N29-O29</f>
        <v/>
      </c>
      <c r="Q29" s="32" t="n"/>
      <c r="R29" s="32" t="n"/>
      <c r="S29" s="32" t="n"/>
      <c r="T29" s="33" t="n"/>
      <c r="U29" s="40">
        <f>'S15'!T29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'S15'!M30+L30</f>
        <v/>
      </c>
      <c r="N30" s="36">
        <f>IFERROR(M30/K30,0)</f>
        <v/>
      </c>
      <c r="O30" s="42">
        <f>'S15'!N30</f>
        <v/>
      </c>
      <c r="P30" s="36">
        <f>N30-O30</f>
        <v/>
      </c>
      <c r="Q30" s="32" t="n"/>
      <c r="R30" s="32" t="n"/>
      <c r="S30" s="32" t="n"/>
      <c r="T30" s="33" t="n"/>
      <c r="U30" s="42">
        <f>'S15'!T30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'S15'!M31+L31</f>
        <v/>
      </c>
      <c r="N31" s="31">
        <f>IFERROR(M31/K31,0)</f>
        <v/>
      </c>
      <c r="O31" s="40">
        <f>'S15'!N31</f>
        <v/>
      </c>
      <c r="P31" s="31">
        <f>N31-O31</f>
        <v/>
      </c>
      <c r="Q31" s="32" t="n"/>
      <c r="R31" s="32" t="n"/>
      <c r="S31" s="32" t="n"/>
      <c r="T31" s="33" t="n"/>
      <c r="U31" s="40">
        <f>'S15'!T31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'S15'!M32+L32</f>
        <v/>
      </c>
      <c r="N32" s="36">
        <f>IFERROR(M32/K32,0)</f>
        <v/>
      </c>
      <c r="O32" s="42">
        <f>'S15'!N32</f>
        <v/>
      </c>
      <c r="P32" s="36">
        <f>N32-O32</f>
        <v/>
      </c>
      <c r="Q32" s="32" t="n"/>
      <c r="R32" s="32" t="n"/>
      <c r="S32" s="32" t="n"/>
      <c r="T32" s="33" t="n"/>
      <c r="U32" s="42">
        <f>'S15'!T32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'S15'!M33+L33</f>
        <v/>
      </c>
      <c r="N33" s="31">
        <f>IFERROR(M33/K33,0)</f>
        <v/>
      </c>
      <c r="O33" s="40">
        <f>'S15'!N33</f>
        <v/>
      </c>
      <c r="P33" s="31">
        <f>N33-O33</f>
        <v/>
      </c>
      <c r="Q33" s="32" t="n"/>
      <c r="R33" s="32" t="n"/>
      <c r="S33" s="32" t="n"/>
      <c r="T33" s="33" t="n"/>
      <c r="U33" s="40">
        <f>'S15'!T33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'S15'!M34+L34</f>
        <v/>
      </c>
      <c r="N34" s="36">
        <f>IFERROR(M34/K34,0)</f>
        <v/>
      </c>
      <c r="O34" s="42">
        <f>'S15'!N34</f>
        <v/>
      </c>
      <c r="P34" s="36">
        <f>N34-O34</f>
        <v/>
      </c>
      <c r="Q34" s="32" t="n"/>
      <c r="R34" s="32" t="n"/>
      <c r="S34" s="32" t="n"/>
      <c r="T34" s="33" t="n"/>
      <c r="U34" s="42">
        <f>'S15'!T34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'S15'!M35+L35</f>
        <v/>
      </c>
      <c r="N35" s="31">
        <f>IFERROR(M35/K35,0)</f>
        <v/>
      </c>
      <c r="O35" s="40">
        <f>'S15'!N35</f>
        <v/>
      </c>
      <c r="P35" s="31">
        <f>N35-O35</f>
        <v/>
      </c>
      <c r="Q35" s="32" t="n"/>
      <c r="R35" s="32" t="n"/>
      <c r="S35" s="32" t="n"/>
      <c r="T35" s="33" t="n"/>
      <c r="U35" s="40">
        <f>'S15'!T35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'S15'!M36+L36</f>
        <v/>
      </c>
      <c r="N36" s="36">
        <f>IFERROR(M36/K36,0)</f>
        <v/>
      </c>
      <c r="O36" s="42">
        <f>'S15'!N36</f>
        <v/>
      </c>
      <c r="P36" s="36">
        <f>N36-O36</f>
        <v/>
      </c>
      <c r="Q36" s="32" t="n"/>
      <c r="R36" s="32" t="n"/>
      <c r="S36" s="32" t="n"/>
      <c r="T36" s="33" t="n"/>
      <c r="U36" s="42">
        <f>'S15'!T36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'S15'!M37+L37</f>
        <v/>
      </c>
      <c r="N37" s="31">
        <f>IFERROR(M37/K37,0)</f>
        <v/>
      </c>
      <c r="O37" s="40">
        <f>'S15'!N37</f>
        <v/>
      </c>
      <c r="P37" s="31">
        <f>N37-O37</f>
        <v/>
      </c>
      <c r="Q37" s="32" t="n"/>
      <c r="R37" s="32" t="n"/>
      <c r="S37" s="32" t="n"/>
      <c r="T37" s="33" t="n"/>
      <c r="U37" s="40">
        <f>'S15'!T37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'S15'!M38+L38</f>
        <v/>
      </c>
      <c r="N38" s="36">
        <f>IFERROR(M38/K38,0)</f>
        <v/>
      </c>
      <c r="O38" s="42">
        <f>'S15'!N38</f>
        <v/>
      </c>
      <c r="P38" s="36">
        <f>N38-O38</f>
        <v/>
      </c>
      <c r="Q38" s="32" t="n"/>
      <c r="R38" s="32" t="n"/>
      <c r="S38" s="32" t="n"/>
      <c r="T38" s="33" t="n"/>
      <c r="U38" s="42">
        <f>'S15'!T38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'S15'!M39+L39</f>
        <v/>
      </c>
      <c r="N39" s="31">
        <f>IFERROR(M39/K39,0)</f>
        <v/>
      </c>
      <c r="O39" s="40">
        <f>'S15'!N39</f>
        <v/>
      </c>
      <c r="P39" s="31">
        <f>N39-O39</f>
        <v/>
      </c>
      <c r="Q39" s="32" t="n"/>
      <c r="R39" s="32" t="n"/>
      <c r="S39" s="32" t="n"/>
      <c r="T39" s="33" t="n"/>
      <c r="U39" s="40">
        <f>'S15'!T39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'S15'!M40+L40</f>
        <v/>
      </c>
      <c r="N40" s="36">
        <f>IFERROR(M40/K40,0)</f>
        <v/>
      </c>
      <c r="O40" s="42">
        <f>'S15'!N40</f>
        <v/>
      </c>
      <c r="P40" s="36">
        <f>N40-O40</f>
        <v/>
      </c>
      <c r="Q40" s="32" t="n"/>
      <c r="R40" s="32" t="n"/>
      <c r="S40" s="32" t="n"/>
      <c r="T40" s="33" t="n"/>
      <c r="U40" s="42">
        <f>'S15'!T40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'S15'!M41+L41</f>
        <v/>
      </c>
      <c r="N41" s="31">
        <f>IFERROR(M41/K41,0)</f>
        <v/>
      </c>
      <c r="O41" s="40">
        <f>'S15'!N41</f>
        <v/>
      </c>
      <c r="P41" s="31">
        <f>N41-O41</f>
        <v/>
      </c>
      <c r="Q41" s="32" t="n"/>
      <c r="R41" s="32" t="n"/>
      <c r="S41" s="32" t="n"/>
      <c r="T41" s="33" t="n"/>
      <c r="U41" s="40">
        <f>'S15'!T41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'S15'!M42+L42</f>
        <v/>
      </c>
      <c r="N42" s="36">
        <f>IFERROR(M42/K42,0)</f>
        <v/>
      </c>
      <c r="O42" s="42">
        <f>'S15'!N42</f>
        <v/>
      </c>
      <c r="P42" s="36">
        <f>N42-O42</f>
        <v/>
      </c>
      <c r="Q42" s="32" t="n"/>
      <c r="R42" s="32" t="n"/>
      <c r="S42" s="32" t="n"/>
      <c r="T42" s="33" t="n"/>
      <c r="U42" s="42">
        <f>'S15'!T42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'S15'!M43+L43</f>
        <v/>
      </c>
      <c r="N43" s="31">
        <f>IFERROR(M43/K43,0)</f>
        <v/>
      </c>
      <c r="O43" s="40">
        <f>'S15'!N43</f>
        <v/>
      </c>
      <c r="P43" s="31">
        <f>N43-O43</f>
        <v/>
      </c>
      <c r="Q43" s="32" t="n"/>
      <c r="R43" s="32" t="n"/>
      <c r="S43" s="32" t="n"/>
      <c r="T43" s="33" t="n"/>
      <c r="U43" s="40">
        <f>'S15'!T43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'S15'!M44+L44</f>
        <v/>
      </c>
      <c r="N44" s="36">
        <f>IFERROR(M44/K44,0)</f>
        <v/>
      </c>
      <c r="O44" s="42">
        <f>'S15'!N44</f>
        <v/>
      </c>
      <c r="P44" s="36">
        <f>N44-O44</f>
        <v/>
      </c>
      <c r="Q44" s="32" t="n"/>
      <c r="R44" s="32" t="n"/>
      <c r="S44" s="32" t="n"/>
      <c r="T44" s="33" t="n"/>
      <c r="U44" s="42">
        <f>'S15'!T44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'S15'!M45+L45</f>
        <v/>
      </c>
      <c r="N45" s="31">
        <f>IFERROR(M45/K45,0)</f>
        <v/>
      </c>
      <c r="O45" s="40">
        <f>'S15'!N45</f>
        <v/>
      </c>
      <c r="P45" s="31">
        <f>N45-O45</f>
        <v/>
      </c>
      <c r="Q45" s="32" t="n"/>
      <c r="R45" s="32" t="n"/>
      <c r="S45" s="32" t="n"/>
      <c r="T45" s="33" t="n"/>
      <c r="U45" s="40">
        <f>'S15'!T45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'S15'!M46+L46</f>
        <v/>
      </c>
      <c r="N46" s="36">
        <f>IFERROR(M46/K46,0)</f>
        <v/>
      </c>
      <c r="O46" s="42">
        <f>'S15'!N46</f>
        <v/>
      </c>
      <c r="P46" s="36">
        <f>N46-O46</f>
        <v/>
      </c>
      <c r="Q46" s="32" t="n"/>
      <c r="R46" s="32" t="n"/>
      <c r="S46" s="32" t="n"/>
      <c r="T46" s="33" t="n"/>
      <c r="U46" s="42">
        <f>'S15'!T46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'S15'!M47+L47</f>
        <v/>
      </c>
      <c r="N47" s="31">
        <f>IFERROR(M47/K47,0)</f>
        <v/>
      </c>
      <c r="O47" s="40">
        <f>'S15'!N47</f>
        <v/>
      </c>
      <c r="P47" s="31">
        <f>N47-O47</f>
        <v/>
      </c>
      <c r="Q47" s="32" t="n"/>
      <c r="R47" s="32" t="n"/>
      <c r="S47" s="32" t="n"/>
      <c r="T47" s="33" t="n"/>
      <c r="U47" s="40">
        <f>'S15'!T47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'S15'!M48+L48</f>
        <v/>
      </c>
      <c r="N48" s="36">
        <f>IFERROR(M48/K48,0)</f>
        <v/>
      </c>
      <c r="O48" s="42">
        <f>'S15'!N48</f>
        <v/>
      </c>
      <c r="P48" s="36">
        <f>N48-O48</f>
        <v/>
      </c>
      <c r="Q48" s="32" t="n"/>
      <c r="R48" s="32" t="n"/>
      <c r="S48" s="32" t="n"/>
      <c r="T48" s="33" t="n"/>
      <c r="U48" s="42">
        <f>'S15'!T48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'S15'!M49+L49</f>
        <v/>
      </c>
      <c r="N49" s="31">
        <f>IFERROR(M49/K49,0)</f>
        <v/>
      </c>
      <c r="O49" s="40">
        <f>'S15'!N49</f>
        <v/>
      </c>
      <c r="P49" s="31">
        <f>N49-O49</f>
        <v/>
      </c>
      <c r="Q49" s="32" t="n"/>
      <c r="R49" s="32" t="n"/>
      <c r="S49" s="32" t="n"/>
      <c r="T49" s="33" t="n"/>
      <c r="U49" s="40">
        <f>'S15'!T49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'S15'!M50+L50</f>
        <v/>
      </c>
      <c r="N50" s="36">
        <f>IFERROR(M50/K50,0)</f>
        <v/>
      </c>
      <c r="O50" s="42">
        <f>'S15'!N50</f>
        <v/>
      </c>
      <c r="P50" s="36">
        <f>N50-O50</f>
        <v/>
      </c>
      <c r="Q50" s="32" t="n"/>
      <c r="R50" s="32" t="n"/>
      <c r="S50" s="32" t="n"/>
      <c r="T50" s="33" t="n"/>
      <c r="U50" s="42">
        <f>'S15'!T50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'S15'!M51+L51</f>
        <v/>
      </c>
      <c r="N51" s="31">
        <f>IFERROR(M51/K51,0)</f>
        <v/>
      </c>
      <c r="O51" s="40">
        <f>'S15'!N51</f>
        <v/>
      </c>
      <c r="P51" s="31">
        <f>N51-O51</f>
        <v/>
      </c>
      <c r="Q51" s="32" t="n"/>
      <c r="R51" s="32" t="n"/>
      <c r="S51" s="32" t="n"/>
      <c r="T51" s="33" t="n"/>
      <c r="U51" s="40">
        <f>'S15'!T51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'S15'!M52+L52</f>
        <v/>
      </c>
      <c r="N52" s="36">
        <f>IFERROR(M52/K52,0)</f>
        <v/>
      </c>
      <c r="O52" s="42">
        <f>'S15'!N52</f>
        <v/>
      </c>
      <c r="P52" s="36">
        <f>N52-O52</f>
        <v/>
      </c>
      <c r="Q52" s="32" t="n"/>
      <c r="R52" s="32" t="n"/>
      <c r="S52" s="32" t="n"/>
      <c r="T52" s="33" t="n"/>
      <c r="U52" s="42">
        <f>'S15'!T52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'S15'!M53+L53</f>
        <v/>
      </c>
      <c r="N53" s="31">
        <f>IFERROR(M53/K53,0)</f>
        <v/>
      </c>
      <c r="O53" s="40">
        <f>'S15'!N53</f>
        <v/>
      </c>
      <c r="P53" s="31">
        <f>N53-O53</f>
        <v/>
      </c>
      <c r="Q53" s="32" t="n"/>
      <c r="R53" s="32" t="n"/>
      <c r="S53" s="32" t="n"/>
      <c r="T53" s="33" t="n"/>
      <c r="U53" s="40">
        <f>'S15'!T53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'S15'!M54+L54</f>
        <v/>
      </c>
      <c r="N54" s="36">
        <f>IFERROR(M54/K54,0)</f>
        <v/>
      </c>
      <c r="O54" s="42">
        <f>'S15'!N54</f>
        <v/>
      </c>
      <c r="P54" s="36">
        <f>N54-O54</f>
        <v/>
      </c>
      <c r="Q54" s="32" t="n"/>
      <c r="R54" s="32" t="n"/>
      <c r="S54" s="32" t="n"/>
      <c r="T54" s="33" t="n"/>
      <c r="U54" s="42">
        <f>'S15'!T54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'S15'!M55+L55</f>
        <v/>
      </c>
      <c r="N55" s="31">
        <f>IFERROR(M55/K55,0)</f>
        <v/>
      </c>
      <c r="O55" s="40">
        <f>'S15'!N55</f>
        <v/>
      </c>
      <c r="P55" s="31">
        <f>N55-O55</f>
        <v/>
      </c>
      <c r="Q55" s="32" t="n"/>
      <c r="R55" s="32" t="n"/>
      <c r="S55" s="32" t="n"/>
      <c r="T55" s="33" t="n"/>
      <c r="U55" s="40">
        <f>'S15'!T55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'S15'!M56+L56</f>
        <v/>
      </c>
      <c r="N56" s="36">
        <f>IFERROR(M56/K56,0)</f>
        <v/>
      </c>
      <c r="O56" s="42">
        <f>'S15'!N56</f>
        <v/>
      </c>
      <c r="P56" s="36">
        <f>N56-O56</f>
        <v/>
      </c>
      <c r="Q56" s="32" t="n"/>
      <c r="R56" s="32" t="n"/>
      <c r="S56" s="32" t="n"/>
      <c r="T56" s="33" t="n"/>
      <c r="U56" s="42">
        <f>'S15'!T56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'S15'!M57+L57</f>
        <v/>
      </c>
      <c r="N57" s="31">
        <f>IFERROR(M57/K57,0)</f>
        <v/>
      </c>
      <c r="O57" s="40">
        <f>'S15'!N57</f>
        <v/>
      </c>
      <c r="P57" s="31">
        <f>N57-O57</f>
        <v/>
      </c>
      <c r="Q57" s="32" t="n"/>
      <c r="R57" s="32" t="n"/>
      <c r="S57" s="32" t="n"/>
      <c r="T57" s="33" t="n"/>
      <c r="U57" s="40">
        <f>'S15'!T57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'S15'!M58+L58</f>
        <v/>
      </c>
      <c r="N58" s="36">
        <f>IFERROR(M58/K58,0)</f>
        <v/>
      </c>
      <c r="O58" s="42">
        <f>'S15'!N58</f>
        <v/>
      </c>
      <c r="P58" s="36">
        <f>N58-O58</f>
        <v/>
      </c>
      <c r="Q58" s="32" t="n"/>
      <c r="R58" s="32" t="n"/>
      <c r="S58" s="32" t="n"/>
      <c r="T58" s="33" t="n"/>
      <c r="U58" s="42">
        <f>'S15'!T58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'S15'!M59+L59</f>
        <v/>
      </c>
      <c r="N59" s="31">
        <f>IFERROR(M59/K59,0)</f>
        <v/>
      </c>
      <c r="O59" s="40">
        <f>'S15'!N59</f>
        <v/>
      </c>
      <c r="P59" s="31">
        <f>N59-O59</f>
        <v/>
      </c>
      <c r="Q59" s="32" t="n"/>
      <c r="R59" s="32" t="n"/>
      <c r="S59" s="32" t="n"/>
      <c r="T59" s="33" t="n"/>
      <c r="U59" s="40">
        <f>'S15'!T59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'S15'!M60+L60</f>
        <v/>
      </c>
      <c r="N60" s="36">
        <f>IFERROR(M60/K60,0)</f>
        <v/>
      </c>
      <c r="O60" s="42">
        <f>'S15'!N60</f>
        <v/>
      </c>
      <c r="P60" s="36">
        <f>N60-O60</f>
        <v/>
      </c>
      <c r="Q60" s="32" t="n"/>
      <c r="R60" s="32" t="n"/>
      <c r="S60" s="32" t="n"/>
      <c r="T60" s="33" t="n"/>
      <c r="U60" s="42">
        <f>'S15'!T60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'S15'!M61+L61</f>
        <v/>
      </c>
      <c r="N61" s="31">
        <f>IFERROR(M61/K61,0)</f>
        <v/>
      </c>
      <c r="O61" s="40">
        <f>'S15'!N61</f>
        <v/>
      </c>
      <c r="P61" s="31">
        <f>N61-O61</f>
        <v/>
      </c>
      <c r="Q61" s="32" t="n"/>
      <c r="R61" s="32" t="n"/>
      <c r="S61" s="32" t="n"/>
      <c r="T61" s="33" t="n"/>
      <c r="U61" s="40">
        <f>'S15'!T61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'S15'!M62+L62</f>
        <v/>
      </c>
      <c r="N62" s="36">
        <f>IFERROR(M62/K62,0)</f>
        <v/>
      </c>
      <c r="O62" s="42">
        <f>'S15'!N62</f>
        <v/>
      </c>
      <c r="P62" s="36">
        <f>N62-O62</f>
        <v/>
      </c>
      <c r="Q62" s="32" t="n"/>
      <c r="R62" s="32" t="n"/>
      <c r="S62" s="32" t="n"/>
      <c r="T62" s="33" t="n"/>
      <c r="U62" s="42">
        <f>'S15'!T62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'S15'!M63+L63</f>
        <v/>
      </c>
      <c r="N63" s="31">
        <f>IFERROR(M63/K63,0)</f>
        <v/>
      </c>
      <c r="O63" s="40">
        <f>'S15'!N63</f>
        <v/>
      </c>
      <c r="P63" s="31">
        <f>N63-O63</f>
        <v/>
      </c>
      <c r="Q63" s="32" t="n"/>
      <c r="R63" s="32" t="n"/>
      <c r="S63" s="32" t="n"/>
      <c r="T63" s="33" t="n"/>
      <c r="U63" s="40">
        <f>'S15'!T63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'S15'!M64+L64</f>
        <v/>
      </c>
      <c r="N64" s="36">
        <f>IFERROR(M64/K64,0)</f>
        <v/>
      </c>
      <c r="O64" s="42">
        <f>'S15'!N64</f>
        <v/>
      </c>
      <c r="P64" s="36">
        <f>N64-O64</f>
        <v/>
      </c>
      <c r="Q64" s="32" t="n"/>
      <c r="R64" s="32" t="n"/>
      <c r="S64" s="32" t="n"/>
      <c r="T64" s="33" t="n"/>
      <c r="U64" s="42">
        <f>'S15'!T64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'S15'!M65+L65</f>
        <v/>
      </c>
      <c r="N65" s="31">
        <f>IFERROR(M65/K65,0)</f>
        <v/>
      </c>
      <c r="O65" s="40">
        <f>'S15'!N65</f>
        <v/>
      </c>
      <c r="P65" s="31">
        <f>N65-O65</f>
        <v/>
      </c>
      <c r="Q65" s="32" t="n"/>
      <c r="R65" s="32" t="n"/>
      <c r="S65" s="32" t="n"/>
      <c r="T65" s="33" t="n"/>
      <c r="U65" s="40">
        <f>'S15'!T65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'S15'!M66+L66</f>
        <v/>
      </c>
      <c r="N66" s="36">
        <f>IFERROR(M66/K66,0)</f>
        <v/>
      </c>
      <c r="O66" s="42">
        <f>'S15'!N66</f>
        <v/>
      </c>
      <c r="P66" s="36">
        <f>N66-O66</f>
        <v/>
      </c>
      <c r="Q66" s="32" t="n"/>
      <c r="R66" s="32" t="n"/>
      <c r="S66" s="32" t="n"/>
      <c r="T66" s="33" t="n"/>
      <c r="U66" s="42">
        <f>'S15'!T66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'S15'!M67+L67</f>
        <v/>
      </c>
      <c r="N67" s="31">
        <f>IFERROR(M67/K67,0)</f>
        <v/>
      </c>
      <c r="O67" s="40">
        <f>'S15'!N67</f>
        <v/>
      </c>
      <c r="P67" s="31">
        <f>N67-O67</f>
        <v/>
      </c>
      <c r="Q67" s="32" t="n"/>
      <c r="R67" s="32" t="n"/>
      <c r="S67" s="32" t="n"/>
      <c r="T67" s="33" t="n"/>
      <c r="U67" s="40">
        <f>'S15'!T67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'S15'!M68+L68</f>
        <v/>
      </c>
      <c r="N68" s="36">
        <f>IFERROR(M68/K68,0)</f>
        <v/>
      </c>
      <c r="O68" s="42">
        <f>'S15'!N68</f>
        <v/>
      </c>
      <c r="P68" s="36">
        <f>N68-O68</f>
        <v/>
      </c>
      <c r="Q68" s="32" t="n"/>
      <c r="R68" s="32" t="n"/>
      <c r="S68" s="32" t="n"/>
      <c r="T68" s="33" t="n"/>
      <c r="U68" s="42">
        <f>'S15'!T68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'S15'!M69+L69</f>
        <v/>
      </c>
      <c r="N69" s="31">
        <f>IFERROR(M69/K69,0)</f>
        <v/>
      </c>
      <c r="O69" s="40">
        <f>'S15'!N69</f>
        <v/>
      </c>
      <c r="P69" s="31">
        <f>N69-O69</f>
        <v/>
      </c>
      <c r="Q69" s="32" t="n"/>
      <c r="R69" s="32" t="n"/>
      <c r="S69" s="32" t="n"/>
      <c r="T69" s="33" t="n"/>
      <c r="U69" s="40">
        <f>'S15'!T69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'S15'!M70+L70</f>
        <v/>
      </c>
      <c r="N70" s="36">
        <f>IFERROR(M70/K70,0)</f>
        <v/>
      </c>
      <c r="O70" s="42">
        <f>'S15'!N70</f>
        <v/>
      </c>
      <c r="P70" s="36">
        <f>N70-O70</f>
        <v/>
      </c>
      <c r="Q70" s="32" t="n"/>
      <c r="R70" s="32" t="n"/>
      <c r="S70" s="32" t="n"/>
      <c r="T70" s="33" t="n"/>
      <c r="U70" s="42">
        <f>'S15'!T70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'S15'!M71+L71</f>
        <v/>
      </c>
      <c r="N71" s="31">
        <f>IFERROR(M71/K71,0)</f>
        <v/>
      </c>
      <c r="O71" s="40">
        <f>'S15'!N71</f>
        <v/>
      </c>
      <c r="P71" s="31">
        <f>N71-O71</f>
        <v/>
      </c>
      <c r="Q71" s="32" t="n"/>
      <c r="R71" s="32" t="n"/>
      <c r="S71" s="32" t="n"/>
      <c r="T71" s="33" t="n"/>
      <c r="U71" s="40">
        <f>'S15'!T71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'S15'!M72+L72</f>
        <v/>
      </c>
      <c r="N72" s="36">
        <f>IFERROR(M72/K72,0)</f>
        <v/>
      </c>
      <c r="O72" s="42">
        <f>'S15'!N72</f>
        <v/>
      </c>
      <c r="P72" s="36">
        <f>N72-O72</f>
        <v/>
      </c>
      <c r="Q72" s="32" t="n"/>
      <c r="R72" s="32" t="n"/>
      <c r="S72" s="32" t="n"/>
      <c r="T72" s="33" t="n"/>
      <c r="U72" s="42">
        <f>'S15'!T72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'S15'!M73+L73</f>
        <v/>
      </c>
      <c r="N73" s="31">
        <f>IFERROR(M73/K73,0)</f>
        <v/>
      </c>
      <c r="O73" s="40">
        <f>'S15'!N73</f>
        <v/>
      </c>
      <c r="P73" s="31">
        <f>N73-O73</f>
        <v/>
      </c>
      <c r="Q73" s="32" t="n"/>
      <c r="R73" s="32" t="n"/>
      <c r="S73" s="32" t="n"/>
      <c r="T73" s="33" t="n"/>
      <c r="U73" s="40">
        <f>'S15'!T73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'S15'!M74+L74</f>
        <v/>
      </c>
      <c r="N74" s="36">
        <f>IFERROR(M74/K74,0)</f>
        <v/>
      </c>
      <c r="O74" s="42">
        <f>'S15'!N74</f>
        <v/>
      </c>
      <c r="P74" s="36">
        <f>N74-O74</f>
        <v/>
      </c>
      <c r="Q74" s="32" t="n"/>
      <c r="R74" s="32" t="n"/>
      <c r="S74" s="32" t="n"/>
      <c r="T74" s="33" t="n"/>
      <c r="U74" s="42">
        <f>'S15'!T74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'S15'!M75+L75</f>
        <v/>
      </c>
      <c r="N75" s="31">
        <f>IFERROR(M75/K75,0)</f>
        <v/>
      </c>
      <c r="O75" s="40">
        <f>'S15'!N75</f>
        <v/>
      </c>
      <c r="P75" s="31">
        <f>N75-O75</f>
        <v/>
      </c>
      <c r="Q75" s="32" t="n"/>
      <c r="R75" s="32" t="n"/>
      <c r="S75" s="32" t="n"/>
      <c r="T75" s="33" t="n"/>
      <c r="U75" s="40">
        <f>'S15'!T75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'S15'!M76+L76</f>
        <v/>
      </c>
      <c r="N76" s="36">
        <f>IFERROR(M76/K76,0)</f>
        <v/>
      </c>
      <c r="O76" s="42">
        <f>'S15'!N76</f>
        <v/>
      </c>
      <c r="P76" s="36">
        <f>N76-O76</f>
        <v/>
      </c>
      <c r="Q76" s="32" t="n"/>
      <c r="R76" s="32" t="n"/>
      <c r="S76" s="32" t="n"/>
      <c r="T76" s="33" t="n"/>
      <c r="U76" s="42">
        <f>'S15'!T76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19.xml><?xml version="1.0" encoding="utf-8"?>
<worksheet xmlns="http://schemas.openxmlformats.org/spreadsheetml/2006/main">
  <sheetPr>
    <tabColor rgb="00A9D18E"/>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17 (20/04 - 26/04) — Avril 2026 - Exécution Physique et Financière</t>
        </is>
      </c>
    </row>
    <row r="3" ht="22" customHeight="1">
      <c r="B3" s="20" t="inlineStr">
        <is>
          <t>Date :</t>
        </is>
      </c>
      <c r="C3" s="21" t="n">
        <v>46132</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'S16'!M5+L5</f>
        <v/>
      </c>
      <c r="N5" s="31">
        <f>IFERROR(M5/K5,0)</f>
        <v/>
      </c>
      <c r="O5" s="40">
        <f>'S16'!N5</f>
        <v/>
      </c>
      <c r="P5" s="31">
        <f>N5-O5</f>
        <v/>
      </c>
      <c r="Q5" s="32" t="n"/>
      <c r="R5" s="32" t="n"/>
      <c r="S5" s="32" t="n"/>
      <c r="T5" s="33" t="n"/>
      <c r="U5" s="40">
        <f>'S16'!T5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'S16'!M6+L6</f>
        <v/>
      </c>
      <c r="N6" s="36">
        <f>IFERROR(M6/K6,0)</f>
        <v/>
      </c>
      <c r="O6" s="42">
        <f>'S16'!N6</f>
        <v/>
      </c>
      <c r="P6" s="36">
        <f>N6-O6</f>
        <v/>
      </c>
      <c r="Q6" s="32" t="n"/>
      <c r="R6" s="32" t="n"/>
      <c r="S6" s="32" t="n"/>
      <c r="T6" s="33" t="n"/>
      <c r="U6" s="42">
        <f>'S16'!T6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'S16'!M7+L7</f>
        <v/>
      </c>
      <c r="N7" s="31">
        <f>IFERROR(M7/K7,0)</f>
        <v/>
      </c>
      <c r="O7" s="40">
        <f>'S16'!N7</f>
        <v/>
      </c>
      <c r="P7" s="31">
        <f>N7-O7</f>
        <v/>
      </c>
      <c r="Q7" s="32" t="n"/>
      <c r="R7" s="32" t="n"/>
      <c r="S7" s="32" t="n"/>
      <c r="T7" s="33" t="n"/>
      <c r="U7" s="40">
        <f>'S16'!T7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'S16'!M8+L8</f>
        <v/>
      </c>
      <c r="N8" s="36">
        <f>IFERROR(M8/K8,0)</f>
        <v/>
      </c>
      <c r="O8" s="42">
        <f>'S16'!N8</f>
        <v/>
      </c>
      <c r="P8" s="36">
        <f>N8-O8</f>
        <v/>
      </c>
      <c r="Q8" s="32" t="n"/>
      <c r="R8" s="32" t="n"/>
      <c r="S8" s="32" t="n"/>
      <c r="T8" s="33" t="n"/>
      <c r="U8" s="42">
        <f>'S16'!T8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'S16'!M9+L9</f>
        <v/>
      </c>
      <c r="N9" s="31">
        <f>IFERROR(M9/K9,0)</f>
        <v/>
      </c>
      <c r="O9" s="40">
        <f>'S16'!N9</f>
        <v/>
      </c>
      <c r="P9" s="31">
        <f>N9-O9</f>
        <v/>
      </c>
      <c r="Q9" s="32" t="n"/>
      <c r="R9" s="32" t="n"/>
      <c r="S9" s="32" t="n"/>
      <c r="T9" s="33" t="n"/>
      <c r="U9" s="40">
        <f>'S16'!T9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'S16'!M10+L10</f>
        <v/>
      </c>
      <c r="N10" s="36">
        <f>IFERROR(M10/K10,0)</f>
        <v/>
      </c>
      <c r="O10" s="42">
        <f>'S16'!N10</f>
        <v/>
      </c>
      <c r="P10" s="36">
        <f>N10-O10</f>
        <v/>
      </c>
      <c r="Q10" s="32" t="n"/>
      <c r="R10" s="32" t="n"/>
      <c r="S10" s="32" t="n"/>
      <c r="T10" s="33" t="n"/>
      <c r="U10" s="42">
        <f>'S16'!T10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'S16'!M11+L11</f>
        <v/>
      </c>
      <c r="N11" s="31">
        <f>IFERROR(M11/K11,0)</f>
        <v/>
      </c>
      <c r="O11" s="40">
        <f>'S16'!N11</f>
        <v/>
      </c>
      <c r="P11" s="31">
        <f>N11-O11</f>
        <v/>
      </c>
      <c r="Q11" s="32" t="n"/>
      <c r="R11" s="32" t="n"/>
      <c r="S11" s="32" t="n"/>
      <c r="T11" s="33" t="n"/>
      <c r="U11" s="40">
        <f>'S16'!T11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'S16'!M12+L12</f>
        <v/>
      </c>
      <c r="N12" s="36">
        <f>IFERROR(M12/K12,0)</f>
        <v/>
      </c>
      <c r="O12" s="42">
        <f>'S16'!N12</f>
        <v/>
      </c>
      <c r="P12" s="36">
        <f>N12-O12</f>
        <v/>
      </c>
      <c r="Q12" s="32" t="n"/>
      <c r="R12" s="32" t="n"/>
      <c r="S12" s="32" t="n"/>
      <c r="T12" s="33" t="n"/>
      <c r="U12" s="42">
        <f>'S16'!T12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'S16'!M13+L13</f>
        <v/>
      </c>
      <c r="N13" s="31">
        <f>IFERROR(M13/K13,0)</f>
        <v/>
      </c>
      <c r="O13" s="40">
        <f>'S16'!N13</f>
        <v/>
      </c>
      <c r="P13" s="31">
        <f>N13-O13</f>
        <v/>
      </c>
      <c r="Q13" s="32" t="n"/>
      <c r="R13" s="32" t="n"/>
      <c r="S13" s="32" t="n"/>
      <c r="T13" s="33" t="n"/>
      <c r="U13" s="40">
        <f>'S16'!T13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'S16'!M14+L14</f>
        <v/>
      </c>
      <c r="N14" s="36">
        <f>IFERROR(M14/K14,0)</f>
        <v/>
      </c>
      <c r="O14" s="42">
        <f>'S16'!N14</f>
        <v/>
      </c>
      <c r="P14" s="36">
        <f>N14-O14</f>
        <v/>
      </c>
      <c r="Q14" s="32" t="n"/>
      <c r="R14" s="32" t="n"/>
      <c r="S14" s="32" t="n"/>
      <c r="T14" s="33" t="n"/>
      <c r="U14" s="42">
        <f>'S16'!T14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'S16'!M15+L15</f>
        <v/>
      </c>
      <c r="N15" s="31">
        <f>IFERROR(M15/K15,0)</f>
        <v/>
      </c>
      <c r="O15" s="40">
        <f>'S16'!N15</f>
        <v/>
      </c>
      <c r="P15" s="31">
        <f>N15-O15</f>
        <v/>
      </c>
      <c r="Q15" s="32" t="n"/>
      <c r="R15" s="32" t="n"/>
      <c r="S15" s="32" t="n"/>
      <c r="T15" s="33" t="n"/>
      <c r="U15" s="40">
        <f>'S16'!T15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'S16'!M16+L16</f>
        <v/>
      </c>
      <c r="N16" s="36">
        <f>IFERROR(M16/K16,0)</f>
        <v/>
      </c>
      <c r="O16" s="42">
        <f>'S16'!N16</f>
        <v/>
      </c>
      <c r="P16" s="36">
        <f>N16-O16</f>
        <v/>
      </c>
      <c r="Q16" s="32" t="n"/>
      <c r="R16" s="32" t="n"/>
      <c r="S16" s="32" t="n"/>
      <c r="T16" s="33" t="n"/>
      <c r="U16" s="42">
        <f>'S16'!T16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'S16'!M17+L17</f>
        <v/>
      </c>
      <c r="N17" s="31">
        <f>IFERROR(M17/K17,0)</f>
        <v/>
      </c>
      <c r="O17" s="40">
        <f>'S16'!N17</f>
        <v/>
      </c>
      <c r="P17" s="31">
        <f>N17-O17</f>
        <v/>
      </c>
      <c r="Q17" s="32" t="n"/>
      <c r="R17" s="32" t="n"/>
      <c r="S17" s="32" t="n"/>
      <c r="T17" s="33" t="n"/>
      <c r="U17" s="40">
        <f>'S16'!T17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'S16'!M18+L18</f>
        <v/>
      </c>
      <c r="N18" s="36">
        <f>IFERROR(M18/K18,0)</f>
        <v/>
      </c>
      <c r="O18" s="42">
        <f>'S16'!N18</f>
        <v/>
      </c>
      <c r="P18" s="36">
        <f>N18-O18</f>
        <v/>
      </c>
      <c r="Q18" s="32" t="n"/>
      <c r="R18" s="32" t="n"/>
      <c r="S18" s="32" t="n"/>
      <c r="T18" s="33" t="n"/>
      <c r="U18" s="42">
        <f>'S16'!T18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'S16'!M19+L19</f>
        <v/>
      </c>
      <c r="N19" s="31">
        <f>IFERROR(M19/K19,0)</f>
        <v/>
      </c>
      <c r="O19" s="40">
        <f>'S16'!N19</f>
        <v/>
      </c>
      <c r="P19" s="31">
        <f>N19-O19</f>
        <v/>
      </c>
      <c r="Q19" s="32" t="n"/>
      <c r="R19" s="32" t="n"/>
      <c r="S19" s="32" t="n"/>
      <c r="T19" s="33" t="n"/>
      <c r="U19" s="40">
        <f>'S16'!T19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'S16'!M20+L20</f>
        <v/>
      </c>
      <c r="N20" s="36">
        <f>IFERROR(M20/K20,0)</f>
        <v/>
      </c>
      <c r="O20" s="42">
        <f>'S16'!N20</f>
        <v/>
      </c>
      <c r="P20" s="36">
        <f>N20-O20</f>
        <v/>
      </c>
      <c r="Q20" s="32" t="n"/>
      <c r="R20" s="32" t="n"/>
      <c r="S20" s="32" t="n"/>
      <c r="T20" s="33" t="n"/>
      <c r="U20" s="42">
        <f>'S16'!T20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'S16'!M21+L21</f>
        <v/>
      </c>
      <c r="N21" s="31">
        <f>IFERROR(M21/K21,0)</f>
        <v/>
      </c>
      <c r="O21" s="40">
        <f>'S16'!N21</f>
        <v/>
      </c>
      <c r="P21" s="31">
        <f>N21-O21</f>
        <v/>
      </c>
      <c r="Q21" s="32" t="n"/>
      <c r="R21" s="32" t="n"/>
      <c r="S21" s="32" t="n"/>
      <c r="T21" s="33" t="n"/>
      <c r="U21" s="40">
        <f>'S16'!T21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'S16'!M22+L22</f>
        <v/>
      </c>
      <c r="N22" s="36">
        <f>IFERROR(M22/K22,0)</f>
        <v/>
      </c>
      <c r="O22" s="42">
        <f>'S16'!N22</f>
        <v/>
      </c>
      <c r="P22" s="36">
        <f>N22-O22</f>
        <v/>
      </c>
      <c r="Q22" s="32" t="n"/>
      <c r="R22" s="32" t="n"/>
      <c r="S22" s="32" t="n"/>
      <c r="T22" s="33" t="n"/>
      <c r="U22" s="42">
        <f>'S16'!T22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'S16'!M23+L23</f>
        <v/>
      </c>
      <c r="N23" s="31">
        <f>IFERROR(M23/K23,0)</f>
        <v/>
      </c>
      <c r="O23" s="40">
        <f>'S16'!N23</f>
        <v/>
      </c>
      <c r="P23" s="31">
        <f>N23-O23</f>
        <v/>
      </c>
      <c r="Q23" s="32" t="n"/>
      <c r="R23" s="32" t="n"/>
      <c r="S23" s="32" t="n"/>
      <c r="T23" s="33" t="n"/>
      <c r="U23" s="40">
        <f>'S16'!T23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'S16'!M24+L24</f>
        <v/>
      </c>
      <c r="N24" s="36">
        <f>IFERROR(M24/K24,0)</f>
        <v/>
      </c>
      <c r="O24" s="42">
        <f>'S16'!N24</f>
        <v/>
      </c>
      <c r="P24" s="36">
        <f>N24-O24</f>
        <v/>
      </c>
      <c r="Q24" s="32" t="n"/>
      <c r="R24" s="32" t="n"/>
      <c r="S24" s="32" t="n"/>
      <c r="T24" s="33" t="n"/>
      <c r="U24" s="42">
        <f>'S16'!T24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'S16'!M25+L25</f>
        <v/>
      </c>
      <c r="N25" s="31">
        <f>IFERROR(M25/K25,0)</f>
        <v/>
      </c>
      <c r="O25" s="40">
        <f>'S16'!N25</f>
        <v/>
      </c>
      <c r="P25" s="31">
        <f>N25-O25</f>
        <v/>
      </c>
      <c r="Q25" s="32" t="n"/>
      <c r="R25" s="32" t="n"/>
      <c r="S25" s="32" t="n"/>
      <c r="T25" s="33" t="n"/>
      <c r="U25" s="40">
        <f>'S16'!T25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'S16'!M26+L26</f>
        <v/>
      </c>
      <c r="N26" s="36">
        <f>IFERROR(M26/K26,0)</f>
        <v/>
      </c>
      <c r="O26" s="42">
        <f>'S16'!N26</f>
        <v/>
      </c>
      <c r="P26" s="36">
        <f>N26-O26</f>
        <v/>
      </c>
      <c r="Q26" s="32" t="n"/>
      <c r="R26" s="32" t="n"/>
      <c r="S26" s="32" t="n"/>
      <c r="T26" s="33" t="n"/>
      <c r="U26" s="42">
        <f>'S16'!T26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'S16'!M27+L27</f>
        <v/>
      </c>
      <c r="N27" s="31">
        <f>IFERROR(M27/K27,0)</f>
        <v/>
      </c>
      <c r="O27" s="40">
        <f>'S16'!N27</f>
        <v/>
      </c>
      <c r="P27" s="31">
        <f>N27-O27</f>
        <v/>
      </c>
      <c r="Q27" s="32" t="n"/>
      <c r="R27" s="32" t="n"/>
      <c r="S27" s="32" t="n"/>
      <c r="T27" s="33" t="n"/>
      <c r="U27" s="40">
        <f>'S16'!T27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'S16'!M28+L28</f>
        <v/>
      </c>
      <c r="N28" s="36">
        <f>IFERROR(M28/K28,0)</f>
        <v/>
      </c>
      <c r="O28" s="42">
        <f>'S16'!N28</f>
        <v/>
      </c>
      <c r="P28" s="36">
        <f>N28-O28</f>
        <v/>
      </c>
      <c r="Q28" s="32" t="n"/>
      <c r="R28" s="32" t="n"/>
      <c r="S28" s="32" t="n"/>
      <c r="T28" s="33" t="n"/>
      <c r="U28" s="42">
        <f>'S16'!T28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'S16'!M29+L29</f>
        <v/>
      </c>
      <c r="N29" s="31">
        <f>IFERROR(M29/K29,0)</f>
        <v/>
      </c>
      <c r="O29" s="40">
        <f>'S16'!N29</f>
        <v/>
      </c>
      <c r="P29" s="31">
        <f>N29-O29</f>
        <v/>
      </c>
      <c r="Q29" s="32" t="n"/>
      <c r="R29" s="32" t="n"/>
      <c r="S29" s="32" t="n"/>
      <c r="T29" s="33" t="n"/>
      <c r="U29" s="40">
        <f>'S16'!T29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'S16'!M30+L30</f>
        <v/>
      </c>
      <c r="N30" s="36">
        <f>IFERROR(M30/K30,0)</f>
        <v/>
      </c>
      <c r="O30" s="42">
        <f>'S16'!N30</f>
        <v/>
      </c>
      <c r="P30" s="36">
        <f>N30-O30</f>
        <v/>
      </c>
      <c r="Q30" s="32" t="n"/>
      <c r="R30" s="32" t="n"/>
      <c r="S30" s="32" t="n"/>
      <c r="T30" s="33" t="n"/>
      <c r="U30" s="42">
        <f>'S16'!T30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'S16'!M31+L31</f>
        <v/>
      </c>
      <c r="N31" s="31">
        <f>IFERROR(M31/K31,0)</f>
        <v/>
      </c>
      <c r="O31" s="40">
        <f>'S16'!N31</f>
        <v/>
      </c>
      <c r="P31" s="31">
        <f>N31-O31</f>
        <v/>
      </c>
      <c r="Q31" s="32" t="n"/>
      <c r="R31" s="32" t="n"/>
      <c r="S31" s="32" t="n"/>
      <c r="T31" s="33" t="n"/>
      <c r="U31" s="40">
        <f>'S16'!T31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'S16'!M32+L32</f>
        <v/>
      </c>
      <c r="N32" s="36">
        <f>IFERROR(M32/K32,0)</f>
        <v/>
      </c>
      <c r="O32" s="42">
        <f>'S16'!N32</f>
        <v/>
      </c>
      <c r="P32" s="36">
        <f>N32-O32</f>
        <v/>
      </c>
      <c r="Q32" s="32" t="n"/>
      <c r="R32" s="32" t="n"/>
      <c r="S32" s="32" t="n"/>
      <c r="T32" s="33" t="n"/>
      <c r="U32" s="42">
        <f>'S16'!T32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'S16'!M33+L33</f>
        <v/>
      </c>
      <c r="N33" s="31">
        <f>IFERROR(M33/K33,0)</f>
        <v/>
      </c>
      <c r="O33" s="40">
        <f>'S16'!N33</f>
        <v/>
      </c>
      <c r="P33" s="31">
        <f>N33-O33</f>
        <v/>
      </c>
      <c r="Q33" s="32" t="n"/>
      <c r="R33" s="32" t="n"/>
      <c r="S33" s="32" t="n"/>
      <c r="T33" s="33" t="n"/>
      <c r="U33" s="40">
        <f>'S16'!T33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'S16'!M34+L34</f>
        <v/>
      </c>
      <c r="N34" s="36">
        <f>IFERROR(M34/K34,0)</f>
        <v/>
      </c>
      <c r="O34" s="42">
        <f>'S16'!N34</f>
        <v/>
      </c>
      <c r="P34" s="36">
        <f>N34-O34</f>
        <v/>
      </c>
      <c r="Q34" s="32" t="n"/>
      <c r="R34" s="32" t="n"/>
      <c r="S34" s="32" t="n"/>
      <c r="T34" s="33" t="n"/>
      <c r="U34" s="42">
        <f>'S16'!T34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'S16'!M35+L35</f>
        <v/>
      </c>
      <c r="N35" s="31">
        <f>IFERROR(M35/K35,0)</f>
        <v/>
      </c>
      <c r="O35" s="40">
        <f>'S16'!N35</f>
        <v/>
      </c>
      <c r="P35" s="31">
        <f>N35-O35</f>
        <v/>
      </c>
      <c r="Q35" s="32" t="n"/>
      <c r="R35" s="32" t="n"/>
      <c r="S35" s="32" t="n"/>
      <c r="T35" s="33" t="n"/>
      <c r="U35" s="40">
        <f>'S16'!T35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'S16'!M36+L36</f>
        <v/>
      </c>
      <c r="N36" s="36">
        <f>IFERROR(M36/K36,0)</f>
        <v/>
      </c>
      <c r="O36" s="42">
        <f>'S16'!N36</f>
        <v/>
      </c>
      <c r="P36" s="36">
        <f>N36-O36</f>
        <v/>
      </c>
      <c r="Q36" s="32" t="n"/>
      <c r="R36" s="32" t="n"/>
      <c r="S36" s="32" t="n"/>
      <c r="T36" s="33" t="n"/>
      <c r="U36" s="42">
        <f>'S16'!T36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'S16'!M37+L37</f>
        <v/>
      </c>
      <c r="N37" s="31">
        <f>IFERROR(M37/K37,0)</f>
        <v/>
      </c>
      <c r="O37" s="40">
        <f>'S16'!N37</f>
        <v/>
      </c>
      <c r="P37" s="31">
        <f>N37-O37</f>
        <v/>
      </c>
      <c r="Q37" s="32" t="n"/>
      <c r="R37" s="32" t="n"/>
      <c r="S37" s="32" t="n"/>
      <c r="T37" s="33" t="n"/>
      <c r="U37" s="40">
        <f>'S16'!T37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'S16'!M38+L38</f>
        <v/>
      </c>
      <c r="N38" s="36">
        <f>IFERROR(M38/K38,0)</f>
        <v/>
      </c>
      <c r="O38" s="42">
        <f>'S16'!N38</f>
        <v/>
      </c>
      <c r="P38" s="36">
        <f>N38-O38</f>
        <v/>
      </c>
      <c r="Q38" s="32" t="n"/>
      <c r="R38" s="32" t="n"/>
      <c r="S38" s="32" t="n"/>
      <c r="T38" s="33" t="n"/>
      <c r="U38" s="42">
        <f>'S16'!T38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'S16'!M39+L39</f>
        <v/>
      </c>
      <c r="N39" s="31">
        <f>IFERROR(M39/K39,0)</f>
        <v/>
      </c>
      <c r="O39" s="40">
        <f>'S16'!N39</f>
        <v/>
      </c>
      <c r="P39" s="31">
        <f>N39-O39</f>
        <v/>
      </c>
      <c r="Q39" s="32" t="n"/>
      <c r="R39" s="32" t="n"/>
      <c r="S39" s="32" t="n"/>
      <c r="T39" s="33" t="n"/>
      <c r="U39" s="40">
        <f>'S16'!T39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'S16'!M40+L40</f>
        <v/>
      </c>
      <c r="N40" s="36">
        <f>IFERROR(M40/K40,0)</f>
        <v/>
      </c>
      <c r="O40" s="42">
        <f>'S16'!N40</f>
        <v/>
      </c>
      <c r="P40" s="36">
        <f>N40-O40</f>
        <v/>
      </c>
      <c r="Q40" s="32" t="n"/>
      <c r="R40" s="32" t="n"/>
      <c r="S40" s="32" t="n"/>
      <c r="T40" s="33" t="n"/>
      <c r="U40" s="42">
        <f>'S16'!T40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'S16'!M41+L41</f>
        <v/>
      </c>
      <c r="N41" s="31">
        <f>IFERROR(M41/K41,0)</f>
        <v/>
      </c>
      <c r="O41" s="40">
        <f>'S16'!N41</f>
        <v/>
      </c>
      <c r="P41" s="31">
        <f>N41-O41</f>
        <v/>
      </c>
      <c r="Q41" s="32" t="n"/>
      <c r="R41" s="32" t="n"/>
      <c r="S41" s="32" t="n"/>
      <c r="T41" s="33" t="n"/>
      <c r="U41" s="40">
        <f>'S16'!T41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'S16'!M42+L42</f>
        <v/>
      </c>
      <c r="N42" s="36">
        <f>IFERROR(M42/K42,0)</f>
        <v/>
      </c>
      <c r="O42" s="42">
        <f>'S16'!N42</f>
        <v/>
      </c>
      <c r="P42" s="36">
        <f>N42-O42</f>
        <v/>
      </c>
      <c r="Q42" s="32" t="n"/>
      <c r="R42" s="32" t="n"/>
      <c r="S42" s="32" t="n"/>
      <c r="T42" s="33" t="n"/>
      <c r="U42" s="42">
        <f>'S16'!T42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'S16'!M43+L43</f>
        <v/>
      </c>
      <c r="N43" s="31">
        <f>IFERROR(M43/K43,0)</f>
        <v/>
      </c>
      <c r="O43" s="40">
        <f>'S16'!N43</f>
        <v/>
      </c>
      <c r="P43" s="31">
        <f>N43-O43</f>
        <v/>
      </c>
      <c r="Q43" s="32" t="n"/>
      <c r="R43" s="32" t="n"/>
      <c r="S43" s="32" t="n"/>
      <c r="T43" s="33" t="n"/>
      <c r="U43" s="40">
        <f>'S16'!T43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'S16'!M44+L44</f>
        <v/>
      </c>
      <c r="N44" s="36">
        <f>IFERROR(M44/K44,0)</f>
        <v/>
      </c>
      <c r="O44" s="42">
        <f>'S16'!N44</f>
        <v/>
      </c>
      <c r="P44" s="36">
        <f>N44-O44</f>
        <v/>
      </c>
      <c r="Q44" s="32" t="n"/>
      <c r="R44" s="32" t="n"/>
      <c r="S44" s="32" t="n"/>
      <c r="T44" s="33" t="n"/>
      <c r="U44" s="42">
        <f>'S16'!T44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'S16'!M45+L45</f>
        <v/>
      </c>
      <c r="N45" s="31">
        <f>IFERROR(M45/K45,0)</f>
        <v/>
      </c>
      <c r="O45" s="40">
        <f>'S16'!N45</f>
        <v/>
      </c>
      <c r="P45" s="31">
        <f>N45-O45</f>
        <v/>
      </c>
      <c r="Q45" s="32" t="n"/>
      <c r="R45" s="32" t="n"/>
      <c r="S45" s="32" t="n"/>
      <c r="T45" s="33" t="n"/>
      <c r="U45" s="40">
        <f>'S16'!T45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'S16'!M46+L46</f>
        <v/>
      </c>
      <c r="N46" s="36">
        <f>IFERROR(M46/K46,0)</f>
        <v/>
      </c>
      <c r="O46" s="42">
        <f>'S16'!N46</f>
        <v/>
      </c>
      <c r="P46" s="36">
        <f>N46-O46</f>
        <v/>
      </c>
      <c r="Q46" s="32" t="n"/>
      <c r="R46" s="32" t="n"/>
      <c r="S46" s="32" t="n"/>
      <c r="T46" s="33" t="n"/>
      <c r="U46" s="42">
        <f>'S16'!T46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'S16'!M47+L47</f>
        <v/>
      </c>
      <c r="N47" s="31">
        <f>IFERROR(M47/K47,0)</f>
        <v/>
      </c>
      <c r="O47" s="40">
        <f>'S16'!N47</f>
        <v/>
      </c>
      <c r="P47" s="31">
        <f>N47-O47</f>
        <v/>
      </c>
      <c r="Q47" s="32" t="n"/>
      <c r="R47" s="32" t="n"/>
      <c r="S47" s="32" t="n"/>
      <c r="T47" s="33" t="n"/>
      <c r="U47" s="40">
        <f>'S16'!T47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'S16'!M48+L48</f>
        <v/>
      </c>
      <c r="N48" s="36">
        <f>IFERROR(M48/K48,0)</f>
        <v/>
      </c>
      <c r="O48" s="42">
        <f>'S16'!N48</f>
        <v/>
      </c>
      <c r="P48" s="36">
        <f>N48-O48</f>
        <v/>
      </c>
      <c r="Q48" s="32" t="n"/>
      <c r="R48" s="32" t="n"/>
      <c r="S48" s="32" t="n"/>
      <c r="T48" s="33" t="n"/>
      <c r="U48" s="42">
        <f>'S16'!T48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'S16'!M49+L49</f>
        <v/>
      </c>
      <c r="N49" s="31">
        <f>IFERROR(M49/K49,0)</f>
        <v/>
      </c>
      <c r="O49" s="40">
        <f>'S16'!N49</f>
        <v/>
      </c>
      <c r="P49" s="31">
        <f>N49-O49</f>
        <v/>
      </c>
      <c r="Q49" s="32" t="n"/>
      <c r="R49" s="32" t="n"/>
      <c r="S49" s="32" t="n"/>
      <c r="T49" s="33" t="n"/>
      <c r="U49" s="40">
        <f>'S16'!T49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'S16'!M50+L50</f>
        <v/>
      </c>
      <c r="N50" s="36">
        <f>IFERROR(M50/K50,0)</f>
        <v/>
      </c>
      <c r="O50" s="42">
        <f>'S16'!N50</f>
        <v/>
      </c>
      <c r="P50" s="36">
        <f>N50-O50</f>
        <v/>
      </c>
      <c r="Q50" s="32" t="n"/>
      <c r="R50" s="32" t="n"/>
      <c r="S50" s="32" t="n"/>
      <c r="T50" s="33" t="n"/>
      <c r="U50" s="42">
        <f>'S16'!T50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'S16'!M51+L51</f>
        <v/>
      </c>
      <c r="N51" s="31">
        <f>IFERROR(M51/K51,0)</f>
        <v/>
      </c>
      <c r="O51" s="40">
        <f>'S16'!N51</f>
        <v/>
      </c>
      <c r="P51" s="31">
        <f>N51-O51</f>
        <v/>
      </c>
      <c r="Q51" s="32" t="n"/>
      <c r="R51" s="32" t="n"/>
      <c r="S51" s="32" t="n"/>
      <c r="T51" s="33" t="n"/>
      <c r="U51" s="40">
        <f>'S16'!T51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'S16'!M52+L52</f>
        <v/>
      </c>
      <c r="N52" s="36">
        <f>IFERROR(M52/K52,0)</f>
        <v/>
      </c>
      <c r="O52" s="42">
        <f>'S16'!N52</f>
        <v/>
      </c>
      <c r="P52" s="36">
        <f>N52-O52</f>
        <v/>
      </c>
      <c r="Q52" s="32" t="n"/>
      <c r="R52" s="32" t="n"/>
      <c r="S52" s="32" t="n"/>
      <c r="T52" s="33" t="n"/>
      <c r="U52" s="42">
        <f>'S16'!T52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'S16'!M53+L53</f>
        <v/>
      </c>
      <c r="N53" s="31">
        <f>IFERROR(M53/K53,0)</f>
        <v/>
      </c>
      <c r="O53" s="40">
        <f>'S16'!N53</f>
        <v/>
      </c>
      <c r="P53" s="31">
        <f>N53-O53</f>
        <v/>
      </c>
      <c r="Q53" s="32" t="n"/>
      <c r="R53" s="32" t="n"/>
      <c r="S53" s="32" t="n"/>
      <c r="T53" s="33" t="n"/>
      <c r="U53" s="40">
        <f>'S16'!T53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'S16'!M54+L54</f>
        <v/>
      </c>
      <c r="N54" s="36">
        <f>IFERROR(M54/K54,0)</f>
        <v/>
      </c>
      <c r="O54" s="42">
        <f>'S16'!N54</f>
        <v/>
      </c>
      <c r="P54" s="36">
        <f>N54-O54</f>
        <v/>
      </c>
      <c r="Q54" s="32" t="n"/>
      <c r="R54" s="32" t="n"/>
      <c r="S54" s="32" t="n"/>
      <c r="T54" s="33" t="n"/>
      <c r="U54" s="42">
        <f>'S16'!T54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'S16'!M55+L55</f>
        <v/>
      </c>
      <c r="N55" s="31">
        <f>IFERROR(M55/K55,0)</f>
        <v/>
      </c>
      <c r="O55" s="40">
        <f>'S16'!N55</f>
        <v/>
      </c>
      <c r="P55" s="31">
        <f>N55-O55</f>
        <v/>
      </c>
      <c r="Q55" s="32" t="n"/>
      <c r="R55" s="32" t="n"/>
      <c r="S55" s="32" t="n"/>
      <c r="T55" s="33" t="n"/>
      <c r="U55" s="40">
        <f>'S16'!T55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'S16'!M56+L56</f>
        <v/>
      </c>
      <c r="N56" s="36">
        <f>IFERROR(M56/K56,0)</f>
        <v/>
      </c>
      <c r="O56" s="42">
        <f>'S16'!N56</f>
        <v/>
      </c>
      <c r="P56" s="36">
        <f>N56-O56</f>
        <v/>
      </c>
      <c r="Q56" s="32" t="n"/>
      <c r="R56" s="32" t="n"/>
      <c r="S56" s="32" t="n"/>
      <c r="T56" s="33" t="n"/>
      <c r="U56" s="42">
        <f>'S16'!T56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'S16'!M57+L57</f>
        <v/>
      </c>
      <c r="N57" s="31">
        <f>IFERROR(M57/K57,0)</f>
        <v/>
      </c>
      <c r="O57" s="40">
        <f>'S16'!N57</f>
        <v/>
      </c>
      <c r="P57" s="31">
        <f>N57-O57</f>
        <v/>
      </c>
      <c r="Q57" s="32" t="n"/>
      <c r="R57" s="32" t="n"/>
      <c r="S57" s="32" t="n"/>
      <c r="T57" s="33" t="n"/>
      <c r="U57" s="40">
        <f>'S16'!T57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'S16'!M58+L58</f>
        <v/>
      </c>
      <c r="N58" s="36">
        <f>IFERROR(M58/K58,0)</f>
        <v/>
      </c>
      <c r="O58" s="42">
        <f>'S16'!N58</f>
        <v/>
      </c>
      <c r="P58" s="36">
        <f>N58-O58</f>
        <v/>
      </c>
      <c r="Q58" s="32" t="n"/>
      <c r="R58" s="32" t="n"/>
      <c r="S58" s="32" t="n"/>
      <c r="T58" s="33" t="n"/>
      <c r="U58" s="42">
        <f>'S16'!T58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'S16'!M59+L59</f>
        <v/>
      </c>
      <c r="N59" s="31">
        <f>IFERROR(M59/K59,0)</f>
        <v/>
      </c>
      <c r="O59" s="40">
        <f>'S16'!N59</f>
        <v/>
      </c>
      <c r="P59" s="31">
        <f>N59-O59</f>
        <v/>
      </c>
      <c r="Q59" s="32" t="n"/>
      <c r="R59" s="32" t="n"/>
      <c r="S59" s="32" t="n"/>
      <c r="T59" s="33" t="n"/>
      <c r="U59" s="40">
        <f>'S16'!T59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'S16'!M60+L60</f>
        <v/>
      </c>
      <c r="N60" s="36">
        <f>IFERROR(M60/K60,0)</f>
        <v/>
      </c>
      <c r="O60" s="42">
        <f>'S16'!N60</f>
        <v/>
      </c>
      <c r="P60" s="36">
        <f>N60-O60</f>
        <v/>
      </c>
      <c r="Q60" s="32" t="n"/>
      <c r="R60" s="32" t="n"/>
      <c r="S60" s="32" t="n"/>
      <c r="T60" s="33" t="n"/>
      <c r="U60" s="42">
        <f>'S16'!T60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'S16'!M61+L61</f>
        <v/>
      </c>
      <c r="N61" s="31">
        <f>IFERROR(M61/K61,0)</f>
        <v/>
      </c>
      <c r="O61" s="40">
        <f>'S16'!N61</f>
        <v/>
      </c>
      <c r="P61" s="31">
        <f>N61-O61</f>
        <v/>
      </c>
      <c r="Q61" s="32" t="n"/>
      <c r="R61" s="32" t="n"/>
      <c r="S61" s="32" t="n"/>
      <c r="T61" s="33" t="n"/>
      <c r="U61" s="40">
        <f>'S16'!T61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'S16'!M62+L62</f>
        <v/>
      </c>
      <c r="N62" s="36">
        <f>IFERROR(M62/K62,0)</f>
        <v/>
      </c>
      <c r="O62" s="42">
        <f>'S16'!N62</f>
        <v/>
      </c>
      <c r="P62" s="36">
        <f>N62-O62</f>
        <v/>
      </c>
      <c r="Q62" s="32" t="n"/>
      <c r="R62" s="32" t="n"/>
      <c r="S62" s="32" t="n"/>
      <c r="T62" s="33" t="n"/>
      <c r="U62" s="42">
        <f>'S16'!T62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'S16'!M63+L63</f>
        <v/>
      </c>
      <c r="N63" s="31">
        <f>IFERROR(M63/K63,0)</f>
        <v/>
      </c>
      <c r="O63" s="40">
        <f>'S16'!N63</f>
        <v/>
      </c>
      <c r="P63" s="31">
        <f>N63-O63</f>
        <v/>
      </c>
      <c r="Q63" s="32" t="n"/>
      <c r="R63" s="32" t="n"/>
      <c r="S63" s="32" t="n"/>
      <c r="T63" s="33" t="n"/>
      <c r="U63" s="40">
        <f>'S16'!T63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'S16'!M64+L64</f>
        <v/>
      </c>
      <c r="N64" s="36">
        <f>IFERROR(M64/K64,0)</f>
        <v/>
      </c>
      <c r="O64" s="42">
        <f>'S16'!N64</f>
        <v/>
      </c>
      <c r="P64" s="36">
        <f>N64-O64</f>
        <v/>
      </c>
      <c r="Q64" s="32" t="n"/>
      <c r="R64" s="32" t="n"/>
      <c r="S64" s="32" t="n"/>
      <c r="T64" s="33" t="n"/>
      <c r="U64" s="42">
        <f>'S16'!T64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'S16'!M65+L65</f>
        <v/>
      </c>
      <c r="N65" s="31">
        <f>IFERROR(M65/K65,0)</f>
        <v/>
      </c>
      <c r="O65" s="40">
        <f>'S16'!N65</f>
        <v/>
      </c>
      <c r="P65" s="31">
        <f>N65-O65</f>
        <v/>
      </c>
      <c r="Q65" s="32" t="n"/>
      <c r="R65" s="32" t="n"/>
      <c r="S65" s="32" t="n"/>
      <c r="T65" s="33" t="n"/>
      <c r="U65" s="40">
        <f>'S16'!T65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'S16'!M66+L66</f>
        <v/>
      </c>
      <c r="N66" s="36">
        <f>IFERROR(M66/K66,0)</f>
        <v/>
      </c>
      <c r="O66" s="42">
        <f>'S16'!N66</f>
        <v/>
      </c>
      <c r="P66" s="36">
        <f>N66-O66</f>
        <v/>
      </c>
      <c r="Q66" s="32" t="n"/>
      <c r="R66" s="32" t="n"/>
      <c r="S66" s="32" t="n"/>
      <c r="T66" s="33" t="n"/>
      <c r="U66" s="42">
        <f>'S16'!T66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'S16'!M67+L67</f>
        <v/>
      </c>
      <c r="N67" s="31">
        <f>IFERROR(M67/K67,0)</f>
        <v/>
      </c>
      <c r="O67" s="40">
        <f>'S16'!N67</f>
        <v/>
      </c>
      <c r="P67" s="31">
        <f>N67-O67</f>
        <v/>
      </c>
      <c r="Q67" s="32" t="n"/>
      <c r="R67" s="32" t="n"/>
      <c r="S67" s="32" t="n"/>
      <c r="T67" s="33" t="n"/>
      <c r="U67" s="40">
        <f>'S16'!T67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'S16'!M68+L68</f>
        <v/>
      </c>
      <c r="N68" s="36">
        <f>IFERROR(M68/K68,0)</f>
        <v/>
      </c>
      <c r="O68" s="42">
        <f>'S16'!N68</f>
        <v/>
      </c>
      <c r="P68" s="36">
        <f>N68-O68</f>
        <v/>
      </c>
      <c r="Q68" s="32" t="n"/>
      <c r="R68" s="32" t="n"/>
      <c r="S68" s="32" t="n"/>
      <c r="T68" s="33" t="n"/>
      <c r="U68" s="42">
        <f>'S16'!T68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'S16'!M69+L69</f>
        <v/>
      </c>
      <c r="N69" s="31">
        <f>IFERROR(M69/K69,0)</f>
        <v/>
      </c>
      <c r="O69" s="40">
        <f>'S16'!N69</f>
        <v/>
      </c>
      <c r="P69" s="31">
        <f>N69-O69</f>
        <v/>
      </c>
      <c r="Q69" s="32" t="n"/>
      <c r="R69" s="32" t="n"/>
      <c r="S69" s="32" t="n"/>
      <c r="T69" s="33" t="n"/>
      <c r="U69" s="40">
        <f>'S16'!T69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'S16'!M70+L70</f>
        <v/>
      </c>
      <c r="N70" s="36">
        <f>IFERROR(M70/K70,0)</f>
        <v/>
      </c>
      <c r="O70" s="42">
        <f>'S16'!N70</f>
        <v/>
      </c>
      <c r="P70" s="36">
        <f>N70-O70</f>
        <v/>
      </c>
      <c r="Q70" s="32" t="n"/>
      <c r="R70" s="32" t="n"/>
      <c r="S70" s="32" t="n"/>
      <c r="T70" s="33" t="n"/>
      <c r="U70" s="42">
        <f>'S16'!T70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'S16'!M71+L71</f>
        <v/>
      </c>
      <c r="N71" s="31">
        <f>IFERROR(M71/K71,0)</f>
        <v/>
      </c>
      <c r="O71" s="40">
        <f>'S16'!N71</f>
        <v/>
      </c>
      <c r="P71" s="31">
        <f>N71-O71</f>
        <v/>
      </c>
      <c r="Q71" s="32" t="n"/>
      <c r="R71" s="32" t="n"/>
      <c r="S71" s="32" t="n"/>
      <c r="T71" s="33" t="n"/>
      <c r="U71" s="40">
        <f>'S16'!T71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'S16'!M72+L72</f>
        <v/>
      </c>
      <c r="N72" s="36">
        <f>IFERROR(M72/K72,0)</f>
        <v/>
      </c>
      <c r="O72" s="42">
        <f>'S16'!N72</f>
        <v/>
      </c>
      <c r="P72" s="36">
        <f>N72-O72</f>
        <v/>
      </c>
      <c r="Q72" s="32" t="n"/>
      <c r="R72" s="32" t="n"/>
      <c r="S72" s="32" t="n"/>
      <c r="T72" s="33" t="n"/>
      <c r="U72" s="42">
        <f>'S16'!T72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'S16'!M73+L73</f>
        <v/>
      </c>
      <c r="N73" s="31">
        <f>IFERROR(M73/K73,0)</f>
        <v/>
      </c>
      <c r="O73" s="40">
        <f>'S16'!N73</f>
        <v/>
      </c>
      <c r="P73" s="31">
        <f>N73-O73</f>
        <v/>
      </c>
      <c r="Q73" s="32" t="n"/>
      <c r="R73" s="32" t="n"/>
      <c r="S73" s="32" t="n"/>
      <c r="T73" s="33" t="n"/>
      <c r="U73" s="40">
        <f>'S16'!T73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'S16'!M74+L74</f>
        <v/>
      </c>
      <c r="N74" s="36">
        <f>IFERROR(M74/K74,0)</f>
        <v/>
      </c>
      <c r="O74" s="42">
        <f>'S16'!N74</f>
        <v/>
      </c>
      <c r="P74" s="36">
        <f>N74-O74</f>
        <v/>
      </c>
      <c r="Q74" s="32" t="n"/>
      <c r="R74" s="32" t="n"/>
      <c r="S74" s="32" t="n"/>
      <c r="T74" s="33" t="n"/>
      <c r="U74" s="42">
        <f>'S16'!T74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'S16'!M75+L75</f>
        <v/>
      </c>
      <c r="N75" s="31">
        <f>IFERROR(M75/K75,0)</f>
        <v/>
      </c>
      <c r="O75" s="40">
        <f>'S16'!N75</f>
        <v/>
      </c>
      <c r="P75" s="31">
        <f>N75-O75</f>
        <v/>
      </c>
      <c r="Q75" s="32" t="n"/>
      <c r="R75" s="32" t="n"/>
      <c r="S75" s="32" t="n"/>
      <c r="T75" s="33" t="n"/>
      <c r="U75" s="40">
        <f>'S16'!T75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'S16'!M76+L76</f>
        <v/>
      </c>
      <c r="N76" s="36">
        <f>IFERROR(M76/K76,0)</f>
        <v/>
      </c>
      <c r="O76" s="42">
        <f>'S16'!N76</f>
        <v/>
      </c>
      <c r="P76" s="36">
        <f>N76-O76</f>
        <v/>
      </c>
      <c r="Q76" s="32" t="n"/>
      <c r="R76" s="32" t="n"/>
      <c r="S76" s="32" t="n"/>
      <c r="T76" s="33" t="n"/>
      <c r="U76" s="42">
        <f>'S16'!T76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20.xml><?xml version="1.0" encoding="utf-8"?>
<worksheet xmlns="http://schemas.openxmlformats.org/spreadsheetml/2006/main">
  <sheetPr>
    <tabColor rgb="00A9D18E"/>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18 (27/04 - 03/05) — Avril 2026 - Exécution Physique et Financière</t>
        </is>
      </c>
    </row>
    <row r="3" ht="22" customHeight="1">
      <c r="B3" s="20" t="inlineStr">
        <is>
          <t>Date :</t>
        </is>
      </c>
      <c r="C3" s="21" t="n">
        <v>46139</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'S17'!M5+L5</f>
        <v/>
      </c>
      <c r="N5" s="31">
        <f>IFERROR(M5/K5,0)</f>
        <v/>
      </c>
      <c r="O5" s="40">
        <f>'S17'!N5</f>
        <v/>
      </c>
      <c r="P5" s="31">
        <f>N5-O5</f>
        <v/>
      </c>
      <c r="Q5" s="32" t="n"/>
      <c r="R5" s="32" t="n"/>
      <c r="S5" s="32" t="n"/>
      <c r="T5" s="33" t="n"/>
      <c r="U5" s="40">
        <f>'S17'!T5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'S17'!M6+L6</f>
        <v/>
      </c>
      <c r="N6" s="36">
        <f>IFERROR(M6/K6,0)</f>
        <v/>
      </c>
      <c r="O6" s="42">
        <f>'S17'!N6</f>
        <v/>
      </c>
      <c r="P6" s="36">
        <f>N6-O6</f>
        <v/>
      </c>
      <c r="Q6" s="32" t="n"/>
      <c r="R6" s="32" t="n"/>
      <c r="S6" s="32" t="n"/>
      <c r="T6" s="33" t="n"/>
      <c r="U6" s="42">
        <f>'S17'!T6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'S17'!M7+L7</f>
        <v/>
      </c>
      <c r="N7" s="31">
        <f>IFERROR(M7/K7,0)</f>
        <v/>
      </c>
      <c r="O7" s="40">
        <f>'S17'!N7</f>
        <v/>
      </c>
      <c r="P7" s="31">
        <f>N7-O7</f>
        <v/>
      </c>
      <c r="Q7" s="32" t="n"/>
      <c r="R7" s="32" t="n"/>
      <c r="S7" s="32" t="n"/>
      <c r="T7" s="33" t="n"/>
      <c r="U7" s="40">
        <f>'S17'!T7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'S17'!M8+L8</f>
        <v/>
      </c>
      <c r="N8" s="36">
        <f>IFERROR(M8/K8,0)</f>
        <v/>
      </c>
      <c r="O8" s="42">
        <f>'S17'!N8</f>
        <v/>
      </c>
      <c r="P8" s="36">
        <f>N8-O8</f>
        <v/>
      </c>
      <c r="Q8" s="32" t="n"/>
      <c r="R8" s="32" t="n"/>
      <c r="S8" s="32" t="n"/>
      <c r="T8" s="33" t="n"/>
      <c r="U8" s="42">
        <f>'S17'!T8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'S17'!M9+L9</f>
        <v/>
      </c>
      <c r="N9" s="31">
        <f>IFERROR(M9/K9,0)</f>
        <v/>
      </c>
      <c r="O9" s="40">
        <f>'S17'!N9</f>
        <v/>
      </c>
      <c r="P9" s="31">
        <f>N9-O9</f>
        <v/>
      </c>
      <c r="Q9" s="32" t="n"/>
      <c r="R9" s="32" t="n"/>
      <c r="S9" s="32" t="n"/>
      <c r="T9" s="33" t="n"/>
      <c r="U9" s="40">
        <f>'S17'!T9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'S17'!M10+L10</f>
        <v/>
      </c>
      <c r="N10" s="36">
        <f>IFERROR(M10/K10,0)</f>
        <v/>
      </c>
      <c r="O10" s="42">
        <f>'S17'!N10</f>
        <v/>
      </c>
      <c r="P10" s="36">
        <f>N10-O10</f>
        <v/>
      </c>
      <c r="Q10" s="32" t="n"/>
      <c r="R10" s="32" t="n"/>
      <c r="S10" s="32" t="n"/>
      <c r="T10" s="33" t="n"/>
      <c r="U10" s="42">
        <f>'S17'!T10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'S17'!M11+L11</f>
        <v/>
      </c>
      <c r="N11" s="31">
        <f>IFERROR(M11/K11,0)</f>
        <v/>
      </c>
      <c r="O11" s="40">
        <f>'S17'!N11</f>
        <v/>
      </c>
      <c r="P11" s="31">
        <f>N11-O11</f>
        <v/>
      </c>
      <c r="Q11" s="32" t="n"/>
      <c r="R11" s="32" t="n"/>
      <c r="S11" s="32" t="n"/>
      <c r="T11" s="33" t="n"/>
      <c r="U11" s="40">
        <f>'S17'!T11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'S17'!M12+L12</f>
        <v/>
      </c>
      <c r="N12" s="36">
        <f>IFERROR(M12/K12,0)</f>
        <v/>
      </c>
      <c r="O12" s="42">
        <f>'S17'!N12</f>
        <v/>
      </c>
      <c r="P12" s="36">
        <f>N12-O12</f>
        <v/>
      </c>
      <c r="Q12" s="32" t="n"/>
      <c r="R12" s="32" t="n"/>
      <c r="S12" s="32" t="n"/>
      <c r="T12" s="33" t="n"/>
      <c r="U12" s="42">
        <f>'S17'!T12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'S17'!M13+L13</f>
        <v/>
      </c>
      <c r="N13" s="31">
        <f>IFERROR(M13/K13,0)</f>
        <v/>
      </c>
      <c r="O13" s="40">
        <f>'S17'!N13</f>
        <v/>
      </c>
      <c r="P13" s="31">
        <f>N13-O13</f>
        <v/>
      </c>
      <c r="Q13" s="32" t="n"/>
      <c r="R13" s="32" t="n"/>
      <c r="S13" s="32" t="n"/>
      <c r="T13" s="33" t="n"/>
      <c r="U13" s="40">
        <f>'S17'!T13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'S17'!M14+L14</f>
        <v/>
      </c>
      <c r="N14" s="36">
        <f>IFERROR(M14/K14,0)</f>
        <v/>
      </c>
      <c r="O14" s="42">
        <f>'S17'!N14</f>
        <v/>
      </c>
      <c r="P14" s="36">
        <f>N14-O14</f>
        <v/>
      </c>
      <c r="Q14" s="32" t="n"/>
      <c r="R14" s="32" t="n"/>
      <c r="S14" s="32" t="n"/>
      <c r="T14" s="33" t="n"/>
      <c r="U14" s="42">
        <f>'S17'!T14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'S17'!M15+L15</f>
        <v/>
      </c>
      <c r="N15" s="31">
        <f>IFERROR(M15/K15,0)</f>
        <v/>
      </c>
      <c r="O15" s="40">
        <f>'S17'!N15</f>
        <v/>
      </c>
      <c r="P15" s="31">
        <f>N15-O15</f>
        <v/>
      </c>
      <c r="Q15" s="32" t="n"/>
      <c r="R15" s="32" t="n"/>
      <c r="S15" s="32" t="n"/>
      <c r="T15" s="33" t="n"/>
      <c r="U15" s="40">
        <f>'S17'!T15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'S17'!M16+L16</f>
        <v/>
      </c>
      <c r="N16" s="36">
        <f>IFERROR(M16/K16,0)</f>
        <v/>
      </c>
      <c r="O16" s="42">
        <f>'S17'!N16</f>
        <v/>
      </c>
      <c r="P16" s="36">
        <f>N16-O16</f>
        <v/>
      </c>
      <c r="Q16" s="32" t="n"/>
      <c r="R16" s="32" t="n"/>
      <c r="S16" s="32" t="n"/>
      <c r="T16" s="33" t="n"/>
      <c r="U16" s="42">
        <f>'S17'!T16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'S17'!M17+L17</f>
        <v/>
      </c>
      <c r="N17" s="31">
        <f>IFERROR(M17/K17,0)</f>
        <v/>
      </c>
      <c r="O17" s="40">
        <f>'S17'!N17</f>
        <v/>
      </c>
      <c r="P17" s="31">
        <f>N17-O17</f>
        <v/>
      </c>
      <c r="Q17" s="32" t="n"/>
      <c r="R17" s="32" t="n"/>
      <c r="S17" s="32" t="n"/>
      <c r="T17" s="33" t="n"/>
      <c r="U17" s="40">
        <f>'S17'!T17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'S17'!M18+L18</f>
        <v/>
      </c>
      <c r="N18" s="36">
        <f>IFERROR(M18/K18,0)</f>
        <v/>
      </c>
      <c r="O18" s="42">
        <f>'S17'!N18</f>
        <v/>
      </c>
      <c r="P18" s="36">
        <f>N18-O18</f>
        <v/>
      </c>
      <c r="Q18" s="32" t="n"/>
      <c r="R18" s="32" t="n"/>
      <c r="S18" s="32" t="n"/>
      <c r="T18" s="33" t="n"/>
      <c r="U18" s="42">
        <f>'S17'!T18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'S17'!M19+L19</f>
        <v/>
      </c>
      <c r="N19" s="31">
        <f>IFERROR(M19/K19,0)</f>
        <v/>
      </c>
      <c r="O19" s="40">
        <f>'S17'!N19</f>
        <v/>
      </c>
      <c r="P19" s="31">
        <f>N19-O19</f>
        <v/>
      </c>
      <c r="Q19" s="32" t="n"/>
      <c r="R19" s="32" t="n"/>
      <c r="S19" s="32" t="n"/>
      <c r="T19" s="33" t="n"/>
      <c r="U19" s="40">
        <f>'S17'!T19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'S17'!M20+L20</f>
        <v/>
      </c>
      <c r="N20" s="36">
        <f>IFERROR(M20/K20,0)</f>
        <v/>
      </c>
      <c r="O20" s="42">
        <f>'S17'!N20</f>
        <v/>
      </c>
      <c r="P20" s="36">
        <f>N20-O20</f>
        <v/>
      </c>
      <c r="Q20" s="32" t="n"/>
      <c r="R20" s="32" t="n"/>
      <c r="S20" s="32" t="n"/>
      <c r="T20" s="33" t="n"/>
      <c r="U20" s="42">
        <f>'S17'!T20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'S17'!M21+L21</f>
        <v/>
      </c>
      <c r="N21" s="31">
        <f>IFERROR(M21/K21,0)</f>
        <v/>
      </c>
      <c r="O21" s="40">
        <f>'S17'!N21</f>
        <v/>
      </c>
      <c r="P21" s="31">
        <f>N21-O21</f>
        <v/>
      </c>
      <c r="Q21" s="32" t="n"/>
      <c r="R21" s="32" t="n"/>
      <c r="S21" s="32" t="n"/>
      <c r="T21" s="33" t="n"/>
      <c r="U21" s="40">
        <f>'S17'!T21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'S17'!M22+L22</f>
        <v/>
      </c>
      <c r="N22" s="36">
        <f>IFERROR(M22/K22,0)</f>
        <v/>
      </c>
      <c r="O22" s="42">
        <f>'S17'!N22</f>
        <v/>
      </c>
      <c r="P22" s="36">
        <f>N22-O22</f>
        <v/>
      </c>
      <c r="Q22" s="32" t="n"/>
      <c r="R22" s="32" t="n"/>
      <c r="S22" s="32" t="n"/>
      <c r="T22" s="33" t="n"/>
      <c r="U22" s="42">
        <f>'S17'!T22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'S17'!M23+L23</f>
        <v/>
      </c>
      <c r="N23" s="31">
        <f>IFERROR(M23/K23,0)</f>
        <v/>
      </c>
      <c r="O23" s="40">
        <f>'S17'!N23</f>
        <v/>
      </c>
      <c r="P23" s="31">
        <f>N23-O23</f>
        <v/>
      </c>
      <c r="Q23" s="32" t="n"/>
      <c r="R23" s="32" t="n"/>
      <c r="S23" s="32" t="n"/>
      <c r="T23" s="33" t="n"/>
      <c r="U23" s="40">
        <f>'S17'!T23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'S17'!M24+L24</f>
        <v/>
      </c>
      <c r="N24" s="36">
        <f>IFERROR(M24/K24,0)</f>
        <v/>
      </c>
      <c r="O24" s="42">
        <f>'S17'!N24</f>
        <v/>
      </c>
      <c r="P24" s="36">
        <f>N24-O24</f>
        <v/>
      </c>
      <c r="Q24" s="32" t="n"/>
      <c r="R24" s="32" t="n"/>
      <c r="S24" s="32" t="n"/>
      <c r="T24" s="33" t="n"/>
      <c r="U24" s="42">
        <f>'S17'!T24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'S17'!M25+L25</f>
        <v/>
      </c>
      <c r="N25" s="31">
        <f>IFERROR(M25/K25,0)</f>
        <v/>
      </c>
      <c r="O25" s="40">
        <f>'S17'!N25</f>
        <v/>
      </c>
      <c r="P25" s="31">
        <f>N25-O25</f>
        <v/>
      </c>
      <c r="Q25" s="32" t="n"/>
      <c r="R25" s="32" t="n"/>
      <c r="S25" s="32" t="n"/>
      <c r="T25" s="33" t="n"/>
      <c r="U25" s="40">
        <f>'S17'!T25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'S17'!M26+L26</f>
        <v/>
      </c>
      <c r="N26" s="36">
        <f>IFERROR(M26/K26,0)</f>
        <v/>
      </c>
      <c r="O26" s="42">
        <f>'S17'!N26</f>
        <v/>
      </c>
      <c r="P26" s="36">
        <f>N26-O26</f>
        <v/>
      </c>
      <c r="Q26" s="32" t="n"/>
      <c r="R26" s="32" t="n"/>
      <c r="S26" s="32" t="n"/>
      <c r="T26" s="33" t="n"/>
      <c r="U26" s="42">
        <f>'S17'!T26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'S17'!M27+L27</f>
        <v/>
      </c>
      <c r="N27" s="31">
        <f>IFERROR(M27/K27,0)</f>
        <v/>
      </c>
      <c r="O27" s="40">
        <f>'S17'!N27</f>
        <v/>
      </c>
      <c r="P27" s="31">
        <f>N27-O27</f>
        <v/>
      </c>
      <c r="Q27" s="32" t="n"/>
      <c r="R27" s="32" t="n"/>
      <c r="S27" s="32" t="n"/>
      <c r="T27" s="33" t="n"/>
      <c r="U27" s="40">
        <f>'S17'!T27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'S17'!M28+L28</f>
        <v/>
      </c>
      <c r="N28" s="36">
        <f>IFERROR(M28/K28,0)</f>
        <v/>
      </c>
      <c r="O28" s="42">
        <f>'S17'!N28</f>
        <v/>
      </c>
      <c r="P28" s="36">
        <f>N28-O28</f>
        <v/>
      </c>
      <c r="Q28" s="32" t="n"/>
      <c r="R28" s="32" t="n"/>
      <c r="S28" s="32" t="n"/>
      <c r="T28" s="33" t="n"/>
      <c r="U28" s="42">
        <f>'S17'!T28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'S17'!M29+L29</f>
        <v/>
      </c>
      <c r="N29" s="31">
        <f>IFERROR(M29/K29,0)</f>
        <v/>
      </c>
      <c r="O29" s="40">
        <f>'S17'!N29</f>
        <v/>
      </c>
      <c r="P29" s="31">
        <f>N29-O29</f>
        <v/>
      </c>
      <c r="Q29" s="32" t="n"/>
      <c r="R29" s="32" t="n"/>
      <c r="S29" s="32" t="n"/>
      <c r="T29" s="33" t="n"/>
      <c r="U29" s="40">
        <f>'S17'!T29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'S17'!M30+L30</f>
        <v/>
      </c>
      <c r="N30" s="36">
        <f>IFERROR(M30/K30,0)</f>
        <v/>
      </c>
      <c r="O30" s="42">
        <f>'S17'!N30</f>
        <v/>
      </c>
      <c r="P30" s="36">
        <f>N30-O30</f>
        <v/>
      </c>
      <c r="Q30" s="32" t="n"/>
      <c r="R30" s="32" t="n"/>
      <c r="S30" s="32" t="n"/>
      <c r="T30" s="33" t="n"/>
      <c r="U30" s="42">
        <f>'S17'!T30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'S17'!M31+L31</f>
        <v/>
      </c>
      <c r="N31" s="31">
        <f>IFERROR(M31/K31,0)</f>
        <v/>
      </c>
      <c r="O31" s="40">
        <f>'S17'!N31</f>
        <v/>
      </c>
      <c r="P31" s="31">
        <f>N31-O31</f>
        <v/>
      </c>
      <c r="Q31" s="32" t="n"/>
      <c r="R31" s="32" t="n"/>
      <c r="S31" s="32" t="n"/>
      <c r="T31" s="33" t="n"/>
      <c r="U31" s="40">
        <f>'S17'!T31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'S17'!M32+L32</f>
        <v/>
      </c>
      <c r="N32" s="36">
        <f>IFERROR(M32/K32,0)</f>
        <v/>
      </c>
      <c r="O32" s="42">
        <f>'S17'!N32</f>
        <v/>
      </c>
      <c r="P32" s="36">
        <f>N32-O32</f>
        <v/>
      </c>
      <c r="Q32" s="32" t="n"/>
      <c r="R32" s="32" t="n"/>
      <c r="S32" s="32" t="n"/>
      <c r="T32" s="33" t="n"/>
      <c r="U32" s="42">
        <f>'S17'!T32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'S17'!M33+L33</f>
        <v/>
      </c>
      <c r="N33" s="31">
        <f>IFERROR(M33/K33,0)</f>
        <v/>
      </c>
      <c r="O33" s="40">
        <f>'S17'!N33</f>
        <v/>
      </c>
      <c r="P33" s="31">
        <f>N33-O33</f>
        <v/>
      </c>
      <c r="Q33" s="32" t="n"/>
      <c r="R33" s="32" t="n"/>
      <c r="S33" s="32" t="n"/>
      <c r="T33" s="33" t="n"/>
      <c r="U33" s="40">
        <f>'S17'!T33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'S17'!M34+L34</f>
        <v/>
      </c>
      <c r="N34" s="36">
        <f>IFERROR(M34/K34,0)</f>
        <v/>
      </c>
      <c r="O34" s="42">
        <f>'S17'!N34</f>
        <v/>
      </c>
      <c r="P34" s="36">
        <f>N34-O34</f>
        <v/>
      </c>
      <c r="Q34" s="32" t="n"/>
      <c r="R34" s="32" t="n"/>
      <c r="S34" s="32" t="n"/>
      <c r="T34" s="33" t="n"/>
      <c r="U34" s="42">
        <f>'S17'!T34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'S17'!M35+L35</f>
        <v/>
      </c>
      <c r="N35" s="31">
        <f>IFERROR(M35/K35,0)</f>
        <v/>
      </c>
      <c r="O35" s="40">
        <f>'S17'!N35</f>
        <v/>
      </c>
      <c r="P35" s="31">
        <f>N35-O35</f>
        <v/>
      </c>
      <c r="Q35" s="32" t="n"/>
      <c r="R35" s="32" t="n"/>
      <c r="S35" s="32" t="n"/>
      <c r="T35" s="33" t="n"/>
      <c r="U35" s="40">
        <f>'S17'!T35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'S17'!M36+L36</f>
        <v/>
      </c>
      <c r="N36" s="36">
        <f>IFERROR(M36/K36,0)</f>
        <v/>
      </c>
      <c r="O36" s="42">
        <f>'S17'!N36</f>
        <v/>
      </c>
      <c r="P36" s="36">
        <f>N36-O36</f>
        <v/>
      </c>
      <c r="Q36" s="32" t="n"/>
      <c r="R36" s="32" t="n"/>
      <c r="S36" s="32" t="n"/>
      <c r="T36" s="33" t="n"/>
      <c r="U36" s="42">
        <f>'S17'!T36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'S17'!M37+L37</f>
        <v/>
      </c>
      <c r="N37" s="31">
        <f>IFERROR(M37/K37,0)</f>
        <v/>
      </c>
      <c r="O37" s="40">
        <f>'S17'!N37</f>
        <v/>
      </c>
      <c r="P37" s="31">
        <f>N37-O37</f>
        <v/>
      </c>
      <c r="Q37" s="32" t="n"/>
      <c r="R37" s="32" t="n"/>
      <c r="S37" s="32" t="n"/>
      <c r="T37" s="33" t="n"/>
      <c r="U37" s="40">
        <f>'S17'!T37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'S17'!M38+L38</f>
        <v/>
      </c>
      <c r="N38" s="36">
        <f>IFERROR(M38/K38,0)</f>
        <v/>
      </c>
      <c r="O38" s="42">
        <f>'S17'!N38</f>
        <v/>
      </c>
      <c r="P38" s="36">
        <f>N38-O38</f>
        <v/>
      </c>
      <c r="Q38" s="32" t="n"/>
      <c r="R38" s="32" t="n"/>
      <c r="S38" s="32" t="n"/>
      <c r="T38" s="33" t="n"/>
      <c r="U38" s="42">
        <f>'S17'!T38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'S17'!M39+L39</f>
        <v/>
      </c>
      <c r="N39" s="31">
        <f>IFERROR(M39/K39,0)</f>
        <v/>
      </c>
      <c r="O39" s="40">
        <f>'S17'!N39</f>
        <v/>
      </c>
      <c r="P39" s="31">
        <f>N39-O39</f>
        <v/>
      </c>
      <c r="Q39" s="32" t="n"/>
      <c r="R39" s="32" t="n"/>
      <c r="S39" s="32" t="n"/>
      <c r="T39" s="33" t="n"/>
      <c r="U39" s="40">
        <f>'S17'!T39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'S17'!M40+L40</f>
        <v/>
      </c>
      <c r="N40" s="36">
        <f>IFERROR(M40/K40,0)</f>
        <v/>
      </c>
      <c r="O40" s="42">
        <f>'S17'!N40</f>
        <v/>
      </c>
      <c r="P40" s="36">
        <f>N40-O40</f>
        <v/>
      </c>
      <c r="Q40" s="32" t="n"/>
      <c r="R40" s="32" t="n"/>
      <c r="S40" s="32" t="n"/>
      <c r="T40" s="33" t="n"/>
      <c r="U40" s="42">
        <f>'S17'!T40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'S17'!M41+L41</f>
        <v/>
      </c>
      <c r="N41" s="31">
        <f>IFERROR(M41/K41,0)</f>
        <v/>
      </c>
      <c r="O41" s="40">
        <f>'S17'!N41</f>
        <v/>
      </c>
      <c r="P41" s="31">
        <f>N41-O41</f>
        <v/>
      </c>
      <c r="Q41" s="32" t="n"/>
      <c r="R41" s="32" t="n"/>
      <c r="S41" s="32" t="n"/>
      <c r="T41" s="33" t="n"/>
      <c r="U41" s="40">
        <f>'S17'!T41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'S17'!M42+L42</f>
        <v/>
      </c>
      <c r="N42" s="36">
        <f>IFERROR(M42/K42,0)</f>
        <v/>
      </c>
      <c r="O42" s="42">
        <f>'S17'!N42</f>
        <v/>
      </c>
      <c r="P42" s="36">
        <f>N42-O42</f>
        <v/>
      </c>
      <c r="Q42" s="32" t="n"/>
      <c r="R42" s="32" t="n"/>
      <c r="S42" s="32" t="n"/>
      <c r="T42" s="33" t="n"/>
      <c r="U42" s="42">
        <f>'S17'!T42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'S17'!M43+L43</f>
        <v/>
      </c>
      <c r="N43" s="31">
        <f>IFERROR(M43/K43,0)</f>
        <v/>
      </c>
      <c r="O43" s="40">
        <f>'S17'!N43</f>
        <v/>
      </c>
      <c r="P43" s="31">
        <f>N43-O43</f>
        <v/>
      </c>
      <c r="Q43" s="32" t="n"/>
      <c r="R43" s="32" t="n"/>
      <c r="S43" s="32" t="n"/>
      <c r="T43" s="33" t="n"/>
      <c r="U43" s="40">
        <f>'S17'!T43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'S17'!M44+L44</f>
        <v/>
      </c>
      <c r="N44" s="36">
        <f>IFERROR(M44/K44,0)</f>
        <v/>
      </c>
      <c r="O44" s="42">
        <f>'S17'!N44</f>
        <v/>
      </c>
      <c r="P44" s="36">
        <f>N44-O44</f>
        <v/>
      </c>
      <c r="Q44" s="32" t="n"/>
      <c r="R44" s="32" t="n"/>
      <c r="S44" s="32" t="n"/>
      <c r="T44" s="33" t="n"/>
      <c r="U44" s="42">
        <f>'S17'!T44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'S17'!M45+L45</f>
        <v/>
      </c>
      <c r="N45" s="31">
        <f>IFERROR(M45/K45,0)</f>
        <v/>
      </c>
      <c r="O45" s="40">
        <f>'S17'!N45</f>
        <v/>
      </c>
      <c r="P45" s="31">
        <f>N45-O45</f>
        <v/>
      </c>
      <c r="Q45" s="32" t="n"/>
      <c r="R45" s="32" t="n"/>
      <c r="S45" s="32" t="n"/>
      <c r="T45" s="33" t="n"/>
      <c r="U45" s="40">
        <f>'S17'!T45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'S17'!M46+L46</f>
        <v/>
      </c>
      <c r="N46" s="36">
        <f>IFERROR(M46/K46,0)</f>
        <v/>
      </c>
      <c r="O46" s="42">
        <f>'S17'!N46</f>
        <v/>
      </c>
      <c r="P46" s="36">
        <f>N46-O46</f>
        <v/>
      </c>
      <c r="Q46" s="32" t="n"/>
      <c r="R46" s="32" t="n"/>
      <c r="S46" s="32" t="n"/>
      <c r="T46" s="33" t="n"/>
      <c r="U46" s="42">
        <f>'S17'!T46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'S17'!M47+L47</f>
        <v/>
      </c>
      <c r="N47" s="31">
        <f>IFERROR(M47/K47,0)</f>
        <v/>
      </c>
      <c r="O47" s="40">
        <f>'S17'!N47</f>
        <v/>
      </c>
      <c r="P47" s="31">
        <f>N47-O47</f>
        <v/>
      </c>
      <c r="Q47" s="32" t="n"/>
      <c r="R47" s="32" t="n"/>
      <c r="S47" s="32" t="n"/>
      <c r="T47" s="33" t="n"/>
      <c r="U47" s="40">
        <f>'S17'!T47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'S17'!M48+L48</f>
        <v/>
      </c>
      <c r="N48" s="36">
        <f>IFERROR(M48/K48,0)</f>
        <v/>
      </c>
      <c r="O48" s="42">
        <f>'S17'!N48</f>
        <v/>
      </c>
      <c r="P48" s="36">
        <f>N48-O48</f>
        <v/>
      </c>
      <c r="Q48" s="32" t="n"/>
      <c r="R48" s="32" t="n"/>
      <c r="S48" s="32" t="n"/>
      <c r="T48" s="33" t="n"/>
      <c r="U48" s="42">
        <f>'S17'!T48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'S17'!M49+L49</f>
        <v/>
      </c>
      <c r="N49" s="31">
        <f>IFERROR(M49/K49,0)</f>
        <v/>
      </c>
      <c r="O49" s="40">
        <f>'S17'!N49</f>
        <v/>
      </c>
      <c r="P49" s="31">
        <f>N49-O49</f>
        <v/>
      </c>
      <c r="Q49" s="32" t="n"/>
      <c r="R49" s="32" t="n"/>
      <c r="S49" s="32" t="n"/>
      <c r="T49" s="33" t="n"/>
      <c r="U49" s="40">
        <f>'S17'!T49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'S17'!M50+L50</f>
        <v/>
      </c>
      <c r="N50" s="36">
        <f>IFERROR(M50/K50,0)</f>
        <v/>
      </c>
      <c r="O50" s="42">
        <f>'S17'!N50</f>
        <v/>
      </c>
      <c r="P50" s="36">
        <f>N50-O50</f>
        <v/>
      </c>
      <c r="Q50" s="32" t="n"/>
      <c r="R50" s="32" t="n"/>
      <c r="S50" s="32" t="n"/>
      <c r="T50" s="33" t="n"/>
      <c r="U50" s="42">
        <f>'S17'!T50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'S17'!M51+L51</f>
        <v/>
      </c>
      <c r="N51" s="31">
        <f>IFERROR(M51/K51,0)</f>
        <v/>
      </c>
      <c r="O51" s="40">
        <f>'S17'!N51</f>
        <v/>
      </c>
      <c r="P51" s="31">
        <f>N51-O51</f>
        <v/>
      </c>
      <c r="Q51" s="32" t="n"/>
      <c r="R51" s="32" t="n"/>
      <c r="S51" s="32" t="n"/>
      <c r="T51" s="33" t="n"/>
      <c r="U51" s="40">
        <f>'S17'!T51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'S17'!M52+L52</f>
        <v/>
      </c>
      <c r="N52" s="36">
        <f>IFERROR(M52/K52,0)</f>
        <v/>
      </c>
      <c r="O52" s="42">
        <f>'S17'!N52</f>
        <v/>
      </c>
      <c r="P52" s="36">
        <f>N52-O52</f>
        <v/>
      </c>
      <c r="Q52" s="32" t="n"/>
      <c r="R52" s="32" t="n"/>
      <c r="S52" s="32" t="n"/>
      <c r="T52" s="33" t="n"/>
      <c r="U52" s="42">
        <f>'S17'!T52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'S17'!M53+L53</f>
        <v/>
      </c>
      <c r="N53" s="31">
        <f>IFERROR(M53/K53,0)</f>
        <v/>
      </c>
      <c r="O53" s="40">
        <f>'S17'!N53</f>
        <v/>
      </c>
      <c r="P53" s="31">
        <f>N53-O53</f>
        <v/>
      </c>
      <c r="Q53" s="32" t="n"/>
      <c r="R53" s="32" t="n"/>
      <c r="S53" s="32" t="n"/>
      <c r="T53" s="33" t="n"/>
      <c r="U53" s="40">
        <f>'S17'!T53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'S17'!M54+L54</f>
        <v/>
      </c>
      <c r="N54" s="36">
        <f>IFERROR(M54/K54,0)</f>
        <v/>
      </c>
      <c r="O54" s="42">
        <f>'S17'!N54</f>
        <v/>
      </c>
      <c r="P54" s="36">
        <f>N54-O54</f>
        <v/>
      </c>
      <c r="Q54" s="32" t="n"/>
      <c r="R54" s="32" t="n"/>
      <c r="S54" s="32" t="n"/>
      <c r="T54" s="33" t="n"/>
      <c r="U54" s="42">
        <f>'S17'!T54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'S17'!M55+L55</f>
        <v/>
      </c>
      <c r="N55" s="31">
        <f>IFERROR(M55/K55,0)</f>
        <v/>
      </c>
      <c r="O55" s="40">
        <f>'S17'!N55</f>
        <v/>
      </c>
      <c r="P55" s="31">
        <f>N55-O55</f>
        <v/>
      </c>
      <c r="Q55" s="32" t="n"/>
      <c r="R55" s="32" t="n"/>
      <c r="S55" s="32" t="n"/>
      <c r="T55" s="33" t="n"/>
      <c r="U55" s="40">
        <f>'S17'!T55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'S17'!M56+L56</f>
        <v/>
      </c>
      <c r="N56" s="36">
        <f>IFERROR(M56/K56,0)</f>
        <v/>
      </c>
      <c r="O56" s="42">
        <f>'S17'!N56</f>
        <v/>
      </c>
      <c r="P56" s="36">
        <f>N56-O56</f>
        <v/>
      </c>
      <c r="Q56" s="32" t="n"/>
      <c r="R56" s="32" t="n"/>
      <c r="S56" s="32" t="n"/>
      <c r="T56" s="33" t="n"/>
      <c r="U56" s="42">
        <f>'S17'!T56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'S17'!M57+L57</f>
        <v/>
      </c>
      <c r="N57" s="31">
        <f>IFERROR(M57/K57,0)</f>
        <v/>
      </c>
      <c r="O57" s="40">
        <f>'S17'!N57</f>
        <v/>
      </c>
      <c r="P57" s="31">
        <f>N57-O57</f>
        <v/>
      </c>
      <c r="Q57" s="32" t="n"/>
      <c r="R57" s="32" t="n"/>
      <c r="S57" s="32" t="n"/>
      <c r="T57" s="33" t="n"/>
      <c r="U57" s="40">
        <f>'S17'!T57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'S17'!M58+L58</f>
        <v/>
      </c>
      <c r="N58" s="36">
        <f>IFERROR(M58/K58,0)</f>
        <v/>
      </c>
      <c r="O58" s="42">
        <f>'S17'!N58</f>
        <v/>
      </c>
      <c r="P58" s="36">
        <f>N58-O58</f>
        <v/>
      </c>
      <c r="Q58" s="32" t="n"/>
      <c r="R58" s="32" t="n"/>
      <c r="S58" s="32" t="n"/>
      <c r="T58" s="33" t="n"/>
      <c r="U58" s="42">
        <f>'S17'!T58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'S17'!M59+L59</f>
        <v/>
      </c>
      <c r="N59" s="31">
        <f>IFERROR(M59/K59,0)</f>
        <v/>
      </c>
      <c r="O59" s="40">
        <f>'S17'!N59</f>
        <v/>
      </c>
      <c r="P59" s="31">
        <f>N59-O59</f>
        <v/>
      </c>
      <c r="Q59" s="32" t="n"/>
      <c r="R59" s="32" t="n"/>
      <c r="S59" s="32" t="n"/>
      <c r="T59" s="33" t="n"/>
      <c r="U59" s="40">
        <f>'S17'!T59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'S17'!M60+L60</f>
        <v/>
      </c>
      <c r="N60" s="36">
        <f>IFERROR(M60/K60,0)</f>
        <v/>
      </c>
      <c r="O60" s="42">
        <f>'S17'!N60</f>
        <v/>
      </c>
      <c r="P60" s="36">
        <f>N60-O60</f>
        <v/>
      </c>
      <c r="Q60" s="32" t="n"/>
      <c r="R60" s="32" t="n"/>
      <c r="S60" s="32" t="n"/>
      <c r="T60" s="33" t="n"/>
      <c r="U60" s="42">
        <f>'S17'!T60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'S17'!M61+L61</f>
        <v/>
      </c>
      <c r="N61" s="31">
        <f>IFERROR(M61/K61,0)</f>
        <v/>
      </c>
      <c r="O61" s="40">
        <f>'S17'!N61</f>
        <v/>
      </c>
      <c r="P61" s="31">
        <f>N61-O61</f>
        <v/>
      </c>
      <c r="Q61" s="32" t="n"/>
      <c r="R61" s="32" t="n"/>
      <c r="S61" s="32" t="n"/>
      <c r="T61" s="33" t="n"/>
      <c r="U61" s="40">
        <f>'S17'!T61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'S17'!M62+L62</f>
        <v/>
      </c>
      <c r="N62" s="36">
        <f>IFERROR(M62/K62,0)</f>
        <v/>
      </c>
      <c r="O62" s="42">
        <f>'S17'!N62</f>
        <v/>
      </c>
      <c r="P62" s="36">
        <f>N62-O62</f>
        <v/>
      </c>
      <c r="Q62" s="32" t="n"/>
      <c r="R62" s="32" t="n"/>
      <c r="S62" s="32" t="n"/>
      <c r="T62" s="33" t="n"/>
      <c r="U62" s="42">
        <f>'S17'!T62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'S17'!M63+L63</f>
        <v/>
      </c>
      <c r="N63" s="31">
        <f>IFERROR(M63/K63,0)</f>
        <v/>
      </c>
      <c r="O63" s="40">
        <f>'S17'!N63</f>
        <v/>
      </c>
      <c r="P63" s="31">
        <f>N63-O63</f>
        <v/>
      </c>
      <c r="Q63" s="32" t="n"/>
      <c r="R63" s="32" t="n"/>
      <c r="S63" s="32" t="n"/>
      <c r="T63" s="33" t="n"/>
      <c r="U63" s="40">
        <f>'S17'!T63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'S17'!M64+L64</f>
        <v/>
      </c>
      <c r="N64" s="36">
        <f>IFERROR(M64/K64,0)</f>
        <v/>
      </c>
      <c r="O64" s="42">
        <f>'S17'!N64</f>
        <v/>
      </c>
      <c r="P64" s="36">
        <f>N64-O64</f>
        <v/>
      </c>
      <c r="Q64" s="32" t="n"/>
      <c r="R64" s="32" t="n"/>
      <c r="S64" s="32" t="n"/>
      <c r="T64" s="33" t="n"/>
      <c r="U64" s="42">
        <f>'S17'!T64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'S17'!M65+L65</f>
        <v/>
      </c>
      <c r="N65" s="31">
        <f>IFERROR(M65/K65,0)</f>
        <v/>
      </c>
      <c r="O65" s="40">
        <f>'S17'!N65</f>
        <v/>
      </c>
      <c r="P65" s="31">
        <f>N65-O65</f>
        <v/>
      </c>
      <c r="Q65" s="32" t="n"/>
      <c r="R65" s="32" t="n"/>
      <c r="S65" s="32" t="n"/>
      <c r="T65" s="33" t="n"/>
      <c r="U65" s="40">
        <f>'S17'!T65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'S17'!M66+L66</f>
        <v/>
      </c>
      <c r="N66" s="36">
        <f>IFERROR(M66/K66,0)</f>
        <v/>
      </c>
      <c r="O66" s="42">
        <f>'S17'!N66</f>
        <v/>
      </c>
      <c r="P66" s="36">
        <f>N66-O66</f>
        <v/>
      </c>
      <c r="Q66" s="32" t="n"/>
      <c r="R66" s="32" t="n"/>
      <c r="S66" s="32" t="n"/>
      <c r="T66" s="33" t="n"/>
      <c r="U66" s="42">
        <f>'S17'!T66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'S17'!M67+L67</f>
        <v/>
      </c>
      <c r="N67" s="31">
        <f>IFERROR(M67/K67,0)</f>
        <v/>
      </c>
      <c r="O67" s="40">
        <f>'S17'!N67</f>
        <v/>
      </c>
      <c r="P67" s="31">
        <f>N67-O67</f>
        <v/>
      </c>
      <c r="Q67" s="32" t="n"/>
      <c r="R67" s="32" t="n"/>
      <c r="S67" s="32" t="n"/>
      <c r="T67" s="33" t="n"/>
      <c r="U67" s="40">
        <f>'S17'!T67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'S17'!M68+L68</f>
        <v/>
      </c>
      <c r="N68" s="36">
        <f>IFERROR(M68/K68,0)</f>
        <v/>
      </c>
      <c r="O68" s="42">
        <f>'S17'!N68</f>
        <v/>
      </c>
      <c r="P68" s="36">
        <f>N68-O68</f>
        <v/>
      </c>
      <c r="Q68" s="32" t="n"/>
      <c r="R68" s="32" t="n"/>
      <c r="S68" s="32" t="n"/>
      <c r="T68" s="33" t="n"/>
      <c r="U68" s="42">
        <f>'S17'!T68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'S17'!M69+L69</f>
        <v/>
      </c>
      <c r="N69" s="31">
        <f>IFERROR(M69/K69,0)</f>
        <v/>
      </c>
      <c r="O69" s="40">
        <f>'S17'!N69</f>
        <v/>
      </c>
      <c r="P69" s="31">
        <f>N69-O69</f>
        <v/>
      </c>
      <c r="Q69" s="32" t="n"/>
      <c r="R69" s="32" t="n"/>
      <c r="S69" s="32" t="n"/>
      <c r="T69" s="33" t="n"/>
      <c r="U69" s="40">
        <f>'S17'!T69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'S17'!M70+L70</f>
        <v/>
      </c>
      <c r="N70" s="36">
        <f>IFERROR(M70/K70,0)</f>
        <v/>
      </c>
      <c r="O70" s="42">
        <f>'S17'!N70</f>
        <v/>
      </c>
      <c r="P70" s="36">
        <f>N70-O70</f>
        <v/>
      </c>
      <c r="Q70" s="32" t="n"/>
      <c r="R70" s="32" t="n"/>
      <c r="S70" s="32" t="n"/>
      <c r="T70" s="33" t="n"/>
      <c r="U70" s="42">
        <f>'S17'!T70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'S17'!M71+L71</f>
        <v/>
      </c>
      <c r="N71" s="31">
        <f>IFERROR(M71/K71,0)</f>
        <v/>
      </c>
      <c r="O71" s="40">
        <f>'S17'!N71</f>
        <v/>
      </c>
      <c r="P71" s="31">
        <f>N71-O71</f>
        <v/>
      </c>
      <c r="Q71" s="32" t="n"/>
      <c r="R71" s="32" t="n"/>
      <c r="S71" s="32" t="n"/>
      <c r="T71" s="33" t="n"/>
      <c r="U71" s="40">
        <f>'S17'!T71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'S17'!M72+L72</f>
        <v/>
      </c>
      <c r="N72" s="36">
        <f>IFERROR(M72/K72,0)</f>
        <v/>
      </c>
      <c r="O72" s="42">
        <f>'S17'!N72</f>
        <v/>
      </c>
      <c r="P72" s="36">
        <f>N72-O72</f>
        <v/>
      </c>
      <c r="Q72" s="32" t="n"/>
      <c r="R72" s="32" t="n"/>
      <c r="S72" s="32" t="n"/>
      <c r="T72" s="33" t="n"/>
      <c r="U72" s="42">
        <f>'S17'!T72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'S17'!M73+L73</f>
        <v/>
      </c>
      <c r="N73" s="31">
        <f>IFERROR(M73/K73,0)</f>
        <v/>
      </c>
      <c r="O73" s="40">
        <f>'S17'!N73</f>
        <v/>
      </c>
      <c r="P73" s="31">
        <f>N73-O73</f>
        <v/>
      </c>
      <c r="Q73" s="32" t="n"/>
      <c r="R73" s="32" t="n"/>
      <c r="S73" s="32" t="n"/>
      <c r="T73" s="33" t="n"/>
      <c r="U73" s="40">
        <f>'S17'!T73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'S17'!M74+L74</f>
        <v/>
      </c>
      <c r="N74" s="36">
        <f>IFERROR(M74/K74,0)</f>
        <v/>
      </c>
      <c r="O74" s="42">
        <f>'S17'!N74</f>
        <v/>
      </c>
      <c r="P74" s="36">
        <f>N74-O74</f>
        <v/>
      </c>
      <c r="Q74" s="32" t="n"/>
      <c r="R74" s="32" t="n"/>
      <c r="S74" s="32" t="n"/>
      <c r="T74" s="33" t="n"/>
      <c r="U74" s="42">
        <f>'S17'!T74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'S17'!M75+L75</f>
        <v/>
      </c>
      <c r="N75" s="31">
        <f>IFERROR(M75/K75,0)</f>
        <v/>
      </c>
      <c r="O75" s="40">
        <f>'S17'!N75</f>
        <v/>
      </c>
      <c r="P75" s="31">
        <f>N75-O75</f>
        <v/>
      </c>
      <c r="Q75" s="32" t="n"/>
      <c r="R75" s="32" t="n"/>
      <c r="S75" s="32" t="n"/>
      <c r="T75" s="33" t="n"/>
      <c r="U75" s="40">
        <f>'S17'!T75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'S17'!M76+L76</f>
        <v/>
      </c>
      <c r="N76" s="36">
        <f>IFERROR(M76/K76,0)</f>
        <v/>
      </c>
      <c r="O76" s="42">
        <f>'S17'!N76</f>
        <v/>
      </c>
      <c r="P76" s="36">
        <f>N76-O76</f>
        <v/>
      </c>
      <c r="Q76" s="32" t="n"/>
      <c r="R76" s="32" t="n"/>
      <c r="S76" s="32" t="n"/>
      <c r="T76" s="33" t="n"/>
      <c r="U76" s="42">
        <f>'S17'!T76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21.xml><?xml version="1.0" encoding="utf-8"?>
<worksheet xmlns="http://schemas.openxmlformats.org/spreadsheetml/2006/main">
  <sheetPr>
    <tabColor rgb="00FFC00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19 (04/05 - 10/05) — Mai 2026 - Exécution Physique et Financière</t>
        </is>
      </c>
    </row>
    <row r="3" ht="22" customHeight="1">
      <c r="B3" s="20" t="inlineStr">
        <is>
          <t>Date :</t>
        </is>
      </c>
      <c r="C3" s="21" t="n">
        <v>46146</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'S18'!M5+L5</f>
        <v/>
      </c>
      <c r="N5" s="31">
        <f>IFERROR(M5/K5,0)</f>
        <v/>
      </c>
      <c r="O5" s="40">
        <f>'S18'!N5</f>
        <v/>
      </c>
      <c r="P5" s="31">
        <f>N5-O5</f>
        <v/>
      </c>
      <c r="Q5" s="32" t="n"/>
      <c r="R5" s="32" t="n"/>
      <c r="S5" s="32" t="n"/>
      <c r="T5" s="33" t="n"/>
      <c r="U5" s="40">
        <f>'S18'!T5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'S18'!M6+L6</f>
        <v/>
      </c>
      <c r="N6" s="36">
        <f>IFERROR(M6/K6,0)</f>
        <v/>
      </c>
      <c r="O6" s="42">
        <f>'S18'!N6</f>
        <v/>
      </c>
      <c r="P6" s="36">
        <f>N6-O6</f>
        <v/>
      </c>
      <c r="Q6" s="32" t="n"/>
      <c r="R6" s="32" t="n"/>
      <c r="S6" s="32" t="n"/>
      <c r="T6" s="33" t="n"/>
      <c r="U6" s="42">
        <f>'S18'!T6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'S18'!M7+L7</f>
        <v/>
      </c>
      <c r="N7" s="31">
        <f>IFERROR(M7/K7,0)</f>
        <v/>
      </c>
      <c r="O7" s="40">
        <f>'S18'!N7</f>
        <v/>
      </c>
      <c r="P7" s="31">
        <f>N7-O7</f>
        <v/>
      </c>
      <c r="Q7" s="32" t="n"/>
      <c r="R7" s="32" t="n"/>
      <c r="S7" s="32" t="n"/>
      <c r="T7" s="33" t="n"/>
      <c r="U7" s="40">
        <f>'S18'!T7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'S18'!M8+L8</f>
        <v/>
      </c>
      <c r="N8" s="36">
        <f>IFERROR(M8/K8,0)</f>
        <v/>
      </c>
      <c r="O8" s="42">
        <f>'S18'!N8</f>
        <v/>
      </c>
      <c r="P8" s="36">
        <f>N8-O8</f>
        <v/>
      </c>
      <c r="Q8" s="32" t="n"/>
      <c r="R8" s="32" t="n"/>
      <c r="S8" s="32" t="n"/>
      <c r="T8" s="33" t="n"/>
      <c r="U8" s="42">
        <f>'S18'!T8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'S18'!M9+L9</f>
        <v/>
      </c>
      <c r="N9" s="31">
        <f>IFERROR(M9/K9,0)</f>
        <v/>
      </c>
      <c r="O9" s="40">
        <f>'S18'!N9</f>
        <v/>
      </c>
      <c r="P9" s="31">
        <f>N9-O9</f>
        <v/>
      </c>
      <c r="Q9" s="32" t="n"/>
      <c r="R9" s="32" t="n"/>
      <c r="S9" s="32" t="n"/>
      <c r="T9" s="33" t="n"/>
      <c r="U9" s="40">
        <f>'S18'!T9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'S18'!M10+L10</f>
        <v/>
      </c>
      <c r="N10" s="36">
        <f>IFERROR(M10/K10,0)</f>
        <v/>
      </c>
      <c r="O10" s="42">
        <f>'S18'!N10</f>
        <v/>
      </c>
      <c r="P10" s="36">
        <f>N10-O10</f>
        <v/>
      </c>
      <c r="Q10" s="32" t="n"/>
      <c r="R10" s="32" t="n"/>
      <c r="S10" s="32" t="n"/>
      <c r="T10" s="33" t="n"/>
      <c r="U10" s="42">
        <f>'S18'!T10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'S18'!M11+L11</f>
        <v/>
      </c>
      <c r="N11" s="31">
        <f>IFERROR(M11/K11,0)</f>
        <v/>
      </c>
      <c r="O11" s="40">
        <f>'S18'!N11</f>
        <v/>
      </c>
      <c r="P11" s="31">
        <f>N11-O11</f>
        <v/>
      </c>
      <c r="Q11" s="32" t="n"/>
      <c r="R11" s="32" t="n"/>
      <c r="S11" s="32" t="n"/>
      <c r="T11" s="33" t="n"/>
      <c r="U11" s="40">
        <f>'S18'!T11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'S18'!M12+L12</f>
        <v/>
      </c>
      <c r="N12" s="36">
        <f>IFERROR(M12/K12,0)</f>
        <v/>
      </c>
      <c r="O12" s="42">
        <f>'S18'!N12</f>
        <v/>
      </c>
      <c r="P12" s="36">
        <f>N12-O12</f>
        <v/>
      </c>
      <c r="Q12" s="32" t="n"/>
      <c r="R12" s="32" t="n"/>
      <c r="S12" s="32" t="n"/>
      <c r="T12" s="33" t="n"/>
      <c r="U12" s="42">
        <f>'S18'!T12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'S18'!M13+L13</f>
        <v/>
      </c>
      <c r="N13" s="31">
        <f>IFERROR(M13/K13,0)</f>
        <v/>
      </c>
      <c r="O13" s="40">
        <f>'S18'!N13</f>
        <v/>
      </c>
      <c r="P13" s="31">
        <f>N13-O13</f>
        <v/>
      </c>
      <c r="Q13" s="32" t="n"/>
      <c r="R13" s="32" t="n"/>
      <c r="S13" s="32" t="n"/>
      <c r="T13" s="33" t="n"/>
      <c r="U13" s="40">
        <f>'S18'!T13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'S18'!M14+L14</f>
        <v/>
      </c>
      <c r="N14" s="36">
        <f>IFERROR(M14/K14,0)</f>
        <v/>
      </c>
      <c r="O14" s="42">
        <f>'S18'!N14</f>
        <v/>
      </c>
      <c r="P14" s="36">
        <f>N14-O14</f>
        <v/>
      </c>
      <c r="Q14" s="32" t="n"/>
      <c r="R14" s="32" t="n"/>
      <c r="S14" s="32" t="n"/>
      <c r="T14" s="33" t="n"/>
      <c r="U14" s="42">
        <f>'S18'!T14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'S18'!M15+L15</f>
        <v/>
      </c>
      <c r="N15" s="31">
        <f>IFERROR(M15/K15,0)</f>
        <v/>
      </c>
      <c r="O15" s="40">
        <f>'S18'!N15</f>
        <v/>
      </c>
      <c r="P15" s="31">
        <f>N15-O15</f>
        <v/>
      </c>
      <c r="Q15" s="32" t="n"/>
      <c r="R15" s="32" t="n"/>
      <c r="S15" s="32" t="n"/>
      <c r="T15" s="33" t="n"/>
      <c r="U15" s="40">
        <f>'S18'!T15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'S18'!M16+L16</f>
        <v/>
      </c>
      <c r="N16" s="36">
        <f>IFERROR(M16/K16,0)</f>
        <v/>
      </c>
      <c r="O16" s="42">
        <f>'S18'!N16</f>
        <v/>
      </c>
      <c r="P16" s="36">
        <f>N16-O16</f>
        <v/>
      </c>
      <c r="Q16" s="32" t="n"/>
      <c r="R16" s="32" t="n"/>
      <c r="S16" s="32" t="n"/>
      <c r="T16" s="33" t="n"/>
      <c r="U16" s="42">
        <f>'S18'!T16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'S18'!M17+L17</f>
        <v/>
      </c>
      <c r="N17" s="31">
        <f>IFERROR(M17/K17,0)</f>
        <v/>
      </c>
      <c r="O17" s="40">
        <f>'S18'!N17</f>
        <v/>
      </c>
      <c r="P17" s="31">
        <f>N17-O17</f>
        <v/>
      </c>
      <c r="Q17" s="32" t="n"/>
      <c r="R17" s="32" t="n"/>
      <c r="S17" s="32" t="n"/>
      <c r="T17" s="33" t="n"/>
      <c r="U17" s="40">
        <f>'S18'!T17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'S18'!M18+L18</f>
        <v/>
      </c>
      <c r="N18" s="36">
        <f>IFERROR(M18/K18,0)</f>
        <v/>
      </c>
      <c r="O18" s="42">
        <f>'S18'!N18</f>
        <v/>
      </c>
      <c r="P18" s="36">
        <f>N18-O18</f>
        <v/>
      </c>
      <c r="Q18" s="32" t="n"/>
      <c r="R18" s="32" t="n"/>
      <c r="S18" s="32" t="n"/>
      <c r="T18" s="33" t="n"/>
      <c r="U18" s="42">
        <f>'S18'!T18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'S18'!M19+L19</f>
        <v/>
      </c>
      <c r="N19" s="31">
        <f>IFERROR(M19/K19,0)</f>
        <v/>
      </c>
      <c r="O19" s="40">
        <f>'S18'!N19</f>
        <v/>
      </c>
      <c r="P19" s="31">
        <f>N19-O19</f>
        <v/>
      </c>
      <c r="Q19" s="32" t="n"/>
      <c r="R19" s="32" t="n"/>
      <c r="S19" s="32" t="n"/>
      <c r="T19" s="33" t="n"/>
      <c r="U19" s="40">
        <f>'S18'!T19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'S18'!M20+L20</f>
        <v/>
      </c>
      <c r="N20" s="36">
        <f>IFERROR(M20/K20,0)</f>
        <v/>
      </c>
      <c r="O20" s="42">
        <f>'S18'!N20</f>
        <v/>
      </c>
      <c r="P20" s="36">
        <f>N20-O20</f>
        <v/>
      </c>
      <c r="Q20" s="32" t="n"/>
      <c r="R20" s="32" t="n"/>
      <c r="S20" s="32" t="n"/>
      <c r="T20" s="33" t="n"/>
      <c r="U20" s="42">
        <f>'S18'!T20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'S18'!M21+L21</f>
        <v/>
      </c>
      <c r="N21" s="31">
        <f>IFERROR(M21/K21,0)</f>
        <v/>
      </c>
      <c r="O21" s="40">
        <f>'S18'!N21</f>
        <v/>
      </c>
      <c r="P21" s="31">
        <f>N21-O21</f>
        <v/>
      </c>
      <c r="Q21" s="32" t="n"/>
      <c r="R21" s="32" t="n"/>
      <c r="S21" s="32" t="n"/>
      <c r="T21" s="33" t="n"/>
      <c r="U21" s="40">
        <f>'S18'!T21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'S18'!M22+L22</f>
        <v/>
      </c>
      <c r="N22" s="36">
        <f>IFERROR(M22/K22,0)</f>
        <v/>
      </c>
      <c r="O22" s="42">
        <f>'S18'!N22</f>
        <v/>
      </c>
      <c r="P22" s="36">
        <f>N22-O22</f>
        <v/>
      </c>
      <c r="Q22" s="32" t="n"/>
      <c r="R22" s="32" t="n"/>
      <c r="S22" s="32" t="n"/>
      <c r="T22" s="33" t="n"/>
      <c r="U22" s="42">
        <f>'S18'!T22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'S18'!M23+L23</f>
        <v/>
      </c>
      <c r="N23" s="31">
        <f>IFERROR(M23/K23,0)</f>
        <v/>
      </c>
      <c r="O23" s="40">
        <f>'S18'!N23</f>
        <v/>
      </c>
      <c r="P23" s="31">
        <f>N23-O23</f>
        <v/>
      </c>
      <c r="Q23" s="32" t="n"/>
      <c r="R23" s="32" t="n"/>
      <c r="S23" s="32" t="n"/>
      <c r="T23" s="33" t="n"/>
      <c r="U23" s="40">
        <f>'S18'!T23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'S18'!M24+L24</f>
        <v/>
      </c>
      <c r="N24" s="36">
        <f>IFERROR(M24/K24,0)</f>
        <v/>
      </c>
      <c r="O24" s="42">
        <f>'S18'!N24</f>
        <v/>
      </c>
      <c r="P24" s="36">
        <f>N24-O24</f>
        <v/>
      </c>
      <c r="Q24" s="32" t="n"/>
      <c r="R24" s="32" t="n"/>
      <c r="S24" s="32" t="n"/>
      <c r="T24" s="33" t="n"/>
      <c r="U24" s="42">
        <f>'S18'!T24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'S18'!M25+L25</f>
        <v/>
      </c>
      <c r="N25" s="31">
        <f>IFERROR(M25/K25,0)</f>
        <v/>
      </c>
      <c r="O25" s="40">
        <f>'S18'!N25</f>
        <v/>
      </c>
      <c r="P25" s="31">
        <f>N25-O25</f>
        <v/>
      </c>
      <c r="Q25" s="32" t="n"/>
      <c r="R25" s="32" t="n"/>
      <c r="S25" s="32" t="n"/>
      <c r="T25" s="33" t="n"/>
      <c r="U25" s="40">
        <f>'S18'!T25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'S18'!M26+L26</f>
        <v/>
      </c>
      <c r="N26" s="36">
        <f>IFERROR(M26/K26,0)</f>
        <v/>
      </c>
      <c r="O26" s="42">
        <f>'S18'!N26</f>
        <v/>
      </c>
      <c r="P26" s="36">
        <f>N26-O26</f>
        <v/>
      </c>
      <c r="Q26" s="32" t="n"/>
      <c r="R26" s="32" t="n"/>
      <c r="S26" s="32" t="n"/>
      <c r="T26" s="33" t="n"/>
      <c r="U26" s="42">
        <f>'S18'!T26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'S18'!M27+L27</f>
        <v/>
      </c>
      <c r="N27" s="31">
        <f>IFERROR(M27/K27,0)</f>
        <v/>
      </c>
      <c r="O27" s="40">
        <f>'S18'!N27</f>
        <v/>
      </c>
      <c r="P27" s="31">
        <f>N27-O27</f>
        <v/>
      </c>
      <c r="Q27" s="32" t="n"/>
      <c r="R27" s="32" t="n"/>
      <c r="S27" s="32" t="n"/>
      <c r="T27" s="33" t="n"/>
      <c r="U27" s="40">
        <f>'S18'!T27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'S18'!M28+L28</f>
        <v/>
      </c>
      <c r="N28" s="36">
        <f>IFERROR(M28/K28,0)</f>
        <v/>
      </c>
      <c r="O28" s="42">
        <f>'S18'!N28</f>
        <v/>
      </c>
      <c r="P28" s="36">
        <f>N28-O28</f>
        <v/>
      </c>
      <c r="Q28" s="32" t="n"/>
      <c r="R28" s="32" t="n"/>
      <c r="S28" s="32" t="n"/>
      <c r="T28" s="33" t="n"/>
      <c r="U28" s="42">
        <f>'S18'!T28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'S18'!M29+L29</f>
        <v/>
      </c>
      <c r="N29" s="31">
        <f>IFERROR(M29/K29,0)</f>
        <v/>
      </c>
      <c r="O29" s="40">
        <f>'S18'!N29</f>
        <v/>
      </c>
      <c r="P29" s="31">
        <f>N29-O29</f>
        <v/>
      </c>
      <c r="Q29" s="32" t="n"/>
      <c r="R29" s="32" t="n"/>
      <c r="S29" s="32" t="n"/>
      <c r="T29" s="33" t="n"/>
      <c r="U29" s="40">
        <f>'S18'!T29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'S18'!M30+L30</f>
        <v/>
      </c>
      <c r="N30" s="36">
        <f>IFERROR(M30/K30,0)</f>
        <v/>
      </c>
      <c r="O30" s="42">
        <f>'S18'!N30</f>
        <v/>
      </c>
      <c r="P30" s="36">
        <f>N30-O30</f>
        <v/>
      </c>
      <c r="Q30" s="32" t="n"/>
      <c r="R30" s="32" t="n"/>
      <c r="S30" s="32" t="n"/>
      <c r="T30" s="33" t="n"/>
      <c r="U30" s="42">
        <f>'S18'!T30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'S18'!M31+L31</f>
        <v/>
      </c>
      <c r="N31" s="31">
        <f>IFERROR(M31/K31,0)</f>
        <v/>
      </c>
      <c r="O31" s="40">
        <f>'S18'!N31</f>
        <v/>
      </c>
      <c r="P31" s="31">
        <f>N31-O31</f>
        <v/>
      </c>
      <c r="Q31" s="32" t="n"/>
      <c r="R31" s="32" t="n"/>
      <c r="S31" s="32" t="n"/>
      <c r="T31" s="33" t="n"/>
      <c r="U31" s="40">
        <f>'S18'!T31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'S18'!M32+L32</f>
        <v/>
      </c>
      <c r="N32" s="36">
        <f>IFERROR(M32/K32,0)</f>
        <v/>
      </c>
      <c r="O32" s="42">
        <f>'S18'!N32</f>
        <v/>
      </c>
      <c r="P32" s="36">
        <f>N32-O32</f>
        <v/>
      </c>
      <c r="Q32" s="32" t="n"/>
      <c r="R32" s="32" t="n"/>
      <c r="S32" s="32" t="n"/>
      <c r="T32" s="33" t="n"/>
      <c r="U32" s="42">
        <f>'S18'!T32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'S18'!M33+L33</f>
        <v/>
      </c>
      <c r="N33" s="31">
        <f>IFERROR(M33/K33,0)</f>
        <v/>
      </c>
      <c r="O33" s="40">
        <f>'S18'!N33</f>
        <v/>
      </c>
      <c r="P33" s="31">
        <f>N33-O33</f>
        <v/>
      </c>
      <c r="Q33" s="32" t="n"/>
      <c r="R33" s="32" t="n"/>
      <c r="S33" s="32" t="n"/>
      <c r="T33" s="33" t="n"/>
      <c r="U33" s="40">
        <f>'S18'!T33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'S18'!M34+L34</f>
        <v/>
      </c>
      <c r="N34" s="36">
        <f>IFERROR(M34/K34,0)</f>
        <v/>
      </c>
      <c r="O34" s="42">
        <f>'S18'!N34</f>
        <v/>
      </c>
      <c r="P34" s="36">
        <f>N34-O34</f>
        <v/>
      </c>
      <c r="Q34" s="32" t="n"/>
      <c r="R34" s="32" t="n"/>
      <c r="S34" s="32" t="n"/>
      <c r="T34" s="33" t="n"/>
      <c r="U34" s="42">
        <f>'S18'!T34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'S18'!M35+L35</f>
        <v/>
      </c>
      <c r="N35" s="31">
        <f>IFERROR(M35/K35,0)</f>
        <v/>
      </c>
      <c r="O35" s="40">
        <f>'S18'!N35</f>
        <v/>
      </c>
      <c r="P35" s="31">
        <f>N35-O35</f>
        <v/>
      </c>
      <c r="Q35" s="32" t="n"/>
      <c r="R35" s="32" t="n"/>
      <c r="S35" s="32" t="n"/>
      <c r="T35" s="33" t="n"/>
      <c r="U35" s="40">
        <f>'S18'!T35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'S18'!M36+L36</f>
        <v/>
      </c>
      <c r="N36" s="36">
        <f>IFERROR(M36/K36,0)</f>
        <v/>
      </c>
      <c r="O36" s="42">
        <f>'S18'!N36</f>
        <v/>
      </c>
      <c r="P36" s="36">
        <f>N36-O36</f>
        <v/>
      </c>
      <c r="Q36" s="32" t="n"/>
      <c r="R36" s="32" t="n"/>
      <c r="S36" s="32" t="n"/>
      <c r="T36" s="33" t="n"/>
      <c r="U36" s="42">
        <f>'S18'!T36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'S18'!M37+L37</f>
        <v/>
      </c>
      <c r="N37" s="31">
        <f>IFERROR(M37/K37,0)</f>
        <v/>
      </c>
      <c r="O37" s="40">
        <f>'S18'!N37</f>
        <v/>
      </c>
      <c r="P37" s="31">
        <f>N37-O37</f>
        <v/>
      </c>
      <c r="Q37" s="32" t="n"/>
      <c r="R37" s="32" t="n"/>
      <c r="S37" s="32" t="n"/>
      <c r="T37" s="33" t="n"/>
      <c r="U37" s="40">
        <f>'S18'!T37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'S18'!M38+L38</f>
        <v/>
      </c>
      <c r="N38" s="36">
        <f>IFERROR(M38/K38,0)</f>
        <v/>
      </c>
      <c r="O38" s="42">
        <f>'S18'!N38</f>
        <v/>
      </c>
      <c r="P38" s="36">
        <f>N38-O38</f>
        <v/>
      </c>
      <c r="Q38" s="32" t="n"/>
      <c r="R38" s="32" t="n"/>
      <c r="S38" s="32" t="n"/>
      <c r="T38" s="33" t="n"/>
      <c r="U38" s="42">
        <f>'S18'!T38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'S18'!M39+L39</f>
        <v/>
      </c>
      <c r="N39" s="31">
        <f>IFERROR(M39/K39,0)</f>
        <v/>
      </c>
      <c r="O39" s="40">
        <f>'S18'!N39</f>
        <v/>
      </c>
      <c r="P39" s="31">
        <f>N39-O39</f>
        <v/>
      </c>
      <c r="Q39" s="32" t="n"/>
      <c r="R39" s="32" t="n"/>
      <c r="S39" s="32" t="n"/>
      <c r="T39" s="33" t="n"/>
      <c r="U39" s="40">
        <f>'S18'!T39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'S18'!M40+L40</f>
        <v/>
      </c>
      <c r="N40" s="36">
        <f>IFERROR(M40/K40,0)</f>
        <v/>
      </c>
      <c r="O40" s="42">
        <f>'S18'!N40</f>
        <v/>
      </c>
      <c r="P40" s="36">
        <f>N40-O40</f>
        <v/>
      </c>
      <c r="Q40" s="32" t="n"/>
      <c r="R40" s="32" t="n"/>
      <c r="S40" s="32" t="n"/>
      <c r="T40" s="33" t="n"/>
      <c r="U40" s="42">
        <f>'S18'!T40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'S18'!M41+L41</f>
        <v/>
      </c>
      <c r="N41" s="31">
        <f>IFERROR(M41/K41,0)</f>
        <v/>
      </c>
      <c r="O41" s="40">
        <f>'S18'!N41</f>
        <v/>
      </c>
      <c r="P41" s="31">
        <f>N41-O41</f>
        <v/>
      </c>
      <c r="Q41" s="32" t="n"/>
      <c r="R41" s="32" t="n"/>
      <c r="S41" s="32" t="n"/>
      <c r="T41" s="33" t="n"/>
      <c r="U41" s="40">
        <f>'S18'!T41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'S18'!M42+L42</f>
        <v/>
      </c>
      <c r="N42" s="36">
        <f>IFERROR(M42/K42,0)</f>
        <v/>
      </c>
      <c r="O42" s="42">
        <f>'S18'!N42</f>
        <v/>
      </c>
      <c r="P42" s="36">
        <f>N42-O42</f>
        <v/>
      </c>
      <c r="Q42" s="32" t="n"/>
      <c r="R42" s="32" t="n"/>
      <c r="S42" s="32" t="n"/>
      <c r="T42" s="33" t="n"/>
      <c r="U42" s="42">
        <f>'S18'!T42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'S18'!M43+L43</f>
        <v/>
      </c>
      <c r="N43" s="31">
        <f>IFERROR(M43/K43,0)</f>
        <v/>
      </c>
      <c r="O43" s="40">
        <f>'S18'!N43</f>
        <v/>
      </c>
      <c r="P43" s="31">
        <f>N43-O43</f>
        <v/>
      </c>
      <c r="Q43" s="32" t="n"/>
      <c r="R43" s="32" t="n"/>
      <c r="S43" s="32" t="n"/>
      <c r="T43" s="33" t="n"/>
      <c r="U43" s="40">
        <f>'S18'!T43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'S18'!M44+L44</f>
        <v/>
      </c>
      <c r="N44" s="36">
        <f>IFERROR(M44/K44,0)</f>
        <v/>
      </c>
      <c r="O44" s="42">
        <f>'S18'!N44</f>
        <v/>
      </c>
      <c r="P44" s="36">
        <f>N44-O44</f>
        <v/>
      </c>
      <c r="Q44" s="32" t="n"/>
      <c r="R44" s="32" t="n"/>
      <c r="S44" s="32" t="n"/>
      <c r="T44" s="33" t="n"/>
      <c r="U44" s="42">
        <f>'S18'!T44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'S18'!M45+L45</f>
        <v/>
      </c>
      <c r="N45" s="31">
        <f>IFERROR(M45/K45,0)</f>
        <v/>
      </c>
      <c r="O45" s="40">
        <f>'S18'!N45</f>
        <v/>
      </c>
      <c r="P45" s="31">
        <f>N45-O45</f>
        <v/>
      </c>
      <c r="Q45" s="32" t="n"/>
      <c r="R45" s="32" t="n"/>
      <c r="S45" s="32" t="n"/>
      <c r="T45" s="33" t="n"/>
      <c r="U45" s="40">
        <f>'S18'!T45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'S18'!M46+L46</f>
        <v/>
      </c>
      <c r="N46" s="36">
        <f>IFERROR(M46/K46,0)</f>
        <v/>
      </c>
      <c r="O46" s="42">
        <f>'S18'!N46</f>
        <v/>
      </c>
      <c r="P46" s="36">
        <f>N46-O46</f>
        <v/>
      </c>
      <c r="Q46" s="32" t="n"/>
      <c r="R46" s="32" t="n"/>
      <c r="S46" s="32" t="n"/>
      <c r="T46" s="33" t="n"/>
      <c r="U46" s="42">
        <f>'S18'!T46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'S18'!M47+L47</f>
        <v/>
      </c>
      <c r="N47" s="31">
        <f>IFERROR(M47/K47,0)</f>
        <v/>
      </c>
      <c r="O47" s="40">
        <f>'S18'!N47</f>
        <v/>
      </c>
      <c r="P47" s="31">
        <f>N47-O47</f>
        <v/>
      </c>
      <c r="Q47" s="32" t="n"/>
      <c r="R47" s="32" t="n"/>
      <c r="S47" s="32" t="n"/>
      <c r="T47" s="33" t="n"/>
      <c r="U47" s="40">
        <f>'S18'!T47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'S18'!M48+L48</f>
        <v/>
      </c>
      <c r="N48" s="36">
        <f>IFERROR(M48/K48,0)</f>
        <v/>
      </c>
      <c r="O48" s="42">
        <f>'S18'!N48</f>
        <v/>
      </c>
      <c r="P48" s="36">
        <f>N48-O48</f>
        <v/>
      </c>
      <c r="Q48" s="32" t="n"/>
      <c r="R48" s="32" t="n"/>
      <c r="S48" s="32" t="n"/>
      <c r="T48" s="33" t="n"/>
      <c r="U48" s="42">
        <f>'S18'!T48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'S18'!M49+L49</f>
        <v/>
      </c>
      <c r="N49" s="31">
        <f>IFERROR(M49/K49,0)</f>
        <v/>
      </c>
      <c r="O49" s="40">
        <f>'S18'!N49</f>
        <v/>
      </c>
      <c r="P49" s="31">
        <f>N49-O49</f>
        <v/>
      </c>
      <c r="Q49" s="32" t="n"/>
      <c r="R49" s="32" t="n"/>
      <c r="S49" s="32" t="n"/>
      <c r="T49" s="33" t="n"/>
      <c r="U49" s="40">
        <f>'S18'!T49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'S18'!M50+L50</f>
        <v/>
      </c>
      <c r="N50" s="36">
        <f>IFERROR(M50/K50,0)</f>
        <v/>
      </c>
      <c r="O50" s="42">
        <f>'S18'!N50</f>
        <v/>
      </c>
      <c r="P50" s="36">
        <f>N50-O50</f>
        <v/>
      </c>
      <c r="Q50" s="32" t="n"/>
      <c r="R50" s="32" t="n"/>
      <c r="S50" s="32" t="n"/>
      <c r="T50" s="33" t="n"/>
      <c r="U50" s="42">
        <f>'S18'!T50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'S18'!M51+L51</f>
        <v/>
      </c>
      <c r="N51" s="31">
        <f>IFERROR(M51/K51,0)</f>
        <v/>
      </c>
      <c r="O51" s="40">
        <f>'S18'!N51</f>
        <v/>
      </c>
      <c r="P51" s="31">
        <f>N51-O51</f>
        <v/>
      </c>
      <c r="Q51" s="32" t="n"/>
      <c r="R51" s="32" t="n"/>
      <c r="S51" s="32" t="n"/>
      <c r="T51" s="33" t="n"/>
      <c r="U51" s="40">
        <f>'S18'!T51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'S18'!M52+L52</f>
        <v/>
      </c>
      <c r="N52" s="36">
        <f>IFERROR(M52/K52,0)</f>
        <v/>
      </c>
      <c r="O52" s="42">
        <f>'S18'!N52</f>
        <v/>
      </c>
      <c r="P52" s="36">
        <f>N52-O52</f>
        <v/>
      </c>
      <c r="Q52" s="32" t="n"/>
      <c r="R52" s="32" t="n"/>
      <c r="S52" s="32" t="n"/>
      <c r="T52" s="33" t="n"/>
      <c r="U52" s="42">
        <f>'S18'!T52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'S18'!M53+L53</f>
        <v/>
      </c>
      <c r="N53" s="31">
        <f>IFERROR(M53/K53,0)</f>
        <v/>
      </c>
      <c r="O53" s="40">
        <f>'S18'!N53</f>
        <v/>
      </c>
      <c r="P53" s="31">
        <f>N53-O53</f>
        <v/>
      </c>
      <c r="Q53" s="32" t="n"/>
      <c r="R53" s="32" t="n"/>
      <c r="S53" s="32" t="n"/>
      <c r="T53" s="33" t="n"/>
      <c r="U53" s="40">
        <f>'S18'!T53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'S18'!M54+L54</f>
        <v/>
      </c>
      <c r="N54" s="36">
        <f>IFERROR(M54/K54,0)</f>
        <v/>
      </c>
      <c r="O54" s="42">
        <f>'S18'!N54</f>
        <v/>
      </c>
      <c r="P54" s="36">
        <f>N54-O54</f>
        <v/>
      </c>
      <c r="Q54" s="32" t="n"/>
      <c r="R54" s="32" t="n"/>
      <c r="S54" s="32" t="n"/>
      <c r="T54" s="33" t="n"/>
      <c r="U54" s="42">
        <f>'S18'!T54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'S18'!M55+L55</f>
        <v/>
      </c>
      <c r="N55" s="31">
        <f>IFERROR(M55/K55,0)</f>
        <v/>
      </c>
      <c r="O55" s="40">
        <f>'S18'!N55</f>
        <v/>
      </c>
      <c r="P55" s="31">
        <f>N55-O55</f>
        <v/>
      </c>
      <c r="Q55" s="32" t="n"/>
      <c r="R55" s="32" t="n"/>
      <c r="S55" s="32" t="n"/>
      <c r="T55" s="33" t="n"/>
      <c r="U55" s="40">
        <f>'S18'!T55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'S18'!M56+L56</f>
        <v/>
      </c>
      <c r="N56" s="36">
        <f>IFERROR(M56/K56,0)</f>
        <v/>
      </c>
      <c r="O56" s="42">
        <f>'S18'!N56</f>
        <v/>
      </c>
      <c r="P56" s="36">
        <f>N56-O56</f>
        <v/>
      </c>
      <c r="Q56" s="32" t="n"/>
      <c r="R56" s="32" t="n"/>
      <c r="S56" s="32" t="n"/>
      <c r="T56" s="33" t="n"/>
      <c r="U56" s="42">
        <f>'S18'!T56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'S18'!M57+L57</f>
        <v/>
      </c>
      <c r="N57" s="31">
        <f>IFERROR(M57/K57,0)</f>
        <v/>
      </c>
      <c r="O57" s="40">
        <f>'S18'!N57</f>
        <v/>
      </c>
      <c r="P57" s="31">
        <f>N57-O57</f>
        <v/>
      </c>
      <c r="Q57" s="32" t="n"/>
      <c r="R57" s="32" t="n"/>
      <c r="S57" s="32" t="n"/>
      <c r="T57" s="33" t="n"/>
      <c r="U57" s="40">
        <f>'S18'!T57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'S18'!M58+L58</f>
        <v/>
      </c>
      <c r="N58" s="36">
        <f>IFERROR(M58/K58,0)</f>
        <v/>
      </c>
      <c r="O58" s="42">
        <f>'S18'!N58</f>
        <v/>
      </c>
      <c r="P58" s="36">
        <f>N58-O58</f>
        <v/>
      </c>
      <c r="Q58" s="32" t="n"/>
      <c r="R58" s="32" t="n"/>
      <c r="S58" s="32" t="n"/>
      <c r="T58" s="33" t="n"/>
      <c r="U58" s="42">
        <f>'S18'!T58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'S18'!M59+L59</f>
        <v/>
      </c>
      <c r="N59" s="31">
        <f>IFERROR(M59/K59,0)</f>
        <v/>
      </c>
      <c r="O59" s="40">
        <f>'S18'!N59</f>
        <v/>
      </c>
      <c r="P59" s="31">
        <f>N59-O59</f>
        <v/>
      </c>
      <c r="Q59" s="32" t="n"/>
      <c r="R59" s="32" t="n"/>
      <c r="S59" s="32" t="n"/>
      <c r="T59" s="33" t="n"/>
      <c r="U59" s="40">
        <f>'S18'!T59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'S18'!M60+L60</f>
        <v/>
      </c>
      <c r="N60" s="36">
        <f>IFERROR(M60/K60,0)</f>
        <v/>
      </c>
      <c r="O60" s="42">
        <f>'S18'!N60</f>
        <v/>
      </c>
      <c r="P60" s="36">
        <f>N60-O60</f>
        <v/>
      </c>
      <c r="Q60" s="32" t="n"/>
      <c r="R60" s="32" t="n"/>
      <c r="S60" s="32" t="n"/>
      <c r="T60" s="33" t="n"/>
      <c r="U60" s="42">
        <f>'S18'!T60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'S18'!M61+L61</f>
        <v/>
      </c>
      <c r="N61" s="31">
        <f>IFERROR(M61/K61,0)</f>
        <v/>
      </c>
      <c r="O61" s="40">
        <f>'S18'!N61</f>
        <v/>
      </c>
      <c r="P61" s="31">
        <f>N61-O61</f>
        <v/>
      </c>
      <c r="Q61" s="32" t="n"/>
      <c r="R61" s="32" t="n"/>
      <c r="S61" s="32" t="n"/>
      <c r="T61" s="33" t="n"/>
      <c r="U61" s="40">
        <f>'S18'!T61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'S18'!M62+L62</f>
        <v/>
      </c>
      <c r="N62" s="36">
        <f>IFERROR(M62/K62,0)</f>
        <v/>
      </c>
      <c r="O62" s="42">
        <f>'S18'!N62</f>
        <v/>
      </c>
      <c r="P62" s="36">
        <f>N62-O62</f>
        <v/>
      </c>
      <c r="Q62" s="32" t="n"/>
      <c r="R62" s="32" t="n"/>
      <c r="S62" s="32" t="n"/>
      <c r="T62" s="33" t="n"/>
      <c r="U62" s="42">
        <f>'S18'!T62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'S18'!M63+L63</f>
        <v/>
      </c>
      <c r="N63" s="31">
        <f>IFERROR(M63/K63,0)</f>
        <v/>
      </c>
      <c r="O63" s="40">
        <f>'S18'!N63</f>
        <v/>
      </c>
      <c r="P63" s="31">
        <f>N63-O63</f>
        <v/>
      </c>
      <c r="Q63" s="32" t="n"/>
      <c r="R63" s="32" t="n"/>
      <c r="S63" s="32" t="n"/>
      <c r="T63" s="33" t="n"/>
      <c r="U63" s="40">
        <f>'S18'!T63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'S18'!M64+L64</f>
        <v/>
      </c>
      <c r="N64" s="36">
        <f>IFERROR(M64/K64,0)</f>
        <v/>
      </c>
      <c r="O64" s="42">
        <f>'S18'!N64</f>
        <v/>
      </c>
      <c r="P64" s="36">
        <f>N64-O64</f>
        <v/>
      </c>
      <c r="Q64" s="32" t="n"/>
      <c r="R64" s="32" t="n"/>
      <c r="S64" s="32" t="n"/>
      <c r="T64" s="33" t="n"/>
      <c r="U64" s="42">
        <f>'S18'!T64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'S18'!M65+L65</f>
        <v/>
      </c>
      <c r="N65" s="31">
        <f>IFERROR(M65/K65,0)</f>
        <v/>
      </c>
      <c r="O65" s="40">
        <f>'S18'!N65</f>
        <v/>
      </c>
      <c r="P65" s="31">
        <f>N65-O65</f>
        <v/>
      </c>
      <c r="Q65" s="32" t="n"/>
      <c r="R65" s="32" t="n"/>
      <c r="S65" s="32" t="n"/>
      <c r="T65" s="33" t="n"/>
      <c r="U65" s="40">
        <f>'S18'!T65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'S18'!M66+L66</f>
        <v/>
      </c>
      <c r="N66" s="36">
        <f>IFERROR(M66/K66,0)</f>
        <v/>
      </c>
      <c r="O66" s="42">
        <f>'S18'!N66</f>
        <v/>
      </c>
      <c r="P66" s="36">
        <f>N66-O66</f>
        <v/>
      </c>
      <c r="Q66" s="32" t="n"/>
      <c r="R66" s="32" t="n"/>
      <c r="S66" s="32" t="n"/>
      <c r="T66" s="33" t="n"/>
      <c r="U66" s="42">
        <f>'S18'!T66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'S18'!M67+L67</f>
        <v/>
      </c>
      <c r="N67" s="31">
        <f>IFERROR(M67/K67,0)</f>
        <v/>
      </c>
      <c r="O67" s="40">
        <f>'S18'!N67</f>
        <v/>
      </c>
      <c r="P67" s="31">
        <f>N67-O67</f>
        <v/>
      </c>
      <c r="Q67" s="32" t="n"/>
      <c r="R67" s="32" t="n"/>
      <c r="S67" s="32" t="n"/>
      <c r="T67" s="33" t="n"/>
      <c r="U67" s="40">
        <f>'S18'!T67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'S18'!M68+L68</f>
        <v/>
      </c>
      <c r="N68" s="36">
        <f>IFERROR(M68/K68,0)</f>
        <v/>
      </c>
      <c r="O68" s="42">
        <f>'S18'!N68</f>
        <v/>
      </c>
      <c r="P68" s="36">
        <f>N68-O68</f>
        <v/>
      </c>
      <c r="Q68" s="32" t="n"/>
      <c r="R68" s="32" t="n"/>
      <c r="S68" s="32" t="n"/>
      <c r="T68" s="33" t="n"/>
      <c r="U68" s="42">
        <f>'S18'!T68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'S18'!M69+L69</f>
        <v/>
      </c>
      <c r="N69" s="31">
        <f>IFERROR(M69/K69,0)</f>
        <v/>
      </c>
      <c r="O69" s="40">
        <f>'S18'!N69</f>
        <v/>
      </c>
      <c r="P69" s="31">
        <f>N69-O69</f>
        <v/>
      </c>
      <c r="Q69" s="32" t="n"/>
      <c r="R69" s="32" t="n"/>
      <c r="S69" s="32" t="n"/>
      <c r="T69" s="33" t="n"/>
      <c r="U69" s="40">
        <f>'S18'!T69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'S18'!M70+L70</f>
        <v/>
      </c>
      <c r="N70" s="36">
        <f>IFERROR(M70/K70,0)</f>
        <v/>
      </c>
      <c r="O70" s="42">
        <f>'S18'!N70</f>
        <v/>
      </c>
      <c r="P70" s="36">
        <f>N70-O70</f>
        <v/>
      </c>
      <c r="Q70" s="32" t="n"/>
      <c r="R70" s="32" t="n"/>
      <c r="S70" s="32" t="n"/>
      <c r="T70" s="33" t="n"/>
      <c r="U70" s="42">
        <f>'S18'!T70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'S18'!M71+L71</f>
        <v/>
      </c>
      <c r="N71" s="31">
        <f>IFERROR(M71/K71,0)</f>
        <v/>
      </c>
      <c r="O71" s="40">
        <f>'S18'!N71</f>
        <v/>
      </c>
      <c r="P71" s="31">
        <f>N71-O71</f>
        <v/>
      </c>
      <c r="Q71" s="32" t="n"/>
      <c r="R71" s="32" t="n"/>
      <c r="S71" s="32" t="n"/>
      <c r="T71" s="33" t="n"/>
      <c r="U71" s="40">
        <f>'S18'!T71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'S18'!M72+L72</f>
        <v/>
      </c>
      <c r="N72" s="36">
        <f>IFERROR(M72/K72,0)</f>
        <v/>
      </c>
      <c r="O72" s="42">
        <f>'S18'!N72</f>
        <v/>
      </c>
      <c r="P72" s="36">
        <f>N72-O72</f>
        <v/>
      </c>
      <c r="Q72" s="32" t="n"/>
      <c r="R72" s="32" t="n"/>
      <c r="S72" s="32" t="n"/>
      <c r="T72" s="33" t="n"/>
      <c r="U72" s="42">
        <f>'S18'!T72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'S18'!M73+L73</f>
        <v/>
      </c>
      <c r="N73" s="31">
        <f>IFERROR(M73/K73,0)</f>
        <v/>
      </c>
      <c r="O73" s="40">
        <f>'S18'!N73</f>
        <v/>
      </c>
      <c r="P73" s="31">
        <f>N73-O73</f>
        <v/>
      </c>
      <c r="Q73" s="32" t="n"/>
      <c r="R73" s="32" t="n"/>
      <c r="S73" s="32" t="n"/>
      <c r="T73" s="33" t="n"/>
      <c r="U73" s="40">
        <f>'S18'!T73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'S18'!M74+L74</f>
        <v/>
      </c>
      <c r="N74" s="36">
        <f>IFERROR(M74/K74,0)</f>
        <v/>
      </c>
      <c r="O74" s="42">
        <f>'S18'!N74</f>
        <v/>
      </c>
      <c r="P74" s="36">
        <f>N74-O74</f>
        <v/>
      </c>
      <c r="Q74" s="32" t="n"/>
      <c r="R74" s="32" t="n"/>
      <c r="S74" s="32" t="n"/>
      <c r="T74" s="33" t="n"/>
      <c r="U74" s="42">
        <f>'S18'!T74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'S18'!M75+L75</f>
        <v/>
      </c>
      <c r="N75" s="31">
        <f>IFERROR(M75/K75,0)</f>
        <v/>
      </c>
      <c r="O75" s="40">
        <f>'S18'!N75</f>
        <v/>
      </c>
      <c r="P75" s="31">
        <f>N75-O75</f>
        <v/>
      </c>
      <c r="Q75" s="32" t="n"/>
      <c r="R75" s="32" t="n"/>
      <c r="S75" s="32" t="n"/>
      <c r="T75" s="33" t="n"/>
      <c r="U75" s="40">
        <f>'S18'!T75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'S18'!M76+L76</f>
        <v/>
      </c>
      <c r="N76" s="36">
        <f>IFERROR(M76/K76,0)</f>
        <v/>
      </c>
      <c r="O76" s="42">
        <f>'S18'!N76</f>
        <v/>
      </c>
      <c r="P76" s="36">
        <f>N76-O76</f>
        <v/>
      </c>
      <c r="Q76" s="32" t="n"/>
      <c r="R76" s="32" t="n"/>
      <c r="S76" s="32" t="n"/>
      <c r="T76" s="33" t="n"/>
      <c r="U76" s="42">
        <f>'S18'!T76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22.xml><?xml version="1.0" encoding="utf-8"?>
<worksheet xmlns="http://schemas.openxmlformats.org/spreadsheetml/2006/main">
  <sheetPr>
    <tabColor rgb="00FFC00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20 (11/05 - 17/05) — Mai 2026 - Exécution Physique et Financière</t>
        </is>
      </c>
    </row>
    <row r="3" ht="22" customHeight="1">
      <c r="B3" s="20" t="inlineStr">
        <is>
          <t>Date :</t>
        </is>
      </c>
      <c r="C3" s="21" t="n">
        <v>46153</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'S19'!M5+L5</f>
        <v/>
      </c>
      <c r="N5" s="31">
        <f>IFERROR(M5/K5,0)</f>
        <v/>
      </c>
      <c r="O5" s="40">
        <f>'S19'!N5</f>
        <v/>
      </c>
      <c r="P5" s="31">
        <f>N5-O5</f>
        <v/>
      </c>
      <c r="Q5" s="32" t="n"/>
      <c r="R5" s="32" t="n"/>
      <c r="S5" s="32" t="n"/>
      <c r="T5" s="33" t="n"/>
      <c r="U5" s="40">
        <f>'S19'!T5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'S19'!M6+L6</f>
        <v/>
      </c>
      <c r="N6" s="36">
        <f>IFERROR(M6/K6,0)</f>
        <v/>
      </c>
      <c r="O6" s="42">
        <f>'S19'!N6</f>
        <v/>
      </c>
      <c r="P6" s="36">
        <f>N6-O6</f>
        <v/>
      </c>
      <c r="Q6" s="32" t="n"/>
      <c r="R6" s="32" t="n"/>
      <c r="S6" s="32" t="n"/>
      <c r="T6" s="33" t="n"/>
      <c r="U6" s="42">
        <f>'S19'!T6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'S19'!M7+L7</f>
        <v/>
      </c>
      <c r="N7" s="31">
        <f>IFERROR(M7/K7,0)</f>
        <v/>
      </c>
      <c r="O7" s="40">
        <f>'S19'!N7</f>
        <v/>
      </c>
      <c r="P7" s="31">
        <f>N7-O7</f>
        <v/>
      </c>
      <c r="Q7" s="32" t="n"/>
      <c r="R7" s="32" t="n"/>
      <c r="S7" s="32" t="n"/>
      <c r="T7" s="33" t="n"/>
      <c r="U7" s="40">
        <f>'S19'!T7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'S19'!M8+L8</f>
        <v/>
      </c>
      <c r="N8" s="36">
        <f>IFERROR(M8/K8,0)</f>
        <v/>
      </c>
      <c r="O8" s="42">
        <f>'S19'!N8</f>
        <v/>
      </c>
      <c r="P8" s="36">
        <f>N8-O8</f>
        <v/>
      </c>
      <c r="Q8" s="32" t="n"/>
      <c r="R8" s="32" t="n"/>
      <c r="S8" s="32" t="n"/>
      <c r="T8" s="33" t="n"/>
      <c r="U8" s="42">
        <f>'S19'!T8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'S19'!M9+L9</f>
        <v/>
      </c>
      <c r="N9" s="31">
        <f>IFERROR(M9/K9,0)</f>
        <v/>
      </c>
      <c r="O9" s="40">
        <f>'S19'!N9</f>
        <v/>
      </c>
      <c r="P9" s="31">
        <f>N9-O9</f>
        <v/>
      </c>
      <c r="Q9" s="32" t="n"/>
      <c r="R9" s="32" t="n"/>
      <c r="S9" s="32" t="n"/>
      <c r="T9" s="33" t="n"/>
      <c r="U9" s="40">
        <f>'S19'!T9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'S19'!M10+L10</f>
        <v/>
      </c>
      <c r="N10" s="36">
        <f>IFERROR(M10/K10,0)</f>
        <v/>
      </c>
      <c r="O10" s="42">
        <f>'S19'!N10</f>
        <v/>
      </c>
      <c r="P10" s="36">
        <f>N10-O10</f>
        <v/>
      </c>
      <c r="Q10" s="32" t="n"/>
      <c r="R10" s="32" t="n"/>
      <c r="S10" s="32" t="n"/>
      <c r="T10" s="33" t="n"/>
      <c r="U10" s="42">
        <f>'S19'!T10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'S19'!M11+L11</f>
        <v/>
      </c>
      <c r="N11" s="31">
        <f>IFERROR(M11/K11,0)</f>
        <v/>
      </c>
      <c r="O11" s="40">
        <f>'S19'!N11</f>
        <v/>
      </c>
      <c r="P11" s="31">
        <f>N11-O11</f>
        <v/>
      </c>
      <c r="Q11" s="32" t="n"/>
      <c r="R11" s="32" t="n"/>
      <c r="S11" s="32" t="n"/>
      <c r="T11" s="33" t="n"/>
      <c r="U11" s="40">
        <f>'S19'!T11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'S19'!M12+L12</f>
        <v/>
      </c>
      <c r="N12" s="36">
        <f>IFERROR(M12/K12,0)</f>
        <v/>
      </c>
      <c r="O12" s="42">
        <f>'S19'!N12</f>
        <v/>
      </c>
      <c r="P12" s="36">
        <f>N12-O12</f>
        <v/>
      </c>
      <c r="Q12" s="32" t="n"/>
      <c r="R12" s="32" t="n"/>
      <c r="S12" s="32" t="n"/>
      <c r="T12" s="33" t="n"/>
      <c r="U12" s="42">
        <f>'S19'!T12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'S19'!M13+L13</f>
        <v/>
      </c>
      <c r="N13" s="31">
        <f>IFERROR(M13/K13,0)</f>
        <v/>
      </c>
      <c r="O13" s="40">
        <f>'S19'!N13</f>
        <v/>
      </c>
      <c r="P13" s="31">
        <f>N13-O13</f>
        <v/>
      </c>
      <c r="Q13" s="32" t="n"/>
      <c r="R13" s="32" t="n"/>
      <c r="S13" s="32" t="n"/>
      <c r="T13" s="33" t="n"/>
      <c r="U13" s="40">
        <f>'S19'!T13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'S19'!M14+L14</f>
        <v/>
      </c>
      <c r="N14" s="36">
        <f>IFERROR(M14/K14,0)</f>
        <v/>
      </c>
      <c r="O14" s="42">
        <f>'S19'!N14</f>
        <v/>
      </c>
      <c r="P14" s="36">
        <f>N14-O14</f>
        <v/>
      </c>
      <c r="Q14" s="32" t="n"/>
      <c r="R14" s="32" t="n"/>
      <c r="S14" s="32" t="n"/>
      <c r="T14" s="33" t="n"/>
      <c r="U14" s="42">
        <f>'S19'!T14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'S19'!M15+L15</f>
        <v/>
      </c>
      <c r="N15" s="31">
        <f>IFERROR(M15/K15,0)</f>
        <v/>
      </c>
      <c r="O15" s="40">
        <f>'S19'!N15</f>
        <v/>
      </c>
      <c r="P15" s="31">
        <f>N15-O15</f>
        <v/>
      </c>
      <c r="Q15" s="32" t="n"/>
      <c r="R15" s="32" t="n"/>
      <c r="S15" s="32" t="n"/>
      <c r="T15" s="33" t="n"/>
      <c r="U15" s="40">
        <f>'S19'!T15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'S19'!M16+L16</f>
        <v/>
      </c>
      <c r="N16" s="36">
        <f>IFERROR(M16/K16,0)</f>
        <v/>
      </c>
      <c r="O16" s="42">
        <f>'S19'!N16</f>
        <v/>
      </c>
      <c r="P16" s="36">
        <f>N16-O16</f>
        <v/>
      </c>
      <c r="Q16" s="32" t="n"/>
      <c r="R16" s="32" t="n"/>
      <c r="S16" s="32" t="n"/>
      <c r="T16" s="33" t="n"/>
      <c r="U16" s="42">
        <f>'S19'!T16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'S19'!M17+L17</f>
        <v/>
      </c>
      <c r="N17" s="31">
        <f>IFERROR(M17/K17,0)</f>
        <v/>
      </c>
      <c r="O17" s="40">
        <f>'S19'!N17</f>
        <v/>
      </c>
      <c r="P17" s="31">
        <f>N17-O17</f>
        <v/>
      </c>
      <c r="Q17" s="32" t="n"/>
      <c r="R17" s="32" t="n"/>
      <c r="S17" s="32" t="n"/>
      <c r="T17" s="33" t="n"/>
      <c r="U17" s="40">
        <f>'S19'!T17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'S19'!M18+L18</f>
        <v/>
      </c>
      <c r="N18" s="36">
        <f>IFERROR(M18/K18,0)</f>
        <v/>
      </c>
      <c r="O18" s="42">
        <f>'S19'!N18</f>
        <v/>
      </c>
      <c r="P18" s="36">
        <f>N18-O18</f>
        <v/>
      </c>
      <c r="Q18" s="32" t="n"/>
      <c r="R18" s="32" t="n"/>
      <c r="S18" s="32" t="n"/>
      <c r="T18" s="33" t="n"/>
      <c r="U18" s="42">
        <f>'S19'!T18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'S19'!M19+L19</f>
        <v/>
      </c>
      <c r="N19" s="31">
        <f>IFERROR(M19/K19,0)</f>
        <v/>
      </c>
      <c r="O19" s="40">
        <f>'S19'!N19</f>
        <v/>
      </c>
      <c r="P19" s="31">
        <f>N19-O19</f>
        <v/>
      </c>
      <c r="Q19" s="32" t="n"/>
      <c r="R19" s="32" t="n"/>
      <c r="S19" s="32" t="n"/>
      <c r="T19" s="33" t="n"/>
      <c r="U19" s="40">
        <f>'S19'!T19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'S19'!M20+L20</f>
        <v/>
      </c>
      <c r="N20" s="36">
        <f>IFERROR(M20/K20,0)</f>
        <v/>
      </c>
      <c r="O20" s="42">
        <f>'S19'!N20</f>
        <v/>
      </c>
      <c r="P20" s="36">
        <f>N20-O20</f>
        <v/>
      </c>
      <c r="Q20" s="32" t="n"/>
      <c r="R20" s="32" t="n"/>
      <c r="S20" s="32" t="n"/>
      <c r="T20" s="33" t="n"/>
      <c r="U20" s="42">
        <f>'S19'!T20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'S19'!M21+L21</f>
        <v/>
      </c>
      <c r="N21" s="31">
        <f>IFERROR(M21/K21,0)</f>
        <v/>
      </c>
      <c r="O21" s="40">
        <f>'S19'!N21</f>
        <v/>
      </c>
      <c r="P21" s="31">
        <f>N21-O21</f>
        <v/>
      </c>
      <c r="Q21" s="32" t="n"/>
      <c r="R21" s="32" t="n"/>
      <c r="S21" s="32" t="n"/>
      <c r="T21" s="33" t="n"/>
      <c r="U21" s="40">
        <f>'S19'!T21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'S19'!M22+L22</f>
        <v/>
      </c>
      <c r="N22" s="36">
        <f>IFERROR(M22/K22,0)</f>
        <v/>
      </c>
      <c r="O22" s="42">
        <f>'S19'!N22</f>
        <v/>
      </c>
      <c r="P22" s="36">
        <f>N22-O22</f>
        <v/>
      </c>
      <c r="Q22" s="32" t="n"/>
      <c r="R22" s="32" t="n"/>
      <c r="S22" s="32" t="n"/>
      <c r="T22" s="33" t="n"/>
      <c r="U22" s="42">
        <f>'S19'!T22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'S19'!M23+L23</f>
        <v/>
      </c>
      <c r="N23" s="31">
        <f>IFERROR(M23/K23,0)</f>
        <v/>
      </c>
      <c r="O23" s="40">
        <f>'S19'!N23</f>
        <v/>
      </c>
      <c r="P23" s="31">
        <f>N23-O23</f>
        <v/>
      </c>
      <c r="Q23" s="32" t="n"/>
      <c r="R23" s="32" t="n"/>
      <c r="S23" s="32" t="n"/>
      <c r="T23" s="33" t="n"/>
      <c r="U23" s="40">
        <f>'S19'!T23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'S19'!M24+L24</f>
        <v/>
      </c>
      <c r="N24" s="36">
        <f>IFERROR(M24/K24,0)</f>
        <v/>
      </c>
      <c r="O24" s="42">
        <f>'S19'!N24</f>
        <v/>
      </c>
      <c r="P24" s="36">
        <f>N24-O24</f>
        <v/>
      </c>
      <c r="Q24" s="32" t="n"/>
      <c r="R24" s="32" t="n"/>
      <c r="S24" s="32" t="n"/>
      <c r="T24" s="33" t="n"/>
      <c r="U24" s="42">
        <f>'S19'!T24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'S19'!M25+L25</f>
        <v/>
      </c>
      <c r="N25" s="31">
        <f>IFERROR(M25/K25,0)</f>
        <v/>
      </c>
      <c r="O25" s="40">
        <f>'S19'!N25</f>
        <v/>
      </c>
      <c r="P25" s="31">
        <f>N25-O25</f>
        <v/>
      </c>
      <c r="Q25" s="32" t="n"/>
      <c r="R25" s="32" t="n"/>
      <c r="S25" s="32" t="n"/>
      <c r="T25" s="33" t="n"/>
      <c r="U25" s="40">
        <f>'S19'!T25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'S19'!M26+L26</f>
        <v/>
      </c>
      <c r="N26" s="36">
        <f>IFERROR(M26/K26,0)</f>
        <v/>
      </c>
      <c r="O26" s="42">
        <f>'S19'!N26</f>
        <v/>
      </c>
      <c r="P26" s="36">
        <f>N26-O26</f>
        <v/>
      </c>
      <c r="Q26" s="32" t="n"/>
      <c r="R26" s="32" t="n"/>
      <c r="S26" s="32" t="n"/>
      <c r="T26" s="33" t="n"/>
      <c r="U26" s="42">
        <f>'S19'!T26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'S19'!M27+L27</f>
        <v/>
      </c>
      <c r="N27" s="31">
        <f>IFERROR(M27/K27,0)</f>
        <v/>
      </c>
      <c r="O27" s="40">
        <f>'S19'!N27</f>
        <v/>
      </c>
      <c r="P27" s="31">
        <f>N27-O27</f>
        <v/>
      </c>
      <c r="Q27" s="32" t="n"/>
      <c r="R27" s="32" t="n"/>
      <c r="S27" s="32" t="n"/>
      <c r="T27" s="33" t="n"/>
      <c r="U27" s="40">
        <f>'S19'!T27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'S19'!M28+L28</f>
        <v/>
      </c>
      <c r="N28" s="36">
        <f>IFERROR(M28/K28,0)</f>
        <v/>
      </c>
      <c r="O28" s="42">
        <f>'S19'!N28</f>
        <v/>
      </c>
      <c r="P28" s="36">
        <f>N28-O28</f>
        <v/>
      </c>
      <c r="Q28" s="32" t="n"/>
      <c r="R28" s="32" t="n"/>
      <c r="S28" s="32" t="n"/>
      <c r="T28" s="33" t="n"/>
      <c r="U28" s="42">
        <f>'S19'!T28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'S19'!M29+L29</f>
        <v/>
      </c>
      <c r="N29" s="31">
        <f>IFERROR(M29/K29,0)</f>
        <v/>
      </c>
      <c r="O29" s="40">
        <f>'S19'!N29</f>
        <v/>
      </c>
      <c r="P29" s="31">
        <f>N29-O29</f>
        <v/>
      </c>
      <c r="Q29" s="32" t="n"/>
      <c r="R29" s="32" t="n"/>
      <c r="S29" s="32" t="n"/>
      <c r="T29" s="33" t="n"/>
      <c r="U29" s="40">
        <f>'S19'!T29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'S19'!M30+L30</f>
        <v/>
      </c>
      <c r="N30" s="36">
        <f>IFERROR(M30/K30,0)</f>
        <v/>
      </c>
      <c r="O30" s="42">
        <f>'S19'!N30</f>
        <v/>
      </c>
      <c r="P30" s="36">
        <f>N30-O30</f>
        <v/>
      </c>
      <c r="Q30" s="32" t="n"/>
      <c r="R30" s="32" t="n"/>
      <c r="S30" s="32" t="n"/>
      <c r="T30" s="33" t="n"/>
      <c r="U30" s="42">
        <f>'S19'!T30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'S19'!M31+L31</f>
        <v/>
      </c>
      <c r="N31" s="31">
        <f>IFERROR(M31/K31,0)</f>
        <v/>
      </c>
      <c r="O31" s="40">
        <f>'S19'!N31</f>
        <v/>
      </c>
      <c r="P31" s="31">
        <f>N31-O31</f>
        <v/>
      </c>
      <c r="Q31" s="32" t="n"/>
      <c r="R31" s="32" t="n"/>
      <c r="S31" s="32" t="n"/>
      <c r="T31" s="33" t="n"/>
      <c r="U31" s="40">
        <f>'S19'!T31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'S19'!M32+L32</f>
        <v/>
      </c>
      <c r="N32" s="36">
        <f>IFERROR(M32/K32,0)</f>
        <v/>
      </c>
      <c r="O32" s="42">
        <f>'S19'!N32</f>
        <v/>
      </c>
      <c r="P32" s="36">
        <f>N32-O32</f>
        <v/>
      </c>
      <c r="Q32" s="32" t="n"/>
      <c r="R32" s="32" t="n"/>
      <c r="S32" s="32" t="n"/>
      <c r="T32" s="33" t="n"/>
      <c r="U32" s="42">
        <f>'S19'!T32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'S19'!M33+L33</f>
        <v/>
      </c>
      <c r="N33" s="31">
        <f>IFERROR(M33/K33,0)</f>
        <v/>
      </c>
      <c r="O33" s="40">
        <f>'S19'!N33</f>
        <v/>
      </c>
      <c r="P33" s="31">
        <f>N33-O33</f>
        <v/>
      </c>
      <c r="Q33" s="32" t="n"/>
      <c r="R33" s="32" t="n"/>
      <c r="S33" s="32" t="n"/>
      <c r="T33" s="33" t="n"/>
      <c r="U33" s="40">
        <f>'S19'!T33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'S19'!M34+L34</f>
        <v/>
      </c>
      <c r="N34" s="36">
        <f>IFERROR(M34/K34,0)</f>
        <v/>
      </c>
      <c r="O34" s="42">
        <f>'S19'!N34</f>
        <v/>
      </c>
      <c r="P34" s="36">
        <f>N34-O34</f>
        <v/>
      </c>
      <c r="Q34" s="32" t="n"/>
      <c r="R34" s="32" t="n"/>
      <c r="S34" s="32" t="n"/>
      <c r="T34" s="33" t="n"/>
      <c r="U34" s="42">
        <f>'S19'!T34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'S19'!M35+L35</f>
        <v/>
      </c>
      <c r="N35" s="31">
        <f>IFERROR(M35/K35,0)</f>
        <v/>
      </c>
      <c r="O35" s="40">
        <f>'S19'!N35</f>
        <v/>
      </c>
      <c r="P35" s="31">
        <f>N35-O35</f>
        <v/>
      </c>
      <c r="Q35" s="32" t="n"/>
      <c r="R35" s="32" t="n"/>
      <c r="S35" s="32" t="n"/>
      <c r="T35" s="33" t="n"/>
      <c r="U35" s="40">
        <f>'S19'!T35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'S19'!M36+L36</f>
        <v/>
      </c>
      <c r="N36" s="36">
        <f>IFERROR(M36/K36,0)</f>
        <v/>
      </c>
      <c r="O36" s="42">
        <f>'S19'!N36</f>
        <v/>
      </c>
      <c r="P36" s="36">
        <f>N36-O36</f>
        <v/>
      </c>
      <c r="Q36" s="32" t="n"/>
      <c r="R36" s="32" t="n"/>
      <c r="S36" s="32" t="n"/>
      <c r="T36" s="33" t="n"/>
      <c r="U36" s="42">
        <f>'S19'!T36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'S19'!M37+L37</f>
        <v/>
      </c>
      <c r="N37" s="31">
        <f>IFERROR(M37/K37,0)</f>
        <v/>
      </c>
      <c r="O37" s="40">
        <f>'S19'!N37</f>
        <v/>
      </c>
      <c r="P37" s="31">
        <f>N37-O37</f>
        <v/>
      </c>
      <c r="Q37" s="32" t="n"/>
      <c r="R37" s="32" t="n"/>
      <c r="S37" s="32" t="n"/>
      <c r="T37" s="33" t="n"/>
      <c r="U37" s="40">
        <f>'S19'!T37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'S19'!M38+L38</f>
        <v/>
      </c>
      <c r="N38" s="36">
        <f>IFERROR(M38/K38,0)</f>
        <v/>
      </c>
      <c r="O38" s="42">
        <f>'S19'!N38</f>
        <v/>
      </c>
      <c r="P38" s="36">
        <f>N38-O38</f>
        <v/>
      </c>
      <c r="Q38" s="32" t="n"/>
      <c r="R38" s="32" t="n"/>
      <c r="S38" s="32" t="n"/>
      <c r="T38" s="33" t="n"/>
      <c r="U38" s="42">
        <f>'S19'!T38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'S19'!M39+L39</f>
        <v/>
      </c>
      <c r="N39" s="31">
        <f>IFERROR(M39/K39,0)</f>
        <v/>
      </c>
      <c r="O39" s="40">
        <f>'S19'!N39</f>
        <v/>
      </c>
      <c r="P39" s="31">
        <f>N39-O39</f>
        <v/>
      </c>
      <c r="Q39" s="32" t="n"/>
      <c r="R39" s="32" t="n"/>
      <c r="S39" s="32" t="n"/>
      <c r="T39" s="33" t="n"/>
      <c r="U39" s="40">
        <f>'S19'!T39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'S19'!M40+L40</f>
        <v/>
      </c>
      <c r="N40" s="36">
        <f>IFERROR(M40/K40,0)</f>
        <v/>
      </c>
      <c r="O40" s="42">
        <f>'S19'!N40</f>
        <v/>
      </c>
      <c r="P40" s="36">
        <f>N40-O40</f>
        <v/>
      </c>
      <c r="Q40" s="32" t="n"/>
      <c r="R40" s="32" t="n"/>
      <c r="S40" s="32" t="n"/>
      <c r="T40" s="33" t="n"/>
      <c r="U40" s="42">
        <f>'S19'!T40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'S19'!M41+L41</f>
        <v/>
      </c>
      <c r="N41" s="31">
        <f>IFERROR(M41/K41,0)</f>
        <v/>
      </c>
      <c r="O41" s="40">
        <f>'S19'!N41</f>
        <v/>
      </c>
      <c r="P41" s="31">
        <f>N41-O41</f>
        <v/>
      </c>
      <c r="Q41" s="32" t="n"/>
      <c r="R41" s="32" t="n"/>
      <c r="S41" s="32" t="n"/>
      <c r="T41" s="33" t="n"/>
      <c r="U41" s="40">
        <f>'S19'!T41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'S19'!M42+L42</f>
        <v/>
      </c>
      <c r="N42" s="36">
        <f>IFERROR(M42/K42,0)</f>
        <v/>
      </c>
      <c r="O42" s="42">
        <f>'S19'!N42</f>
        <v/>
      </c>
      <c r="P42" s="36">
        <f>N42-O42</f>
        <v/>
      </c>
      <c r="Q42" s="32" t="n"/>
      <c r="R42" s="32" t="n"/>
      <c r="S42" s="32" t="n"/>
      <c r="T42" s="33" t="n"/>
      <c r="U42" s="42">
        <f>'S19'!T42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'S19'!M43+L43</f>
        <v/>
      </c>
      <c r="N43" s="31">
        <f>IFERROR(M43/K43,0)</f>
        <v/>
      </c>
      <c r="O43" s="40">
        <f>'S19'!N43</f>
        <v/>
      </c>
      <c r="P43" s="31">
        <f>N43-O43</f>
        <v/>
      </c>
      <c r="Q43" s="32" t="n"/>
      <c r="R43" s="32" t="n"/>
      <c r="S43" s="32" t="n"/>
      <c r="T43" s="33" t="n"/>
      <c r="U43" s="40">
        <f>'S19'!T43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'S19'!M44+L44</f>
        <v/>
      </c>
      <c r="N44" s="36">
        <f>IFERROR(M44/K44,0)</f>
        <v/>
      </c>
      <c r="O44" s="42">
        <f>'S19'!N44</f>
        <v/>
      </c>
      <c r="P44" s="36">
        <f>N44-O44</f>
        <v/>
      </c>
      <c r="Q44" s="32" t="n"/>
      <c r="R44" s="32" t="n"/>
      <c r="S44" s="32" t="n"/>
      <c r="T44" s="33" t="n"/>
      <c r="U44" s="42">
        <f>'S19'!T44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'S19'!M45+L45</f>
        <v/>
      </c>
      <c r="N45" s="31">
        <f>IFERROR(M45/K45,0)</f>
        <v/>
      </c>
      <c r="O45" s="40">
        <f>'S19'!N45</f>
        <v/>
      </c>
      <c r="P45" s="31">
        <f>N45-O45</f>
        <v/>
      </c>
      <c r="Q45" s="32" t="n"/>
      <c r="R45" s="32" t="n"/>
      <c r="S45" s="32" t="n"/>
      <c r="T45" s="33" t="n"/>
      <c r="U45" s="40">
        <f>'S19'!T45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'S19'!M46+L46</f>
        <v/>
      </c>
      <c r="N46" s="36">
        <f>IFERROR(M46/K46,0)</f>
        <v/>
      </c>
      <c r="O46" s="42">
        <f>'S19'!N46</f>
        <v/>
      </c>
      <c r="P46" s="36">
        <f>N46-O46</f>
        <v/>
      </c>
      <c r="Q46" s="32" t="n"/>
      <c r="R46" s="32" t="n"/>
      <c r="S46" s="32" t="n"/>
      <c r="T46" s="33" t="n"/>
      <c r="U46" s="42">
        <f>'S19'!T46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'S19'!M47+L47</f>
        <v/>
      </c>
      <c r="N47" s="31">
        <f>IFERROR(M47/K47,0)</f>
        <v/>
      </c>
      <c r="O47" s="40">
        <f>'S19'!N47</f>
        <v/>
      </c>
      <c r="P47" s="31">
        <f>N47-O47</f>
        <v/>
      </c>
      <c r="Q47" s="32" t="n"/>
      <c r="R47" s="32" t="n"/>
      <c r="S47" s="32" t="n"/>
      <c r="T47" s="33" t="n"/>
      <c r="U47" s="40">
        <f>'S19'!T47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'S19'!M48+L48</f>
        <v/>
      </c>
      <c r="N48" s="36">
        <f>IFERROR(M48/K48,0)</f>
        <v/>
      </c>
      <c r="O48" s="42">
        <f>'S19'!N48</f>
        <v/>
      </c>
      <c r="P48" s="36">
        <f>N48-O48</f>
        <v/>
      </c>
      <c r="Q48" s="32" t="n"/>
      <c r="R48" s="32" t="n"/>
      <c r="S48" s="32" t="n"/>
      <c r="T48" s="33" t="n"/>
      <c r="U48" s="42">
        <f>'S19'!T48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'S19'!M49+L49</f>
        <v/>
      </c>
      <c r="N49" s="31">
        <f>IFERROR(M49/K49,0)</f>
        <v/>
      </c>
      <c r="O49" s="40">
        <f>'S19'!N49</f>
        <v/>
      </c>
      <c r="P49" s="31">
        <f>N49-O49</f>
        <v/>
      </c>
      <c r="Q49" s="32" t="n"/>
      <c r="R49" s="32" t="n"/>
      <c r="S49" s="32" t="n"/>
      <c r="T49" s="33" t="n"/>
      <c r="U49" s="40">
        <f>'S19'!T49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'S19'!M50+L50</f>
        <v/>
      </c>
      <c r="N50" s="36">
        <f>IFERROR(M50/K50,0)</f>
        <v/>
      </c>
      <c r="O50" s="42">
        <f>'S19'!N50</f>
        <v/>
      </c>
      <c r="P50" s="36">
        <f>N50-O50</f>
        <v/>
      </c>
      <c r="Q50" s="32" t="n"/>
      <c r="R50" s="32" t="n"/>
      <c r="S50" s="32" t="n"/>
      <c r="T50" s="33" t="n"/>
      <c r="U50" s="42">
        <f>'S19'!T50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'S19'!M51+L51</f>
        <v/>
      </c>
      <c r="N51" s="31">
        <f>IFERROR(M51/K51,0)</f>
        <v/>
      </c>
      <c r="O51" s="40">
        <f>'S19'!N51</f>
        <v/>
      </c>
      <c r="P51" s="31">
        <f>N51-O51</f>
        <v/>
      </c>
      <c r="Q51" s="32" t="n"/>
      <c r="R51" s="32" t="n"/>
      <c r="S51" s="32" t="n"/>
      <c r="T51" s="33" t="n"/>
      <c r="U51" s="40">
        <f>'S19'!T51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'S19'!M52+L52</f>
        <v/>
      </c>
      <c r="N52" s="36">
        <f>IFERROR(M52/K52,0)</f>
        <v/>
      </c>
      <c r="O52" s="42">
        <f>'S19'!N52</f>
        <v/>
      </c>
      <c r="P52" s="36">
        <f>N52-O52</f>
        <v/>
      </c>
      <c r="Q52" s="32" t="n"/>
      <c r="R52" s="32" t="n"/>
      <c r="S52" s="32" t="n"/>
      <c r="T52" s="33" t="n"/>
      <c r="U52" s="42">
        <f>'S19'!T52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'S19'!M53+L53</f>
        <v/>
      </c>
      <c r="N53" s="31">
        <f>IFERROR(M53/K53,0)</f>
        <v/>
      </c>
      <c r="O53" s="40">
        <f>'S19'!N53</f>
        <v/>
      </c>
      <c r="P53" s="31">
        <f>N53-O53</f>
        <v/>
      </c>
      <c r="Q53" s="32" t="n"/>
      <c r="R53" s="32" t="n"/>
      <c r="S53" s="32" t="n"/>
      <c r="T53" s="33" t="n"/>
      <c r="U53" s="40">
        <f>'S19'!T53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'S19'!M54+L54</f>
        <v/>
      </c>
      <c r="N54" s="36">
        <f>IFERROR(M54/K54,0)</f>
        <v/>
      </c>
      <c r="O54" s="42">
        <f>'S19'!N54</f>
        <v/>
      </c>
      <c r="P54" s="36">
        <f>N54-O54</f>
        <v/>
      </c>
      <c r="Q54" s="32" t="n"/>
      <c r="R54" s="32" t="n"/>
      <c r="S54" s="32" t="n"/>
      <c r="T54" s="33" t="n"/>
      <c r="U54" s="42">
        <f>'S19'!T54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'S19'!M55+L55</f>
        <v/>
      </c>
      <c r="N55" s="31">
        <f>IFERROR(M55/K55,0)</f>
        <v/>
      </c>
      <c r="O55" s="40">
        <f>'S19'!N55</f>
        <v/>
      </c>
      <c r="P55" s="31">
        <f>N55-O55</f>
        <v/>
      </c>
      <c r="Q55" s="32" t="n"/>
      <c r="R55" s="32" t="n"/>
      <c r="S55" s="32" t="n"/>
      <c r="T55" s="33" t="n"/>
      <c r="U55" s="40">
        <f>'S19'!T55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'S19'!M56+L56</f>
        <v/>
      </c>
      <c r="N56" s="36">
        <f>IFERROR(M56/K56,0)</f>
        <v/>
      </c>
      <c r="O56" s="42">
        <f>'S19'!N56</f>
        <v/>
      </c>
      <c r="P56" s="36">
        <f>N56-O56</f>
        <v/>
      </c>
      <c r="Q56" s="32" t="n"/>
      <c r="R56" s="32" t="n"/>
      <c r="S56" s="32" t="n"/>
      <c r="T56" s="33" t="n"/>
      <c r="U56" s="42">
        <f>'S19'!T56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'S19'!M57+L57</f>
        <v/>
      </c>
      <c r="N57" s="31">
        <f>IFERROR(M57/K57,0)</f>
        <v/>
      </c>
      <c r="O57" s="40">
        <f>'S19'!N57</f>
        <v/>
      </c>
      <c r="P57" s="31">
        <f>N57-O57</f>
        <v/>
      </c>
      <c r="Q57" s="32" t="n"/>
      <c r="R57" s="32" t="n"/>
      <c r="S57" s="32" t="n"/>
      <c r="T57" s="33" t="n"/>
      <c r="U57" s="40">
        <f>'S19'!T57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'S19'!M58+L58</f>
        <v/>
      </c>
      <c r="N58" s="36">
        <f>IFERROR(M58/K58,0)</f>
        <v/>
      </c>
      <c r="O58" s="42">
        <f>'S19'!N58</f>
        <v/>
      </c>
      <c r="P58" s="36">
        <f>N58-O58</f>
        <v/>
      </c>
      <c r="Q58" s="32" t="n"/>
      <c r="R58" s="32" t="n"/>
      <c r="S58" s="32" t="n"/>
      <c r="T58" s="33" t="n"/>
      <c r="U58" s="42">
        <f>'S19'!T58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'S19'!M59+L59</f>
        <v/>
      </c>
      <c r="N59" s="31">
        <f>IFERROR(M59/K59,0)</f>
        <v/>
      </c>
      <c r="O59" s="40">
        <f>'S19'!N59</f>
        <v/>
      </c>
      <c r="P59" s="31">
        <f>N59-O59</f>
        <v/>
      </c>
      <c r="Q59" s="32" t="n"/>
      <c r="R59" s="32" t="n"/>
      <c r="S59" s="32" t="n"/>
      <c r="T59" s="33" t="n"/>
      <c r="U59" s="40">
        <f>'S19'!T59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'S19'!M60+L60</f>
        <v/>
      </c>
      <c r="N60" s="36">
        <f>IFERROR(M60/K60,0)</f>
        <v/>
      </c>
      <c r="O60" s="42">
        <f>'S19'!N60</f>
        <v/>
      </c>
      <c r="P60" s="36">
        <f>N60-O60</f>
        <v/>
      </c>
      <c r="Q60" s="32" t="n"/>
      <c r="R60" s="32" t="n"/>
      <c r="S60" s="32" t="n"/>
      <c r="T60" s="33" t="n"/>
      <c r="U60" s="42">
        <f>'S19'!T60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'S19'!M61+L61</f>
        <v/>
      </c>
      <c r="N61" s="31">
        <f>IFERROR(M61/K61,0)</f>
        <v/>
      </c>
      <c r="O61" s="40">
        <f>'S19'!N61</f>
        <v/>
      </c>
      <c r="P61" s="31">
        <f>N61-O61</f>
        <v/>
      </c>
      <c r="Q61" s="32" t="n"/>
      <c r="R61" s="32" t="n"/>
      <c r="S61" s="32" t="n"/>
      <c r="T61" s="33" t="n"/>
      <c r="U61" s="40">
        <f>'S19'!T61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'S19'!M62+L62</f>
        <v/>
      </c>
      <c r="N62" s="36">
        <f>IFERROR(M62/K62,0)</f>
        <v/>
      </c>
      <c r="O62" s="42">
        <f>'S19'!N62</f>
        <v/>
      </c>
      <c r="P62" s="36">
        <f>N62-O62</f>
        <v/>
      </c>
      <c r="Q62" s="32" t="n"/>
      <c r="R62" s="32" t="n"/>
      <c r="S62" s="32" t="n"/>
      <c r="T62" s="33" t="n"/>
      <c r="U62" s="42">
        <f>'S19'!T62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'S19'!M63+L63</f>
        <v/>
      </c>
      <c r="N63" s="31">
        <f>IFERROR(M63/K63,0)</f>
        <v/>
      </c>
      <c r="O63" s="40">
        <f>'S19'!N63</f>
        <v/>
      </c>
      <c r="P63" s="31">
        <f>N63-O63</f>
        <v/>
      </c>
      <c r="Q63" s="32" t="n"/>
      <c r="R63" s="32" t="n"/>
      <c r="S63" s="32" t="n"/>
      <c r="T63" s="33" t="n"/>
      <c r="U63" s="40">
        <f>'S19'!T63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'S19'!M64+L64</f>
        <v/>
      </c>
      <c r="N64" s="36">
        <f>IFERROR(M64/K64,0)</f>
        <v/>
      </c>
      <c r="O64" s="42">
        <f>'S19'!N64</f>
        <v/>
      </c>
      <c r="P64" s="36">
        <f>N64-O64</f>
        <v/>
      </c>
      <c r="Q64" s="32" t="n"/>
      <c r="R64" s="32" t="n"/>
      <c r="S64" s="32" t="n"/>
      <c r="T64" s="33" t="n"/>
      <c r="U64" s="42">
        <f>'S19'!T64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'S19'!M65+L65</f>
        <v/>
      </c>
      <c r="N65" s="31">
        <f>IFERROR(M65/K65,0)</f>
        <v/>
      </c>
      <c r="O65" s="40">
        <f>'S19'!N65</f>
        <v/>
      </c>
      <c r="P65" s="31">
        <f>N65-O65</f>
        <v/>
      </c>
      <c r="Q65" s="32" t="n"/>
      <c r="R65" s="32" t="n"/>
      <c r="S65" s="32" t="n"/>
      <c r="T65" s="33" t="n"/>
      <c r="U65" s="40">
        <f>'S19'!T65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'S19'!M66+L66</f>
        <v/>
      </c>
      <c r="N66" s="36">
        <f>IFERROR(M66/K66,0)</f>
        <v/>
      </c>
      <c r="O66" s="42">
        <f>'S19'!N66</f>
        <v/>
      </c>
      <c r="P66" s="36">
        <f>N66-O66</f>
        <v/>
      </c>
      <c r="Q66" s="32" t="n"/>
      <c r="R66" s="32" t="n"/>
      <c r="S66" s="32" t="n"/>
      <c r="T66" s="33" t="n"/>
      <c r="U66" s="42">
        <f>'S19'!T66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'S19'!M67+L67</f>
        <v/>
      </c>
      <c r="N67" s="31">
        <f>IFERROR(M67/K67,0)</f>
        <v/>
      </c>
      <c r="O67" s="40">
        <f>'S19'!N67</f>
        <v/>
      </c>
      <c r="P67" s="31">
        <f>N67-O67</f>
        <v/>
      </c>
      <c r="Q67" s="32" t="n"/>
      <c r="R67" s="32" t="n"/>
      <c r="S67" s="32" t="n"/>
      <c r="T67" s="33" t="n"/>
      <c r="U67" s="40">
        <f>'S19'!T67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'S19'!M68+L68</f>
        <v/>
      </c>
      <c r="N68" s="36">
        <f>IFERROR(M68/K68,0)</f>
        <v/>
      </c>
      <c r="O68" s="42">
        <f>'S19'!N68</f>
        <v/>
      </c>
      <c r="P68" s="36">
        <f>N68-O68</f>
        <v/>
      </c>
      <c r="Q68" s="32" t="n"/>
      <c r="R68" s="32" t="n"/>
      <c r="S68" s="32" t="n"/>
      <c r="T68" s="33" t="n"/>
      <c r="U68" s="42">
        <f>'S19'!T68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'S19'!M69+L69</f>
        <v/>
      </c>
      <c r="N69" s="31">
        <f>IFERROR(M69/K69,0)</f>
        <v/>
      </c>
      <c r="O69" s="40">
        <f>'S19'!N69</f>
        <v/>
      </c>
      <c r="P69" s="31">
        <f>N69-O69</f>
        <v/>
      </c>
      <c r="Q69" s="32" t="n"/>
      <c r="R69" s="32" t="n"/>
      <c r="S69" s="32" t="n"/>
      <c r="T69" s="33" t="n"/>
      <c r="U69" s="40">
        <f>'S19'!T69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'S19'!M70+L70</f>
        <v/>
      </c>
      <c r="N70" s="36">
        <f>IFERROR(M70/K70,0)</f>
        <v/>
      </c>
      <c r="O70" s="42">
        <f>'S19'!N70</f>
        <v/>
      </c>
      <c r="P70" s="36">
        <f>N70-O70</f>
        <v/>
      </c>
      <c r="Q70" s="32" t="n"/>
      <c r="R70" s="32" t="n"/>
      <c r="S70" s="32" t="n"/>
      <c r="T70" s="33" t="n"/>
      <c r="U70" s="42">
        <f>'S19'!T70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'S19'!M71+L71</f>
        <v/>
      </c>
      <c r="N71" s="31">
        <f>IFERROR(M71/K71,0)</f>
        <v/>
      </c>
      <c r="O71" s="40">
        <f>'S19'!N71</f>
        <v/>
      </c>
      <c r="P71" s="31">
        <f>N71-O71</f>
        <v/>
      </c>
      <c r="Q71" s="32" t="n"/>
      <c r="R71" s="32" t="n"/>
      <c r="S71" s="32" t="n"/>
      <c r="T71" s="33" t="n"/>
      <c r="U71" s="40">
        <f>'S19'!T71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'S19'!M72+L72</f>
        <v/>
      </c>
      <c r="N72" s="36">
        <f>IFERROR(M72/K72,0)</f>
        <v/>
      </c>
      <c r="O72" s="42">
        <f>'S19'!N72</f>
        <v/>
      </c>
      <c r="P72" s="36">
        <f>N72-O72</f>
        <v/>
      </c>
      <c r="Q72" s="32" t="n"/>
      <c r="R72" s="32" t="n"/>
      <c r="S72" s="32" t="n"/>
      <c r="T72" s="33" t="n"/>
      <c r="U72" s="42">
        <f>'S19'!T72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'S19'!M73+L73</f>
        <v/>
      </c>
      <c r="N73" s="31">
        <f>IFERROR(M73/K73,0)</f>
        <v/>
      </c>
      <c r="O73" s="40">
        <f>'S19'!N73</f>
        <v/>
      </c>
      <c r="P73" s="31">
        <f>N73-O73</f>
        <v/>
      </c>
      <c r="Q73" s="32" t="n"/>
      <c r="R73" s="32" t="n"/>
      <c r="S73" s="32" t="n"/>
      <c r="T73" s="33" t="n"/>
      <c r="U73" s="40">
        <f>'S19'!T73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'S19'!M74+L74</f>
        <v/>
      </c>
      <c r="N74" s="36">
        <f>IFERROR(M74/K74,0)</f>
        <v/>
      </c>
      <c r="O74" s="42">
        <f>'S19'!N74</f>
        <v/>
      </c>
      <c r="P74" s="36">
        <f>N74-O74</f>
        <v/>
      </c>
      <c r="Q74" s="32" t="n"/>
      <c r="R74" s="32" t="n"/>
      <c r="S74" s="32" t="n"/>
      <c r="T74" s="33" t="n"/>
      <c r="U74" s="42">
        <f>'S19'!T74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'S19'!M75+L75</f>
        <v/>
      </c>
      <c r="N75" s="31">
        <f>IFERROR(M75/K75,0)</f>
        <v/>
      </c>
      <c r="O75" s="40">
        <f>'S19'!N75</f>
        <v/>
      </c>
      <c r="P75" s="31">
        <f>N75-O75</f>
        <v/>
      </c>
      <c r="Q75" s="32" t="n"/>
      <c r="R75" s="32" t="n"/>
      <c r="S75" s="32" t="n"/>
      <c r="T75" s="33" t="n"/>
      <c r="U75" s="40">
        <f>'S19'!T75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'S19'!M76+L76</f>
        <v/>
      </c>
      <c r="N76" s="36">
        <f>IFERROR(M76/K76,0)</f>
        <v/>
      </c>
      <c r="O76" s="42">
        <f>'S19'!N76</f>
        <v/>
      </c>
      <c r="P76" s="36">
        <f>N76-O76</f>
        <v/>
      </c>
      <c r="Q76" s="32" t="n"/>
      <c r="R76" s="32" t="n"/>
      <c r="S76" s="32" t="n"/>
      <c r="T76" s="33" t="n"/>
      <c r="U76" s="42">
        <f>'S19'!T76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23.xml><?xml version="1.0" encoding="utf-8"?>
<worksheet xmlns="http://schemas.openxmlformats.org/spreadsheetml/2006/main">
  <sheetPr>
    <tabColor rgb="00FFC00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21 (18/05 - 24/05) — Mai 2026 - Exécution Physique et Financière</t>
        </is>
      </c>
    </row>
    <row r="3" ht="22" customHeight="1">
      <c r="B3" s="20" t="inlineStr">
        <is>
          <t>Date :</t>
        </is>
      </c>
      <c r="C3" s="21" t="n">
        <v>46160</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'S20'!M5+L5</f>
        <v/>
      </c>
      <c r="N5" s="31">
        <f>IFERROR(M5/K5,0)</f>
        <v/>
      </c>
      <c r="O5" s="40">
        <f>'S20'!N5</f>
        <v/>
      </c>
      <c r="P5" s="31">
        <f>N5-O5</f>
        <v/>
      </c>
      <c r="Q5" s="32" t="n"/>
      <c r="R5" s="32" t="n"/>
      <c r="S5" s="32" t="n"/>
      <c r="T5" s="33" t="n"/>
      <c r="U5" s="40">
        <f>'S20'!T5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'S20'!M6+L6</f>
        <v/>
      </c>
      <c r="N6" s="36">
        <f>IFERROR(M6/K6,0)</f>
        <v/>
      </c>
      <c r="O6" s="42">
        <f>'S20'!N6</f>
        <v/>
      </c>
      <c r="P6" s="36">
        <f>N6-O6</f>
        <v/>
      </c>
      <c r="Q6" s="32" t="n"/>
      <c r="R6" s="32" t="n"/>
      <c r="S6" s="32" t="n"/>
      <c r="T6" s="33" t="n"/>
      <c r="U6" s="42">
        <f>'S20'!T6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'S20'!M7+L7</f>
        <v/>
      </c>
      <c r="N7" s="31">
        <f>IFERROR(M7/K7,0)</f>
        <v/>
      </c>
      <c r="O7" s="40">
        <f>'S20'!N7</f>
        <v/>
      </c>
      <c r="P7" s="31">
        <f>N7-O7</f>
        <v/>
      </c>
      <c r="Q7" s="32" t="n"/>
      <c r="R7" s="32" t="n"/>
      <c r="S7" s="32" t="n"/>
      <c r="T7" s="33" t="n"/>
      <c r="U7" s="40">
        <f>'S20'!T7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'S20'!M8+L8</f>
        <v/>
      </c>
      <c r="N8" s="36">
        <f>IFERROR(M8/K8,0)</f>
        <v/>
      </c>
      <c r="O8" s="42">
        <f>'S20'!N8</f>
        <v/>
      </c>
      <c r="P8" s="36">
        <f>N8-O8</f>
        <v/>
      </c>
      <c r="Q8" s="32" t="n"/>
      <c r="R8" s="32" t="n"/>
      <c r="S8" s="32" t="n"/>
      <c r="T8" s="33" t="n"/>
      <c r="U8" s="42">
        <f>'S20'!T8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'S20'!M9+L9</f>
        <v/>
      </c>
      <c r="N9" s="31">
        <f>IFERROR(M9/K9,0)</f>
        <v/>
      </c>
      <c r="O9" s="40">
        <f>'S20'!N9</f>
        <v/>
      </c>
      <c r="P9" s="31">
        <f>N9-O9</f>
        <v/>
      </c>
      <c r="Q9" s="32" t="n"/>
      <c r="R9" s="32" t="n"/>
      <c r="S9" s="32" t="n"/>
      <c r="T9" s="33" t="n"/>
      <c r="U9" s="40">
        <f>'S20'!T9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'S20'!M10+L10</f>
        <v/>
      </c>
      <c r="N10" s="36">
        <f>IFERROR(M10/K10,0)</f>
        <v/>
      </c>
      <c r="O10" s="42">
        <f>'S20'!N10</f>
        <v/>
      </c>
      <c r="P10" s="36">
        <f>N10-O10</f>
        <v/>
      </c>
      <c r="Q10" s="32" t="n"/>
      <c r="R10" s="32" t="n"/>
      <c r="S10" s="32" t="n"/>
      <c r="T10" s="33" t="n"/>
      <c r="U10" s="42">
        <f>'S20'!T10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'S20'!M11+L11</f>
        <v/>
      </c>
      <c r="N11" s="31">
        <f>IFERROR(M11/K11,0)</f>
        <v/>
      </c>
      <c r="O11" s="40">
        <f>'S20'!N11</f>
        <v/>
      </c>
      <c r="P11" s="31">
        <f>N11-O11</f>
        <v/>
      </c>
      <c r="Q11" s="32" t="n"/>
      <c r="R11" s="32" t="n"/>
      <c r="S11" s="32" t="n"/>
      <c r="T11" s="33" t="n"/>
      <c r="U11" s="40">
        <f>'S20'!T11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'S20'!M12+L12</f>
        <v/>
      </c>
      <c r="N12" s="36">
        <f>IFERROR(M12/K12,0)</f>
        <v/>
      </c>
      <c r="O12" s="42">
        <f>'S20'!N12</f>
        <v/>
      </c>
      <c r="P12" s="36">
        <f>N12-O12</f>
        <v/>
      </c>
      <c r="Q12" s="32" t="n"/>
      <c r="R12" s="32" t="n"/>
      <c r="S12" s="32" t="n"/>
      <c r="T12" s="33" t="n"/>
      <c r="U12" s="42">
        <f>'S20'!T12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'S20'!M13+L13</f>
        <v/>
      </c>
      <c r="N13" s="31">
        <f>IFERROR(M13/K13,0)</f>
        <v/>
      </c>
      <c r="O13" s="40">
        <f>'S20'!N13</f>
        <v/>
      </c>
      <c r="P13" s="31">
        <f>N13-O13</f>
        <v/>
      </c>
      <c r="Q13" s="32" t="n"/>
      <c r="R13" s="32" t="n"/>
      <c r="S13" s="32" t="n"/>
      <c r="T13" s="33" t="n"/>
      <c r="U13" s="40">
        <f>'S20'!T13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'S20'!M14+L14</f>
        <v/>
      </c>
      <c r="N14" s="36">
        <f>IFERROR(M14/K14,0)</f>
        <v/>
      </c>
      <c r="O14" s="42">
        <f>'S20'!N14</f>
        <v/>
      </c>
      <c r="P14" s="36">
        <f>N14-O14</f>
        <v/>
      </c>
      <c r="Q14" s="32" t="n"/>
      <c r="R14" s="32" t="n"/>
      <c r="S14" s="32" t="n"/>
      <c r="T14" s="33" t="n"/>
      <c r="U14" s="42">
        <f>'S20'!T14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'S20'!M15+L15</f>
        <v/>
      </c>
      <c r="N15" s="31">
        <f>IFERROR(M15/K15,0)</f>
        <v/>
      </c>
      <c r="O15" s="40">
        <f>'S20'!N15</f>
        <v/>
      </c>
      <c r="P15" s="31">
        <f>N15-O15</f>
        <v/>
      </c>
      <c r="Q15" s="32" t="n"/>
      <c r="R15" s="32" t="n"/>
      <c r="S15" s="32" t="n"/>
      <c r="T15" s="33" t="n"/>
      <c r="U15" s="40">
        <f>'S20'!T15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'S20'!M16+L16</f>
        <v/>
      </c>
      <c r="N16" s="36">
        <f>IFERROR(M16/K16,0)</f>
        <v/>
      </c>
      <c r="O16" s="42">
        <f>'S20'!N16</f>
        <v/>
      </c>
      <c r="P16" s="36">
        <f>N16-O16</f>
        <v/>
      </c>
      <c r="Q16" s="32" t="n"/>
      <c r="R16" s="32" t="n"/>
      <c r="S16" s="32" t="n"/>
      <c r="T16" s="33" t="n"/>
      <c r="U16" s="42">
        <f>'S20'!T16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'S20'!M17+L17</f>
        <v/>
      </c>
      <c r="N17" s="31">
        <f>IFERROR(M17/K17,0)</f>
        <v/>
      </c>
      <c r="O17" s="40">
        <f>'S20'!N17</f>
        <v/>
      </c>
      <c r="P17" s="31">
        <f>N17-O17</f>
        <v/>
      </c>
      <c r="Q17" s="32" t="n"/>
      <c r="R17" s="32" t="n"/>
      <c r="S17" s="32" t="n"/>
      <c r="T17" s="33" t="n"/>
      <c r="U17" s="40">
        <f>'S20'!T17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'S20'!M18+L18</f>
        <v/>
      </c>
      <c r="N18" s="36">
        <f>IFERROR(M18/K18,0)</f>
        <v/>
      </c>
      <c r="O18" s="42">
        <f>'S20'!N18</f>
        <v/>
      </c>
      <c r="P18" s="36">
        <f>N18-O18</f>
        <v/>
      </c>
      <c r="Q18" s="32" t="n"/>
      <c r="R18" s="32" t="n"/>
      <c r="S18" s="32" t="n"/>
      <c r="T18" s="33" t="n"/>
      <c r="U18" s="42">
        <f>'S20'!T18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'S20'!M19+L19</f>
        <v/>
      </c>
      <c r="N19" s="31">
        <f>IFERROR(M19/K19,0)</f>
        <v/>
      </c>
      <c r="O19" s="40">
        <f>'S20'!N19</f>
        <v/>
      </c>
      <c r="P19" s="31">
        <f>N19-O19</f>
        <v/>
      </c>
      <c r="Q19" s="32" t="n"/>
      <c r="R19" s="32" t="n"/>
      <c r="S19" s="32" t="n"/>
      <c r="T19" s="33" t="n"/>
      <c r="U19" s="40">
        <f>'S20'!T19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'S20'!M20+L20</f>
        <v/>
      </c>
      <c r="N20" s="36">
        <f>IFERROR(M20/K20,0)</f>
        <v/>
      </c>
      <c r="O20" s="42">
        <f>'S20'!N20</f>
        <v/>
      </c>
      <c r="P20" s="36">
        <f>N20-O20</f>
        <v/>
      </c>
      <c r="Q20" s="32" t="n"/>
      <c r="R20" s="32" t="n"/>
      <c r="S20" s="32" t="n"/>
      <c r="T20" s="33" t="n"/>
      <c r="U20" s="42">
        <f>'S20'!T20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'S20'!M21+L21</f>
        <v/>
      </c>
      <c r="N21" s="31">
        <f>IFERROR(M21/K21,0)</f>
        <v/>
      </c>
      <c r="O21" s="40">
        <f>'S20'!N21</f>
        <v/>
      </c>
      <c r="P21" s="31">
        <f>N21-O21</f>
        <v/>
      </c>
      <c r="Q21" s="32" t="n"/>
      <c r="R21" s="32" t="n"/>
      <c r="S21" s="32" t="n"/>
      <c r="T21" s="33" t="n"/>
      <c r="U21" s="40">
        <f>'S20'!T21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'S20'!M22+L22</f>
        <v/>
      </c>
      <c r="N22" s="36">
        <f>IFERROR(M22/K22,0)</f>
        <v/>
      </c>
      <c r="O22" s="42">
        <f>'S20'!N22</f>
        <v/>
      </c>
      <c r="P22" s="36">
        <f>N22-O22</f>
        <v/>
      </c>
      <c r="Q22" s="32" t="n"/>
      <c r="R22" s="32" t="n"/>
      <c r="S22" s="32" t="n"/>
      <c r="T22" s="33" t="n"/>
      <c r="U22" s="42">
        <f>'S20'!T22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'S20'!M23+L23</f>
        <v/>
      </c>
      <c r="N23" s="31">
        <f>IFERROR(M23/K23,0)</f>
        <v/>
      </c>
      <c r="O23" s="40">
        <f>'S20'!N23</f>
        <v/>
      </c>
      <c r="P23" s="31">
        <f>N23-O23</f>
        <v/>
      </c>
      <c r="Q23" s="32" t="n"/>
      <c r="R23" s="32" t="n"/>
      <c r="S23" s="32" t="n"/>
      <c r="T23" s="33" t="n"/>
      <c r="U23" s="40">
        <f>'S20'!T23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'S20'!M24+L24</f>
        <v/>
      </c>
      <c r="N24" s="36">
        <f>IFERROR(M24/K24,0)</f>
        <v/>
      </c>
      <c r="O24" s="42">
        <f>'S20'!N24</f>
        <v/>
      </c>
      <c r="P24" s="36">
        <f>N24-O24</f>
        <v/>
      </c>
      <c r="Q24" s="32" t="n"/>
      <c r="R24" s="32" t="n"/>
      <c r="S24" s="32" t="n"/>
      <c r="T24" s="33" t="n"/>
      <c r="U24" s="42">
        <f>'S20'!T24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'S20'!M25+L25</f>
        <v/>
      </c>
      <c r="N25" s="31">
        <f>IFERROR(M25/K25,0)</f>
        <v/>
      </c>
      <c r="O25" s="40">
        <f>'S20'!N25</f>
        <v/>
      </c>
      <c r="P25" s="31">
        <f>N25-O25</f>
        <v/>
      </c>
      <c r="Q25" s="32" t="n"/>
      <c r="R25" s="32" t="n"/>
      <c r="S25" s="32" t="n"/>
      <c r="T25" s="33" t="n"/>
      <c r="U25" s="40">
        <f>'S20'!T25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'S20'!M26+L26</f>
        <v/>
      </c>
      <c r="N26" s="36">
        <f>IFERROR(M26/K26,0)</f>
        <v/>
      </c>
      <c r="O26" s="42">
        <f>'S20'!N26</f>
        <v/>
      </c>
      <c r="P26" s="36">
        <f>N26-O26</f>
        <v/>
      </c>
      <c r="Q26" s="32" t="n"/>
      <c r="R26" s="32" t="n"/>
      <c r="S26" s="32" t="n"/>
      <c r="T26" s="33" t="n"/>
      <c r="U26" s="42">
        <f>'S20'!T26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'S20'!M27+L27</f>
        <v/>
      </c>
      <c r="N27" s="31">
        <f>IFERROR(M27/K27,0)</f>
        <v/>
      </c>
      <c r="O27" s="40">
        <f>'S20'!N27</f>
        <v/>
      </c>
      <c r="P27" s="31">
        <f>N27-O27</f>
        <v/>
      </c>
      <c r="Q27" s="32" t="n"/>
      <c r="R27" s="32" t="n"/>
      <c r="S27" s="32" t="n"/>
      <c r="T27" s="33" t="n"/>
      <c r="U27" s="40">
        <f>'S20'!T27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'S20'!M28+L28</f>
        <v/>
      </c>
      <c r="N28" s="36">
        <f>IFERROR(M28/K28,0)</f>
        <v/>
      </c>
      <c r="O28" s="42">
        <f>'S20'!N28</f>
        <v/>
      </c>
      <c r="P28" s="36">
        <f>N28-O28</f>
        <v/>
      </c>
      <c r="Q28" s="32" t="n"/>
      <c r="R28" s="32" t="n"/>
      <c r="S28" s="32" t="n"/>
      <c r="T28" s="33" t="n"/>
      <c r="U28" s="42">
        <f>'S20'!T28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'S20'!M29+L29</f>
        <v/>
      </c>
      <c r="N29" s="31">
        <f>IFERROR(M29/K29,0)</f>
        <v/>
      </c>
      <c r="O29" s="40">
        <f>'S20'!N29</f>
        <v/>
      </c>
      <c r="P29" s="31">
        <f>N29-O29</f>
        <v/>
      </c>
      <c r="Q29" s="32" t="n"/>
      <c r="R29" s="32" t="n"/>
      <c r="S29" s="32" t="n"/>
      <c r="T29" s="33" t="n"/>
      <c r="U29" s="40">
        <f>'S20'!T29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'S20'!M30+L30</f>
        <v/>
      </c>
      <c r="N30" s="36">
        <f>IFERROR(M30/K30,0)</f>
        <v/>
      </c>
      <c r="O30" s="42">
        <f>'S20'!N30</f>
        <v/>
      </c>
      <c r="P30" s="36">
        <f>N30-O30</f>
        <v/>
      </c>
      <c r="Q30" s="32" t="n"/>
      <c r="R30" s="32" t="n"/>
      <c r="S30" s="32" t="n"/>
      <c r="T30" s="33" t="n"/>
      <c r="U30" s="42">
        <f>'S20'!T30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'S20'!M31+L31</f>
        <v/>
      </c>
      <c r="N31" s="31">
        <f>IFERROR(M31/K31,0)</f>
        <v/>
      </c>
      <c r="O31" s="40">
        <f>'S20'!N31</f>
        <v/>
      </c>
      <c r="P31" s="31">
        <f>N31-O31</f>
        <v/>
      </c>
      <c r="Q31" s="32" t="n"/>
      <c r="R31" s="32" t="n"/>
      <c r="S31" s="32" t="n"/>
      <c r="T31" s="33" t="n"/>
      <c r="U31" s="40">
        <f>'S20'!T31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'S20'!M32+L32</f>
        <v/>
      </c>
      <c r="N32" s="36">
        <f>IFERROR(M32/K32,0)</f>
        <v/>
      </c>
      <c r="O32" s="42">
        <f>'S20'!N32</f>
        <v/>
      </c>
      <c r="P32" s="36">
        <f>N32-O32</f>
        <v/>
      </c>
      <c r="Q32" s="32" t="n"/>
      <c r="R32" s="32" t="n"/>
      <c r="S32" s="32" t="n"/>
      <c r="T32" s="33" t="n"/>
      <c r="U32" s="42">
        <f>'S20'!T32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'S20'!M33+L33</f>
        <v/>
      </c>
      <c r="N33" s="31">
        <f>IFERROR(M33/K33,0)</f>
        <v/>
      </c>
      <c r="O33" s="40">
        <f>'S20'!N33</f>
        <v/>
      </c>
      <c r="P33" s="31">
        <f>N33-O33</f>
        <v/>
      </c>
      <c r="Q33" s="32" t="n"/>
      <c r="R33" s="32" t="n"/>
      <c r="S33" s="32" t="n"/>
      <c r="T33" s="33" t="n"/>
      <c r="U33" s="40">
        <f>'S20'!T33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'S20'!M34+L34</f>
        <v/>
      </c>
      <c r="N34" s="36">
        <f>IFERROR(M34/K34,0)</f>
        <v/>
      </c>
      <c r="O34" s="42">
        <f>'S20'!N34</f>
        <v/>
      </c>
      <c r="P34" s="36">
        <f>N34-O34</f>
        <v/>
      </c>
      <c r="Q34" s="32" t="n"/>
      <c r="R34" s="32" t="n"/>
      <c r="S34" s="32" t="n"/>
      <c r="T34" s="33" t="n"/>
      <c r="U34" s="42">
        <f>'S20'!T34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'S20'!M35+L35</f>
        <v/>
      </c>
      <c r="N35" s="31">
        <f>IFERROR(M35/K35,0)</f>
        <v/>
      </c>
      <c r="O35" s="40">
        <f>'S20'!N35</f>
        <v/>
      </c>
      <c r="P35" s="31">
        <f>N35-O35</f>
        <v/>
      </c>
      <c r="Q35" s="32" t="n"/>
      <c r="R35" s="32" t="n"/>
      <c r="S35" s="32" t="n"/>
      <c r="T35" s="33" t="n"/>
      <c r="U35" s="40">
        <f>'S20'!T35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'S20'!M36+L36</f>
        <v/>
      </c>
      <c r="N36" s="36">
        <f>IFERROR(M36/K36,0)</f>
        <v/>
      </c>
      <c r="O36" s="42">
        <f>'S20'!N36</f>
        <v/>
      </c>
      <c r="P36" s="36">
        <f>N36-O36</f>
        <v/>
      </c>
      <c r="Q36" s="32" t="n"/>
      <c r="R36" s="32" t="n"/>
      <c r="S36" s="32" t="n"/>
      <c r="T36" s="33" t="n"/>
      <c r="U36" s="42">
        <f>'S20'!T36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'S20'!M37+L37</f>
        <v/>
      </c>
      <c r="N37" s="31">
        <f>IFERROR(M37/K37,0)</f>
        <v/>
      </c>
      <c r="O37" s="40">
        <f>'S20'!N37</f>
        <v/>
      </c>
      <c r="P37" s="31">
        <f>N37-O37</f>
        <v/>
      </c>
      <c r="Q37" s="32" t="n"/>
      <c r="R37" s="32" t="n"/>
      <c r="S37" s="32" t="n"/>
      <c r="T37" s="33" t="n"/>
      <c r="U37" s="40">
        <f>'S20'!T37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'S20'!M38+L38</f>
        <v/>
      </c>
      <c r="N38" s="36">
        <f>IFERROR(M38/K38,0)</f>
        <v/>
      </c>
      <c r="O38" s="42">
        <f>'S20'!N38</f>
        <v/>
      </c>
      <c r="P38" s="36">
        <f>N38-O38</f>
        <v/>
      </c>
      <c r="Q38" s="32" t="n"/>
      <c r="R38" s="32" t="n"/>
      <c r="S38" s="32" t="n"/>
      <c r="T38" s="33" t="n"/>
      <c r="U38" s="42">
        <f>'S20'!T38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'S20'!M39+L39</f>
        <v/>
      </c>
      <c r="N39" s="31">
        <f>IFERROR(M39/K39,0)</f>
        <v/>
      </c>
      <c r="O39" s="40">
        <f>'S20'!N39</f>
        <v/>
      </c>
      <c r="P39" s="31">
        <f>N39-O39</f>
        <v/>
      </c>
      <c r="Q39" s="32" t="n"/>
      <c r="R39" s="32" t="n"/>
      <c r="S39" s="32" t="n"/>
      <c r="T39" s="33" t="n"/>
      <c r="U39" s="40">
        <f>'S20'!T39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'S20'!M40+L40</f>
        <v/>
      </c>
      <c r="N40" s="36">
        <f>IFERROR(M40/K40,0)</f>
        <v/>
      </c>
      <c r="O40" s="42">
        <f>'S20'!N40</f>
        <v/>
      </c>
      <c r="P40" s="36">
        <f>N40-O40</f>
        <v/>
      </c>
      <c r="Q40" s="32" t="n"/>
      <c r="R40" s="32" t="n"/>
      <c r="S40" s="32" t="n"/>
      <c r="T40" s="33" t="n"/>
      <c r="U40" s="42">
        <f>'S20'!T40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'S20'!M41+L41</f>
        <v/>
      </c>
      <c r="N41" s="31">
        <f>IFERROR(M41/K41,0)</f>
        <v/>
      </c>
      <c r="O41" s="40">
        <f>'S20'!N41</f>
        <v/>
      </c>
      <c r="P41" s="31">
        <f>N41-O41</f>
        <v/>
      </c>
      <c r="Q41" s="32" t="n"/>
      <c r="R41" s="32" t="n"/>
      <c r="S41" s="32" t="n"/>
      <c r="T41" s="33" t="n"/>
      <c r="U41" s="40">
        <f>'S20'!T41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'S20'!M42+L42</f>
        <v/>
      </c>
      <c r="N42" s="36">
        <f>IFERROR(M42/K42,0)</f>
        <v/>
      </c>
      <c r="O42" s="42">
        <f>'S20'!N42</f>
        <v/>
      </c>
      <c r="P42" s="36">
        <f>N42-O42</f>
        <v/>
      </c>
      <c r="Q42" s="32" t="n"/>
      <c r="R42" s="32" t="n"/>
      <c r="S42" s="32" t="n"/>
      <c r="T42" s="33" t="n"/>
      <c r="U42" s="42">
        <f>'S20'!T42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'S20'!M43+L43</f>
        <v/>
      </c>
      <c r="N43" s="31">
        <f>IFERROR(M43/K43,0)</f>
        <v/>
      </c>
      <c r="O43" s="40">
        <f>'S20'!N43</f>
        <v/>
      </c>
      <c r="P43" s="31">
        <f>N43-O43</f>
        <v/>
      </c>
      <c r="Q43" s="32" t="n"/>
      <c r="R43" s="32" t="n"/>
      <c r="S43" s="32" t="n"/>
      <c r="T43" s="33" t="n"/>
      <c r="U43" s="40">
        <f>'S20'!T43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'S20'!M44+L44</f>
        <v/>
      </c>
      <c r="N44" s="36">
        <f>IFERROR(M44/K44,0)</f>
        <v/>
      </c>
      <c r="O44" s="42">
        <f>'S20'!N44</f>
        <v/>
      </c>
      <c r="P44" s="36">
        <f>N44-O44</f>
        <v/>
      </c>
      <c r="Q44" s="32" t="n"/>
      <c r="R44" s="32" t="n"/>
      <c r="S44" s="32" t="n"/>
      <c r="T44" s="33" t="n"/>
      <c r="U44" s="42">
        <f>'S20'!T44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'S20'!M45+L45</f>
        <v/>
      </c>
      <c r="N45" s="31">
        <f>IFERROR(M45/K45,0)</f>
        <v/>
      </c>
      <c r="O45" s="40">
        <f>'S20'!N45</f>
        <v/>
      </c>
      <c r="P45" s="31">
        <f>N45-O45</f>
        <v/>
      </c>
      <c r="Q45" s="32" t="n"/>
      <c r="R45" s="32" t="n"/>
      <c r="S45" s="32" t="n"/>
      <c r="T45" s="33" t="n"/>
      <c r="U45" s="40">
        <f>'S20'!T45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'S20'!M46+L46</f>
        <v/>
      </c>
      <c r="N46" s="36">
        <f>IFERROR(M46/K46,0)</f>
        <v/>
      </c>
      <c r="O46" s="42">
        <f>'S20'!N46</f>
        <v/>
      </c>
      <c r="P46" s="36">
        <f>N46-O46</f>
        <v/>
      </c>
      <c r="Q46" s="32" t="n"/>
      <c r="R46" s="32" t="n"/>
      <c r="S46" s="32" t="n"/>
      <c r="T46" s="33" t="n"/>
      <c r="U46" s="42">
        <f>'S20'!T46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'S20'!M47+L47</f>
        <v/>
      </c>
      <c r="N47" s="31">
        <f>IFERROR(M47/K47,0)</f>
        <v/>
      </c>
      <c r="O47" s="40">
        <f>'S20'!N47</f>
        <v/>
      </c>
      <c r="P47" s="31">
        <f>N47-O47</f>
        <v/>
      </c>
      <c r="Q47" s="32" t="n"/>
      <c r="R47" s="32" t="n"/>
      <c r="S47" s="32" t="n"/>
      <c r="T47" s="33" t="n"/>
      <c r="U47" s="40">
        <f>'S20'!T47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'S20'!M48+L48</f>
        <v/>
      </c>
      <c r="N48" s="36">
        <f>IFERROR(M48/K48,0)</f>
        <v/>
      </c>
      <c r="O48" s="42">
        <f>'S20'!N48</f>
        <v/>
      </c>
      <c r="P48" s="36">
        <f>N48-O48</f>
        <v/>
      </c>
      <c r="Q48" s="32" t="n"/>
      <c r="R48" s="32" t="n"/>
      <c r="S48" s="32" t="n"/>
      <c r="T48" s="33" t="n"/>
      <c r="U48" s="42">
        <f>'S20'!T48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'S20'!M49+L49</f>
        <v/>
      </c>
      <c r="N49" s="31">
        <f>IFERROR(M49/K49,0)</f>
        <v/>
      </c>
      <c r="O49" s="40">
        <f>'S20'!N49</f>
        <v/>
      </c>
      <c r="P49" s="31">
        <f>N49-O49</f>
        <v/>
      </c>
      <c r="Q49" s="32" t="n"/>
      <c r="R49" s="32" t="n"/>
      <c r="S49" s="32" t="n"/>
      <c r="T49" s="33" t="n"/>
      <c r="U49" s="40">
        <f>'S20'!T49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'S20'!M50+L50</f>
        <v/>
      </c>
      <c r="N50" s="36">
        <f>IFERROR(M50/K50,0)</f>
        <v/>
      </c>
      <c r="O50" s="42">
        <f>'S20'!N50</f>
        <v/>
      </c>
      <c r="P50" s="36">
        <f>N50-O50</f>
        <v/>
      </c>
      <c r="Q50" s="32" t="n"/>
      <c r="R50" s="32" t="n"/>
      <c r="S50" s="32" t="n"/>
      <c r="T50" s="33" t="n"/>
      <c r="U50" s="42">
        <f>'S20'!T50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'S20'!M51+L51</f>
        <v/>
      </c>
      <c r="N51" s="31">
        <f>IFERROR(M51/K51,0)</f>
        <v/>
      </c>
      <c r="O51" s="40">
        <f>'S20'!N51</f>
        <v/>
      </c>
      <c r="P51" s="31">
        <f>N51-O51</f>
        <v/>
      </c>
      <c r="Q51" s="32" t="n"/>
      <c r="R51" s="32" t="n"/>
      <c r="S51" s="32" t="n"/>
      <c r="T51" s="33" t="n"/>
      <c r="U51" s="40">
        <f>'S20'!T51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'S20'!M52+L52</f>
        <v/>
      </c>
      <c r="N52" s="36">
        <f>IFERROR(M52/K52,0)</f>
        <v/>
      </c>
      <c r="O52" s="42">
        <f>'S20'!N52</f>
        <v/>
      </c>
      <c r="P52" s="36">
        <f>N52-O52</f>
        <v/>
      </c>
      <c r="Q52" s="32" t="n"/>
      <c r="R52" s="32" t="n"/>
      <c r="S52" s="32" t="n"/>
      <c r="T52" s="33" t="n"/>
      <c r="U52" s="42">
        <f>'S20'!T52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'S20'!M53+L53</f>
        <v/>
      </c>
      <c r="N53" s="31">
        <f>IFERROR(M53/K53,0)</f>
        <v/>
      </c>
      <c r="O53" s="40">
        <f>'S20'!N53</f>
        <v/>
      </c>
      <c r="P53" s="31">
        <f>N53-O53</f>
        <v/>
      </c>
      <c r="Q53" s="32" t="n"/>
      <c r="R53" s="32" t="n"/>
      <c r="S53" s="32" t="n"/>
      <c r="T53" s="33" t="n"/>
      <c r="U53" s="40">
        <f>'S20'!T53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'S20'!M54+L54</f>
        <v/>
      </c>
      <c r="N54" s="36">
        <f>IFERROR(M54/K54,0)</f>
        <v/>
      </c>
      <c r="O54" s="42">
        <f>'S20'!N54</f>
        <v/>
      </c>
      <c r="P54" s="36">
        <f>N54-O54</f>
        <v/>
      </c>
      <c r="Q54" s="32" t="n"/>
      <c r="R54" s="32" t="n"/>
      <c r="S54" s="32" t="n"/>
      <c r="T54" s="33" t="n"/>
      <c r="U54" s="42">
        <f>'S20'!T54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'S20'!M55+L55</f>
        <v/>
      </c>
      <c r="N55" s="31">
        <f>IFERROR(M55/K55,0)</f>
        <v/>
      </c>
      <c r="O55" s="40">
        <f>'S20'!N55</f>
        <v/>
      </c>
      <c r="P55" s="31">
        <f>N55-O55</f>
        <v/>
      </c>
      <c r="Q55" s="32" t="n"/>
      <c r="R55" s="32" t="n"/>
      <c r="S55" s="32" t="n"/>
      <c r="T55" s="33" t="n"/>
      <c r="U55" s="40">
        <f>'S20'!T55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'S20'!M56+L56</f>
        <v/>
      </c>
      <c r="N56" s="36">
        <f>IFERROR(M56/K56,0)</f>
        <v/>
      </c>
      <c r="O56" s="42">
        <f>'S20'!N56</f>
        <v/>
      </c>
      <c r="P56" s="36">
        <f>N56-O56</f>
        <v/>
      </c>
      <c r="Q56" s="32" t="n"/>
      <c r="R56" s="32" t="n"/>
      <c r="S56" s="32" t="n"/>
      <c r="T56" s="33" t="n"/>
      <c r="U56" s="42">
        <f>'S20'!T56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'S20'!M57+L57</f>
        <v/>
      </c>
      <c r="N57" s="31">
        <f>IFERROR(M57/K57,0)</f>
        <v/>
      </c>
      <c r="O57" s="40">
        <f>'S20'!N57</f>
        <v/>
      </c>
      <c r="P57" s="31">
        <f>N57-O57</f>
        <v/>
      </c>
      <c r="Q57" s="32" t="n"/>
      <c r="R57" s="32" t="n"/>
      <c r="S57" s="32" t="n"/>
      <c r="T57" s="33" t="n"/>
      <c r="U57" s="40">
        <f>'S20'!T57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'S20'!M58+L58</f>
        <v/>
      </c>
      <c r="N58" s="36">
        <f>IFERROR(M58/K58,0)</f>
        <v/>
      </c>
      <c r="O58" s="42">
        <f>'S20'!N58</f>
        <v/>
      </c>
      <c r="P58" s="36">
        <f>N58-O58</f>
        <v/>
      </c>
      <c r="Q58" s="32" t="n"/>
      <c r="R58" s="32" t="n"/>
      <c r="S58" s="32" t="n"/>
      <c r="T58" s="33" t="n"/>
      <c r="U58" s="42">
        <f>'S20'!T58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'S20'!M59+L59</f>
        <v/>
      </c>
      <c r="N59" s="31">
        <f>IFERROR(M59/K59,0)</f>
        <v/>
      </c>
      <c r="O59" s="40">
        <f>'S20'!N59</f>
        <v/>
      </c>
      <c r="P59" s="31">
        <f>N59-O59</f>
        <v/>
      </c>
      <c r="Q59" s="32" t="n"/>
      <c r="R59" s="32" t="n"/>
      <c r="S59" s="32" t="n"/>
      <c r="T59" s="33" t="n"/>
      <c r="U59" s="40">
        <f>'S20'!T59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'S20'!M60+L60</f>
        <v/>
      </c>
      <c r="N60" s="36">
        <f>IFERROR(M60/K60,0)</f>
        <v/>
      </c>
      <c r="O60" s="42">
        <f>'S20'!N60</f>
        <v/>
      </c>
      <c r="P60" s="36">
        <f>N60-O60</f>
        <v/>
      </c>
      <c r="Q60" s="32" t="n"/>
      <c r="R60" s="32" t="n"/>
      <c r="S60" s="32" t="n"/>
      <c r="T60" s="33" t="n"/>
      <c r="U60" s="42">
        <f>'S20'!T60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'S20'!M61+L61</f>
        <v/>
      </c>
      <c r="N61" s="31">
        <f>IFERROR(M61/K61,0)</f>
        <v/>
      </c>
      <c r="O61" s="40">
        <f>'S20'!N61</f>
        <v/>
      </c>
      <c r="P61" s="31">
        <f>N61-O61</f>
        <v/>
      </c>
      <c r="Q61" s="32" t="n"/>
      <c r="R61" s="32" t="n"/>
      <c r="S61" s="32" t="n"/>
      <c r="T61" s="33" t="n"/>
      <c r="U61" s="40">
        <f>'S20'!T61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'S20'!M62+L62</f>
        <v/>
      </c>
      <c r="N62" s="36">
        <f>IFERROR(M62/K62,0)</f>
        <v/>
      </c>
      <c r="O62" s="42">
        <f>'S20'!N62</f>
        <v/>
      </c>
      <c r="P62" s="36">
        <f>N62-O62</f>
        <v/>
      </c>
      <c r="Q62" s="32" t="n"/>
      <c r="R62" s="32" t="n"/>
      <c r="S62" s="32" t="n"/>
      <c r="T62" s="33" t="n"/>
      <c r="U62" s="42">
        <f>'S20'!T62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'S20'!M63+L63</f>
        <v/>
      </c>
      <c r="N63" s="31">
        <f>IFERROR(M63/K63,0)</f>
        <v/>
      </c>
      <c r="O63" s="40">
        <f>'S20'!N63</f>
        <v/>
      </c>
      <c r="P63" s="31">
        <f>N63-O63</f>
        <v/>
      </c>
      <c r="Q63" s="32" t="n"/>
      <c r="R63" s="32" t="n"/>
      <c r="S63" s="32" t="n"/>
      <c r="T63" s="33" t="n"/>
      <c r="U63" s="40">
        <f>'S20'!T63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'S20'!M64+L64</f>
        <v/>
      </c>
      <c r="N64" s="36">
        <f>IFERROR(M64/K64,0)</f>
        <v/>
      </c>
      <c r="O64" s="42">
        <f>'S20'!N64</f>
        <v/>
      </c>
      <c r="P64" s="36">
        <f>N64-O64</f>
        <v/>
      </c>
      <c r="Q64" s="32" t="n"/>
      <c r="R64" s="32" t="n"/>
      <c r="S64" s="32" t="n"/>
      <c r="T64" s="33" t="n"/>
      <c r="U64" s="42">
        <f>'S20'!T64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'S20'!M65+L65</f>
        <v/>
      </c>
      <c r="N65" s="31">
        <f>IFERROR(M65/K65,0)</f>
        <v/>
      </c>
      <c r="O65" s="40">
        <f>'S20'!N65</f>
        <v/>
      </c>
      <c r="P65" s="31">
        <f>N65-O65</f>
        <v/>
      </c>
      <c r="Q65" s="32" t="n"/>
      <c r="R65" s="32" t="n"/>
      <c r="S65" s="32" t="n"/>
      <c r="T65" s="33" t="n"/>
      <c r="U65" s="40">
        <f>'S20'!T65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'S20'!M66+L66</f>
        <v/>
      </c>
      <c r="N66" s="36">
        <f>IFERROR(M66/K66,0)</f>
        <v/>
      </c>
      <c r="O66" s="42">
        <f>'S20'!N66</f>
        <v/>
      </c>
      <c r="P66" s="36">
        <f>N66-O66</f>
        <v/>
      </c>
      <c r="Q66" s="32" t="n"/>
      <c r="R66" s="32" t="n"/>
      <c r="S66" s="32" t="n"/>
      <c r="T66" s="33" t="n"/>
      <c r="U66" s="42">
        <f>'S20'!T66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'S20'!M67+L67</f>
        <v/>
      </c>
      <c r="N67" s="31">
        <f>IFERROR(M67/K67,0)</f>
        <v/>
      </c>
      <c r="O67" s="40">
        <f>'S20'!N67</f>
        <v/>
      </c>
      <c r="P67" s="31">
        <f>N67-O67</f>
        <v/>
      </c>
      <c r="Q67" s="32" t="n"/>
      <c r="R67" s="32" t="n"/>
      <c r="S67" s="32" t="n"/>
      <c r="T67" s="33" t="n"/>
      <c r="U67" s="40">
        <f>'S20'!T67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'S20'!M68+L68</f>
        <v/>
      </c>
      <c r="N68" s="36">
        <f>IFERROR(M68/K68,0)</f>
        <v/>
      </c>
      <c r="O68" s="42">
        <f>'S20'!N68</f>
        <v/>
      </c>
      <c r="P68" s="36">
        <f>N68-O68</f>
        <v/>
      </c>
      <c r="Q68" s="32" t="n"/>
      <c r="R68" s="32" t="n"/>
      <c r="S68" s="32" t="n"/>
      <c r="T68" s="33" t="n"/>
      <c r="U68" s="42">
        <f>'S20'!T68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'S20'!M69+L69</f>
        <v/>
      </c>
      <c r="N69" s="31">
        <f>IFERROR(M69/K69,0)</f>
        <v/>
      </c>
      <c r="O69" s="40">
        <f>'S20'!N69</f>
        <v/>
      </c>
      <c r="P69" s="31">
        <f>N69-O69</f>
        <v/>
      </c>
      <c r="Q69" s="32" t="n"/>
      <c r="R69" s="32" t="n"/>
      <c r="S69" s="32" t="n"/>
      <c r="T69" s="33" t="n"/>
      <c r="U69" s="40">
        <f>'S20'!T69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'S20'!M70+L70</f>
        <v/>
      </c>
      <c r="N70" s="36">
        <f>IFERROR(M70/K70,0)</f>
        <v/>
      </c>
      <c r="O70" s="42">
        <f>'S20'!N70</f>
        <v/>
      </c>
      <c r="P70" s="36">
        <f>N70-O70</f>
        <v/>
      </c>
      <c r="Q70" s="32" t="n"/>
      <c r="R70" s="32" t="n"/>
      <c r="S70" s="32" t="n"/>
      <c r="T70" s="33" t="n"/>
      <c r="U70" s="42">
        <f>'S20'!T70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'S20'!M71+L71</f>
        <v/>
      </c>
      <c r="N71" s="31">
        <f>IFERROR(M71/K71,0)</f>
        <v/>
      </c>
      <c r="O71" s="40">
        <f>'S20'!N71</f>
        <v/>
      </c>
      <c r="P71" s="31">
        <f>N71-O71</f>
        <v/>
      </c>
      <c r="Q71" s="32" t="n"/>
      <c r="R71" s="32" t="n"/>
      <c r="S71" s="32" t="n"/>
      <c r="T71" s="33" t="n"/>
      <c r="U71" s="40">
        <f>'S20'!T71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'S20'!M72+L72</f>
        <v/>
      </c>
      <c r="N72" s="36">
        <f>IFERROR(M72/K72,0)</f>
        <v/>
      </c>
      <c r="O72" s="42">
        <f>'S20'!N72</f>
        <v/>
      </c>
      <c r="P72" s="36">
        <f>N72-O72</f>
        <v/>
      </c>
      <c r="Q72" s="32" t="n"/>
      <c r="R72" s="32" t="n"/>
      <c r="S72" s="32" t="n"/>
      <c r="T72" s="33" t="n"/>
      <c r="U72" s="42">
        <f>'S20'!T72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'S20'!M73+L73</f>
        <v/>
      </c>
      <c r="N73" s="31">
        <f>IFERROR(M73/K73,0)</f>
        <v/>
      </c>
      <c r="O73" s="40">
        <f>'S20'!N73</f>
        <v/>
      </c>
      <c r="P73" s="31">
        <f>N73-O73</f>
        <v/>
      </c>
      <c r="Q73" s="32" t="n"/>
      <c r="R73" s="32" t="n"/>
      <c r="S73" s="32" t="n"/>
      <c r="T73" s="33" t="n"/>
      <c r="U73" s="40">
        <f>'S20'!T73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'S20'!M74+L74</f>
        <v/>
      </c>
      <c r="N74" s="36">
        <f>IFERROR(M74/K74,0)</f>
        <v/>
      </c>
      <c r="O74" s="42">
        <f>'S20'!N74</f>
        <v/>
      </c>
      <c r="P74" s="36">
        <f>N74-O74</f>
        <v/>
      </c>
      <c r="Q74" s="32" t="n"/>
      <c r="R74" s="32" t="n"/>
      <c r="S74" s="32" t="n"/>
      <c r="T74" s="33" t="n"/>
      <c r="U74" s="42">
        <f>'S20'!T74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'S20'!M75+L75</f>
        <v/>
      </c>
      <c r="N75" s="31">
        <f>IFERROR(M75/K75,0)</f>
        <v/>
      </c>
      <c r="O75" s="40">
        <f>'S20'!N75</f>
        <v/>
      </c>
      <c r="P75" s="31">
        <f>N75-O75</f>
        <v/>
      </c>
      <c r="Q75" s="32" t="n"/>
      <c r="R75" s="32" t="n"/>
      <c r="S75" s="32" t="n"/>
      <c r="T75" s="33" t="n"/>
      <c r="U75" s="40">
        <f>'S20'!T75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'S20'!M76+L76</f>
        <v/>
      </c>
      <c r="N76" s="36">
        <f>IFERROR(M76/K76,0)</f>
        <v/>
      </c>
      <c r="O76" s="42">
        <f>'S20'!N76</f>
        <v/>
      </c>
      <c r="P76" s="36">
        <f>N76-O76</f>
        <v/>
      </c>
      <c r="Q76" s="32" t="n"/>
      <c r="R76" s="32" t="n"/>
      <c r="S76" s="32" t="n"/>
      <c r="T76" s="33" t="n"/>
      <c r="U76" s="42">
        <f>'S20'!T76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24.xml><?xml version="1.0" encoding="utf-8"?>
<worksheet xmlns="http://schemas.openxmlformats.org/spreadsheetml/2006/main">
  <sheetPr>
    <tabColor rgb="00FFC00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22 (25/05 - 31/05) — Mai 2026 - Exécution Physique et Financière</t>
        </is>
      </c>
    </row>
    <row r="3" ht="22" customHeight="1">
      <c r="B3" s="20" t="inlineStr">
        <is>
          <t>Date :</t>
        </is>
      </c>
      <c r="C3" s="21" t="n">
        <v>46167</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'S21'!M5+L5</f>
        <v/>
      </c>
      <c r="N5" s="31">
        <f>IFERROR(M5/K5,0)</f>
        <v/>
      </c>
      <c r="O5" s="40">
        <f>'S21'!N5</f>
        <v/>
      </c>
      <c r="P5" s="31">
        <f>N5-O5</f>
        <v/>
      </c>
      <c r="Q5" s="32" t="n"/>
      <c r="R5" s="32" t="n"/>
      <c r="S5" s="32" t="n"/>
      <c r="T5" s="33" t="n"/>
      <c r="U5" s="40">
        <f>'S21'!T5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'S21'!M6+L6</f>
        <v/>
      </c>
      <c r="N6" s="36">
        <f>IFERROR(M6/K6,0)</f>
        <v/>
      </c>
      <c r="O6" s="42">
        <f>'S21'!N6</f>
        <v/>
      </c>
      <c r="P6" s="36">
        <f>N6-O6</f>
        <v/>
      </c>
      <c r="Q6" s="32" t="n"/>
      <c r="R6" s="32" t="n"/>
      <c r="S6" s="32" t="n"/>
      <c r="T6" s="33" t="n"/>
      <c r="U6" s="42">
        <f>'S21'!T6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'S21'!M7+L7</f>
        <v/>
      </c>
      <c r="N7" s="31">
        <f>IFERROR(M7/K7,0)</f>
        <v/>
      </c>
      <c r="O7" s="40">
        <f>'S21'!N7</f>
        <v/>
      </c>
      <c r="P7" s="31">
        <f>N7-O7</f>
        <v/>
      </c>
      <c r="Q7" s="32" t="n"/>
      <c r="R7" s="32" t="n"/>
      <c r="S7" s="32" t="n"/>
      <c r="T7" s="33" t="n"/>
      <c r="U7" s="40">
        <f>'S21'!T7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'S21'!M8+L8</f>
        <v/>
      </c>
      <c r="N8" s="36">
        <f>IFERROR(M8/K8,0)</f>
        <v/>
      </c>
      <c r="O8" s="42">
        <f>'S21'!N8</f>
        <v/>
      </c>
      <c r="P8" s="36">
        <f>N8-O8</f>
        <v/>
      </c>
      <c r="Q8" s="32" t="n"/>
      <c r="R8" s="32" t="n"/>
      <c r="S8" s="32" t="n"/>
      <c r="T8" s="33" t="n"/>
      <c r="U8" s="42">
        <f>'S21'!T8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'S21'!M9+L9</f>
        <v/>
      </c>
      <c r="N9" s="31">
        <f>IFERROR(M9/K9,0)</f>
        <v/>
      </c>
      <c r="O9" s="40">
        <f>'S21'!N9</f>
        <v/>
      </c>
      <c r="P9" s="31">
        <f>N9-O9</f>
        <v/>
      </c>
      <c r="Q9" s="32" t="n"/>
      <c r="R9" s="32" t="n"/>
      <c r="S9" s="32" t="n"/>
      <c r="T9" s="33" t="n"/>
      <c r="U9" s="40">
        <f>'S21'!T9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'S21'!M10+L10</f>
        <v/>
      </c>
      <c r="N10" s="36">
        <f>IFERROR(M10/K10,0)</f>
        <v/>
      </c>
      <c r="O10" s="42">
        <f>'S21'!N10</f>
        <v/>
      </c>
      <c r="P10" s="36">
        <f>N10-O10</f>
        <v/>
      </c>
      <c r="Q10" s="32" t="n"/>
      <c r="R10" s="32" t="n"/>
      <c r="S10" s="32" t="n"/>
      <c r="T10" s="33" t="n"/>
      <c r="U10" s="42">
        <f>'S21'!T10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'S21'!M11+L11</f>
        <v/>
      </c>
      <c r="N11" s="31">
        <f>IFERROR(M11/K11,0)</f>
        <v/>
      </c>
      <c r="O11" s="40">
        <f>'S21'!N11</f>
        <v/>
      </c>
      <c r="P11" s="31">
        <f>N11-O11</f>
        <v/>
      </c>
      <c r="Q11" s="32" t="n"/>
      <c r="R11" s="32" t="n"/>
      <c r="S11" s="32" t="n"/>
      <c r="T11" s="33" t="n"/>
      <c r="U11" s="40">
        <f>'S21'!T11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'S21'!M12+L12</f>
        <v/>
      </c>
      <c r="N12" s="36">
        <f>IFERROR(M12/K12,0)</f>
        <v/>
      </c>
      <c r="O12" s="42">
        <f>'S21'!N12</f>
        <v/>
      </c>
      <c r="P12" s="36">
        <f>N12-O12</f>
        <v/>
      </c>
      <c r="Q12" s="32" t="n"/>
      <c r="R12" s="32" t="n"/>
      <c r="S12" s="32" t="n"/>
      <c r="T12" s="33" t="n"/>
      <c r="U12" s="42">
        <f>'S21'!T12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'S21'!M13+L13</f>
        <v/>
      </c>
      <c r="N13" s="31">
        <f>IFERROR(M13/K13,0)</f>
        <v/>
      </c>
      <c r="O13" s="40">
        <f>'S21'!N13</f>
        <v/>
      </c>
      <c r="P13" s="31">
        <f>N13-O13</f>
        <v/>
      </c>
      <c r="Q13" s="32" t="n"/>
      <c r="R13" s="32" t="n"/>
      <c r="S13" s="32" t="n"/>
      <c r="T13" s="33" t="n"/>
      <c r="U13" s="40">
        <f>'S21'!T13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'S21'!M14+L14</f>
        <v/>
      </c>
      <c r="N14" s="36">
        <f>IFERROR(M14/K14,0)</f>
        <v/>
      </c>
      <c r="O14" s="42">
        <f>'S21'!N14</f>
        <v/>
      </c>
      <c r="P14" s="36">
        <f>N14-O14</f>
        <v/>
      </c>
      <c r="Q14" s="32" t="n"/>
      <c r="R14" s="32" t="n"/>
      <c r="S14" s="32" t="n"/>
      <c r="T14" s="33" t="n"/>
      <c r="U14" s="42">
        <f>'S21'!T14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'S21'!M15+L15</f>
        <v/>
      </c>
      <c r="N15" s="31">
        <f>IFERROR(M15/K15,0)</f>
        <v/>
      </c>
      <c r="O15" s="40">
        <f>'S21'!N15</f>
        <v/>
      </c>
      <c r="P15" s="31">
        <f>N15-O15</f>
        <v/>
      </c>
      <c r="Q15" s="32" t="n"/>
      <c r="R15" s="32" t="n"/>
      <c r="S15" s="32" t="n"/>
      <c r="T15" s="33" t="n"/>
      <c r="U15" s="40">
        <f>'S21'!T15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'S21'!M16+L16</f>
        <v/>
      </c>
      <c r="N16" s="36">
        <f>IFERROR(M16/K16,0)</f>
        <v/>
      </c>
      <c r="O16" s="42">
        <f>'S21'!N16</f>
        <v/>
      </c>
      <c r="P16" s="36">
        <f>N16-O16</f>
        <v/>
      </c>
      <c r="Q16" s="32" t="n"/>
      <c r="R16" s="32" t="n"/>
      <c r="S16" s="32" t="n"/>
      <c r="T16" s="33" t="n"/>
      <c r="U16" s="42">
        <f>'S21'!T16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'S21'!M17+L17</f>
        <v/>
      </c>
      <c r="N17" s="31">
        <f>IFERROR(M17/K17,0)</f>
        <v/>
      </c>
      <c r="O17" s="40">
        <f>'S21'!N17</f>
        <v/>
      </c>
      <c r="P17" s="31">
        <f>N17-O17</f>
        <v/>
      </c>
      <c r="Q17" s="32" t="n"/>
      <c r="R17" s="32" t="n"/>
      <c r="S17" s="32" t="n"/>
      <c r="T17" s="33" t="n"/>
      <c r="U17" s="40">
        <f>'S21'!T17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'S21'!M18+L18</f>
        <v/>
      </c>
      <c r="N18" s="36">
        <f>IFERROR(M18/K18,0)</f>
        <v/>
      </c>
      <c r="O18" s="42">
        <f>'S21'!N18</f>
        <v/>
      </c>
      <c r="P18" s="36">
        <f>N18-O18</f>
        <v/>
      </c>
      <c r="Q18" s="32" t="n"/>
      <c r="R18" s="32" t="n"/>
      <c r="S18" s="32" t="n"/>
      <c r="T18" s="33" t="n"/>
      <c r="U18" s="42">
        <f>'S21'!T18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'S21'!M19+L19</f>
        <v/>
      </c>
      <c r="N19" s="31">
        <f>IFERROR(M19/K19,0)</f>
        <v/>
      </c>
      <c r="O19" s="40">
        <f>'S21'!N19</f>
        <v/>
      </c>
      <c r="P19" s="31">
        <f>N19-O19</f>
        <v/>
      </c>
      <c r="Q19" s="32" t="n"/>
      <c r="R19" s="32" t="n"/>
      <c r="S19" s="32" t="n"/>
      <c r="T19" s="33" t="n"/>
      <c r="U19" s="40">
        <f>'S21'!T19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'S21'!M20+L20</f>
        <v/>
      </c>
      <c r="N20" s="36">
        <f>IFERROR(M20/K20,0)</f>
        <v/>
      </c>
      <c r="O20" s="42">
        <f>'S21'!N20</f>
        <v/>
      </c>
      <c r="P20" s="36">
        <f>N20-O20</f>
        <v/>
      </c>
      <c r="Q20" s="32" t="n"/>
      <c r="R20" s="32" t="n"/>
      <c r="S20" s="32" t="n"/>
      <c r="T20" s="33" t="n"/>
      <c r="U20" s="42">
        <f>'S21'!T20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'S21'!M21+L21</f>
        <v/>
      </c>
      <c r="N21" s="31">
        <f>IFERROR(M21/K21,0)</f>
        <v/>
      </c>
      <c r="O21" s="40">
        <f>'S21'!N21</f>
        <v/>
      </c>
      <c r="P21" s="31">
        <f>N21-O21</f>
        <v/>
      </c>
      <c r="Q21" s="32" t="n"/>
      <c r="R21" s="32" t="n"/>
      <c r="S21" s="32" t="n"/>
      <c r="T21" s="33" t="n"/>
      <c r="U21" s="40">
        <f>'S21'!T21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'S21'!M22+L22</f>
        <v/>
      </c>
      <c r="N22" s="36">
        <f>IFERROR(M22/K22,0)</f>
        <v/>
      </c>
      <c r="O22" s="42">
        <f>'S21'!N22</f>
        <v/>
      </c>
      <c r="P22" s="36">
        <f>N22-O22</f>
        <v/>
      </c>
      <c r="Q22" s="32" t="n"/>
      <c r="R22" s="32" t="n"/>
      <c r="S22" s="32" t="n"/>
      <c r="T22" s="33" t="n"/>
      <c r="U22" s="42">
        <f>'S21'!T22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'S21'!M23+L23</f>
        <v/>
      </c>
      <c r="N23" s="31">
        <f>IFERROR(M23/K23,0)</f>
        <v/>
      </c>
      <c r="O23" s="40">
        <f>'S21'!N23</f>
        <v/>
      </c>
      <c r="P23" s="31">
        <f>N23-O23</f>
        <v/>
      </c>
      <c r="Q23" s="32" t="n"/>
      <c r="R23" s="32" t="n"/>
      <c r="S23" s="32" t="n"/>
      <c r="T23" s="33" t="n"/>
      <c r="U23" s="40">
        <f>'S21'!T23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'S21'!M24+L24</f>
        <v/>
      </c>
      <c r="N24" s="36">
        <f>IFERROR(M24/K24,0)</f>
        <v/>
      </c>
      <c r="O24" s="42">
        <f>'S21'!N24</f>
        <v/>
      </c>
      <c r="P24" s="36">
        <f>N24-O24</f>
        <v/>
      </c>
      <c r="Q24" s="32" t="n"/>
      <c r="R24" s="32" t="n"/>
      <c r="S24" s="32" t="n"/>
      <c r="T24" s="33" t="n"/>
      <c r="U24" s="42">
        <f>'S21'!T24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'S21'!M25+L25</f>
        <v/>
      </c>
      <c r="N25" s="31">
        <f>IFERROR(M25/K25,0)</f>
        <v/>
      </c>
      <c r="O25" s="40">
        <f>'S21'!N25</f>
        <v/>
      </c>
      <c r="P25" s="31">
        <f>N25-O25</f>
        <v/>
      </c>
      <c r="Q25" s="32" t="n"/>
      <c r="R25" s="32" t="n"/>
      <c r="S25" s="32" t="n"/>
      <c r="T25" s="33" t="n"/>
      <c r="U25" s="40">
        <f>'S21'!T25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'S21'!M26+L26</f>
        <v/>
      </c>
      <c r="N26" s="36">
        <f>IFERROR(M26/K26,0)</f>
        <v/>
      </c>
      <c r="O26" s="42">
        <f>'S21'!N26</f>
        <v/>
      </c>
      <c r="P26" s="36">
        <f>N26-O26</f>
        <v/>
      </c>
      <c r="Q26" s="32" t="n"/>
      <c r="R26" s="32" t="n"/>
      <c r="S26" s="32" t="n"/>
      <c r="T26" s="33" t="n"/>
      <c r="U26" s="42">
        <f>'S21'!T26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'S21'!M27+L27</f>
        <v/>
      </c>
      <c r="N27" s="31">
        <f>IFERROR(M27/K27,0)</f>
        <v/>
      </c>
      <c r="O27" s="40">
        <f>'S21'!N27</f>
        <v/>
      </c>
      <c r="P27" s="31">
        <f>N27-O27</f>
        <v/>
      </c>
      <c r="Q27" s="32" t="n"/>
      <c r="R27" s="32" t="n"/>
      <c r="S27" s="32" t="n"/>
      <c r="T27" s="33" t="n"/>
      <c r="U27" s="40">
        <f>'S21'!T27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'S21'!M28+L28</f>
        <v/>
      </c>
      <c r="N28" s="36">
        <f>IFERROR(M28/K28,0)</f>
        <v/>
      </c>
      <c r="O28" s="42">
        <f>'S21'!N28</f>
        <v/>
      </c>
      <c r="P28" s="36">
        <f>N28-O28</f>
        <v/>
      </c>
      <c r="Q28" s="32" t="n"/>
      <c r="R28" s="32" t="n"/>
      <c r="S28" s="32" t="n"/>
      <c r="T28" s="33" t="n"/>
      <c r="U28" s="42">
        <f>'S21'!T28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'S21'!M29+L29</f>
        <v/>
      </c>
      <c r="N29" s="31">
        <f>IFERROR(M29/K29,0)</f>
        <v/>
      </c>
      <c r="O29" s="40">
        <f>'S21'!N29</f>
        <v/>
      </c>
      <c r="P29" s="31">
        <f>N29-O29</f>
        <v/>
      </c>
      <c r="Q29" s="32" t="n"/>
      <c r="R29" s="32" t="n"/>
      <c r="S29" s="32" t="n"/>
      <c r="T29" s="33" t="n"/>
      <c r="U29" s="40">
        <f>'S21'!T29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'S21'!M30+L30</f>
        <v/>
      </c>
      <c r="N30" s="36">
        <f>IFERROR(M30/K30,0)</f>
        <v/>
      </c>
      <c r="O30" s="42">
        <f>'S21'!N30</f>
        <v/>
      </c>
      <c r="P30" s="36">
        <f>N30-O30</f>
        <v/>
      </c>
      <c r="Q30" s="32" t="n"/>
      <c r="R30" s="32" t="n"/>
      <c r="S30" s="32" t="n"/>
      <c r="T30" s="33" t="n"/>
      <c r="U30" s="42">
        <f>'S21'!T30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'S21'!M31+L31</f>
        <v/>
      </c>
      <c r="N31" s="31">
        <f>IFERROR(M31/K31,0)</f>
        <v/>
      </c>
      <c r="O31" s="40">
        <f>'S21'!N31</f>
        <v/>
      </c>
      <c r="P31" s="31">
        <f>N31-O31</f>
        <v/>
      </c>
      <c r="Q31" s="32" t="n"/>
      <c r="R31" s="32" t="n"/>
      <c r="S31" s="32" t="n"/>
      <c r="T31" s="33" t="n"/>
      <c r="U31" s="40">
        <f>'S21'!T31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'S21'!M32+L32</f>
        <v/>
      </c>
      <c r="N32" s="36">
        <f>IFERROR(M32/K32,0)</f>
        <v/>
      </c>
      <c r="O32" s="42">
        <f>'S21'!N32</f>
        <v/>
      </c>
      <c r="P32" s="36">
        <f>N32-O32</f>
        <v/>
      </c>
      <c r="Q32" s="32" t="n"/>
      <c r="R32" s="32" t="n"/>
      <c r="S32" s="32" t="n"/>
      <c r="T32" s="33" t="n"/>
      <c r="U32" s="42">
        <f>'S21'!T32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'S21'!M33+L33</f>
        <v/>
      </c>
      <c r="N33" s="31">
        <f>IFERROR(M33/K33,0)</f>
        <v/>
      </c>
      <c r="O33" s="40">
        <f>'S21'!N33</f>
        <v/>
      </c>
      <c r="P33" s="31">
        <f>N33-O33</f>
        <v/>
      </c>
      <c r="Q33" s="32" t="n"/>
      <c r="R33" s="32" t="n"/>
      <c r="S33" s="32" t="n"/>
      <c r="T33" s="33" t="n"/>
      <c r="U33" s="40">
        <f>'S21'!T33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'S21'!M34+L34</f>
        <v/>
      </c>
      <c r="N34" s="36">
        <f>IFERROR(M34/K34,0)</f>
        <v/>
      </c>
      <c r="O34" s="42">
        <f>'S21'!N34</f>
        <v/>
      </c>
      <c r="P34" s="36">
        <f>N34-O34</f>
        <v/>
      </c>
      <c r="Q34" s="32" t="n"/>
      <c r="R34" s="32" t="n"/>
      <c r="S34" s="32" t="n"/>
      <c r="T34" s="33" t="n"/>
      <c r="U34" s="42">
        <f>'S21'!T34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'S21'!M35+L35</f>
        <v/>
      </c>
      <c r="N35" s="31">
        <f>IFERROR(M35/K35,0)</f>
        <v/>
      </c>
      <c r="O35" s="40">
        <f>'S21'!N35</f>
        <v/>
      </c>
      <c r="P35" s="31">
        <f>N35-O35</f>
        <v/>
      </c>
      <c r="Q35" s="32" t="n"/>
      <c r="R35" s="32" t="n"/>
      <c r="S35" s="32" t="n"/>
      <c r="T35" s="33" t="n"/>
      <c r="U35" s="40">
        <f>'S21'!T35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'S21'!M36+L36</f>
        <v/>
      </c>
      <c r="N36" s="36">
        <f>IFERROR(M36/K36,0)</f>
        <v/>
      </c>
      <c r="O36" s="42">
        <f>'S21'!N36</f>
        <v/>
      </c>
      <c r="P36" s="36">
        <f>N36-O36</f>
        <v/>
      </c>
      <c r="Q36" s="32" t="n"/>
      <c r="R36" s="32" t="n"/>
      <c r="S36" s="32" t="n"/>
      <c r="T36" s="33" t="n"/>
      <c r="U36" s="42">
        <f>'S21'!T36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'S21'!M37+L37</f>
        <v/>
      </c>
      <c r="N37" s="31">
        <f>IFERROR(M37/K37,0)</f>
        <v/>
      </c>
      <c r="O37" s="40">
        <f>'S21'!N37</f>
        <v/>
      </c>
      <c r="P37" s="31">
        <f>N37-O37</f>
        <v/>
      </c>
      <c r="Q37" s="32" t="n"/>
      <c r="R37" s="32" t="n"/>
      <c r="S37" s="32" t="n"/>
      <c r="T37" s="33" t="n"/>
      <c r="U37" s="40">
        <f>'S21'!T37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'S21'!M38+L38</f>
        <v/>
      </c>
      <c r="N38" s="36">
        <f>IFERROR(M38/K38,0)</f>
        <v/>
      </c>
      <c r="O38" s="42">
        <f>'S21'!N38</f>
        <v/>
      </c>
      <c r="P38" s="36">
        <f>N38-O38</f>
        <v/>
      </c>
      <c r="Q38" s="32" t="n"/>
      <c r="R38" s="32" t="n"/>
      <c r="S38" s="32" t="n"/>
      <c r="T38" s="33" t="n"/>
      <c r="U38" s="42">
        <f>'S21'!T38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'S21'!M39+L39</f>
        <v/>
      </c>
      <c r="N39" s="31">
        <f>IFERROR(M39/K39,0)</f>
        <v/>
      </c>
      <c r="O39" s="40">
        <f>'S21'!N39</f>
        <v/>
      </c>
      <c r="P39" s="31">
        <f>N39-O39</f>
        <v/>
      </c>
      <c r="Q39" s="32" t="n"/>
      <c r="R39" s="32" t="n"/>
      <c r="S39" s="32" t="n"/>
      <c r="T39" s="33" t="n"/>
      <c r="U39" s="40">
        <f>'S21'!T39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'S21'!M40+L40</f>
        <v/>
      </c>
      <c r="N40" s="36">
        <f>IFERROR(M40/K40,0)</f>
        <v/>
      </c>
      <c r="O40" s="42">
        <f>'S21'!N40</f>
        <v/>
      </c>
      <c r="P40" s="36">
        <f>N40-O40</f>
        <v/>
      </c>
      <c r="Q40" s="32" t="n"/>
      <c r="R40" s="32" t="n"/>
      <c r="S40" s="32" t="n"/>
      <c r="T40" s="33" t="n"/>
      <c r="U40" s="42">
        <f>'S21'!T40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'S21'!M41+L41</f>
        <v/>
      </c>
      <c r="N41" s="31">
        <f>IFERROR(M41/K41,0)</f>
        <v/>
      </c>
      <c r="O41" s="40">
        <f>'S21'!N41</f>
        <v/>
      </c>
      <c r="P41" s="31">
        <f>N41-O41</f>
        <v/>
      </c>
      <c r="Q41" s="32" t="n"/>
      <c r="R41" s="32" t="n"/>
      <c r="S41" s="32" t="n"/>
      <c r="T41" s="33" t="n"/>
      <c r="U41" s="40">
        <f>'S21'!T41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'S21'!M42+L42</f>
        <v/>
      </c>
      <c r="N42" s="36">
        <f>IFERROR(M42/K42,0)</f>
        <v/>
      </c>
      <c r="O42" s="42">
        <f>'S21'!N42</f>
        <v/>
      </c>
      <c r="P42" s="36">
        <f>N42-O42</f>
        <v/>
      </c>
      <c r="Q42" s="32" t="n"/>
      <c r="R42" s="32" t="n"/>
      <c r="S42" s="32" t="n"/>
      <c r="T42" s="33" t="n"/>
      <c r="U42" s="42">
        <f>'S21'!T42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'S21'!M43+L43</f>
        <v/>
      </c>
      <c r="N43" s="31">
        <f>IFERROR(M43/K43,0)</f>
        <v/>
      </c>
      <c r="O43" s="40">
        <f>'S21'!N43</f>
        <v/>
      </c>
      <c r="P43" s="31">
        <f>N43-O43</f>
        <v/>
      </c>
      <c r="Q43" s="32" t="n"/>
      <c r="R43" s="32" t="n"/>
      <c r="S43" s="32" t="n"/>
      <c r="T43" s="33" t="n"/>
      <c r="U43" s="40">
        <f>'S21'!T43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'S21'!M44+L44</f>
        <v/>
      </c>
      <c r="N44" s="36">
        <f>IFERROR(M44/K44,0)</f>
        <v/>
      </c>
      <c r="O44" s="42">
        <f>'S21'!N44</f>
        <v/>
      </c>
      <c r="P44" s="36">
        <f>N44-O44</f>
        <v/>
      </c>
      <c r="Q44" s="32" t="n"/>
      <c r="R44" s="32" t="n"/>
      <c r="S44" s="32" t="n"/>
      <c r="T44" s="33" t="n"/>
      <c r="U44" s="42">
        <f>'S21'!T44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'S21'!M45+L45</f>
        <v/>
      </c>
      <c r="N45" s="31">
        <f>IFERROR(M45/K45,0)</f>
        <v/>
      </c>
      <c r="O45" s="40">
        <f>'S21'!N45</f>
        <v/>
      </c>
      <c r="P45" s="31">
        <f>N45-O45</f>
        <v/>
      </c>
      <c r="Q45" s="32" t="n"/>
      <c r="R45" s="32" t="n"/>
      <c r="S45" s="32" t="n"/>
      <c r="T45" s="33" t="n"/>
      <c r="U45" s="40">
        <f>'S21'!T45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'S21'!M46+L46</f>
        <v/>
      </c>
      <c r="N46" s="36">
        <f>IFERROR(M46/K46,0)</f>
        <v/>
      </c>
      <c r="O46" s="42">
        <f>'S21'!N46</f>
        <v/>
      </c>
      <c r="P46" s="36">
        <f>N46-O46</f>
        <v/>
      </c>
      <c r="Q46" s="32" t="n"/>
      <c r="R46" s="32" t="n"/>
      <c r="S46" s="32" t="n"/>
      <c r="T46" s="33" t="n"/>
      <c r="U46" s="42">
        <f>'S21'!T46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'S21'!M47+L47</f>
        <v/>
      </c>
      <c r="N47" s="31">
        <f>IFERROR(M47/K47,0)</f>
        <v/>
      </c>
      <c r="O47" s="40">
        <f>'S21'!N47</f>
        <v/>
      </c>
      <c r="P47" s="31">
        <f>N47-O47</f>
        <v/>
      </c>
      <c r="Q47" s="32" t="n"/>
      <c r="R47" s="32" t="n"/>
      <c r="S47" s="32" t="n"/>
      <c r="T47" s="33" t="n"/>
      <c r="U47" s="40">
        <f>'S21'!T47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'S21'!M48+L48</f>
        <v/>
      </c>
      <c r="N48" s="36">
        <f>IFERROR(M48/K48,0)</f>
        <v/>
      </c>
      <c r="O48" s="42">
        <f>'S21'!N48</f>
        <v/>
      </c>
      <c r="P48" s="36">
        <f>N48-O48</f>
        <v/>
      </c>
      <c r="Q48" s="32" t="n"/>
      <c r="R48" s="32" t="n"/>
      <c r="S48" s="32" t="n"/>
      <c r="T48" s="33" t="n"/>
      <c r="U48" s="42">
        <f>'S21'!T48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'S21'!M49+L49</f>
        <v/>
      </c>
      <c r="N49" s="31">
        <f>IFERROR(M49/K49,0)</f>
        <v/>
      </c>
      <c r="O49" s="40">
        <f>'S21'!N49</f>
        <v/>
      </c>
      <c r="P49" s="31">
        <f>N49-O49</f>
        <v/>
      </c>
      <c r="Q49" s="32" t="n"/>
      <c r="R49" s="32" t="n"/>
      <c r="S49" s="32" t="n"/>
      <c r="T49" s="33" t="n"/>
      <c r="U49" s="40">
        <f>'S21'!T49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'S21'!M50+L50</f>
        <v/>
      </c>
      <c r="N50" s="36">
        <f>IFERROR(M50/K50,0)</f>
        <v/>
      </c>
      <c r="O50" s="42">
        <f>'S21'!N50</f>
        <v/>
      </c>
      <c r="P50" s="36">
        <f>N50-O50</f>
        <v/>
      </c>
      <c r="Q50" s="32" t="n"/>
      <c r="R50" s="32" t="n"/>
      <c r="S50" s="32" t="n"/>
      <c r="T50" s="33" t="n"/>
      <c r="U50" s="42">
        <f>'S21'!T50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'S21'!M51+L51</f>
        <v/>
      </c>
      <c r="N51" s="31">
        <f>IFERROR(M51/K51,0)</f>
        <v/>
      </c>
      <c r="O51" s="40">
        <f>'S21'!N51</f>
        <v/>
      </c>
      <c r="P51" s="31">
        <f>N51-O51</f>
        <v/>
      </c>
      <c r="Q51" s="32" t="n"/>
      <c r="R51" s="32" t="n"/>
      <c r="S51" s="32" t="n"/>
      <c r="T51" s="33" t="n"/>
      <c r="U51" s="40">
        <f>'S21'!T51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'S21'!M52+L52</f>
        <v/>
      </c>
      <c r="N52" s="36">
        <f>IFERROR(M52/K52,0)</f>
        <v/>
      </c>
      <c r="O52" s="42">
        <f>'S21'!N52</f>
        <v/>
      </c>
      <c r="P52" s="36">
        <f>N52-O52</f>
        <v/>
      </c>
      <c r="Q52" s="32" t="n"/>
      <c r="R52" s="32" t="n"/>
      <c r="S52" s="32" t="n"/>
      <c r="T52" s="33" t="n"/>
      <c r="U52" s="42">
        <f>'S21'!T52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'S21'!M53+L53</f>
        <v/>
      </c>
      <c r="N53" s="31">
        <f>IFERROR(M53/K53,0)</f>
        <v/>
      </c>
      <c r="O53" s="40">
        <f>'S21'!N53</f>
        <v/>
      </c>
      <c r="P53" s="31">
        <f>N53-O53</f>
        <v/>
      </c>
      <c r="Q53" s="32" t="n"/>
      <c r="R53" s="32" t="n"/>
      <c r="S53" s="32" t="n"/>
      <c r="T53" s="33" t="n"/>
      <c r="U53" s="40">
        <f>'S21'!T53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'S21'!M54+L54</f>
        <v/>
      </c>
      <c r="N54" s="36">
        <f>IFERROR(M54/K54,0)</f>
        <v/>
      </c>
      <c r="O54" s="42">
        <f>'S21'!N54</f>
        <v/>
      </c>
      <c r="P54" s="36">
        <f>N54-O54</f>
        <v/>
      </c>
      <c r="Q54" s="32" t="n"/>
      <c r="R54" s="32" t="n"/>
      <c r="S54" s="32" t="n"/>
      <c r="T54" s="33" t="n"/>
      <c r="U54" s="42">
        <f>'S21'!T54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'S21'!M55+L55</f>
        <v/>
      </c>
      <c r="N55" s="31">
        <f>IFERROR(M55/K55,0)</f>
        <v/>
      </c>
      <c r="O55" s="40">
        <f>'S21'!N55</f>
        <v/>
      </c>
      <c r="P55" s="31">
        <f>N55-O55</f>
        <v/>
      </c>
      <c r="Q55" s="32" t="n"/>
      <c r="R55" s="32" t="n"/>
      <c r="S55" s="32" t="n"/>
      <c r="T55" s="33" t="n"/>
      <c r="U55" s="40">
        <f>'S21'!T55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'S21'!M56+L56</f>
        <v/>
      </c>
      <c r="N56" s="36">
        <f>IFERROR(M56/K56,0)</f>
        <v/>
      </c>
      <c r="O56" s="42">
        <f>'S21'!N56</f>
        <v/>
      </c>
      <c r="P56" s="36">
        <f>N56-O56</f>
        <v/>
      </c>
      <c r="Q56" s="32" t="n"/>
      <c r="R56" s="32" t="n"/>
      <c r="S56" s="32" t="n"/>
      <c r="T56" s="33" t="n"/>
      <c r="U56" s="42">
        <f>'S21'!T56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'S21'!M57+L57</f>
        <v/>
      </c>
      <c r="N57" s="31">
        <f>IFERROR(M57/K57,0)</f>
        <v/>
      </c>
      <c r="O57" s="40">
        <f>'S21'!N57</f>
        <v/>
      </c>
      <c r="P57" s="31">
        <f>N57-O57</f>
        <v/>
      </c>
      <c r="Q57" s="32" t="n"/>
      <c r="R57" s="32" t="n"/>
      <c r="S57" s="32" t="n"/>
      <c r="T57" s="33" t="n"/>
      <c r="U57" s="40">
        <f>'S21'!T57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'S21'!M58+L58</f>
        <v/>
      </c>
      <c r="N58" s="36">
        <f>IFERROR(M58/K58,0)</f>
        <v/>
      </c>
      <c r="O58" s="42">
        <f>'S21'!N58</f>
        <v/>
      </c>
      <c r="P58" s="36">
        <f>N58-O58</f>
        <v/>
      </c>
      <c r="Q58" s="32" t="n"/>
      <c r="R58" s="32" t="n"/>
      <c r="S58" s="32" t="n"/>
      <c r="T58" s="33" t="n"/>
      <c r="U58" s="42">
        <f>'S21'!T58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'S21'!M59+L59</f>
        <v/>
      </c>
      <c r="N59" s="31">
        <f>IFERROR(M59/K59,0)</f>
        <v/>
      </c>
      <c r="O59" s="40">
        <f>'S21'!N59</f>
        <v/>
      </c>
      <c r="P59" s="31">
        <f>N59-O59</f>
        <v/>
      </c>
      <c r="Q59" s="32" t="n"/>
      <c r="R59" s="32" t="n"/>
      <c r="S59" s="32" t="n"/>
      <c r="T59" s="33" t="n"/>
      <c r="U59" s="40">
        <f>'S21'!T59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'S21'!M60+L60</f>
        <v/>
      </c>
      <c r="N60" s="36">
        <f>IFERROR(M60/K60,0)</f>
        <v/>
      </c>
      <c r="O60" s="42">
        <f>'S21'!N60</f>
        <v/>
      </c>
      <c r="P60" s="36">
        <f>N60-O60</f>
        <v/>
      </c>
      <c r="Q60" s="32" t="n"/>
      <c r="R60" s="32" t="n"/>
      <c r="S60" s="32" t="n"/>
      <c r="T60" s="33" t="n"/>
      <c r="U60" s="42">
        <f>'S21'!T60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'S21'!M61+L61</f>
        <v/>
      </c>
      <c r="N61" s="31">
        <f>IFERROR(M61/K61,0)</f>
        <v/>
      </c>
      <c r="O61" s="40">
        <f>'S21'!N61</f>
        <v/>
      </c>
      <c r="P61" s="31">
        <f>N61-O61</f>
        <v/>
      </c>
      <c r="Q61" s="32" t="n"/>
      <c r="R61" s="32" t="n"/>
      <c r="S61" s="32" t="n"/>
      <c r="T61" s="33" t="n"/>
      <c r="U61" s="40">
        <f>'S21'!T61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'S21'!M62+L62</f>
        <v/>
      </c>
      <c r="N62" s="36">
        <f>IFERROR(M62/K62,0)</f>
        <v/>
      </c>
      <c r="O62" s="42">
        <f>'S21'!N62</f>
        <v/>
      </c>
      <c r="P62" s="36">
        <f>N62-O62</f>
        <v/>
      </c>
      <c r="Q62" s="32" t="n"/>
      <c r="R62" s="32" t="n"/>
      <c r="S62" s="32" t="n"/>
      <c r="T62" s="33" t="n"/>
      <c r="U62" s="42">
        <f>'S21'!T62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'S21'!M63+L63</f>
        <v/>
      </c>
      <c r="N63" s="31">
        <f>IFERROR(M63/K63,0)</f>
        <v/>
      </c>
      <c r="O63" s="40">
        <f>'S21'!N63</f>
        <v/>
      </c>
      <c r="P63" s="31">
        <f>N63-O63</f>
        <v/>
      </c>
      <c r="Q63" s="32" t="n"/>
      <c r="R63" s="32" t="n"/>
      <c r="S63" s="32" t="n"/>
      <c r="T63" s="33" t="n"/>
      <c r="U63" s="40">
        <f>'S21'!T63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'S21'!M64+L64</f>
        <v/>
      </c>
      <c r="N64" s="36">
        <f>IFERROR(M64/K64,0)</f>
        <v/>
      </c>
      <c r="O64" s="42">
        <f>'S21'!N64</f>
        <v/>
      </c>
      <c r="P64" s="36">
        <f>N64-O64</f>
        <v/>
      </c>
      <c r="Q64" s="32" t="n"/>
      <c r="R64" s="32" t="n"/>
      <c r="S64" s="32" t="n"/>
      <c r="T64" s="33" t="n"/>
      <c r="U64" s="42">
        <f>'S21'!T64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'S21'!M65+L65</f>
        <v/>
      </c>
      <c r="N65" s="31">
        <f>IFERROR(M65/K65,0)</f>
        <v/>
      </c>
      <c r="O65" s="40">
        <f>'S21'!N65</f>
        <v/>
      </c>
      <c r="P65" s="31">
        <f>N65-O65</f>
        <v/>
      </c>
      <c r="Q65" s="32" t="n"/>
      <c r="R65" s="32" t="n"/>
      <c r="S65" s="32" t="n"/>
      <c r="T65" s="33" t="n"/>
      <c r="U65" s="40">
        <f>'S21'!T65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'S21'!M66+L66</f>
        <v/>
      </c>
      <c r="N66" s="36">
        <f>IFERROR(M66/K66,0)</f>
        <v/>
      </c>
      <c r="O66" s="42">
        <f>'S21'!N66</f>
        <v/>
      </c>
      <c r="P66" s="36">
        <f>N66-O66</f>
        <v/>
      </c>
      <c r="Q66" s="32" t="n"/>
      <c r="R66" s="32" t="n"/>
      <c r="S66" s="32" t="n"/>
      <c r="T66" s="33" t="n"/>
      <c r="U66" s="42">
        <f>'S21'!T66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'S21'!M67+L67</f>
        <v/>
      </c>
      <c r="N67" s="31">
        <f>IFERROR(M67/K67,0)</f>
        <v/>
      </c>
      <c r="O67" s="40">
        <f>'S21'!N67</f>
        <v/>
      </c>
      <c r="P67" s="31">
        <f>N67-O67</f>
        <v/>
      </c>
      <c r="Q67" s="32" t="n"/>
      <c r="R67" s="32" t="n"/>
      <c r="S67" s="32" t="n"/>
      <c r="T67" s="33" t="n"/>
      <c r="U67" s="40">
        <f>'S21'!T67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'S21'!M68+L68</f>
        <v/>
      </c>
      <c r="N68" s="36">
        <f>IFERROR(M68/K68,0)</f>
        <v/>
      </c>
      <c r="O68" s="42">
        <f>'S21'!N68</f>
        <v/>
      </c>
      <c r="P68" s="36">
        <f>N68-O68</f>
        <v/>
      </c>
      <c r="Q68" s="32" t="n"/>
      <c r="R68" s="32" t="n"/>
      <c r="S68" s="32" t="n"/>
      <c r="T68" s="33" t="n"/>
      <c r="U68" s="42">
        <f>'S21'!T68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'S21'!M69+L69</f>
        <v/>
      </c>
      <c r="N69" s="31">
        <f>IFERROR(M69/K69,0)</f>
        <v/>
      </c>
      <c r="O69" s="40">
        <f>'S21'!N69</f>
        <v/>
      </c>
      <c r="P69" s="31">
        <f>N69-O69</f>
        <v/>
      </c>
      <c r="Q69" s="32" t="n"/>
      <c r="R69" s="32" t="n"/>
      <c r="S69" s="32" t="n"/>
      <c r="T69" s="33" t="n"/>
      <c r="U69" s="40">
        <f>'S21'!T69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'S21'!M70+L70</f>
        <v/>
      </c>
      <c r="N70" s="36">
        <f>IFERROR(M70/K70,0)</f>
        <v/>
      </c>
      <c r="O70" s="42">
        <f>'S21'!N70</f>
        <v/>
      </c>
      <c r="P70" s="36">
        <f>N70-O70</f>
        <v/>
      </c>
      <c r="Q70" s="32" t="n"/>
      <c r="R70" s="32" t="n"/>
      <c r="S70" s="32" t="n"/>
      <c r="T70" s="33" t="n"/>
      <c r="U70" s="42">
        <f>'S21'!T70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'S21'!M71+L71</f>
        <v/>
      </c>
      <c r="N71" s="31">
        <f>IFERROR(M71/K71,0)</f>
        <v/>
      </c>
      <c r="O71" s="40">
        <f>'S21'!N71</f>
        <v/>
      </c>
      <c r="P71" s="31">
        <f>N71-O71</f>
        <v/>
      </c>
      <c r="Q71" s="32" t="n"/>
      <c r="R71" s="32" t="n"/>
      <c r="S71" s="32" t="n"/>
      <c r="T71" s="33" t="n"/>
      <c r="U71" s="40">
        <f>'S21'!T71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'S21'!M72+L72</f>
        <v/>
      </c>
      <c r="N72" s="36">
        <f>IFERROR(M72/K72,0)</f>
        <v/>
      </c>
      <c r="O72" s="42">
        <f>'S21'!N72</f>
        <v/>
      </c>
      <c r="P72" s="36">
        <f>N72-O72</f>
        <v/>
      </c>
      <c r="Q72" s="32" t="n"/>
      <c r="R72" s="32" t="n"/>
      <c r="S72" s="32" t="n"/>
      <c r="T72" s="33" t="n"/>
      <c r="U72" s="42">
        <f>'S21'!T72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'S21'!M73+L73</f>
        <v/>
      </c>
      <c r="N73" s="31">
        <f>IFERROR(M73/K73,0)</f>
        <v/>
      </c>
      <c r="O73" s="40">
        <f>'S21'!N73</f>
        <v/>
      </c>
      <c r="P73" s="31">
        <f>N73-O73</f>
        <v/>
      </c>
      <c r="Q73" s="32" t="n"/>
      <c r="R73" s="32" t="n"/>
      <c r="S73" s="32" t="n"/>
      <c r="T73" s="33" t="n"/>
      <c r="U73" s="40">
        <f>'S21'!T73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'S21'!M74+L74</f>
        <v/>
      </c>
      <c r="N74" s="36">
        <f>IFERROR(M74/K74,0)</f>
        <v/>
      </c>
      <c r="O74" s="42">
        <f>'S21'!N74</f>
        <v/>
      </c>
      <c r="P74" s="36">
        <f>N74-O74</f>
        <v/>
      </c>
      <c r="Q74" s="32" t="n"/>
      <c r="R74" s="32" t="n"/>
      <c r="S74" s="32" t="n"/>
      <c r="T74" s="33" t="n"/>
      <c r="U74" s="42">
        <f>'S21'!T74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'S21'!M75+L75</f>
        <v/>
      </c>
      <c r="N75" s="31">
        <f>IFERROR(M75/K75,0)</f>
        <v/>
      </c>
      <c r="O75" s="40">
        <f>'S21'!N75</f>
        <v/>
      </c>
      <c r="P75" s="31">
        <f>N75-O75</f>
        <v/>
      </c>
      <c r="Q75" s="32" t="n"/>
      <c r="R75" s="32" t="n"/>
      <c r="S75" s="32" t="n"/>
      <c r="T75" s="33" t="n"/>
      <c r="U75" s="40">
        <f>'S21'!T75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'S21'!M76+L76</f>
        <v/>
      </c>
      <c r="N76" s="36">
        <f>IFERROR(M76/K76,0)</f>
        <v/>
      </c>
      <c r="O76" s="42">
        <f>'S21'!N76</f>
        <v/>
      </c>
      <c r="P76" s="36">
        <f>N76-O76</f>
        <v/>
      </c>
      <c r="Q76" s="32" t="n"/>
      <c r="R76" s="32" t="n"/>
      <c r="S76" s="32" t="n"/>
      <c r="T76" s="33" t="n"/>
      <c r="U76" s="42">
        <f>'S21'!T76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25.xml><?xml version="1.0" encoding="utf-8"?>
<worksheet xmlns="http://schemas.openxmlformats.org/spreadsheetml/2006/main">
  <sheetPr>
    <tabColor rgb="00ED7D31"/>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23 (01/06 - 07/06) — Juin 2026 - Exécution Physique et Financière</t>
        </is>
      </c>
    </row>
    <row r="3" ht="22" customHeight="1">
      <c r="B3" s="20" t="inlineStr">
        <is>
          <t>Date :</t>
        </is>
      </c>
      <c r="C3" s="21" t="n">
        <v>46174</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'S22'!M5+L5</f>
        <v/>
      </c>
      <c r="N5" s="31">
        <f>IFERROR(M5/K5,0)</f>
        <v/>
      </c>
      <c r="O5" s="40">
        <f>'S22'!N5</f>
        <v/>
      </c>
      <c r="P5" s="31">
        <f>N5-O5</f>
        <v/>
      </c>
      <c r="Q5" s="32" t="n"/>
      <c r="R5" s="32" t="n"/>
      <c r="S5" s="32" t="n"/>
      <c r="T5" s="33" t="n"/>
      <c r="U5" s="40">
        <f>'S22'!T5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'S22'!M6+L6</f>
        <v/>
      </c>
      <c r="N6" s="36">
        <f>IFERROR(M6/K6,0)</f>
        <v/>
      </c>
      <c r="O6" s="42">
        <f>'S22'!N6</f>
        <v/>
      </c>
      <c r="P6" s="36">
        <f>N6-O6</f>
        <v/>
      </c>
      <c r="Q6" s="32" t="n"/>
      <c r="R6" s="32" t="n"/>
      <c r="S6" s="32" t="n"/>
      <c r="T6" s="33" t="n"/>
      <c r="U6" s="42">
        <f>'S22'!T6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'S22'!M7+L7</f>
        <v/>
      </c>
      <c r="N7" s="31">
        <f>IFERROR(M7/K7,0)</f>
        <v/>
      </c>
      <c r="O7" s="40">
        <f>'S22'!N7</f>
        <v/>
      </c>
      <c r="P7" s="31">
        <f>N7-O7</f>
        <v/>
      </c>
      <c r="Q7" s="32" t="n"/>
      <c r="R7" s="32" t="n"/>
      <c r="S7" s="32" t="n"/>
      <c r="T7" s="33" t="n"/>
      <c r="U7" s="40">
        <f>'S22'!T7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'S22'!M8+L8</f>
        <v/>
      </c>
      <c r="N8" s="36">
        <f>IFERROR(M8/K8,0)</f>
        <v/>
      </c>
      <c r="O8" s="42">
        <f>'S22'!N8</f>
        <v/>
      </c>
      <c r="P8" s="36">
        <f>N8-O8</f>
        <v/>
      </c>
      <c r="Q8" s="32" t="n"/>
      <c r="R8" s="32" t="n"/>
      <c r="S8" s="32" t="n"/>
      <c r="T8" s="33" t="n"/>
      <c r="U8" s="42">
        <f>'S22'!T8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'S22'!M9+L9</f>
        <v/>
      </c>
      <c r="N9" s="31">
        <f>IFERROR(M9/K9,0)</f>
        <v/>
      </c>
      <c r="O9" s="40">
        <f>'S22'!N9</f>
        <v/>
      </c>
      <c r="P9" s="31">
        <f>N9-O9</f>
        <v/>
      </c>
      <c r="Q9" s="32" t="n"/>
      <c r="R9" s="32" t="n"/>
      <c r="S9" s="32" t="n"/>
      <c r="T9" s="33" t="n"/>
      <c r="U9" s="40">
        <f>'S22'!T9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'S22'!M10+L10</f>
        <v/>
      </c>
      <c r="N10" s="36">
        <f>IFERROR(M10/K10,0)</f>
        <v/>
      </c>
      <c r="O10" s="42">
        <f>'S22'!N10</f>
        <v/>
      </c>
      <c r="P10" s="36">
        <f>N10-O10</f>
        <v/>
      </c>
      <c r="Q10" s="32" t="n"/>
      <c r="R10" s="32" t="n"/>
      <c r="S10" s="32" t="n"/>
      <c r="T10" s="33" t="n"/>
      <c r="U10" s="42">
        <f>'S22'!T10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'S22'!M11+L11</f>
        <v/>
      </c>
      <c r="N11" s="31">
        <f>IFERROR(M11/K11,0)</f>
        <v/>
      </c>
      <c r="O11" s="40">
        <f>'S22'!N11</f>
        <v/>
      </c>
      <c r="P11" s="31">
        <f>N11-O11</f>
        <v/>
      </c>
      <c r="Q11" s="32" t="n"/>
      <c r="R11" s="32" t="n"/>
      <c r="S11" s="32" t="n"/>
      <c r="T11" s="33" t="n"/>
      <c r="U11" s="40">
        <f>'S22'!T11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'S22'!M12+L12</f>
        <v/>
      </c>
      <c r="N12" s="36">
        <f>IFERROR(M12/K12,0)</f>
        <v/>
      </c>
      <c r="O12" s="42">
        <f>'S22'!N12</f>
        <v/>
      </c>
      <c r="P12" s="36">
        <f>N12-O12</f>
        <v/>
      </c>
      <c r="Q12" s="32" t="n"/>
      <c r="R12" s="32" t="n"/>
      <c r="S12" s="32" t="n"/>
      <c r="T12" s="33" t="n"/>
      <c r="U12" s="42">
        <f>'S22'!T12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'S22'!M13+L13</f>
        <v/>
      </c>
      <c r="N13" s="31">
        <f>IFERROR(M13/K13,0)</f>
        <v/>
      </c>
      <c r="O13" s="40">
        <f>'S22'!N13</f>
        <v/>
      </c>
      <c r="P13" s="31">
        <f>N13-O13</f>
        <v/>
      </c>
      <c r="Q13" s="32" t="n"/>
      <c r="R13" s="32" t="n"/>
      <c r="S13" s="32" t="n"/>
      <c r="T13" s="33" t="n"/>
      <c r="U13" s="40">
        <f>'S22'!T13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'S22'!M14+L14</f>
        <v/>
      </c>
      <c r="N14" s="36">
        <f>IFERROR(M14/K14,0)</f>
        <v/>
      </c>
      <c r="O14" s="42">
        <f>'S22'!N14</f>
        <v/>
      </c>
      <c r="P14" s="36">
        <f>N14-O14</f>
        <v/>
      </c>
      <c r="Q14" s="32" t="n"/>
      <c r="R14" s="32" t="n"/>
      <c r="S14" s="32" t="n"/>
      <c r="T14" s="33" t="n"/>
      <c r="U14" s="42">
        <f>'S22'!T14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'S22'!M15+L15</f>
        <v/>
      </c>
      <c r="N15" s="31">
        <f>IFERROR(M15/K15,0)</f>
        <v/>
      </c>
      <c r="O15" s="40">
        <f>'S22'!N15</f>
        <v/>
      </c>
      <c r="P15" s="31">
        <f>N15-O15</f>
        <v/>
      </c>
      <c r="Q15" s="32" t="n"/>
      <c r="R15" s="32" t="n"/>
      <c r="S15" s="32" t="n"/>
      <c r="T15" s="33" t="n"/>
      <c r="U15" s="40">
        <f>'S22'!T15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'S22'!M16+L16</f>
        <v/>
      </c>
      <c r="N16" s="36">
        <f>IFERROR(M16/K16,0)</f>
        <v/>
      </c>
      <c r="O16" s="42">
        <f>'S22'!N16</f>
        <v/>
      </c>
      <c r="P16" s="36">
        <f>N16-O16</f>
        <v/>
      </c>
      <c r="Q16" s="32" t="n"/>
      <c r="R16" s="32" t="n"/>
      <c r="S16" s="32" t="n"/>
      <c r="T16" s="33" t="n"/>
      <c r="U16" s="42">
        <f>'S22'!T16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'S22'!M17+L17</f>
        <v/>
      </c>
      <c r="N17" s="31">
        <f>IFERROR(M17/K17,0)</f>
        <v/>
      </c>
      <c r="O17" s="40">
        <f>'S22'!N17</f>
        <v/>
      </c>
      <c r="P17" s="31">
        <f>N17-O17</f>
        <v/>
      </c>
      <c r="Q17" s="32" t="n"/>
      <c r="R17" s="32" t="n"/>
      <c r="S17" s="32" t="n"/>
      <c r="T17" s="33" t="n"/>
      <c r="U17" s="40">
        <f>'S22'!T17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'S22'!M18+L18</f>
        <v/>
      </c>
      <c r="N18" s="36">
        <f>IFERROR(M18/K18,0)</f>
        <v/>
      </c>
      <c r="O18" s="42">
        <f>'S22'!N18</f>
        <v/>
      </c>
      <c r="P18" s="36">
        <f>N18-O18</f>
        <v/>
      </c>
      <c r="Q18" s="32" t="n"/>
      <c r="R18" s="32" t="n"/>
      <c r="S18" s="32" t="n"/>
      <c r="T18" s="33" t="n"/>
      <c r="U18" s="42">
        <f>'S22'!T18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'S22'!M19+L19</f>
        <v/>
      </c>
      <c r="N19" s="31">
        <f>IFERROR(M19/K19,0)</f>
        <v/>
      </c>
      <c r="O19" s="40">
        <f>'S22'!N19</f>
        <v/>
      </c>
      <c r="P19" s="31">
        <f>N19-O19</f>
        <v/>
      </c>
      <c r="Q19" s="32" t="n"/>
      <c r="R19" s="32" t="n"/>
      <c r="S19" s="32" t="n"/>
      <c r="T19" s="33" t="n"/>
      <c r="U19" s="40">
        <f>'S22'!T19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'S22'!M20+L20</f>
        <v/>
      </c>
      <c r="N20" s="36">
        <f>IFERROR(M20/K20,0)</f>
        <v/>
      </c>
      <c r="O20" s="42">
        <f>'S22'!N20</f>
        <v/>
      </c>
      <c r="P20" s="36">
        <f>N20-O20</f>
        <v/>
      </c>
      <c r="Q20" s="32" t="n"/>
      <c r="R20" s="32" t="n"/>
      <c r="S20" s="32" t="n"/>
      <c r="T20" s="33" t="n"/>
      <c r="U20" s="42">
        <f>'S22'!T20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'S22'!M21+L21</f>
        <v/>
      </c>
      <c r="N21" s="31">
        <f>IFERROR(M21/K21,0)</f>
        <v/>
      </c>
      <c r="O21" s="40">
        <f>'S22'!N21</f>
        <v/>
      </c>
      <c r="P21" s="31">
        <f>N21-O21</f>
        <v/>
      </c>
      <c r="Q21" s="32" t="n"/>
      <c r="R21" s="32" t="n"/>
      <c r="S21" s="32" t="n"/>
      <c r="T21" s="33" t="n"/>
      <c r="U21" s="40">
        <f>'S22'!T21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'S22'!M22+L22</f>
        <v/>
      </c>
      <c r="N22" s="36">
        <f>IFERROR(M22/K22,0)</f>
        <v/>
      </c>
      <c r="O22" s="42">
        <f>'S22'!N22</f>
        <v/>
      </c>
      <c r="P22" s="36">
        <f>N22-O22</f>
        <v/>
      </c>
      <c r="Q22" s="32" t="n"/>
      <c r="R22" s="32" t="n"/>
      <c r="S22" s="32" t="n"/>
      <c r="T22" s="33" t="n"/>
      <c r="U22" s="42">
        <f>'S22'!T22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'S22'!M23+L23</f>
        <v/>
      </c>
      <c r="N23" s="31">
        <f>IFERROR(M23/K23,0)</f>
        <v/>
      </c>
      <c r="O23" s="40">
        <f>'S22'!N23</f>
        <v/>
      </c>
      <c r="P23" s="31">
        <f>N23-O23</f>
        <v/>
      </c>
      <c r="Q23" s="32" t="n"/>
      <c r="R23" s="32" t="n"/>
      <c r="S23" s="32" t="n"/>
      <c r="T23" s="33" t="n"/>
      <c r="U23" s="40">
        <f>'S22'!T23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'S22'!M24+L24</f>
        <v/>
      </c>
      <c r="N24" s="36">
        <f>IFERROR(M24/K24,0)</f>
        <v/>
      </c>
      <c r="O24" s="42">
        <f>'S22'!N24</f>
        <v/>
      </c>
      <c r="P24" s="36">
        <f>N24-O24</f>
        <v/>
      </c>
      <c r="Q24" s="32" t="n"/>
      <c r="R24" s="32" t="n"/>
      <c r="S24" s="32" t="n"/>
      <c r="T24" s="33" t="n"/>
      <c r="U24" s="42">
        <f>'S22'!T24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'S22'!M25+L25</f>
        <v/>
      </c>
      <c r="N25" s="31">
        <f>IFERROR(M25/K25,0)</f>
        <v/>
      </c>
      <c r="O25" s="40">
        <f>'S22'!N25</f>
        <v/>
      </c>
      <c r="P25" s="31">
        <f>N25-O25</f>
        <v/>
      </c>
      <c r="Q25" s="32" t="n"/>
      <c r="R25" s="32" t="n"/>
      <c r="S25" s="32" t="n"/>
      <c r="T25" s="33" t="n"/>
      <c r="U25" s="40">
        <f>'S22'!T25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'S22'!M26+L26</f>
        <v/>
      </c>
      <c r="N26" s="36">
        <f>IFERROR(M26/K26,0)</f>
        <v/>
      </c>
      <c r="O26" s="42">
        <f>'S22'!N26</f>
        <v/>
      </c>
      <c r="P26" s="36">
        <f>N26-O26</f>
        <v/>
      </c>
      <c r="Q26" s="32" t="n"/>
      <c r="R26" s="32" t="n"/>
      <c r="S26" s="32" t="n"/>
      <c r="T26" s="33" t="n"/>
      <c r="U26" s="42">
        <f>'S22'!T26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'S22'!M27+L27</f>
        <v/>
      </c>
      <c r="N27" s="31">
        <f>IFERROR(M27/K27,0)</f>
        <v/>
      </c>
      <c r="O27" s="40">
        <f>'S22'!N27</f>
        <v/>
      </c>
      <c r="P27" s="31">
        <f>N27-O27</f>
        <v/>
      </c>
      <c r="Q27" s="32" t="n"/>
      <c r="R27" s="32" t="n"/>
      <c r="S27" s="32" t="n"/>
      <c r="T27" s="33" t="n"/>
      <c r="U27" s="40">
        <f>'S22'!T27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'S22'!M28+L28</f>
        <v/>
      </c>
      <c r="N28" s="36">
        <f>IFERROR(M28/K28,0)</f>
        <v/>
      </c>
      <c r="O28" s="42">
        <f>'S22'!N28</f>
        <v/>
      </c>
      <c r="P28" s="36">
        <f>N28-O28</f>
        <v/>
      </c>
      <c r="Q28" s="32" t="n"/>
      <c r="R28" s="32" t="n"/>
      <c r="S28" s="32" t="n"/>
      <c r="T28" s="33" t="n"/>
      <c r="U28" s="42">
        <f>'S22'!T28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'S22'!M29+L29</f>
        <v/>
      </c>
      <c r="N29" s="31">
        <f>IFERROR(M29/K29,0)</f>
        <v/>
      </c>
      <c r="O29" s="40">
        <f>'S22'!N29</f>
        <v/>
      </c>
      <c r="P29" s="31">
        <f>N29-O29</f>
        <v/>
      </c>
      <c r="Q29" s="32" t="n"/>
      <c r="R29" s="32" t="n"/>
      <c r="S29" s="32" t="n"/>
      <c r="T29" s="33" t="n"/>
      <c r="U29" s="40">
        <f>'S22'!T29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'S22'!M30+L30</f>
        <v/>
      </c>
      <c r="N30" s="36">
        <f>IFERROR(M30/K30,0)</f>
        <v/>
      </c>
      <c r="O30" s="42">
        <f>'S22'!N30</f>
        <v/>
      </c>
      <c r="P30" s="36">
        <f>N30-O30</f>
        <v/>
      </c>
      <c r="Q30" s="32" t="n"/>
      <c r="R30" s="32" t="n"/>
      <c r="S30" s="32" t="n"/>
      <c r="T30" s="33" t="n"/>
      <c r="U30" s="42">
        <f>'S22'!T30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'S22'!M31+L31</f>
        <v/>
      </c>
      <c r="N31" s="31">
        <f>IFERROR(M31/K31,0)</f>
        <v/>
      </c>
      <c r="O31" s="40">
        <f>'S22'!N31</f>
        <v/>
      </c>
      <c r="P31" s="31">
        <f>N31-O31</f>
        <v/>
      </c>
      <c r="Q31" s="32" t="n"/>
      <c r="R31" s="32" t="n"/>
      <c r="S31" s="32" t="n"/>
      <c r="T31" s="33" t="n"/>
      <c r="U31" s="40">
        <f>'S22'!T31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'S22'!M32+L32</f>
        <v/>
      </c>
      <c r="N32" s="36">
        <f>IFERROR(M32/K32,0)</f>
        <v/>
      </c>
      <c r="O32" s="42">
        <f>'S22'!N32</f>
        <v/>
      </c>
      <c r="P32" s="36">
        <f>N32-O32</f>
        <v/>
      </c>
      <c r="Q32" s="32" t="n"/>
      <c r="R32" s="32" t="n"/>
      <c r="S32" s="32" t="n"/>
      <c r="T32" s="33" t="n"/>
      <c r="U32" s="42">
        <f>'S22'!T32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'S22'!M33+L33</f>
        <v/>
      </c>
      <c r="N33" s="31">
        <f>IFERROR(M33/K33,0)</f>
        <v/>
      </c>
      <c r="O33" s="40">
        <f>'S22'!N33</f>
        <v/>
      </c>
      <c r="P33" s="31">
        <f>N33-O33</f>
        <v/>
      </c>
      <c r="Q33" s="32" t="n"/>
      <c r="R33" s="32" t="n"/>
      <c r="S33" s="32" t="n"/>
      <c r="T33" s="33" t="n"/>
      <c r="U33" s="40">
        <f>'S22'!T33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'S22'!M34+L34</f>
        <v/>
      </c>
      <c r="N34" s="36">
        <f>IFERROR(M34/K34,0)</f>
        <v/>
      </c>
      <c r="O34" s="42">
        <f>'S22'!N34</f>
        <v/>
      </c>
      <c r="P34" s="36">
        <f>N34-O34</f>
        <v/>
      </c>
      <c r="Q34" s="32" t="n"/>
      <c r="R34" s="32" t="n"/>
      <c r="S34" s="32" t="n"/>
      <c r="T34" s="33" t="n"/>
      <c r="U34" s="42">
        <f>'S22'!T34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'S22'!M35+L35</f>
        <v/>
      </c>
      <c r="N35" s="31">
        <f>IFERROR(M35/K35,0)</f>
        <v/>
      </c>
      <c r="O35" s="40">
        <f>'S22'!N35</f>
        <v/>
      </c>
      <c r="P35" s="31">
        <f>N35-O35</f>
        <v/>
      </c>
      <c r="Q35" s="32" t="n"/>
      <c r="R35" s="32" t="n"/>
      <c r="S35" s="32" t="n"/>
      <c r="T35" s="33" t="n"/>
      <c r="U35" s="40">
        <f>'S22'!T35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'S22'!M36+L36</f>
        <v/>
      </c>
      <c r="N36" s="36">
        <f>IFERROR(M36/K36,0)</f>
        <v/>
      </c>
      <c r="O36" s="42">
        <f>'S22'!N36</f>
        <v/>
      </c>
      <c r="P36" s="36">
        <f>N36-O36</f>
        <v/>
      </c>
      <c r="Q36" s="32" t="n"/>
      <c r="R36" s="32" t="n"/>
      <c r="S36" s="32" t="n"/>
      <c r="T36" s="33" t="n"/>
      <c r="U36" s="42">
        <f>'S22'!T36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'S22'!M37+L37</f>
        <v/>
      </c>
      <c r="N37" s="31">
        <f>IFERROR(M37/K37,0)</f>
        <v/>
      </c>
      <c r="O37" s="40">
        <f>'S22'!N37</f>
        <v/>
      </c>
      <c r="P37" s="31">
        <f>N37-O37</f>
        <v/>
      </c>
      <c r="Q37" s="32" t="n"/>
      <c r="R37" s="32" t="n"/>
      <c r="S37" s="32" t="n"/>
      <c r="T37" s="33" t="n"/>
      <c r="U37" s="40">
        <f>'S22'!T37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'S22'!M38+L38</f>
        <v/>
      </c>
      <c r="N38" s="36">
        <f>IFERROR(M38/K38,0)</f>
        <v/>
      </c>
      <c r="O38" s="42">
        <f>'S22'!N38</f>
        <v/>
      </c>
      <c r="P38" s="36">
        <f>N38-O38</f>
        <v/>
      </c>
      <c r="Q38" s="32" t="n"/>
      <c r="R38" s="32" t="n"/>
      <c r="S38" s="32" t="n"/>
      <c r="T38" s="33" t="n"/>
      <c r="U38" s="42">
        <f>'S22'!T38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'S22'!M39+L39</f>
        <v/>
      </c>
      <c r="N39" s="31">
        <f>IFERROR(M39/K39,0)</f>
        <v/>
      </c>
      <c r="O39" s="40">
        <f>'S22'!N39</f>
        <v/>
      </c>
      <c r="P39" s="31">
        <f>N39-O39</f>
        <v/>
      </c>
      <c r="Q39" s="32" t="n"/>
      <c r="R39" s="32" t="n"/>
      <c r="S39" s="32" t="n"/>
      <c r="T39" s="33" t="n"/>
      <c r="U39" s="40">
        <f>'S22'!T39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'S22'!M40+L40</f>
        <v/>
      </c>
      <c r="N40" s="36">
        <f>IFERROR(M40/K40,0)</f>
        <v/>
      </c>
      <c r="O40" s="42">
        <f>'S22'!N40</f>
        <v/>
      </c>
      <c r="P40" s="36">
        <f>N40-O40</f>
        <v/>
      </c>
      <c r="Q40" s="32" t="n"/>
      <c r="R40" s="32" t="n"/>
      <c r="S40" s="32" t="n"/>
      <c r="T40" s="33" t="n"/>
      <c r="U40" s="42">
        <f>'S22'!T40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'S22'!M41+L41</f>
        <v/>
      </c>
      <c r="N41" s="31">
        <f>IFERROR(M41/K41,0)</f>
        <v/>
      </c>
      <c r="O41" s="40">
        <f>'S22'!N41</f>
        <v/>
      </c>
      <c r="P41" s="31">
        <f>N41-O41</f>
        <v/>
      </c>
      <c r="Q41" s="32" t="n"/>
      <c r="R41" s="32" t="n"/>
      <c r="S41" s="32" t="n"/>
      <c r="T41" s="33" t="n"/>
      <c r="U41" s="40">
        <f>'S22'!T41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'S22'!M42+L42</f>
        <v/>
      </c>
      <c r="N42" s="36">
        <f>IFERROR(M42/K42,0)</f>
        <v/>
      </c>
      <c r="O42" s="42">
        <f>'S22'!N42</f>
        <v/>
      </c>
      <c r="P42" s="36">
        <f>N42-O42</f>
        <v/>
      </c>
      <c r="Q42" s="32" t="n"/>
      <c r="R42" s="32" t="n"/>
      <c r="S42" s="32" t="n"/>
      <c r="T42" s="33" t="n"/>
      <c r="U42" s="42">
        <f>'S22'!T42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'S22'!M43+L43</f>
        <v/>
      </c>
      <c r="N43" s="31">
        <f>IFERROR(M43/K43,0)</f>
        <v/>
      </c>
      <c r="O43" s="40">
        <f>'S22'!N43</f>
        <v/>
      </c>
      <c r="P43" s="31">
        <f>N43-O43</f>
        <v/>
      </c>
      <c r="Q43" s="32" t="n"/>
      <c r="R43" s="32" t="n"/>
      <c r="S43" s="32" t="n"/>
      <c r="T43" s="33" t="n"/>
      <c r="U43" s="40">
        <f>'S22'!T43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'S22'!M44+L44</f>
        <v/>
      </c>
      <c r="N44" s="36">
        <f>IFERROR(M44/K44,0)</f>
        <v/>
      </c>
      <c r="O44" s="42">
        <f>'S22'!N44</f>
        <v/>
      </c>
      <c r="P44" s="36">
        <f>N44-O44</f>
        <v/>
      </c>
      <c r="Q44" s="32" t="n"/>
      <c r="R44" s="32" t="n"/>
      <c r="S44" s="32" t="n"/>
      <c r="T44" s="33" t="n"/>
      <c r="U44" s="42">
        <f>'S22'!T44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'S22'!M45+L45</f>
        <v/>
      </c>
      <c r="N45" s="31">
        <f>IFERROR(M45/K45,0)</f>
        <v/>
      </c>
      <c r="O45" s="40">
        <f>'S22'!N45</f>
        <v/>
      </c>
      <c r="P45" s="31">
        <f>N45-O45</f>
        <v/>
      </c>
      <c r="Q45" s="32" t="n"/>
      <c r="R45" s="32" t="n"/>
      <c r="S45" s="32" t="n"/>
      <c r="T45" s="33" t="n"/>
      <c r="U45" s="40">
        <f>'S22'!T45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'S22'!M46+L46</f>
        <v/>
      </c>
      <c r="N46" s="36">
        <f>IFERROR(M46/K46,0)</f>
        <v/>
      </c>
      <c r="O46" s="42">
        <f>'S22'!N46</f>
        <v/>
      </c>
      <c r="P46" s="36">
        <f>N46-O46</f>
        <v/>
      </c>
      <c r="Q46" s="32" t="n"/>
      <c r="R46" s="32" t="n"/>
      <c r="S46" s="32" t="n"/>
      <c r="T46" s="33" t="n"/>
      <c r="U46" s="42">
        <f>'S22'!T46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'S22'!M47+L47</f>
        <v/>
      </c>
      <c r="N47" s="31">
        <f>IFERROR(M47/K47,0)</f>
        <v/>
      </c>
      <c r="O47" s="40">
        <f>'S22'!N47</f>
        <v/>
      </c>
      <c r="P47" s="31">
        <f>N47-O47</f>
        <v/>
      </c>
      <c r="Q47" s="32" t="n"/>
      <c r="R47" s="32" t="n"/>
      <c r="S47" s="32" t="n"/>
      <c r="T47" s="33" t="n"/>
      <c r="U47" s="40">
        <f>'S22'!T47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'S22'!M48+L48</f>
        <v/>
      </c>
      <c r="N48" s="36">
        <f>IFERROR(M48/K48,0)</f>
        <v/>
      </c>
      <c r="O48" s="42">
        <f>'S22'!N48</f>
        <v/>
      </c>
      <c r="P48" s="36">
        <f>N48-O48</f>
        <v/>
      </c>
      <c r="Q48" s="32" t="n"/>
      <c r="R48" s="32" t="n"/>
      <c r="S48" s="32" t="n"/>
      <c r="T48" s="33" t="n"/>
      <c r="U48" s="42">
        <f>'S22'!T48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'S22'!M49+L49</f>
        <v/>
      </c>
      <c r="N49" s="31">
        <f>IFERROR(M49/K49,0)</f>
        <v/>
      </c>
      <c r="O49" s="40">
        <f>'S22'!N49</f>
        <v/>
      </c>
      <c r="P49" s="31">
        <f>N49-O49</f>
        <v/>
      </c>
      <c r="Q49" s="32" t="n"/>
      <c r="R49" s="32" t="n"/>
      <c r="S49" s="32" t="n"/>
      <c r="T49" s="33" t="n"/>
      <c r="U49" s="40">
        <f>'S22'!T49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'S22'!M50+L50</f>
        <v/>
      </c>
      <c r="N50" s="36">
        <f>IFERROR(M50/K50,0)</f>
        <v/>
      </c>
      <c r="O50" s="42">
        <f>'S22'!N50</f>
        <v/>
      </c>
      <c r="P50" s="36">
        <f>N50-O50</f>
        <v/>
      </c>
      <c r="Q50" s="32" t="n"/>
      <c r="R50" s="32" t="n"/>
      <c r="S50" s="32" t="n"/>
      <c r="T50" s="33" t="n"/>
      <c r="U50" s="42">
        <f>'S22'!T50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'S22'!M51+L51</f>
        <v/>
      </c>
      <c r="N51" s="31">
        <f>IFERROR(M51/K51,0)</f>
        <v/>
      </c>
      <c r="O51" s="40">
        <f>'S22'!N51</f>
        <v/>
      </c>
      <c r="P51" s="31">
        <f>N51-O51</f>
        <v/>
      </c>
      <c r="Q51" s="32" t="n"/>
      <c r="R51" s="32" t="n"/>
      <c r="S51" s="32" t="n"/>
      <c r="T51" s="33" t="n"/>
      <c r="U51" s="40">
        <f>'S22'!T51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'S22'!M52+L52</f>
        <v/>
      </c>
      <c r="N52" s="36">
        <f>IFERROR(M52/K52,0)</f>
        <v/>
      </c>
      <c r="O52" s="42">
        <f>'S22'!N52</f>
        <v/>
      </c>
      <c r="P52" s="36">
        <f>N52-O52</f>
        <v/>
      </c>
      <c r="Q52" s="32" t="n"/>
      <c r="R52" s="32" t="n"/>
      <c r="S52" s="32" t="n"/>
      <c r="T52" s="33" t="n"/>
      <c r="U52" s="42">
        <f>'S22'!T52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'S22'!M53+L53</f>
        <v/>
      </c>
      <c r="N53" s="31">
        <f>IFERROR(M53/K53,0)</f>
        <v/>
      </c>
      <c r="O53" s="40">
        <f>'S22'!N53</f>
        <v/>
      </c>
      <c r="P53" s="31">
        <f>N53-O53</f>
        <v/>
      </c>
      <c r="Q53" s="32" t="n"/>
      <c r="R53" s="32" t="n"/>
      <c r="S53" s="32" t="n"/>
      <c r="T53" s="33" t="n"/>
      <c r="U53" s="40">
        <f>'S22'!T53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'S22'!M54+L54</f>
        <v/>
      </c>
      <c r="N54" s="36">
        <f>IFERROR(M54/K54,0)</f>
        <v/>
      </c>
      <c r="O54" s="42">
        <f>'S22'!N54</f>
        <v/>
      </c>
      <c r="P54" s="36">
        <f>N54-O54</f>
        <v/>
      </c>
      <c r="Q54" s="32" t="n"/>
      <c r="R54" s="32" t="n"/>
      <c r="S54" s="32" t="n"/>
      <c r="T54" s="33" t="n"/>
      <c r="U54" s="42">
        <f>'S22'!T54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'S22'!M55+L55</f>
        <v/>
      </c>
      <c r="N55" s="31">
        <f>IFERROR(M55/K55,0)</f>
        <v/>
      </c>
      <c r="O55" s="40">
        <f>'S22'!N55</f>
        <v/>
      </c>
      <c r="P55" s="31">
        <f>N55-O55</f>
        <v/>
      </c>
      <c r="Q55" s="32" t="n"/>
      <c r="R55" s="32" t="n"/>
      <c r="S55" s="32" t="n"/>
      <c r="T55" s="33" t="n"/>
      <c r="U55" s="40">
        <f>'S22'!T55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'S22'!M56+L56</f>
        <v/>
      </c>
      <c r="N56" s="36">
        <f>IFERROR(M56/K56,0)</f>
        <v/>
      </c>
      <c r="O56" s="42">
        <f>'S22'!N56</f>
        <v/>
      </c>
      <c r="P56" s="36">
        <f>N56-O56</f>
        <v/>
      </c>
      <c r="Q56" s="32" t="n"/>
      <c r="R56" s="32" t="n"/>
      <c r="S56" s="32" t="n"/>
      <c r="T56" s="33" t="n"/>
      <c r="U56" s="42">
        <f>'S22'!T56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'S22'!M57+L57</f>
        <v/>
      </c>
      <c r="N57" s="31">
        <f>IFERROR(M57/K57,0)</f>
        <v/>
      </c>
      <c r="O57" s="40">
        <f>'S22'!N57</f>
        <v/>
      </c>
      <c r="P57" s="31">
        <f>N57-O57</f>
        <v/>
      </c>
      <c r="Q57" s="32" t="n"/>
      <c r="R57" s="32" t="n"/>
      <c r="S57" s="32" t="n"/>
      <c r="T57" s="33" t="n"/>
      <c r="U57" s="40">
        <f>'S22'!T57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'S22'!M58+L58</f>
        <v/>
      </c>
      <c r="N58" s="36">
        <f>IFERROR(M58/K58,0)</f>
        <v/>
      </c>
      <c r="O58" s="42">
        <f>'S22'!N58</f>
        <v/>
      </c>
      <c r="P58" s="36">
        <f>N58-O58</f>
        <v/>
      </c>
      <c r="Q58" s="32" t="n"/>
      <c r="R58" s="32" t="n"/>
      <c r="S58" s="32" t="n"/>
      <c r="T58" s="33" t="n"/>
      <c r="U58" s="42">
        <f>'S22'!T58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'S22'!M59+L59</f>
        <v/>
      </c>
      <c r="N59" s="31">
        <f>IFERROR(M59/K59,0)</f>
        <v/>
      </c>
      <c r="O59" s="40">
        <f>'S22'!N59</f>
        <v/>
      </c>
      <c r="P59" s="31">
        <f>N59-O59</f>
        <v/>
      </c>
      <c r="Q59" s="32" t="n"/>
      <c r="R59" s="32" t="n"/>
      <c r="S59" s="32" t="n"/>
      <c r="T59" s="33" t="n"/>
      <c r="U59" s="40">
        <f>'S22'!T59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'S22'!M60+L60</f>
        <v/>
      </c>
      <c r="N60" s="36">
        <f>IFERROR(M60/K60,0)</f>
        <v/>
      </c>
      <c r="O60" s="42">
        <f>'S22'!N60</f>
        <v/>
      </c>
      <c r="P60" s="36">
        <f>N60-O60</f>
        <v/>
      </c>
      <c r="Q60" s="32" t="n"/>
      <c r="R60" s="32" t="n"/>
      <c r="S60" s="32" t="n"/>
      <c r="T60" s="33" t="n"/>
      <c r="U60" s="42">
        <f>'S22'!T60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'S22'!M61+L61</f>
        <v/>
      </c>
      <c r="N61" s="31">
        <f>IFERROR(M61/K61,0)</f>
        <v/>
      </c>
      <c r="O61" s="40">
        <f>'S22'!N61</f>
        <v/>
      </c>
      <c r="P61" s="31">
        <f>N61-O61</f>
        <v/>
      </c>
      <c r="Q61" s="32" t="n"/>
      <c r="R61" s="32" t="n"/>
      <c r="S61" s="32" t="n"/>
      <c r="T61" s="33" t="n"/>
      <c r="U61" s="40">
        <f>'S22'!T61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'S22'!M62+L62</f>
        <v/>
      </c>
      <c r="N62" s="36">
        <f>IFERROR(M62/K62,0)</f>
        <v/>
      </c>
      <c r="O62" s="42">
        <f>'S22'!N62</f>
        <v/>
      </c>
      <c r="P62" s="36">
        <f>N62-O62</f>
        <v/>
      </c>
      <c r="Q62" s="32" t="n"/>
      <c r="R62" s="32" t="n"/>
      <c r="S62" s="32" t="n"/>
      <c r="T62" s="33" t="n"/>
      <c r="U62" s="42">
        <f>'S22'!T62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'S22'!M63+L63</f>
        <v/>
      </c>
      <c r="N63" s="31">
        <f>IFERROR(M63/K63,0)</f>
        <v/>
      </c>
      <c r="O63" s="40">
        <f>'S22'!N63</f>
        <v/>
      </c>
      <c r="P63" s="31">
        <f>N63-O63</f>
        <v/>
      </c>
      <c r="Q63" s="32" t="n"/>
      <c r="R63" s="32" t="n"/>
      <c r="S63" s="32" t="n"/>
      <c r="T63" s="33" t="n"/>
      <c r="U63" s="40">
        <f>'S22'!T63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'S22'!M64+L64</f>
        <v/>
      </c>
      <c r="N64" s="36">
        <f>IFERROR(M64/K64,0)</f>
        <v/>
      </c>
      <c r="O64" s="42">
        <f>'S22'!N64</f>
        <v/>
      </c>
      <c r="P64" s="36">
        <f>N64-O64</f>
        <v/>
      </c>
      <c r="Q64" s="32" t="n"/>
      <c r="R64" s="32" t="n"/>
      <c r="S64" s="32" t="n"/>
      <c r="T64" s="33" t="n"/>
      <c r="U64" s="42">
        <f>'S22'!T64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'S22'!M65+L65</f>
        <v/>
      </c>
      <c r="N65" s="31">
        <f>IFERROR(M65/K65,0)</f>
        <v/>
      </c>
      <c r="O65" s="40">
        <f>'S22'!N65</f>
        <v/>
      </c>
      <c r="P65" s="31">
        <f>N65-O65</f>
        <v/>
      </c>
      <c r="Q65" s="32" t="n"/>
      <c r="R65" s="32" t="n"/>
      <c r="S65" s="32" t="n"/>
      <c r="T65" s="33" t="n"/>
      <c r="U65" s="40">
        <f>'S22'!T65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'S22'!M66+L66</f>
        <v/>
      </c>
      <c r="N66" s="36">
        <f>IFERROR(M66/K66,0)</f>
        <v/>
      </c>
      <c r="O66" s="42">
        <f>'S22'!N66</f>
        <v/>
      </c>
      <c r="P66" s="36">
        <f>N66-O66</f>
        <v/>
      </c>
      <c r="Q66" s="32" t="n"/>
      <c r="R66" s="32" t="n"/>
      <c r="S66" s="32" t="n"/>
      <c r="T66" s="33" t="n"/>
      <c r="U66" s="42">
        <f>'S22'!T66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'S22'!M67+L67</f>
        <v/>
      </c>
      <c r="N67" s="31">
        <f>IFERROR(M67/K67,0)</f>
        <v/>
      </c>
      <c r="O67" s="40">
        <f>'S22'!N67</f>
        <v/>
      </c>
      <c r="P67" s="31">
        <f>N67-O67</f>
        <v/>
      </c>
      <c r="Q67" s="32" t="n"/>
      <c r="R67" s="32" t="n"/>
      <c r="S67" s="32" t="n"/>
      <c r="T67" s="33" t="n"/>
      <c r="U67" s="40">
        <f>'S22'!T67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'S22'!M68+L68</f>
        <v/>
      </c>
      <c r="N68" s="36">
        <f>IFERROR(M68/K68,0)</f>
        <v/>
      </c>
      <c r="O68" s="42">
        <f>'S22'!N68</f>
        <v/>
      </c>
      <c r="P68" s="36">
        <f>N68-O68</f>
        <v/>
      </c>
      <c r="Q68" s="32" t="n"/>
      <c r="R68" s="32" t="n"/>
      <c r="S68" s="32" t="n"/>
      <c r="T68" s="33" t="n"/>
      <c r="U68" s="42">
        <f>'S22'!T68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'S22'!M69+L69</f>
        <v/>
      </c>
      <c r="N69" s="31">
        <f>IFERROR(M69/K69,0)</f>
        <v/>
      </c>
      <c r="O69" s="40">
        <f>'S22'!N69</f>
        <v/>
      </c>
      <c r="P69" s="31">
        <f>N69-O69</f>
        <v/>
      </c>
      <c r="Q69" s="32" t="n"/>
      <c r="R69" s="32" t="n"/>
      <c r="S69" s="32" t="n"/>
      <c r="T69" s="33" t="n"/>
      <c r="U69" s="40">
        <f>'S22'!T69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'S22'!M70+L70</f>
        <v/>
      </c>
      <c r="N70" s="36">
        <f>IFERROR(M70/K70,0)</f>
        <v/>
      </c>
      <c r="O70" s="42">
        <f>'S22'!N70</f>
        <v/>
      </c>
      <c r="P70" s="36">
        <f>N70-O70</f>
        <v/>
      </c>
      <c r="Q70" s="32" t="n"/>
      <c r="R70" s="32" t="n"/>
      <c r="S70" s="32" t="n"/>
      <c r="T70" s="33" t="n"/>
      <c r="U70" s="42">
        <f>'S22'!T70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'S22'!M71+L71</f>
        <v/>
      </c>
      <c r="N71" s="31">
        <f>IFERROR(M71/K71,0)</f>
        <v/>
      </c>
      <c r="O71" s="40">
        <f>'S22'!N71</f>
        <v/>
      </c>
      <c r="P71" s="31">
        <f>N71-O71</f>
        <v/>
      </c>
      <c r="Q71" s="32" t="n"/>
      <c r="R71" s="32" t="n"/>
      <c r="S71" s="32" t="n"/>
      <c r="T71" s="33" t="n"/>
      <c r="U71" s="40">
        <f>'S22'!T71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'S22'!M72+L72</f>
        <v/>
      </c>
      <c r="N72" s="36">
        <f>IFERROR(M72/K72,0)</f>
        <v/>
      </c>
      <c r="O72" s="42">
        <f>'S22'!N72</f>
        <v/>
      </c>
      <c r="P72" s="36">
        <f>N72-O72</f>
        <v/>
      </c>
      <c r="Q72" s="32" t="n"/>
      <c r="R72" s="32" t="n"/>
      <c r="S72" s="32" t="n"/>
      <c r="T72" s="33" t="n"/>
      <c r="U72" s="42">
        <f>'S22'!T72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'S22'!M73+L73</f>
        <v/>
      </c>
      <c r="N73" s="31">
        <f>IFERROR(M73/K73,0)</f>
        <v/>
      </c>
      <c r="O73" s="40">
        <f>'S22'!N73</f>
        <v/>
      </c>
      <c r="P73" s="31">
        <f>N73-O73</f>
        <v/>
      </c>
      <c r="Q73" s="32" t="n"/>
      <c r="R73" s="32" t="n"/>
      <c r="S73" s="32" t="n"/>
      <c r="T73" s="33" t="n"/>
      <c r="U73" s="40">
        <f>'S22'!T73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'S22'!M74+L74</f>
        <v/>
      </c>
      <c r="N74" s="36">
        <f>IFERROR(M74/K74,0)</f>
        <v/>
      </c>
      <c r="O74" s="42">
        <f>'S22'!N74</f>
        <v/>
      </c>
      <c r="P74" s="36">
        <f>N74-O74</f>
        <v/>
      </c>
      <c r="Q74" s="32" t="n"/>
      <c r="R74" s="32" t="n"/>
      <c r="S74" s="32" t="n"/>
      <c r="T74" s="33" t="n"/>
      <c r="U74" s="42">
        <f>'S22'!T74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'S22'!M75+L75</f>
        <v/>
      </c>
      <c r="N75" s="31">
        <f>IFERROR(M75/K75,0)</f>
        <v/>
      </c>
      <c r="O75" s="40">
        <f>'S22'!N75</f>
        <v/>
      </c>
      <c r="P75" s="31">
        <f>N75-O75</f>
        <v/>
      </c>
      <c r="Q75" s="32" t="n"/>
      <c r="R75" s="32" t="n"/>
      <c r="S75" s="32" t="n"/>
      <c r="T75" s="33" t="n"/>
      <c r="U75" s="40">
        <f>'S22'!T75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'S22'!M76+L76</f>
        <v/>
      </c>
      <c r="N76" s="36">
        <f>IFERROR(M76/K76,0)</f>
        <v/>
      </c>
      <c r="O76" s="42">
        <f>'S22'!N76</f>
        <v/>
      </c>
      <c r="P76" s="36">
        <f>N76-O76</f>
        <v/>
      </c>
      <c r="Q76" s="32" t="n"/>
      <c r="R76" s="32" t="n"/>
      <c r="S76" s="32" t="n"/>
      <c r="T76" s="33" t="n"/>
      <c r="U76" s="42">
        <f>'S22'!T76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26.xml><?xml version="1.0" encoding="utf-8"?>
<worksheet xmlns="http://schemas.openxmlformats.org/spreadsheetml/2006/main">
  <sheetPr>
    <tabColor rgb="00ED7D31"/>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24 (08/06 - 14/06) — Juin 2026 - Exécution Physique et Financière</t>
        </is>
      </c>
    </row>
    <row r="3" ht="22" customHeight="1">
      <c r="B3" s="20" t="inlineStr">
        <is>
          <t>Date :</t>
        </is>
      </c>
      <c r="C3" s="21" t="n">
        <v>46181</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'S23'!M5+L5</f>
        <v/>
      </c>
      <c r="N5" s="31">
        <f>IFERROR(M5/K5,0)</f>
        <v/>
      </c>
      <c r="O5" s="40">
        <f>'S23'!N5</f>
        <v/>
      </c>
      <c r="P5" s="31">
        <f>N5-O5</f>
        <v/>
      </c>
      <c r="Q5" s="32" t="n"/>
      <c r="R5" s="32" t="n"/>
      <c r="S5" s="32" t="n"/>
      <c r="T5" s="33" t="n"/>
      <c r="U5" s="40">
        <f>'S23'!T5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'S23'!M6+L6</f>
        <v/>
      </c>
      <c r="N6" s="36">
        <f>IFERROR(M6/K6,0)</f>
        <v/>
      </c>
      <c r="O6" s="42">
        <f>'S23'!N6</f>
        <v/>
      </c>
      <c r="P6" s="36">
        <f>N6-O6</f>
        <v/>
      </c>
      <c r="Q6" s="32" t="n"/>
      <c r="R6" s="32" t="n"/>
      <c r="S6" s="32" t="n"/>
      <c r="T6" s="33" t="n"/>
      <c r="U6" s="42">
        <f>'S23'!T6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'S23'!M7+L7</f>
        <v/>
      </c>
      <c r="N7" s="31">
        <f>IFERROR(M7/K7,0)</f>
        <v/>
      </c>
      <c r="O7" s="40">
        <f>'S23'!N7</f>
        <v/>
      </c>
      <c r="P7" s="31">
        <f>N7-O7</f>
        <v/>
      </c>
      <c r="Q7" s="32" t="n"/>
      <c r="R7" s="32" t="n"/>
      <c r="S7" s="32" t="n"/>
      <c r="T7" s="33" t="n"/>
      <c r="U7" s="40">
        <f>'S23'!T7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'S23'!M8+L8</f>
        <v/>
      </c>
      <c r="N8" s="36">
        <f>IFERROR(M8/K8,0)</f>
        <v/>
      </c>
      <c r="O8" s="42">
        <f>'S23'!N8</f>
        <v/>
      </c>
      <c r="P8" s="36">
        <f>N8-O8</f>
        <v/>
      </c>
      <c r="Q8" s="32" t="n"/>
      <c r="R8" s="32" t="n"/>
      <c r="S8" s="32" t="n"/>
      <c r="T8" s="33" t="n"/>
      <c r="U8" s="42">
        <f>'S23'!T8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'S23'!M9+L9</f>
        <v/>
      </c>
      <c r="N9" s="31">
        <f>IFERROR(M9/K9,0)</f>
        <v/>
      </c>
      <c r="O9" s="40">
        <f>'S23'!N9</f>
        <v/>
      </c>
      <c r="P9" s="31">
        <f>N9-O9</f>
        <v/>
      </c>
      <c r="Q9" s="32" t="n"/>
      <c r="R9" s="32" t="n"/>
      <c r="S9" s="32" t="n"/>
      <c r="T9" s="33" t="n"/>
      <c r="U9" s="40">
        <f>'S23'!T9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'S23'!M10+L10</f>
        <v/>
      </c>
      <c r="N10" s="36">
        <f>IFERROR(M10/K10,0)</f>
        <v/>
      </c>
      <c r="O10" s="42">
        <f>'S23'!N10</f>
        <v/>
      </c>
      <c r="P10" s="36">
        <f>N10-O10</f>
        <v/>
      </c>
      <c r="Q10" s="32" t="n"/>
      <c r="R10" s="32" t="n"/>
      <c r="S10" s="32" t="n"/>
      <c r="T10" s="33" t="n"/>
      <c r="U10" s="42">
        <f>'S23'!T10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'S23'!M11+L11</f>
        <v/>
      </c>
      <c r="N11" s="31">
        <f>IFERROR(M11/K11,0)</f>
        <v/>
      </c>
      <c r="O11" s="40">
        <f>'S23'!N11</f>
        <v/>
      </c>
      <c r="P11" s="31">
        <f>N11-O11</f>
        <v/>
      </c>
      <c r="Q11" s="32" t="n"/>
      <c r="R11" s="32" t="n"/>
      <c r="S11" s="32" t="n"/>
      <c r="T11" s="33" t="n"/>
      <c r="U11" s="40">
        <f>'S23'!T11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'S23'!M12+L12</f>
        <v/>
      </c>
      <c r="N12" s="36">
        <f>IFERROR(M12/K12,0)</f>
        <v/>
      </c>
      <c r="O12" s="42">
        <f>'S23'!N12</f>
        <v/>
      </c>
      <c r="P12" s="36">
        <f>N12-O12</f>
        <v/>
      </c>
      <c r="Q12" s="32" t="n"/>
      <c r="R12" s="32" t="n"/>
      <c r="S12" s="32" t="n"/>
      <c r="T12" s="33" t="n"/>
      <c r="U12" s="42">
        <f>'S23'!T12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'S23'!M13+L13</f>
        <v/>
      </c>
      <c r="N13" s="31">
        <f>IFERROR(M13/K13,0)</f>
        <v/>
      </c>
      <c r="O13" s="40">
        <f>'S23'!N13</f>
        <v/>
      </c>
      <c r="P13" s="31">
        <f>N13-O13</f>
        <v/>
      </c>
      <c r="Q13" s="32" t="n"/>
      <c r="R13" s="32" t="n"/>
      <c r="S13" s="32" t="n"/>
      <c r="T13" s="33" t="n"/>
      <c r="U13" s="40">
        <f>'S23'!T13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'S23'!M14+L14</f>
        <v/>
      </c>
      <c r="N14" s="36">
        <f>IFERROR(M14/K14,0)</f>
        <v/>
      </c>
      <c r="O14" s="42">
        <f>'S23'!N14</f>
        <v/>
      </c>
      <c r="P14" s="36">
        <f>N14-O14</f>
        <v/>
      </c>
      <c r="Q14" s="32" t="n"/>
      <c r="R14" s="32" t="n"/>
      <c r="S14" s="32" t="n"/>
      <c r="T14" s="33" t="n"/>
      <c r="U14" s="42">
        <f>'S23'!T14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'S23'!M15+L15</f>
        <v/>
      </c>
      <c r="N15" s="31">
        <f>IFERROR(M15/K15,0)</f>
        <v/>
      </c>
      <c r="O15" s="40">
        <f>'S23'!N15</f>
        <v/>
      </c>
      <c r="P15" s="31">
        <f>N15-O15</f>
        <v/>
      </c>
      <c r="Q15" s="32" t="n"/>
      <c r="R15" s="32" t="n"/>
      <c r="S15" s="32" t="n"/>
      <c r="T15" s="33" t="n"/>
      <c r="U15" s="40">
        <f>'S23'!T15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'S23'!M16+L16</f>
        <v/>
      </c>
      <c r="N16" s="36">
        <f>IFERROR(M16/K16,0)</f>
        <v/>
      </c>
      <c r="O16" s="42">
        <f>'S23'!N16</f>
        <v/>
      </c>
      <c r="P16" s="36">
        <f>N16-O16</f>
        <v/>
      </c>
      <c r="Q16" s="32" t="n"/>
      <c r="R16" s="32" t="n"/>
      <c r="S16" s="32" t="n"/>
      <c r="T16" s="33" t="n"/>
      <c r="U16" s="42">
        <f>'S23'!T16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'S23'!M17+L17</f>
        <v/>
      </c>
      <c r="N17" s="31">
        <f>IFERROR(M17/K17,0)</f>
        <v/>
      </c>
      <c r="O17" s="40">
        <f>'S23'!N17</f>
        <v/>
      </c>
      <c r="P17" s="31">
        <f>N17-O17</f>
        <v/>
      </c>
      <c r="Q17" s="32" t="n"/>
      <c r="R17" s="32" t="n"/>
      <c r="S17" s="32" t="n"/>
      <c r="T17" s="33" t="n"/>
      <c r="U17" s="40">
        <f>'S23'!T17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'S23'!M18+L18</f>
        <v/>
      </c>
      <c r="N18" s="36">
        <f>IFERROR(M18/K18,0)</f>
        <v/>
      </c>
      <c r="O18" s="42">
        <f>'S23'!N18</f>
        <v/>
      </c>
      <c r="P18" s="36">
        <f>N18-O18</f>
        <v/>
      </c>
      <c r="Q18" s="32" t="n"/>
      <c r="R18" s="32" t="n"/>
      <c r="S18" s="32" t="n"/>
      <c r="T18" s="33" t="n"/>
      <c r="U18" s="42">
        <f>'S23'!T18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'S23'!M19+L19</f>
        <v/>
      </c>
      <c r="N19" s="31">
        <f>IFERROR(M19/K19,0)</f>
        <v/>
      </c>
      <c r="O19" s="40">
        <f>'S23'!N19</f>
        <v/>
      </c>
      <c r="P19" s="31">
        <f>N19-O19</f>
        <v/>
      </c>
      <c r="Q19" s="32" t="n"/>
      <c r="R19" s="32" t="n"/>
      <c r="S19" s="32" t="n"/>
      <c r="T19" s="33" t="n"/>
      <c r="U19" s="40">
        <f>'S23'!T19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'S23'!M20+L20</f>
        <v/>
      </c>
      <c r="N20" s="36">
        <f>IFERROR(M20/K20,0)</f>
        <v/>
      </c>
      <c r="O20" s="42">
        <f>'S23'!N20</f>
        <v/>
      </c>
      <c r="P20" s="36">
        <f>N20-O20</f>
        <v/>
      </c>
      <c r="Q20" s="32" t="n"/>
      <c r="R20" s="32" t="n"/>
      <c r="S20" s="32" t="n"/>
      <c r="T20" s="33" t="n"/>
      <c r="U20" s="42">
        <f>'S23'!T20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'S23'!M21+L21</f>
        <v/>
      </c>
      <c r="N21" s="31">
        <f>IFERROR(M21/K21,0)</f>
        <v/>
      </c>
      <c r="O21" s="40">
        <f>'S23'!N21</f>
        <v/>
      </c>
      <c r="P21" s="31">
        <f>N21-O21</f>
        <v/>
      </c>
      <c r="Q21" s="32" t="n"/>
      <c r="R21" s="32" t="n"/>
      <c r="S21" s="32" t="n"/>
      <c r="T21" s="33" t="n"/>
      <c r="U21" s="40">
        <f>'S23'!T21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'S23'!M22+L22</f>
        <v/>
      </c>
      <c r="N22" s="36">
        <f>IFERROR(M22/K22,0)</f>
        <v/>
      </c>
      <c r="O22" s="42">
        <f>'S23'!N22</f>
        <v/>
      </c>
      <c r="P22" s="36">
        <f>N22-O22</f>
        <v/>
      </c>
      <c r="Q22" s="32" t="n"/>
      <c r="R22" s="32" t="n"/>
      <c r="S22" s="32" t="n"/>
      <c r="T22" s="33" t="n"/>
      <c r="U22" s="42">
        <f>'S23'!T22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'S23'!M23+L23</f>
        <v/>
      </c>
      <c r="N23" s="31">
        <f>IFERROR(M23/K23,0)</f>
        <v/>
      </c>
      <c r="O23" s="40">
        <f>'S23'!N23</f>
        <v/>
      </c>
      <c r="P23" s="31">
        <f>N23-O23</f>
        <v/>
      </c>
      <c r="Q23" s="32" t="n"/>
      <c r="R23" s="32" t="n"/>
      <c r="S23" s="32" t="n"/>
      <c r="T23" s="33" t="n"/>
      <c r="U23" s="40">
        <f>'S23'!T23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'S23'!M24+L24</f>
        <v/>
      </c>
      <c r="N24" s="36">
        <f>IFERROR(M24/K24,0)</f>
        <v/>
      </c>
      <c r="O24" s="42">
        <f>'S23'!N24</f>
        <v/>
      </c>
      <c r="P24" s="36">
        <f>N24-O24</f>
        <v/>
      </c>
      <c r="Q24" s="32" t="n"/>
      <c r="R24" s="32" t="n"/>
      <c r="S24" s="32" t="n"/>
      <c r="T24" s="33" t="n"/>
      <c r="U24" s="42">
        <f>'S23'!T24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'S23'!M25+L25</f>
        <v/>
      </c>
      <c r="N25" s="31">
        <f>IFERROR(M25/K25,0)</f>
        <v/>
      </c>
      <c r="O25" s="40">
        <f>'S23'!N25</f>
        <v/>
      </c>
      <c r="P25" s="31">
        <f>N25-O25</f>
        <v/>
      </c>
      <c r="Q25" s="32" t="n"/>
      <c r="R25" s="32" t="n"/>
      <c r="S25" s="32" t="n"/>
      <c r="T25" s="33" t="n"/>
      <c r="U25" s="40">
        <f>'S23'!T25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'S23'!M26+L26</f>
        <v/>
      </c>
      <c r="N26" s="36">
        <f>IFERROR(M26/K26,0)</f>
        <v/>
      </c>
      <c r="O26" s="42">
        <f>'S23'!N26</f>
        <v/>
      </c>
      <c r="P26" s="36">
        <f>N26-O26</f>
        <v/>
      </c>
      <c r="Q26" s="32" t="n"/>
      <c r="R26" s="32" t="n"/>
      <c r="S26" s="32" t="n"/>
      <c r="T26" s="33" t="n"/>
      <c r="U26" s="42">
        <f>'S23'!T26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'S23'!M27+L27</f>
        <v/>
      </c>
      <c r="N27" s="31">
        <f>IFERROR(M27/K27,0)</f>
        <v/>
      </c>
      <c r="O27" s="40">
        <f>'S23'!N27</f>
        <v/>
      </c>
      <c r="P27" s="31">
        <f>N27-O27</f>
        <v/>
      </c>
      <c r="Q27" s="32" t="n"/>
      <c r="R27" s="32" t="n"/>
      <c r="S27" s="32" t="n"/>
      <c r="T27" s="33" t="n"/>
      <c r="U27" s="40">
        <f>'S23'!T27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'S23'!M28+L28</f>
        <v/>
      </c>
      <c r="N28" s="36">
        <f>IFERROR(M28/K28,0)</f>
        <v/>
      </c>
      <c r="O28" s="42">
        <f>'S23'!N28</f>
        <v/>
      </c>
      <c r="P28" s="36">
        <f>N28-O28</f>
        <v/>
      </c>
      <c r="Q28" s="32" t="n"/>
      <c r="R28" s="32" t="n"/>
      <c r="S28" s="32" t="n"/>
      <c r="T28" s="33" t="n"/>
      <c r="U28" s="42">
        <f>'S23'!T28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'S23'!M29+L29</f>
        <v/>
      </c>
      <c r="N29" s="31">
        <f>IFERROR(M29/K29,0)</f>
        <v/>
      </c>
      <c r="O29" s="40">
        <f>'S23'!N29</f>
        <v/>
      </c>
      <c r="P29" s="31">
        <f>N29-O29</f>
        <v/>
      </c>
      <c r="Q29" s="32" t="n"/>
      <c r="R29" s="32" t="n"/>
      <c r="S29" s="32" t="n"/>
      <c r="T29" s="33" t="n"/>
      <c r="U29" s="40">
        <f>'S23'!T29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'S23'!M30+L30</f>
        <v/>
      </c>
      <c r="N30" s="36">
        <f>IFERROR(M30/K30,0)</f>
        <v/>
      </c>
      <c r="O30" s="42">
        <f>'S23'!N30</f>
        <v/>
      </c>
      <c r="P30" s="36">
        <f>N30-O30</f>
        <v/>
      </c>
      <c r="Q30" s="32" t="n"/>
      <c r="R30" s="32" t="n"/>
      <c r="S30" s="32" t="n"/>
      <c r="T30" s="33" t="n"/>
      <c r="U30" s="42">
        <f>'S23'!T30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'S23'!M31+L31</f>
        <v/>
      </c>
      <c r="N31" s="31">
        <f>IFERROR(M31/K31,0)</f>
        <v/>
      </c>
      <c r="O31" s="40">
        <f>'S23'!N31</f>
        <v/>
      </c>
      <c r="P31" s="31">
        <f>N31-O31</f>
        <v/>
      </c>
      <c r="Q31" s="32" t="n"/>
      <c r="R31" s="32" t="n"/>
      <c r="S31" s="32" t="n"/>
      <c r="T31" s="33" t="n"/>
      <c r="U31" s="40">
        <f>'S23'!T31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'S23'!M32+L32</f>
        <v/>
      </c>
      <c r="N32" s="36">
        <f>IFERROR(M32/K32,0)</f>
        <v/>
      </c>
      <c r="O32" s="42">
        <f>'S23'!N32</f>
        <v/>
      </c>
      <c r="P32" s="36">
        <f>N32-O32</f>
        <v/>
      </c>
      <c r="Q32" s="32" t="n"/>
      <c r="R32" s="32" t="n"/>
      <c r="S32" s="32" t="n"/>
      <c r="T32" s="33" t="n"/>
      <c r="U32" s="42">
        <f>'S23'!T32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'S23'!M33+L33</f>
        <v/>
      </c>
      <c r="N33" s="31">
        <f>IFERROR(M33/K33,0)</f>
        <v/>
      </c>
      <c r="O33" s="40">
        <f>'S23'!N33</f>
        <v/>
      </c>
      <c r="P33" s="31">
        <f>N33-O33</f>
        <v/>
      </c>
      <c r="Q33" s="32" t="n"/>
      <c r="R33" s="32" t="n"/>
      <c r="S33" s="32" t="n"/>
      <c r="T33" s="33" t="n"/>
      <c r="U33" s="40">
        <f>'S23'!T33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'S23'!M34+L34</f>
        <v/>
      </c>
      <c r="N34" s="36">
        <f>IFERROR(M34/K34,0)</f>
        <v/>
      </c>
      <c r="O34" s="42">
        <f>'S23'!N34</f>
        <v/>
      </c>
      <c r="P34" s="36">
        <f>N34-O34</f>
        <v/>
      </c>
      <c r="Q34" s="32" t="n"/>
      <c r="R34" s="32" t="n"/>
      <c r="S34" s="32" t="n"/>
      <c r="T34" s="33" t="n"/>
      <c r="U34" s="42">
        <f>'S23'!T34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'S23'!M35+L35</f>
        <v/>
      </c>
      <c r="N35" s="31">
        <f>IFERROR(M35/K35,0)</f>
        <v/>
      </c>
      <c r="O35" s="40">
        <f>'S23'!N35</f>
        <v/>
      </c>
      <c r="P35" s="31">
        <f>N35-O35</f>
        <v/>
      </c>
      <c r="Q35" s="32" t="n"/>
      <c r="R35" s="32" t="n"/>
      <c r="S35" s="32" t="n"/>
      <c r="T35" s="33" t="n"/>
      <c r="U35" s="40">
        <f>'S23'!T35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'S23'!M36+L36</f>
        <v/>
      </c>
      <c r="N36" s="36">
        <f>IFERROR(M36/K36,0)</f>
        <v/>
      </c>
      <c r="O36" s="42">
        <f>'S23'!N36</f>
        <v/>
      </c>
      <c r="P36" s="36">
        <f>N36-O36</f>
        <v/>
      </c>
      <c r="Q36" s="32" t="n"/>
      <c r="R36" s="32" t="n"/>
      <c r="S36" s="32" t="n"/>
      <c r="T36" s="33" t="n"/>
      <c r="U36" s="42">
        <f>'S23'!T36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'S23'!M37+L37</f>
        <v/>
      </c>
      <c r="N37" s="31">
        <f>IFERROR(M37/K37,0)</f>
        <v/>
      </c>
      <c r="O37" s="40">
        <f>'S23'!N37</f>
        <v/>
      </c>
      <c r="P37" s="31">
        <f>N37-O37</f>
        <v/>
      </c>
      <c r="Q37" s="32" t="n"/>
      <c r="R37" s="32" t="n"/>
      <c r="S37" s="32" t="n"/>
      <c r="T37" s="33" t="n"/>
      <c r="U37" s="40">
        <f>'S23'!T37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'S23'!M38+L38</f>
        <v/>
      </c>
      <c r="N38" s="36">
        <f>IFERROR(M38/K38,0)</f>
        <v/>
      </c>
      <c r="O38" s="42">
        <f>'S23'!N38</f>
        <v/>
      </c>
      <c r="P38" s="36">
        <f>N38-O38</f>
        <v/>
      </c>
      <c r="Q38" s="32" t="n"/>
      <c r="R38" s="32" t="n"/>
      <c r="S38" s="32" t="n"/>
      <c r="T38" s="33" t="n"/>
      <c r="U38" s="42">
        <f>'S23'!T38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'S23'!M39+L39</f>
        <v/>
      </c>
      <c r="N39" s="31">
        <f>IFERROR(M39/K39,0)</f>
        <v/>
      </c>
      <c r="O39" s="40">
        <f>'S23'!N39</f>
        <v/>
      </c>
      <c r="P39" s="31">
        <f>N39-O39</f>
        <v/>
      </c>
      <c r="Q39" s="32" t="n"/>
      <c r="R39" s="32" t="n"/>
      <c r="S39" s="32" t="n"/>
      <c r="T39" s="33" t="n"/>
      <c r="U39" s="40">
        <f>'S23'!T39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'S23'!M40+L40</f>
        <v/>
      </c>
      <c r="N40" s="36">
        <f>IFERROR(M40/K40,0)</f>
        <v/>
      </c>
      <c r="O40" s="42">
        <f>'S23'!N40</f>
        <v/>
      </c>
      <c r="P40" s="36">
        <f>N40-O40</f>
        <v/>
      </c>
      <c r="Q40" s="32" t="n"/>
      <c r="R40" s="32" t="n"/>
      <c r="S40" s="32" t="n"/>
      <c r="T40" s="33" t="n"/>
      <c r="U40" s="42">
        <f>'S23'!T40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'S23'!M41+L41</f>
        <v/>
      </c>
      <c r="N41" s="31">
        <f>IFERROR(M41/K41,0)</f>
        <v/>
      </c>
      <c r="O41" s="40">
        <f>'S23'!N41</f>
        <v/>
      </c>
      <c r="P41" s="31">
        <f>N41-O41</f>
        <v/>
      </c>
      <c r="Q41" s="32" t="n"/>
      <c r="R41" s="32" t="n"/>
      <c r="S41" s="32" t="n"/>
      <c r="T41" s="33" t="n"/>
      <c r="U41" s="40">
        <f>'S23'!T41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'S23'!M42+L42</f>
        <v/>
      </c>
      <c r="N42" s="36">
        <f>IFERROR(M42/K42,0)</f>
        <v/>
      </c>
      <c r="O42" s="42">
        <f>'S23'!N42</f>
        <v/>
      </c>
      <c r="P42" s="36">
        <f>N42-O42</f>
        <v/>
      </c>
      <c r="Q42" s="32" t="n"/>
      <c r="R42" s="32" t="n"/>
      <c r="S42" s="32" t="n"/>
      <c r="T42" s="33" t="n"/>
      <c r="U42" s="42">
        <f>'S23'!T42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'S23'!M43+L43</f>
        <v/>
      </c>
      <c r="N43" s="31">
        <f>IFERROR(M43/K43,0)</f>
        <v/>
      </c>
      <c r="O43" s="40">
        <f>'S23'!N43</f>
        <v/>
      </c>
      <c r="P43" s="31">
        <f>N43-O43</f>
        <v/>
      </c>
      <c r="Q43" s="32" t="n"/>
      <c r="R43" s="32" t="n"/>
      <c r="S43" s="32" t="n"/>
      <c r="T43" s="33" t="n"/>
      <c r="U43" s="40">
        <f>'S23'!T43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'S23'!M44+L44</f>
        <v/>
      </c>
      <c r="N44" s="36">
        <f>IFERROR(M44/K44,0)</f>
        <v/>
      </c>
      <c r="O44" s="42">
        <f>'S23'!N44</f>
        <v/>
      </c>
      <c r="P44" s="36">
        <f>N44-O44</f>
        <v/>
      </c>
      <c r="Q44" s="32" t="n"/>
      <c r="R44" s="32" t="n"/>
      <c r="S44" s="32" t="n"/>
      <c r="T44" s="33" t="n"/>
      <c r="U44" s="42">
        <f>'S23'!T44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'S23'!M45+L45</f>
        <v/>
      </c>
      <c r="N45" s="31">
        <f>IFERROR(M45/K45,0)</f>
        <v/>
      </c>
      <c r="O45" s="40">
        <f>'S23'!N45</f>
        <v/>
      </c>
      <c r="P45" s="31">
        <f>N45-O45</f>
        <v/>
      </c>
      <c r="Q45" s="32" t="n"/>
      <c r="R45" s="32" t="n"/>
      <c r="S45" s="32" t="n"/>
      <c r="T45" s="33" t="n"/>
      <c r="U45" s="40">
        <f>'S23'!T45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'S23'!M46+L46</f>
        <v/>
      </c>
      <c r="N46" s="36">
        <f>IFERROR(M46/K46,0)</f>
        <v/>
      </c>
      <c r="O46" s="42">
        <f>'S23'!N46</f>
        <v/>
      </c>
      <c r="P46" s="36">
        <f>N46-O46</f>
        <v/>
      </c>
      <c r="Q46" s="32" t="n"/>
      <c r="R46" s="32" t="n"/>
      <c r="S46" s="32" t="n"/>
      <c r="T46" s="33" t="n"/>
      <c r="U46" s="42">
        <f>'S23'!T46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'S23'!M47+L47</f>
        <v/>
      </c>
      <c r="N47" s="31">
        <f>IFERROR(M47/K47,0)</f>
        <v/>
      </c>
      <c r="O47" s="40">
        <f>'S23'!N47</f>
        <v/>
      </c>
      <c r="P47" s="31">
        <f>N47-O47</f>
        <v/>
      </c>
      <c r="Q47" s="32" t="n"/>
      <c r="R47" s="32" t="n"/>
      <c r="S47" s="32" t="n"/>
      <c r="T47" s="33" t="n"/>
      <c r="U47" s="40">
        <f>'S23'!T47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'S23'!M48+L48</f>
        <v/>
      </c>
      <c r="N48" s="36">
        <f>IFERROR(M48/K48,0)</f>
        <v/>
      </c>
      <c r="O48" s="42">
        <f>'S23'!N48</f>
        <v/>
      </c>
      <c r="P48" s="36">
        <f>N48-O48</f>
        <v/>
      </c>
      <c r="Q48" s="32" t="n"/>
      <c r="R48" s="32" t="n"/>
      <c r="S48" s="32" t="n"/>
      <c r="T48" s="33" t="n"/>
      <c r="U48" s="42">
        <f>'S23'!T48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'S23'!M49+L49</f>
        <v/>
      </c>
      <c r="N49" s="31">
        <f>IFERROR(M49/K49,0)</f>
        <v/>
      </c>
      <c r="O49" s="40">
        <f>'S23'!N49</f>
        <v/>
      </c>
      <c r="P49" s="31">
        <f>N49-O49</f>
        <v/>
      </c>
      <c r="Q49" s="32" t="n"/>
      <c r="R49" s="32" t="n"/>
      <c r="S49" s="32" t="n"/>
      <c r="T49" s="33" t="n"/>
      <c r="U49" s="40">
        <f>'S23'!T49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'S23'!M50+L50</f>
        <v/>
      </c>
      <c r="N50" s="36">
        <f>IFERROR(M50/K50,0)</f>
        <v/>
      </c>
      <c r="O50" s="42">
        <f>'S23'!N50</f>
        <v/>
      </c>
      <c r="P50" s="36">
        <f>N50-O50</f>
        <v/>
      </c>
      <c r="Q50" s="32" t="n"/>
      <c r="R50" s="32" t="n"/>
      <c r="S50" s="32" t="n"/>
      <c r="T50" s="33" t="n"/>
      <c r="U50" s="42">
        <f>'S23'!T50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'S23'!M51+L51</f>
        <v/>
      </c>
      <c r="N51" s="31">
        <f>IFERROR(M51/K51,0)</f>
        <v/>
      </c>
      <c r="O51" s="40">
        <f>'S23'!N51</f>
        <v/>
      </c>
      <c r="P51" s="31">
        <f>N51-O51</f>
        <v/>
      </c>
      <c r="Q51" s="32" t="n"/>
      <c r="R51" s="32" t="n"/>
      <c r="S51" s="32" t="n"/>
      <c r="T51" s="33" t="n"/>
      <c r="U51" s="40">
        <f>'S23'!T51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'S23'!M52+L52</f>
        <v/>
      </c>
      <c r="N52" s="36">
        <f>IFERROR(M52/K52,0)</f>
        <v/>
      </c>
      <c r="O52" s="42">
        <f>'S23'!N52</f>
        <v/>
      </c>
      <c r="P52" s="36">
        <f>N52-O52</f>
        <v/>
      </c>
      <c r="Q52" s="32" t="n"/>
      <c r="R52" s="32" t="n"/>
      <c r="S52" s="32" t="n"/>
      <c r="T52" s="33" t="n"/>
      <c r="U52" s="42">
        <f>'S23'!T52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'S23'!M53+L53</f>
        <v/>
      </c>
      <c r="N53" s="31">
        <f>IFERROR(M53/K53,0)</f>
        <v/>
      </c>
      <c r="O53" s="40">
        <f>'S23'!N53</f>
        <v/>
      </c>
      <c r="P53" s="31">
        <f>N53-O53</f>
        <v/>
      </c>
      <c r="Q53" s="32" t="n"/>
      <c r="R53" s="32" t="n"/>
      <c r="S53" s="32" t="n"/>
      <c r="T53" s="33" t="n"/>
      <c r="U53" s="40">
        <f>'S23'!T53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'S23'!M54+L54</f>
        <v/>
      </c>
      <c r="N54" s="36">
        <f>IFERROR(M54/K54,0)</f>
        <v/>
      </c>
      <c r="O54" s="42">
        <f>'S23'!N54</f>
        <v/>
      </c>
      <c r="P54" s="36">
        <f>N54-O54</f>
        <v/>
      </c>
      <c r="Q54" s="32" t="n"/>
      <c r="R54" s="32" t="n"/>
      <c r="S54" s="32" t="n"/>
      <c r="T54" s="33" t="n"/>
      <c r="U54" s="42">
        <f>'S23'!T54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'S23'!M55+L55</f>
        <v/>
      </c>
      <c r="N55" s="31">
        <f>IFERROR(M55/K55,0)</f>
        <v/>
      </c>
      <c r="O55" s="40">
        <f>'S23'!N55</f>
        <v/>
      </c>
      <c r="P55" s="31">
        <f>N55-O55</f>
        <v/>
      </c>
      <c r="Q55" s="32" t="n"/>
      <c r="R55" s="32" t="n"/>
      <c r="S55" s="32" t="n"/>
      <c r="T55" s="33" t="n"/>
      <c r="U55" s="40">
        <f>'S23'!T55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'S23'!M56+L56</f>
        <v/>
      </c>
      <c r="N56" s="36">
        <f>IFERROR(M56/K56,0)</f>
        <v/>
      </c>
      <c r="O56" s="42">
        <f>'S23'!N56</f>
        <v/>
      </c>
      <c r="P56" s="36">
        <f>N56-O56</f>
        <v/>
      </c>
      <c r="Q56" s="32" t="n"/>
      <c r="R56" s="32" t="n"/>
      <c r="S56" s="32" t="n"/>
      <c r="T56" s="33" t="n"/>
      <c r="U56" s="42">
        <f>'S23'!T56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'S23'!M57+L57</f>
        <v/>
      </c>
      <c r="N57" s="31">
        <f>IFERROR(M57/K57,0)</f>
        <v/>
      </c>
      <c r="O57" s="40">
        <f>'S23'!N57</f>
        <v/>
      </c>
      <c r="P57" s="31">
        <f>N57-O57</f>
        <v/>
      </c>
      <c r="Q57" s="32" t="n"/>
      <c r="R57" s="32" t="n"/>
      <c r="S57" s="32" t="n"/>
      <c r="T57" s="33" t="n"/>
      <c r="U57" s="40">
        <f>'S23'!T57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'S23'!M58+L58</f>
        <v/>
      </c>
      <c r="N58" s="36">
        <f>IFERROR(M58/K58,0)</f>
        <v/>
      </c>
      <c r="O58" s="42">
        <f>'S23'!N58</f>
        <v/>
      </c>
      <c r="P58" s="36">
        <f>N58-O58</f>
        <v/>
      </c>
      <c r="Q58" s="32" t="n"/>
      <c r="R58" s="32" t="n"/>
      <c r="S58" s="32" t="n"/>
      <c r="T58" s="33" t="n"/>
      <c r="U58" s="42">
        <f>'S23'!T58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'S23'!M59+L59</f>
        <v/>
      </c>
      <c r="N59" s="31">
        <f>IFERROR(M59/K59,0)</f>
        <v/>
      </c>
      <c r="O59" s="40">
        <f>'S23'!N59</f>
        <v/>
      </c>
      <c r="P59" s="31">
        <f>N59-O59</f>
        <v/>
      </c>
      <c r="Q59" s="32" t="n"/>
      <c r="R59" s="32" t="n"/>
      <c r="S59" s="32" t="n"/>
      <c r="T59" s="33" t="n"/>
      <c r="U59" s="40">
        <f>'S23'!T59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'S23'!M60+L60</f>
        <v/>
      </c>
      <c r="N60" s="36">
        <f>IFERROR(M60/K60,0)</f>
        <v/>
      </c>
      <c r="O60" s="42">
        <f>'S23'!N60</f>
        <v/>
      </c>
      <c r="P60" s="36">
        <f>N60-O60</f>
        <v/>
      </c>
      <c r="Q60" s="32" t="n"/>
      <c r="R60" s="32" t="n"/>
      <c r="S60" s="32" t="n"/>
      <c r="T60" s="33" t="n"/>
      <c r="U60" s="42">
        <f>'S23'!T60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'S23'!M61+L61</f>
        <v/>
      </c>
      <c r="N61" s="31">
        <f>IFERROR(M61/K61,0)</f>
        <v/>
      </c>
      <c r="O61" s="40">
        <f>'S23'!N61</f>
        <v/>
      </c>
      <c r="P61" s="31">
        <f>N61-O61</f>
        <v/>
      </c>
      <c r="Q61" s="32" t="n"/>
      <c r="R61" s="32" t="n"/>
      <c r="S61" s="32" t="n"/>
      <c r="T61" s="33" t="n"/>
      <c r="U61" s="40">
        <f>'S23'!T61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'S23'!M62+L62</f>
        <v/>
      </c>
      <c r="N62" s="36">
        <f>IFERROR(M62/K62,0)</f>
        <v/>
      </c>
      <c r="O62" s="42">
        <f>'S23'!N62</f>
        <v/>
      </c>
      <c r="P62" s="36">
        <f>N62-O62</f>
        <v/>
      </c>
      <c r="Q62" s="32" t="n"/>
      <c r="R62" s="32" t="n"/>
      <c r="S62" s="32" t="n"/>
      <c r="T62" s="33" t="n"/>
      <c r="U62" s="42">
        <f>'S23'!T62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'S23'!M63+L63</f>
        <v/>
      </c>
      <c r="N63" s="31">
        <f>IFERROR(M63/K63,0)</f>
        <v/>
      </c>
      <c r="O63" s="40">
        <f>'S23'!N63</f>
        <v/>
      </c>
      <c r="P63" s="31">
        <f>N63-O63</f>
        <v/>
      </c>
      <c r="Q63" s="32" t="n"/>
      <c r="R63" s="32" t="n"/>
      <c r="S63" s="32" t="n"/>
      <c r="T63" s="33" t="n"/>
      <c r="U63" s="40">
        <f>'S23'!T63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'S23'!M64+L64</f>
        <v/>
      </c>
      <c r="N64" s="36">
        <f>IFERROR(M64/K64,0)</f>
        <v/>
      </c>
      <c r="O64" s="42">
        <f>'S23'!N64</f>
        <v/>
      </c>
      <c r="P64" s="36">
        <f>N64-O64</f>
        <v/>
      </c>
      <c r="Q64" s="32" t="n"/>
      <c r="R64" s="32" t="n"/>
      <c r="S64" s="32" t="n"/>
      <c r="T64" s="33" t="n"/>
      <c r="U64" s="42">
        <f>'S23'!T64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'S23'!M65+L65</f>
        <v/>
      </c>
      <c r="N65" s="31">
        <f>IFERROR(M65/K65,0)</f>
        <v/>
      </c>
      <c r="O65" s="40">
        <f>'S23'!N65</f>
        <v/>
      </c>
      <c r="P65" s="31">
        <f>N65-O65</f>
        <v/>
      </c>
      <c r="Q65" s="32" t="n"/>
      <c r="R65" s="32" t="n"/>
      <c r="S65" s="32" t="n"/>
      <c r="T65" s="33" t="n"/>
      <c r="U65" s="40">
        <f>'S23'!T65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'S23'!M66+L66</f>
        <v/>
      </c>
      <c r="N66" s="36">
        <f>IFERROR(M66/K66,0)</f>
        <v/>
      </c>
      <c r="O66" s="42">
        <f>'S23'!N66</f>
        <v/>
      </c>
      <c r="P66" s="36">
        <f>N66-O66</f>
        <v/>
      </c>
      <c r="Q66" s="32" t="n"/>
      <c r="R66" s="32" t="n"/>
      <c r="S66" s="32" t="n"/>
      <c r="T66" s="33" t="n"/>
      <c r="U66" s="42">
        <f>'S23'!T66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'S23'!M67+L67</f>
        <v/>
      </c>
      <c r="N67" s="31">
        <f>IFERROR(M67/K67,0)</f>
        <v/>
      </c>
      <c r="O67" s="40">
        <f>'S23'!N67</f>
        <v/>
      </c>
      <c r="P67" s="31">
        <f>N67-O67</f>
        <v/>
      </c>
      <c r="Q67" s="32" t="n"/>
      <c r="R67" s="32" t="n"/>
      <c r="S67" s="32" t="n"/>
      <c r="T67" s="33" t="n"/>
      <c r="U67" s="40">
        <f>'S23'!T67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'S23'!M68+L68</f>
        <v/>
      </c>
      <c r="N68" s="36">
        <f>IFERROR(M68/K68,0)</f>
        <v/>
      </c>
      <c r="O68" s="42">
        <f>'S23'!N68</f>
        <v/>
      </c>
      <c r="P68" s="36">
        <f>N68-O68</f>
        <v/>
      </c>
      <c r="Q68" s="32" t="n"/>
      <c r="R68" s="32" t="n"/>
      <c r="S68" s="32" t="n"/>
      <c r="T68" s="33" t="n"/>
      <c r="U68" s="42">
        <f>'S23'!T68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'S23'!M69+L69</f>
        <v/>
      </c>
      <c r="N69" s="31">
        <f>IFERROR(M69/K69,0)</f>
        <v/>
      </c>
      <c r="O69" s="40">
        <f>'S23'!N69</f>
        <v/>
      </c>
      <c r="P69" s="31">
        <f>N69-O69</f>
        <v/>
      </c>
      <c r="Q69" s="32" t="n"/>
      <c r="R69" s="32" t="n"/>
      <c r="S69" s="32" t="n"/>
      <c r="T69" s="33" t="n"/>
      <c r="U69" s="40">
        <f>'S23'!T69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'S23'!M70+L70</f>
        <v/>
      </c>
      <c r="N70" s="36">
        <f>IFERROR(M70/K70,0)</f>
        <v/>
      </c>
      <c r="O70" s="42">
        <f>'S23'!N70</f>
        <v/>
      </c>
      <c r="P70" s="36">
        <f>N70-O70</f>
        <v/>
      </c>
      <c r="Q70" s="32" t="n"/>
      <c r="R70" s="32" t="n"/>
      <c r="S70" s="32" t="n"/>
      <c r="T70" s="33" t="n"/>
      <c r="U70" s="42">
        <f>'S23'!T70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'S23'!M71+L71</f>
        <v/>
      </c>
      <c r="N71" s="31">
        <f>IFERROR(M71/K71,0)</f>
        <v/>
      </c>
      <c r="O71" s="40">
        <f>'S23'!N71</f>
        <v/>
      </c>
      <c r="P71" s="31">
        <f>N71-O71</f>
        <v/>
      </c>
      <c r="Q71" s="32" t="n"/>
      <c r="R71" s="32" t="n"/>
      <c r="S71" s="32" t="n"/>
      <c r="T71" s="33" t="n"/>
      <c r="U71" s="40">
        <f>'S23'!T71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'S23'!M72+L72</f>
        <v/>
      </c>
      <c r="N72" s="36">
        <f>IFERROR(M72/K72,0)</f>
        <v/>
      </c>
      <c r="O72" s="42">
        <f>'S23'!N72</f>
        <v/>
      </c>
      <c r="P72" s="36">
        <f>N72-O72</f>
        <v/>
      </c>
      <c r="Q72" s="32" t="n"/>
      <c r="R72" s="32" t="n"/>
      <c r="S72" s="32" t="n"/>
      <c r="T72" s="33" t="n"/>
      <c r="U72" s="42">
        <f>'S23'!T72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'S23'!M73+L73</f>
        <v/>
      </c>
      <c r="N73" s="31">
        <f>IFERROR(M73/K73,0)</f>
        <v/>
      </c>
      <c r="O73" s="40">
        <f>'S23'!N73</f>
        <v/>
      </c>
      <c r="P73" s="31">
        <f>N73-O73</f>
        <v/>
      </c>
      <c r="Q73" s="32" t="n"/>
      <c r="R73" s="32" t="n"/>
      <c r="S73" s="32" t="n"/>
      <c r="T73" s="33" t="n"/>
      <c r="U73" s="40">
        <f>'S23'!T73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'S23'!M74+L74</f>
        <v/>
      </c>
      <c r="N74" s="36">
        <f>IFERROR(M74/K74,0)</f>
        <v/>
      </c>
      <c r="O74" s="42">
        <f>'S23'!N74</f>
        <v/>
      </c>
      <c r="P74" s="36">
        <f>N74-O74</f>
        <v/>
      </c>
      <c r="Q74" s="32" t="n"/>
      <c r="R74" s="32" t="n"/>
      <c r="S74" s="32" t="n"/>
      <c r="T74" s="33" t="n"/>
      <c r="U74" s="42">
        <f>'S23'!T74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'S23'!M75+L75</f>
        <v/>
      </c>
      <c r="N75" s="31">
        <f>IFERROR(M75/K75,0)</f>
        <v/>
      </c>
      <c r="O75" s="40">
        <f>'S23'!N75</f>
        <v/>
      </c>
      <c r="P75" s="31">
        <f>N75-O75</f>
        <v/>
      </c>
      <c r="Q75" s="32" t="n"/>
      <c r="R75" s="32" t="n"/>
      <c r="S75" s="32" t="n"/>
      <c r="T75" s="33" t="n"/>
      <c r="U75" s="40">
        <f>'S23'!T75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'S23'!M76+L76</f>
        <v/>
      </c>
      <c r="N76" s="36">
        <f>IFERROR(M76/K76,0)</f>
        <v/>
      </c>
      <c r="O76" s="42">
        <f>'S23'!N76</f>
        <v/>
      </c>
      <c r="P76" s="36">
        <f>N76-O76</f>
        <v/>
      </c>
      <c r="Q76" s="32" t="n"/>
      <c r="R76" s="32" t="n"/>
      <c r="S76" s="32" t="n"/>
      <c r="T76" s="33" t="n"/>
      <c r="U76" s="42">
        <f>'S23'!T76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27.xml><?xml version="1.0" encoding="utf-8"?>
<worksheet xmlns="http://schemas.openxmlformats.org/spreadsheetml/2006/main">
  <sheetPr>
    <tabColor rgb="00ED7D31"/>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25 (15/06 - 21/06) — Juin 2026 - Exécution Physique et Financière</t>
        </is>
      </c>
    </row>
    <row r="3" ht="22" customHeight="1">
      <c r="B3" s="20" t="inlineStr">
        <is>
          <t>Date :</t>
        </is>
      </c>
      <c r="C3" s="21" t="n">
        <v>46188</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'S24'!M5+L5</f>
        <v/>
      </c>
      <c r="N5" s="31">
        <f>IFERROR(M5/K5,0)</f>
        <v/>
      </c>
      <c r="O5" s="40">
        <f>'S24'!N5</f>
        <v/>
      </c>
      <c r="P5" s="31">
        <f>N5-O5</f>
        <v/>
      </c>
      <c r="Q5" s="32" t="n"/>
      <c r="R5" s="32" t="n"/>
      <c r="S5" s="32" t="n"/>
      <c r="T5" s="33" t="n"/>
      <c r="U5" s="40">
        <f>'S24'!T5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'S24'!M6+L6</f>
        <v/>
      </c>
      <c r="N6" s="36">
        <f>IFERROR(M6/K6,0)</f>
        <v/>
      </c>
      <c r="O6" s="42">
        <f>'S24'!N6</f>
        <v/>
      </c>
      <c r="P6" s="36">
        <f>N6-O6</f>
        <v/>
      </c>
      <c r="Q6" s="32" t="n"/>
      <c r="R6" s="32" t="n"/>
      <c r="S6" s="32" t="n"/>
      <c r="T6" s="33" t="n"/>
      <c r="U6" s="42">
        <f>'S24'!T6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'S24'!M7+L7</f>
        <v/>
      </c>
      <c r="N7" s="31">
        <f>IFERROR(M7/K7,0)</f>
        <v/>
      </c>
      <c r="O7" s="40">
        <f>'S24'!N7</f>
        <v/>
      </c>
      <c r="P7" s="31">
        <f>N7-O7</f>
        <v/>
      </c>
      <c r="Q7" s="32" t="n"/>
      <c r="R7" s="32" t="n"/>
      <c r="S7" s="32" t="n"/>
      <c r="T7" s="33" t="n"/>
      <c r="U7" s="40">
        <f>'S24'!T7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'S24'!M8+L8</f>
        <v/>
      </c>
      <c r="N8" s="36">
        <f>IFERROR(M8/K8,0)</f>
        <v/>
      </c>
      <c r="O8" s="42">
        <f>'S24'!N8</f>
        <v/>
      </c>
      <c r="P8" s="36">
        <f>N8-O8</f>
        <v/>
      </c>
      <c r="Q8" s="32" t="n"/>
      <c r="R8" s="32" t="n"/>
      <c r="S8" s="32" t="n"/>
      <c r="T8" s="33" t="n"/>
      <c r="U8" s="42">
        <f>'S24'!T8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'S24'!M9+L9</f>
        <v/>
      </c>
      <c r="N9" s="31">
        <f>IFERROR(M9/K9,0)</f>
        <v/>
      </c>
      <c r="O9" s="40">
        <f>'S24'!N9</f>
        <v/>
      </c>
      <c r="P9" s="31">
        <f>N9-O9</f>
        <v/>
      </c>
      <c r="Q9" s="32" t="n"/>
      <c r="R9" s="32" t="n"/>
      <c r="S9" s="32" t="n"/>
      <c r="T9" s="33" t="n"/>
      <c r="U9" s="40">
        <f>'S24'!T9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'S24'!M10+L10</f>
        <v/>
      </c>
      <c r="N10" s="36">
        <f>IFERROR(M10/K10,0)</f>
        <v/>
      </c>
      <c r="O10" s="42">
        <f>'S24'!N10</f>
        <v/>
      </c>
      <c r="P10" s="36">
        <f>N10-O10</f>
        <v/>
      </c>
      <c r="Q10" s="32" t="n"/>
      <c r="R10" s="32" t="n"/>
      <c r="S10" s="32" t="n"/>
      <c r="T10" s="33" t="n"/>
      <c r="U10" s="42">
        <f>'S24'!T10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'S24'!M11+L11</f>
        <v/>
      </c>
      <c r="N11" s="31">
        <f>IFERROR(M11/K11,0)</f>
        <v/>
      </c>
      <c r="O11" s="40">
        <f>'S24'!N11</f>
        <v/>
      </c>
      <c r="P11" s="31">
        <f>N11-O11</f>
        <v/>
      </c>
      <c r="Q11" s="32" t="n"/>
      <c r="R11" s="32" t="n"/>
      <c r="S11" s="32" t="n"/>
      <c r="T11" s="33" t="n"/>
      <c r="U11" s="40">
        <f>'S24'!T11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'S24'!M12+L12</f>
        <v/>
      </c>
      <c r="N12" s="36">
        <f>IFERROR(M12/K12,0)</f>
        <v/>
      </c>
      <c r="O12" s="42">
        <f>'S24'!N12</f>
        <v/>
      </c>
      <c r="P12" s="36">
        <f>N12-O12</f>
        <v/>
      </c>
      <c r="Q12" s="32" t="n"/>
      <c r="R12" s="32" t="n"/>
      <c r="S12" s="32" t="n"/>
      <c r="T12" s="33" t="n"/>
      <c r="U12" s="42">
        <f>'S24'!T12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'S24'!M13+L13</f>
        <v/>
      </c>
      <c r="N13" s="31">
        <f>IFERROR(M13/K13,0)</f>
        <v/>
      </c>
      <c r="O13" s="40">
        <f>'S24'!N13</f>
        <v/>
      </c>
      <c r="P13" s="31">
        <f>N13-O13</f>
        <v/>
      </c>
      <c r="Q13" s="32" t="n"/>
      <c r="R13" s="32" t="n"/>
      <c r="S13" s="32" t="n"/>
      <c r="T13" s="33" t="n"/>
      <c r="U13" s="40">
        <f>'S24'!T13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'S24'!M14+L14</f>
        <v/>
      </c>
      <c r="N14" s="36">
        <f>IFERROR(M14/K14,0)</f>
        <v/>
      </c>
      <c r="O14" s="42">
        <f>'S24'!N14</f>
        <v/>
      </c>
      <c r="P14" s="36">
        <f>N14-O14</f>
        <v/>
      </c>
      <c r="Q14" s="32" t="n"/>
      <c r="R14" s="32" t="n"/>
      <c r="S14" s="32" t="n"/>
      <c r="T14" s="33" t="n"/>
      <c r="U14" s="42">
        <f>'S24'!T14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'S24'!M15+L15</f>
        <v/>
      </c>
      <c r="N15" s="31">
        <f>IFERROR(M15/K15,0)</f>
        <v/>
      </c>
      <c r="O15" s="40">
        <f>'S24'!N15</f>
        <v/>
      </c>
      <c r="P15" s="31">
        <f>N15-O15</f>
        <v/>
      </c>
      <c r="Q15" s="32" t="n"/>
      <c r="R15" s="32" t="n"/>
      <c r="S15" s="32" t="n"/>
      <c r="T15" s="33" t="n"/>
      <c r="U15" s="40">
        <f>'S24'!T15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'S24'!M16+L16</f>
        <v/>
      </c>
      <c r="N16" s="36">
        <f>IFERROR(M16/K16,0)</f>
        <v/>
      </c>
      <c r="O16" s="42">
        <f>'S24'!N16</f>
        <v/>
      </c>
      <c r="P16" s="36">
        <f>N16-O16</f>
        <v/>
      </c>
      <c r="Q16" s="32" t="n"/>
      <c r="R16" s="32" t="n"/>
      <c r="S16" s="32" t="n"/>
      <c r="T16" s="33" t="n"/>
      <c r="U16" s="42">
        <f>'S24'!T16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'S24'!M17+L17</f>
        <v/>
      </c>
      <c r="N17" s="31">
        <f>IFERROR(M17/K17,0)</f>
        <v/>
      </c>
      <c r="O17" s="40">
        <f>'S24'!N17</f>
        <v/>
      </c>
      <c r="P17" s="31">
        <f>N17-O17</f>
        <v/>
      </c>
      <c r="Q17" s="32" t="n"/>
      <c r="R17" s="32" t="n"/>
      <c r="S17" s="32" t="n"/>
      <c r="T17" s="33" t="n"/>
      <c r="U17" s="40">
        <f>'S24'!T17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'S24'!M18+L18</f>
        <v/>
      </c>
      <c r="N18" s="36">
        <f>IFERROR(M18/K18,0)</f>
        <v/>
      </c>
      <c r="O18" s="42">
        <f>'S24'!N18</f>
        <v/>
      </c>
      <c r="P18" s="36">
        <f>N18-O18</f>
        <v/>
      </c>
      <c r="Q18" s="32" t="n"/>
      <c r="R18" s="32" t="n"/>
      <c r="S18" s="32" t="n"/>
      <c r="T18" s="33" t="n"/>
      <c r="U18" s="42">
        <f>'S24'!T18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'S24'!M19+L19</f>
        <v/>
      </c>
      <c r="N19" s="31">
        <f>IFERROR(M19/K19,0)</f>
        <v/>
      </c>
      <c r="O19" s="40">
        <f>'S24'!N19</f>
        <v/>
      </c>
      <c r="P19" s="31">
        <f>N19-O19</f>
        <v/>
      </c>
      <c r="Q19" s="32" t="n"/>
      <c r="R19" s="32" t="n"/>
      <c r="S19" s="32" t="n"/>
      <c r="T19" s="33" t="n"/>
      <c r="U19" s="40">
        <f>'S24'!T19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'S24'!M20+L20</f>
        <v/>
      </c>
      <c r="N20" s="36">
        <f>IFERROR(M20/K20,0)</f>
        <v/>
      </c>
      <c r="O20" s="42">
        <f>'S24'!N20</f>
        <v/>
      </c>
      <c r="P20" s="36">
        <f>N20-O20</f>
        <v/>
      </c>
      <c r="Q20" s="32" t="n"/>
      <c r="R20" s="32" t="n"/>
      <c r="S20" s="32" t="n"/>
      <c r="T20" s="33" t="n"/>
      <c r="U20" s="42">
        <f>'S24'!T20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'S24'!M21+L21</f>
        <v/>
      </c>
      <c r="N21" s="31">
        <f>IFERROR(M21/K21,0)</f>
        <v/>
      </c>
      <c r="O21" s="40">
        <f>'S24'!N21</f>
        <v/>
      </c>
      <c r="P21" s="31">
        <f>N21-O21</f>
        <v/>
      </c>
      <c r="Q21" s="32" t="n"/>
      <c r="R21" s="32" t="n"/>
      <c r="S21" s="32" t="n"/>
      <c r="T21" s="33" t="n"/>
      <c r="U21" s="40">
        <f>'S24'!T21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'S24'!M22+L22</f>
        <v/>
      </c>
      <c r="N22" s="36">
        <f>IFERROR(M22/K22,0)</f>
        <v/>
      </c>
      <c r="O22" s="42">
        <f>'S24'!N22</f>
        <v/>
      </c>
      <c r="P22" s="36">
        <f>N22-O22</f>
        <v/>
      </c>
      <c r="Q22" s="32" t="n"/>
      <c r="R22" s="32" t="n"/>
      <c r="S22" s="32" t="n"/>
      <c r="T22" s="33" t="n"/>
      <c r="U22" s="42">
        <f>'S24'!T22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'S24'!M23+L23</f>
        <v/>
      </c>
      <c r="N23" s="31">
        <f>IFERROR(M23/K23,0)</f>
        <v/>
      </c>
      <c r="O23" s="40">
        <f>'S24'!N23</f>
        <v/>
      </c>
      <c r="P23" s="31">
        <f>N23-O23</f>
        <v/>
      </c>
      <c r="Q23" s="32" t="n"/>
      <c r="R23" s="32" t="n"/>
      <c r="S23" s="32" t="n"/>
      <c r="T23" s="33" t="n"/>
      <c r="U23" s="40">
        <f>'S24'!T23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'S24'!M24+L24</f>
        <v/>
      </c>
      <c r="N24" s="36">
        <f>IFERROR(M24/K24,0)</f>
        <v/>
      </c>
      <c r="O24" s="42">
        <f>'S24'!N24</f>
        <v/>
      </c>
      <c r="P24" s="36">
        <f>N24-O24</f>
        <v/>
      </c>
      <c r="Q24" s="32" t="n"/>
      <c r="R24" s="32" t="n"/>
      <c r="S24" s="32" t="n"/>
      <c r="T24" s="33" t="n"/>
      <c r="U24" s="42">
        <f>'S24'!T24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'S24'!M25+L25</f>
        <v/>
      </c>
      <c r="N25" s="31">
        <f>IFERROR(M25/K25,0)</f>
        <v/>
      </c>
      <c r="O25" s="40">
        <f>'S24'!N25</f>
        <v/>
      </c>
      <c r="P25" s="31">
        <f>N25-O25</f>
        <v/>
      </c>
      <c r="Q25" s="32" t="n"/>
      <c r="R25" s="32" t="n"/>
      <c r="S25" s="32" t="n"/>
      <c r="T25" s="33" t="n"/>
      <c r="U25" s="40">
        <f>'S24'!T25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'S24'!M26+L26</f>
        <v/>
      </c>
      <c r="N26" s="36">
        <f>IFERROR(M26/K26,0)</f>
        <v/>
      </c>
      <c r="O26" s="42">
        <f>'S24'!N26</f>
        <v/>
      </c>
      <c r="P26" s="36">
        <f>N26-O26</f>
        <v/>
      </c>
      <c r="Q26" s="32" t="n"/>
      <c r="R26" s="32" t="n"/>
      <c r="S26" s="32" t="n"/>
      <c r="T26" s="33" t="n"/>
      <c r="U26" s="42">
        <f>'S24'!T26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'S24'!M27+L27</f>
        <v/>
      </c>
      <c r="N27" s="31">
        <f>IFERROR(M27/K27,0)</f>
        <v/>
      </c>
      <c r="O27" s="40">
        <f>'S24'!N27</f>
        <v/>
      </c>
      <c r="P27" s="31">
        <f>N27-O27</f>
        <v/>
      </c>
      <c r="Q27" s="32" t="n"/>
      <c r="R27" s="32" t="n"/>
      <c r="S27" s="32" t="n"/>
      <c r="T27" s="33" t="n"/>
      <c r="U27" s="40">
        <f>'S24'!T27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'S24'!M28+L28</f>
        <v/>
      </c>
      <c r="N28" s="36">
        <f>IFERROR(M28/K28,0)</f>
        <v/>
      </c>
      <c r="O28" s="42">
        <f>'S24'!N28</f>
        <v/>
      </c>
      <c r="P28" s="36">
        <f>N28-O28</f>
        <v/>
      </c>
      <c r="Q28" s="32" t="n"/>
      <c r="R28" s="32" t="n"/>
      <c r="S28" s="32" t="n"/>
      <c r="T28" s="33" t="n"/>
      <c r="U28" s="42">
        <f>'S24'!T28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'S24'!M29+L29</f>
        <v/>
      </c>
      <c r="N29" s="31">
        <f>IFERROR(M29/K29,0)</f>
        <v/>
      </c>
      <c r="O29" s="40">
        <f>'S24'!N29</f>
        <v/>
      </c>
      <c r="P29" s="31">
        <f>N29-O29</f>
        <v/>
      </c>
      <c r="Q29" s="32" t="n"/>
      <c r="R29" s="32" t="n"/>
      <c r="S29" s="32" t="n"/>
      <c r="T29" s="33" t="n"/>
      <c r="U29" s="40">
        <f>'S24'!T29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'S24'!M30+L30</f>
        <v/>
      </c>
      <c r="N30" s="36">
        <f>IFERROR(M30/K30,0)</f>
        <v/>
      </c>
      <c r="O30" s="42">
        <f>'S24'!N30</f>
        <v/>
      </c>
      <c r="P30" s="36">
        <f>N30-O30</f>
        <v/>
      </c>
      <c r="Q30" s="32" t="n"/>
      <c r="R30" s="32" t="n"/>
      <c r="S30" s="32" t="n"/>
      <c r="T30" s="33" t="n"/>
      <c r="U30" s="42">
        <f>'S24'!T30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'S24'!M31+L31</f>
        <v/>
      </c>
      <c r="N31" s="31">
        <f>IFERROR(M31/K31,0)</f>
        <v/>
      </c>
      <c r="O31" s="40">
        <f>'S24'!N31</f>
        <v/>
      </c>
      <c r="P31" s="31">
        <f>N31-O31</f>
        <v/>
      </c>
      <c r="Q31" s="32" t="n"/>
      <c r="R31" s="32" t="n"/>
      <c r="S31" s="32" t="n"/>
      <c r="T31" s="33" t="n"/>
      <c r="U31" s="40">
        <f>'S24'!T31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'S24'!M32+L32</f>
        <v/>
      </c>
      <c r="N32" s="36">
        <f>IFERROR(M32/K32,0)</f>
        <v/>
      </c>
      <c r="O32" s="42">
        <f>'S24'!N32</f>
        <v/>
      </c>
      <c r="P32" s="36">
        <f>N32-O32</f>
        <v/>
      </c>
      <c r="Q32" s="32" t="n"/>
      <c r="R32" s="32" t="n"/>
      <c r="S32" s="32" t="n"/>
      <c r="T32" s="33" t="n"/>
      <c r="U32" s="42">
        <f>'S24'!T32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'S24'!M33+L33</f>
        <v/>
      </c>
      <c r="N33" s="31">
        <f>IFERROR(M33/K33,0)</f>
        <v/>
      </c>
      <c r="O33" s="40">
        <f>'S24'!N33</f>
        <v/>
      </c>
      <c r="P33" s="31">
        <f>N33-O33</f>
        <v/>
      </c>
      <c r="Q33" s="32" t="n"/>
      <c r="R33" s="32" t="n"/>
      <c r="S33" s="32" t="n"/>
      <c r="T33" s="33" t="n"/>
      <c r="U33" s="40">
        <f>'S24'!T33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'S24'!M34+L34</f>
        <v/>
      </c>
      <c r="N34" s="36">
        <f>IFERROR(M34/K34,0)</f>
        <v/>
      </c>
      <c r="O34" s="42">
        <f>'S24'!N34</f>
        <v/>
      </c>
      <c r="P34" s="36">
        <f>N34-O34</f>
        <v/>
      </c>
      <c r="Q34" s="32" t="n"/>
      <c r="R34" s="32" t="n"/>
      <c r="S34" s="32" t="n"/>
      <c r="T34" s="33" t="n"/>
      <c r="U34" s="42">
        <f>'S24'!T34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'S24'!M35+L35</f>
        <v/>
      </c>
      <c r="N35" s="31">
        <f>IFERROR(M35/K35,0)</f>
        <v/>
      </c>
      <c r="O35" s="40">
        <f>'S24'!N35</f>
        <v/>
      </c>
      <c r="P35" s="31">
        <f>N35-O35</f>
        <v/>
      </c>
      <c r="Q35" s="32" t="n"/>
      <c r="R35" s="32" t="n"/>
      <c r="S35" s="32" t="n"/>
      <c r="T35" s="33" t="n"/>
      <c r="U35" s="40">
        <f>'S24'!T35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'S24'!M36+L36</f>
        <v/>
      </c>
      <c r="N36" s="36">
        <f>IFERROR(M36/K36,0)</f>
        <v/>
      </c>
      <c r="O36" s="42">
        <f>'S24'!N36</f>
        <v/>
      </c>
      <c r="P36" s="36">
        <f>N36-O36</f>
        <v/>
      </c>
      <c r="Q36" s="32" t="n"/>
      <c r="R36" s="32" t="n"/>
      <c r="S36" s="32" t="n"/>
      <c r="T36" s="33" t="n"/>
      <c r="U36" s="42">
        <f>'S24'!T36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'S24'!M37+L37</f>
        <v/>
      </c>
      <c r="N37" s="31">
        <f>IFERROR(M37/K37,0)</f>
        <v/>
      </c>
      <c r="O37" s="40">
        <f>'S24'!N37</f>
        <v/>
      </c>
      <c r="P37" s="31">
        <f>N37-O37</f>
        <v/>
      </c>
      <c r="Q37" s="32" t="n"/>
      <c r="R37" s="32" t="n"/>
      <c r="S37" s="32" t="n"/>
      <c r="T37" s="33" t="n"/>
      <c r="U37" s="40">
        <f>'S24'!T37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'S24'!M38+L38</f>
        <v/>
      </c>
      <c r="N38" s="36">
        <f>IFERROR(M38/K38,0)</f>
        <v/>
      </c>
      <c r="O38" s="42">
        <f>'S24'!N38</f>
        <v/>
      </c>
      <c r="P38" s="36">
        <f>N38-O38</f>
        <v/>
      </c>
      <c r="Q38" s="32" t="n"/>
      <c r="R38" s="32" t="n"/>
      <c r="S38" s="32" t="n"/>
      <c r="T38" s="33" t="n"/>
      <c r="U38" s="42">
        <f>'S24'!T38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'S24'!M39+L39</f>
        <v/>
      </c>
      <c r="N39" s="31">
        <f>IFERROR(M39/K39,0)</f>
        <v/>
      </c>
      <c r="O39" s="40">
        <f>'S24'!N39</f>
        <v/>
      </c>
      <c r="P39" s="31">
        <f>N39-O39</f>
        <v/>
      </c>
      <c r="Q39" s="32" t="n"/>
      <c r="R39" s="32" t="n"/>
      <c r="S39" s="32" t="n"/>
      <c r="T39" s="33" t="n"/>
      <c r="U39" s="40">
        <f>'S24'!T39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'S24'!M40+L40</f>
        <v/>
      </c>
      <c r="N40" s="36">
        <f>IFERROR(M40/K40,0)</f>
        <v/>
      </c>
      <c r="O40" s="42">
        <f>'S24'!N40</f>
        <v/>
      </c>
      <c r="P40" s="36">
        <f>N40-O40</f>
        <v/>
      </c>
      <c r="Q40" s="32" t="n"/>
      <c r="R40" s="32" t="n"/>
      <c r="S40" s="32" t="n"/>
      <c r="T40" s="33" t="n"/>
      <c r="U40" s="42">
        <f>'S24'!T40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'S24'!M41+L41</f>
        <v/>
      </c>
      <c r="N41" s="31">
        <f>IFERROR(M41/K41,0)</f>
        <v/>
      </c>
      <c r="O41" s="40">
        <f>'S24'!N41</f>
        <v/>
      </c>
      <c r="P41" s="31">
        <f>N41-O41</f>
        <v/>
      </c>
      <c r="Q41" s="32" t="n"/>
      <c r="R41" s="32" t="n"/>
      <c r="S41" s="32" t="n"/>
      <c r="T41" s="33" t="n"/>
      <c r="U41" s="40">
        <f>'S24'!T41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'S24'!M42+L42</f>
        <v/>
      </c>
      <c r="N42" s="36">
        <f>IFERROR(M42/K42,0)</f>
        <v/>
      </c>
      <c r="O42" s="42">
        <f>'S24'!N42</f>
        <v/>
      </c>
      <c r="P42" s="36">
        <f>N42-O42</f>
        <v/>
      </c>
      <c r="Q42" s="32" t="n"/>
      <c r="R42" s="32" t="n"/>
      <c r="S42" s="32" t="n"/>
      <c r="T42" s="33" t="n"/>
      <c r="U42" s="42">
        <f>'S24'!T42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'S24'!M43+L43</f>
        <v/>
      </c>
      <c r="N43" s="31">
        <f>IFERROR(M43/K43,0)</f>
        <v/>
      </c>
      <c r="O43" s="40">
        <f>'S24'!N43</f>
        <v/>
      </c>
      <c r="P43" s="31">
        <f>N43-O43</f>
        <v/>
      </c>
      <c r="Q43" s="32" t="n"/>
      <c r="R43" s="32" t="n"/>
      <c r="S43" s="32" t="n"/>
      <c r="T43" s="33" t="n"/>
      <c r="U43" s="40">
        <f>'S24'!T43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'S24'!M44+L44</f>
        <v/>
      </c>
      <c r="N44" s="36">
        <f>IFERROR(M44/K44,0)</f>
        <v/>
      </c>
      <c r="O44" s="42">
        <f>'S24'!N44</f>
        <v/>
      </c>
      <c r="P44" s="36">
        <f>N44-O44</f>
        <v/>
      </c>
      <c r="Q44" s="32" t="n"/>
      <c r="R44" s="32" t="n"/>
      <c r="S44" s="32" t="n"/>
      <c r="T44" s="33" t="n"/>
      <c r="U44" s="42">
        <f>'S24'!T44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'S24'!M45+L45</f>
        <v/>
      </c>
      <c r="N45" s="31">
        <f>IFERROR(M45/K45,0)</f>
        <v/>
      </c>
      <c r="O45" s="40">
        <f>'S24'!N45</f>
        <v/>
      </c>
      <c r="P45" s="31">
        <f>N45-O45</f>
        <v/>
      </c>
      <c r="Q45" s="32" t="n"/>
      <c r="R45" s="32" t="n"/>
      <c r="S45" s="32" t="n"/>
      <c r="T45" s="33" t="n"/>
      <c r="U45" s="40">
        <f>'S24'!T45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'S24'!M46+L46</f>
        <v/>
      </c>
      <c r="N46" s="36">
        <f>IFERROR(M46/K46,0)</f>
        <v/>
      </c>
      <c r="O46" s="42">
        <f>'S24'!N46</f>
        <v/>
      </c>
      <c r="P46" s="36">
        <f>N46-O46</f>
        <v/>
      </c>
      <c r="Q46" s="32" t="n"/>
      <c r="R46" s="32" t="n"/>
      <c r="S46" s="32" t="n"/>
      <c r="T46" s="33" t="n"/>
      <c r="U46" s="42">
        <f>'S24'!T46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'S24'!M47+L47</f>
        <v/>
      </c>
      <c r="N47" s="31">
        <f>IFERROR(M47/K47,0)</f>
        <v/>
      </c>
      <c r="O47" s="40">
        <f>'S24'!N47</f>
        <v/>
      </c>
      <c r="P47" s="31">
        <f>N47-O47</f>
        <v/>
      </c>
      <c r="Q47" s="32" t="n"/>
      <c r="R47" s="32" t="n"/>
      <c r="S47" s="32" t="n"/>
      <c r="T47" s="33" t="n"/>
      <c r="U47" s="40">
        <f>'S24'!T47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'S24'!M48+L48</f>
        <v/>
      </c>
      <c r="N48" s="36">
        <f>IFERROR(M48/K48,0)</f>
        <v/>
      </c>
      <c r="O48" s="42">
        <f>'S24'!N48</f>
        <v/>
      </c>
      <c r="P48" s="36">
        <f>N48-O48</f>
        <v/>
      </c>
      <c r="Q48" s="32" t="n"/>
      <c r="R48" s="32" t="n"/>
      <c r="S48" s="32" t="n"/>
      <c r="T48" s="33" t="n"/>
      <c r="U48" s="42">
        <f>'S24'!T48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'S24'!M49+L49</f>
        <v/>
      </c>
      <c r="N49" s="31">
        <f>IFERROR(M49/K49,0)</f>
        <v/>
      </c>
      <c r="O49" s="40">
        <f>'S24'!N49</f>
        <v/>
      </c>
      <c r="P49" s="31">
        <f>N49-O49</f>
        <v/>
      </c>
      <c r="Q49" s="32" t="n"/>
      <c r="R49" s="32" t="n"/>
      <c r="S49" s="32" t="n"/>
      <c r="T49" s="33" t="n"/>
      <c r="U49" s="40">
        <f>'S24'!T49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'S24'!M50+L50</f>
        <v/>
      </c>
      <c r="N50" s="36">
        <f>IFERROR(M50/K50,0)</f>
        <v/>
      </c>
      <c r="O50" s="42">
        <f>'S24'!N50</f>
        <v/>
      </c>
      <c r="P50" s="36">
        <f>N50-O50</f>
        <v/>
      </c>
      <c r="Q50" s="32" t="n"/>
      <c r="R50" s="32" t="n"/>
      <c r="S50" s="32" t="n"/>
      <c r="T50" s="33" t="n"/>
      <c r="U50" s="42">
        <f>'S24'!T50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'S24'!M51+L51</f>
        <v/>
      </c>
      <c r="N51" s="31">
        <f>IFERROR(M51/K51,0)</f>
        <v/>
      </c>
      <c r="O51" s="40">
        <f>'S24'!N51</f>
        <v/>
      </c>
      <c r="P51" s="31">
        <f>N51-O51</f>
        <v/>
      </c>
      <c r="Q51" s="32" t="n"/>
      <c r="R51" s="32" t="n"/>
      <c r="S51" s="32" t="n"/>
      <c r="T51" s="33" t="n"/>
      <c r="U51" s="40">
        <f>'S24'!T51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'S24'!M52+L52</f>
        <v/>
      </c>
      <c r="N52" s="36">
        <f>IFERROR(M52/K52,0)</f>
        <v/>
      </c>
      <c r="O52" s="42">
        <f>'S24'!N52</f>
        <v/>
      </c>
      <c r="P52" s="36">
        <f>N52-O52</f>
        <v/>
      </c>
      <c r="Q52" s="32" t="n"/>
      <c r="R52" s="32" t="n"/>
      <c r="S52" s="32" t="n"/>
      <c r="T52" s="33" t="n"/>
      <c r="U52" s="42">
        <f>'S24'!T52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'S24'!M53+L53</f>
        <v/>
      </c>
      <c r="N53" s="31">
        <f>IFERROR(M53/K53,0)</f>
        <v/>
      </c>
      <c r="O53" s="40">
        <f>'S24'!N53</f>
        <v/>
      </c>
      <c r="P53" s="31">
        <f>N53-O53</f>
        <v/>
      </c>
      <c r="Q53" s="32" t="n"/>
      <c r="R53" s="32" t="n"/>
      <c r="S53" s="32" t="n"/>
      <c r="T53" s="33" t="n"/>
      <c r="U53" s="40">
        <f>'S24'!T53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'S24'!M54+L54</f>
        <v/>
      </c>
      <c r="N54" s="36">
        <f>IFERROR(M54/K54,0)</f>
        <v/>
      </c>
      <c r="O54" s="42">
        <f>'S24'!N54</f>
        <v/>
      </c>
      <c r="P54" s="36">
        <f>N54-O54</f>
        <v/>
      </c>
      <c r="Q54" s="32" t="n"/>
      <c r="R54" s="32" t="n"/>
      <c r="S54" s="32" t="n"/>
      <c r="T54" s="33" t="n"/>
      <c r="U54" s="42">
        <f>'S24'!T54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'S24'!M55+L55</f>
        <v/>
      </c>
      <c r="N55" s="31">
        <f>IFERROR(M55/K55,0)</f>
        <v/>
      </c>
      <c r="O55" s="40">
        <f>'S24'!N55</f>
        <v/>
      </c>
      <c r="P55" s="31">
        <f>N55-O55</f>
        <v/>
      </c>
      <c r="Q55" s="32" t="n"/>
      <c r="R55" s="32" t="n"/>
      <c r="S55" s="32" t="n"/>
      <c r="T55" s="33" t="n"/>
      <c r="U55" s="40">
        <f>'S24'!T55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'S24'!M56+L56</f>
        <v/>
      </c>
      <c r="N56" s="36">
        <f>IFERROR(M56/K56,0)</f>
        <v/>
      </c>
      <c r="O56" s="42">
        <f>'S24'!N56</f>
        <v/>
      </c>
      <c r="P56" s="36">
        <f>N56-O56</f>
        <v/>
      </c>
      <c r="Q56" s="32" t="n"/>
      <c r="R56" s="32" t="n"/>
      <c r="S56" s="32" t="n"/>
      <c r="T56" s="33" t="n"/>
      <c r="U56" s="42">
        <f>'S24'!T56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'S24'!M57+L57</f>
        <v/>
      </c>
      <c r="N57" s="31">
        <f>IFERROR(M57/K57,0)</f>
        <v/>
      </c>
      <c r="O57" s="40">
        <f>'S24'!N57</f>
        <v/>
      </c>
      <c r="P57" s="31">
        <f>N57-O57</f>
        <v/>
      </c>
      <c r="Q57" s="32" t="n"/>
      <c r="R57" s="32" t="n"/>
      <c r="S57" s="32" t="n"/>
      <c r="T57" s="33" t="n"/>
      <c r="U57" s="40">
        <f>'S24'!T57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'S24'!M58+L58</f>
        <v/>
      </c>
      <c r="N58" s="36">
        <f>IFERROR(M58/K58,0)</f>
        <v/>
      </c>
      <c r="O58" s="42">
        <f>'S24'!N58</f>
        <v/>
      </c>
      <c r="P58" s="36">
        <f>N58-O58</f>
        <v/>
      </c>
      <c r="Q58" s="32" t="n"/>
      <c r="R58" s="32" t="n"/>
      <c r="S58" s="32" t="n"/>
      <c r="T58" s="33" t="n"/>
      <c r="U58" s="42">
        <f>'S24'!T58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'S24'!M59+L59</f>
        <v/>
      </c>
      <c r="N59" s="31">
        <f>IFERROR(M59/K59,0)</f>
        <v/>
      </c>
      <c r="O59" s="40">
        <f>'S24'!N59</f>
        <v/>
      </c>
      <c r="P59" s="31">
        <f>N59-O59</f>
        <v/>
      </c>
      <c r="Q59" s="32" t="n"/>
      <c r="R59" s="32" t="n"/>
      <c r="S59" s="32" t="n"/>
      <c r="T59" s="33" t="n"/>
      <c r="U59" s="40">
        <f>'S24'!T59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'S24'!M60+L60</f>
        <v/>
      </c>
      <c r="N60" s="36">
        <f>IFERROR(M60/K60,0)</f>
        <v/>
      </c>
      <c r="O60" s="42">
        <f>'S24'!N60</f>
        <v/>
      </c>
      <c r="P60" s="36">
        <f>N60-O60</f>
        <v/>
      </c>
      <c r="Q60" s="32" t="n"/>
      <c r="R60" s="32" t="n"/>
      <c r="S60" s="32" t="n"/>
      <c r="T60" s="33" t="n"/>
      <c r="U60" s="42">
        <f>'S24'!T60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'S24'!M61+L61</f>
        <v/>
      </c>
      <c r="N61" s="31">
        <f>IFERROR(M61/K61,0)</f>
        <v/>
      </c>
      <c r="O61" s="40">
        <f>'S24'!N61</f>
        <v/>
      </c>
      <c r="P61" s="31">
        <f>N61-O61</f>
        <v/>
      </c>
      <c r="Q61" s="32" t="n"/>
      <c r="R61" s="32" t="n"/>
      <c r="S61" s="32" t="n"/>
      <c r="T61" s="33" t="n"/>
      <c r="U61" s="40">
        <f>'S24'!T61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'S24'!M62+L62</f>
        <v/>
      </c>
      <c r="N62" s="36">
        <f>IFERROR(M62/K62,0)</f>
        <v/>
      </c>
      <c r="O62" s="42">
        <f>'S24'!N62</f>
        <v/>
      </c>
      <c r="P62" s="36">
        <f>N62-O62</f>
        <v/>
      </c>
      <c r="Q62" s="32" t="n"/>
      <c r="R62" s="32" t="n"/>
      <c r="S62" s="32" t="n"/>
      <c r="T62" s="33" t="n"/>
      <c r="U62" s="42">
        <f>'S24'!T62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'S24'!M63+L63</f>
        <v/>
      </c>
      <c r="N63" s="31">
        <f>IFERROR(M63/K63,0)</f>
        <v/>
      </c>
      <c r="O63" s="40">
        <f>'S24'!N63</f>
        <v/>
      </c>
      <c r="P63" s="31">
        <f>N63-O63</f>
        <v/>
      </c>
      <c r="Q63" s="32" t="n"/>
      <c r="R63" s="32" t="n"/>
      <c r="S63" s="32" t="n"/>
      <c r="T63" s="33" t="n"/>
      <c r="U63" s="40">
        <f>'S24'!T63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'S24'!M64+L64</f>
        <v/>
      </c>
      <c r="N64" s="36">
        <f>IFERROR(M64/K64,0)</f>
        <v/>
      </c>
      <c r="O64" s="42">
        <f>'S24'!N64</f>
        <v/>
      </c>
      <c r="P64" s="36">
        <f>N64-O64</f>
        <v/>
      </c>
      <c r="Q64" s="32" t="n"/>
      <c r="R64" s="32" t="n"/>
      <c r="S64" s="32" t="n"/>
      <c r="T64" s="33" t="n"/>
      <c r="U64" s="42">
        <f>'S24'!T64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'S24'!M65+L65</f>
        <v/>
      </c>
      <c r="N65" s="31">
        <f>IFERROR(M65/K65,0)</f>
        <v/>
      </c>
      <c r="O65" s="40">
        <f>'S24'!N65</f>
        <v/>
      </c>
      <c r="P65" s="31">
        <f>N65-O65</f>
        <v/>
      </c>
      <c r="Q65" s="32" t="n"/>
      <c r="R65" s="32" t="n"/>
      <c r="S65" s="32" t="n"/>
      <c r="T65" s="33" t="n"/>
      <c r="U65" s="40">
        <f>'S24'!T65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'S24'!M66+L66</f>
        <v/>
      </c>
      <c r="N66" s="36">
        <f>IFERROR(M66/K66,0)</f>
        <v/>
      </c>
      <c r="O66" s="42">
        <f>'S24'!N66</f>
        <v/>
      </c>
      <c r="P66" s="36">
        <f>N66-O66</f>
        <v/>
      </c>
      <c r="Q66" s="32" t="n"/>
      <c r="R66" s="32" t="n"/>
      <c r="S66" s="32" t="n"/>
      <c r="T66" s="33" t="n"/>
      <c r="U66" s="42">
        <f>'S24'!T66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'S24'!M67+L67</f>
        <v/>
      </c>
      <c r="N67" s="31">
        <f>IFERROR(M67/K67,0)</f>
        <v/>
      </c>
      <c r="O67" s="40">
        <f>'S24'!N67</f>
        <v/>
      </c>
      <c r="P67" s="31">
        <f>N67-O67</f>
        <v/>
      </c>
      <c r="Q67" s="32" t="n"/>
      <c r="R67" s="32" t="n"/>
      <c r="S67" s="32" t="n"/>
      <c r="T67" s="33" t="n"/>
      <c r="U67" s="40">
        <f>'S24'!T67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'S24'!M68+L68</f>
        <v/>
      </c>
      <c r="N68" s="36">
        <f>IFERROR(M68/K68,0)</f>
        <v/>
      </c>
      <c r="O68" s="42">
        <f>'S24'!N68</f>
        <v/>
      </c>
      <c r="P68" s="36">
        <f>N68-O68</f>
        <v/>
      </c>
      <c r="Q68" s="32" t="n"/>
      <c r="R68" s="32" t="n"/>
      <c r="S68" s="32" t="n"/>
      <c r="T68" s="33" t="n"/>
      <c r="U68" s="42">
        <f>'S24'!T68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'S24'!M69+L69</f>
        <v/>
      </c>
      <c r="N69" s="31">
        <f>IFERROR(M69/K69,0)</f>
        <v/>
      </c>
      <c r="O69" s="40">
        <f>'S24'!N69</f>
        <v/>
      </c>
      <c r="P69" s="31">
        <f>N69-O69</f>
        <v/>
      </c>
      <c r="Q69" s="32" t="n"/>
      <c r="R69" s="32" t="n"/>
      <c r="S69" s="32" t="n"/>
      <c r="T69" s="33" t="n"/>
      <c r="U69" s="40">
        <f>'S24'!T69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'S24'!M70+L70</f>
        <v/>
      </c>
      <c r="N70" s="36">
        <f>IFERROR(M70/K70,0)</f>
        <v/>
      </c>
      <c r="O70" s="42">
        <f>'S24'!N70</f>
        <v/>
      </c>
      <c r="P70" s="36">
        <f>N70-O70</f>
        <v/>
      </c>
      <c r="Q70" s="32" t="n"/>
      <c r="R70" s="32" t="n"/>
      <c r="S70" s="32" t="n"/>
      <c r="T70" s="33" t="n"/>
      <c r="U70" s="42">
        <f>'S24'!T70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'S24'!M71+L71</f>
        <v/>
      </c>
      <c r="N71" s="31">
        <f>IFERROR(M71/K71,0)</f>
        <v/>
      </c>
      <c r="O71" s="40">
        <f>'S24'!N71</f>
        <v/>
      </c>
      <c r="P71" s="31">
        <f>N71-O71</f>
        <v/>
      </c>
      <c r="Q71" s="32" t="n"/>
      <c r="R71" s="32" t="n"/>
      <c r="S71" s="32" t="n"/>
      <c r="T71" s="33" t="n"/>
      <c r="U71" s="40">
        <f>'S24'!T71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'S24'!M72+L72</f>
        <v/>
      </c>
      <c r="N72" s="36">
        <f>IFERROR(M72/K72,0)</f>
        <v/>
      </c>
      <c r="O72" s="42">
        <f>'S24'!N72</f>
        <v/>
      </c>
      <c r="P72" s="36">
        <f>N72-O72</f>
        <v/>
      </c>
      <c r="Q72" s="32" t="n"/>
      <c r="R72" s="32" t="n"/>
      <c r="S72" s="32" t="n"/>
      <c r="T72" s="33" t="n"/>
      <c r="U72" s="42">
        <f>'S24'!T72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'S24'!M73+L73</f>
        <v/>
      </c>
      <c r="N73" s="31">
        <f>IFERROR(M73/K73,0)</f>
        <v/>
      </c>
      <c r="O73" s="40">
        <f>'S24'!N73</f>
        <v/>
      </c>
      <c r="P73" s="31">
        <f>N73-O73</f>
        <v/>
      </c>
      <c r="Q73" s="32" t="n"/>
      <c r="R73" s="32" t="n"/>
      <c r="S73" s="32" t="n"/>
      <c r="T73" s="33" t="n"/>
      <c r="U73" s="40">
        <f>'S24'!T73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'S24'!M74+L74</f>
        <v/>
      </c>
      <c r="N74" s="36">
        <f>IFERROR(M74/K74,0)</f>
        <v/>
      </c>
      <c r="O74" s="42">
        <f>'S24'!N74</f>
        <v/>
      </c>
      <c r="P74" s="36">
        <f>N74-O74</f>
        <v/>
      </c>
      <c r="Q74" s="32" t="n"/>
      <c r="R74" s="32" t="n"/>
      <c r="S74" s="32" t="n"/>
      <c r="T74" s="33" t="n"/>
      <c r="U74" s="42">
        <f>'S24'!T74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'S24'!M75+L75</f>
        <v/>
      </c>
      <c r="N75" s="31">
        <f>IFERROR(M75/K75,0)</f>
        <v/>
      </c>
      <c r="O75" s="40">
        <f>'S24'!N75</f>
        <v/>
      </c>
      <c r="P75" s="31">
        <f>N75-O75</f>
        <v/>
      </c>
      <c r="Q75" s="32" t="n"/>
      <c r="R75" s="32" t="n"/>
      <c r="S75" s="32" t="n"/>
      <c r="T75" s="33" t="n"/>
      <c r="U75" s="40">
        <f>'S24'!T75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'S24'!M76+L76</f>
        <v/>
      </c>
      <c r="N76" s="36">
        <f>IFERROR(M76/K76,0)</f>
        <v/>
      </c>
      <c r="O76" s="42">
        <f>'S24'!N76</f>
        <v/>
      </c>
      <c r="P76" s="36">
        <f>N76-O76</f>
        <v/>
      </c>
      <c r="Q76" s="32" t="n"/>
      <c r="R76" s="32" t="n"/>
      <c r="S76" s="32" t="n"/>
      <c r="T76" s="33" t="n"/>
      <c r="U76" s="42">
        <f>'S24'!T76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28.xml><?xml version="1.0" encoding="utf-8"?>
<worksheet xmlns="http://schemas.openxmlformats.org/spreadsheetml/2006/main">
  <sheetPr>
    <tabColor rgb="00ED7D31"/>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26 (22/06 - 28/06) — Juin 2026 - Exécution Physique et Financière</t>
        </is>
      </c>
    </row>
    <row r="3" ht="22" customHeight="1">
      <c r="B3" s="20" t="inlineStr">
        <is>
          <t>Date :</t>
        </is>
      </c>
      <c r="C3" s="21" t="n">
        <v>46195</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'S25'!M5+L5</f>
        <v/>
      </c>
      <c r="N5" s="31">
        <f>IFERROR(M5/K5,0)</f>
        <v/>
      </c>
      <c r="O5" s="40">
        <f>'S25'!N5</f>
        <v/>
      </c>
      <c r="P5" s="31">
        <f>N5-O5</f>
        <v/>
      </c>
      <c r="Q5" s="32" t="n"/>
      <c r="R5" s="32" t="n"/>
      <c r="S5" s="32" t="n"/>
      <c r="T5" s="33" t="n"/>
      <c r="U5" s="40">
        <f>'S25'!T5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'S25'!M6+L6</f>
        <v/>
      </c>
      <c r="N6" s="36">
        <f>IFERROR(M6/K6,0)</f>
        <v/>
      </c>
      <c r="O6" s="42">
        <f>'S25'!N6</f>
        <v/>
      </c>
      <c r="P6" s="36">
        <f>N6-O6</f>
        <v/>
      </c>
      <c r="Q6" s="32" t="n"/>
      <c r="R6" s="32" t="n"/>
      <c r="S6" s="32" t="n"/>
      <c r="T6" s="33" t="n"/>
      <c r="U6" s="42">
        <f>'S25'!T6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'S25'!M7+L7</f>
        <v/>
      </c>
      <c r="N7" s="31">
        <f>IFERROR(M7/K7,0)</f>
        <v/>
      </c>
      <c r="O7" s="40">
        <f>'S25'!N7</f>
        <v/>
      </c>
      <c r="P7" s="31">
        <f>N7-O7</f>
        <v/>
      </c>
      <c r="Q7" s="32" t="n"/>
      <c r="R7" s="32" t="n"/>
      <c r="S7" s="32" t="n"/>
      <c r="T7" s="33" t="n"/>
      <c r="U7" s="40">
        <f>'S25'!T7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'S25'!M8+L8</f>
        <v/>
      </c>
      <c r="N8" s="36">
        <f>IFERROR(M8/K8,0)</f>
        <v/>
      </c>
      <c r="O8" s="42">
        <f>'S25'!N8</f>
        <v/>
      </c>
      <c r="P8" s="36">
        <f>N8-O8</f>
        <v/>
      </c>
      <c r="Q8" s="32" t="n"/>
      <c r="R8" s="32" t="n"/>
      <c r="S8" s="32" t="n"/>
      <c r="T8" s="33" t="n"/>
      <c r="U8" s="42">
        <f>'S25'!T8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'S25'!M9+L9</f>
        <v/>
      </c>
      <c r="N9" s="31">
        <f>IFERROR(M9/K9,0)</f>
        <v/>
      </c>
      <c r="O9" s="40">
        <f>'S25'!N9</f>
        <v/>
      </c>
      <c r="P9" s="31">
        <f>N9-O9</f>
        <v/>
      </c>
      <c r="Q9" s="32" t="n"/>
      <c r="R9" s="32" t="n"/>
      <c r="S9" s="32" t="n"/>
      <c r="T9" s="33" t="n"/>
      <c r="U9" s="40">
        <f>'S25'!T9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'S25'!M10+L10</f>
        <v/>
      </c>
      <c r="N10" s="36">
        <f>IFERROR(M10/K10,0)</f>
        <v/>
      </c>
      <c r="O10" s="42">
        <f>'S25'!N10</f>
        <v/>
      </c>
      <c r="P10" s="36">
        <f>N10-O10</f>
        <v/>
      </c>
      <c r="Q10" s="32" t="n"/>
      <c r="R10" s="32" t="n"/>
      <c r="S10" s="32" t="n"/>
      <c r="T10" s="33" t="n"/>
      <c r="U10" s="42">
        <f>'S25'!T10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'S25'!M11+L11</f>
        <v/>
      </c>
      <c r="N11" s="31">
        <f>IFERROR(M11/K11,0)</f>
        <v/>
      </c>
      <c r="O11" s="40">
        <f>'S25'!N11</f>
        <v/>
      </c>
      <c r="P11" s="31">
        <f>N11-O11</f>
        <v/>
      </c>
      <c r="Q11" s="32" t="n"/>
      <c r="R11" s="32" t="n"/>
      <c r="S11" s="32" t="n"/>
      <c r="T11" s="33" t="n"/>
      <c r="U11" s="40">
        <f>'S25'!T11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'S25'!M12+L12</f>
        <v/>
      </c>
      <c r="N12" s="36">
        <f>IFERROR(M12/K12,0)</f>
        <v/>
      </c>
      <c r="O12" s="42">
        <f>'S25'!N12</f>
        <v/>
      </c>
      <c r="P12" s="36">
        <f>N12-O12</f>
        <v/>
      </c>
      <c r="Q12" s="32" t="n"/>
      <c r="R12" s="32" t="n"/>
      <c r="S12" s="32" t="n"/>
      <c r="T12" s="33" t="n"/>
      <c r="U12" s="42">
        <f>'S25'!T12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'S25'!M13+L13</f>
        <v/>
      </c>
      <c r="N13" s="31">
        <f>IFERROR(M13/K13,0)</f>
        <v/>
      </c>
      <c r="O13" s="40">
        <f>'S25'!N13</f>
        <v/>
      </c>
      <c r="P13" s="31">
        <f>N13-O13</f>
        <v/>
      </c>
      <c r="Q13" s="32" t="n"/>
      <c r="R13" s="32" t="n"/>
      <c r="S13" s="32" t="n"/>
      <c r="T13" s="33" t="n"/>
      <c r="U13" s="40">
        <f>'S25'!T13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'S25'!M14+L14</f>
        <v/>
      </c>
      <c r="N14" s="36">
        <f>IFERROR(M14/K14,0)</f>
        <v/>
      </c>
      <c r="O14" s="42">
        <f>'S25'!N14</f>
        <v/>
      </c>
      <c r="P14" s="36">
        <f>N14-O14</f>
        <v/>
      </c>
      <c r="Q14" s="32" t="n"/>
      <c r="R14" s="32" t="n"/>
      <c r="S14" s="32" t="n"/>
      <c r="T14" s="33" t="n"/>
      <c r="U14" s="42">
        <f>'S25'!T14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'S25'!M15+L15</f>
        <v/>
      </c>
      <c r="N15" s="31">
        <f>IFERROR(M15/K15,0)</f>
        <v/>
      </c>
      <c r="O15" s="40">
        <f>'S25'!N15</f>
        <v/>
      </c>
      <c r="P15" s="31">
        <f>N15-O15</f>
        <v/>
      </c>
      <c r="Q15" s="32" t="n"/>
      <c r="R15" s="32" t="n"/>
      <c r="S15" s="32" t="n"/>
      <c r="T15" s="33" t="n"/>
      <c r="U15" s="40">
        <f>'S25'!T15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'S25'!M16+L16</f>
        <v/>
      </c>
      <c r="N16" s="36">
        <f>IFERROR(M16/K16,0)</f>
        <v/>
      </c>
      <c r="O16" s="42">
        <f>'S25'!N16</f>
        <v/>
      </c>
      <c r="P16" s="36">
        <f>N16-O16</f>
        <v/>
      </c>
      <c r="Q16" s="32" t="n"/>
      <c r="R16" s="32" t="n"/>
      <c r="S16" s="32" t="n"/>
      <c r="T16" s="33" t="n"/>
      <c r="U16" s="42">
        <f>'S25'!T16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'S25'!M17+L17</f>
        <v/>
      </c>
      <c r="N17" s="31">
        <f>IFERROR(M17/K17,0)</f>
        <v/>
      </c>
      <c r="O17" s="40">
        <f>'S25'!N17</f>
        <v/>
      </c>
      <c r="P17" s="31">
        <f>N17-O17</f>
        <v/>
      </c>
      <c r="Q17" s="32" t="n"/>
      <c r="R17" s="32" t="n"/>
      <c r="S17" s="32" t="n"/>
      <c r="T17" s="33" t="n"/>
      <c r="U17" s="40">
        <f>'S25'!T17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'S25'!M18+L18</f>
        <v/>
      </c>
      <c r="N18" s="36">
        <f>IFERROR(M18/K18,0)</f>
        <v/>
      </c>
      <c r="O18" s="42">
        <f>'S25'!N18</f>
        <v/>
      </c>
      <c r="P18" s="36">
        <f>N18-O18</f>
        <v/>
      </c>
      <c r="Q18" s="32" t="n"/>
      <c r="R18" s="32" t="n"/>
      <c r="S18" s="32" t="n"/>
      <c r="T18" s="33" t="n"/>
      <c r="U18" s="42">
        <f>'S25'!T18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'S25'!M19+L19</f>
        <v/>
      </c>
      <c r="N19" s="31">
        <f>IFERROR(M19/K19,0)</f>
        <v/>
      </c>
      <c r="O19" s="40">
        <f>'S25'!N19</f>
        <v/>
      </c>
      <c r="P19" s="31">
        <f>N19-O19</f>
        <v/>
      </c>
      <c r="Q19" s="32" t="n"/>
      <c r="R19" s="32" t="n"/>
      <c r="S19" s="32" t="n"/>
      <c r="T19" s="33" t="n"/>
      <c r="U19" s="40">
        <f>'S25'!T19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'S25'!M20+L20</f>
        <v/>
      </c>
      <c r="N20" s="36">
        <f>IFERROR(M20/K20,0)</f>
        <v/>
      </c>
      <c r="O20" s="42">
        <f>'S25'!N20</f>
        <v/>
      </c>
      <c r="P20" s="36">
        <f>N20-O20</f>
        <v/>
      </c>
      <c r="Q20" s="32" t="n"/>
      <c r="R20" s="32" t="n"/>
      <c r="S20" s="32" t="n"/>
      <c r="T20" s="33" t="n"/>
      <c r="U20" s="42">
        <f>'S25'!T20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'S25'!M21+L21</f>
        <v/>
      </c>
      <c r="N21" s="31">
        <f>IFERROR(M21/K21,0)</f>
        <v/>
      </c>
      <c r="O21" s="40">
        <f>'S25'!N21</f>
        <v/>
      </c>
      <c r="P21" s="31">
        <f>N21-O21</f>
        <v/>
      </c>
      <c r="Q21" s="32" t="n"/>
      <c r="R21" s="32" t="n"/>
      <c r="S21" s="32" t="n"/>
      <c r="T21" s="33" t="n"/>
      <c r="U21" s="40">
        <f>'S25'!T21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'S25'!M22+L22</f>
        <v/>
      </c>
      <c r="N22" s="36">
        <f>IFERROR(M22/K22,0)</f>
        <v/>
      </c>
      <c r="O22" s="42">
        <f>'S25'!N22</f>
        <v/>
      </c>
      <c r="P22" s="36">
        <f>N22-O22</f>
        <v/>
      </c>
      <c r="Q22" s="32" t="n"/>
      <c r="R22" s="32" t="n"/>
      <c r="S22" s="32" t="n"/>
      <c r="T22" s="33" t="n"/>
      <c r="U22" s="42">
        <f>'S25'!T22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'S25'!M23+L23</f>
        <v/>
      </c>
      <c r="N23" s="31">
        <f>IFERROR(M23/K23,0)</f>
        <v/>
      </c>
      <c r="O23" s="40">
        <f>'S25'!N23</f>
        <v/>
      </c>
      <c r="P23" s="31">
        <f>N23-O23</f>
        <v/>
      </c>
      <c r="Q23" s="32" t="n"/>
      <c r="R23" s="32" t="n"/>
      <c r="S23" s="32" t="n"/>
      <c r="T23" s="33" t="n"/>
      <c r="U23" s="40">
        <f>'S25'!T23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'S25'!M24+L24</f>
        <v/>
      </c>
      <c r="N24" s="36">
        <f>IFERROR(M24/K24,0)</f>
        <v/>
      </c>
      <c r="O24" s="42">
        <f>'S25'!N24</f>
        <v/>
      </c>
      <c r="P24" s="36">
        <f>N24-O24</f>
        <v/>
      </c>
      <c r="Q24" s="32" t="n"/>
      <c r="R24" s="32" t="n"/>
      <c r="S24" s="32" t="n"/>
      <c r="T24" s="33" t="n"/>
      <c r="U24" s="42">
        <f>'S25'!T24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'S25'!M25+L25</f>
        <v/>
      </c>
      <c r="N25" s="31">
        <f>IFERROR(M25/K25,0)</f>
        <v/>
      </c>
      <c r="O25" s="40">
        <f>'S25'!N25</f>
        <v/>
      </c>
      <c r="P25" s="31">
        <f>N25-O25</f>
        <v/>
      </c>
      <c r="Q25" s="32" t="n"/>
      <c r="R25" s="32" t="n"/>
      <c r="S25" s="32" t="n"/>
      <c r="T25" s="33" t="n"/>
      <c r="U25" s="40">
        <f>'S25'!T25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'S25'!M26+L26</f>
        <v/>
      </c>
      <c r="N26" s="36">
        <f>IFERROR(M26/K26,0)</f>
        <v/>
      </c>
      <c r="O26" s="42">
        <f>'S25'!N26</f>
        <v/>
      </c>
      <c r="P26" s="36">
        <f>N26-O26</f>
        <v/>
      </c>
      <c r="Q26" s="32" t="n"/>
      <c r="R26" s="32" t="n"/>
      <c r="S26" s="32" t="n"/>
      <c r="T26" s="33" t="n"/>
      <c r="U26" s="42">
        <f>'S25'!T26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'S25'!M27+L27</f>
        <v/>
      </c>
      <c r="N27" s="31">
        <f>IFERROR(M27/K27,0)</f>
        <v/>
      </c>
      <c r="O27" s="40">
        <f>'S25'!N27</f>
        <v/>
      </c>
      <c r="P27" s="31">
        <f>N27-O27</f>
        <v/>
      </c>
      <c r="Q27" s="32" t="n"/>
      <c r="R27" s="32" t="n"/>
      <c r="S27" s="32" t="n"/>
      <c r="T27" s="33" t="n"/>
      <c r="U27" s="40">
        <f>'S25'!T27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'S25'!M28+L28</f>
        <v/>
      </c>
      <c r="N28" s="36">
        <f>IFERROR(M28/K28,0)</f>
        <v/>
      </c>
      <c r="O28" s="42">
        <f>'S25'!N28</f>
        <v/>
      </c>
      <c r="P28" s="36">
        <f>N28-O28</f>
        <v/>
      </c>
      <c r="Q28" s="32" t="n"/>
      <c r="R28" s="32" t="n"/>
      <c r="S28" s="32" t="n"/>
      <c r="T28" s="33" t="n"/>
      <c r="U28" s="42">
        <f>'S25'!T28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'S25'!M29+L29</f>
        <v/>
      </c>
      <c r="N29" s="31">
        <f>IFERROR(M29/K29,0)</f>
        <v/>
      </c>
      <c r="O29" s="40">
        <f>'S25'!N29</f>
        <v/>
      </c>
      <c r="P29" s="31">
        <f>N29-O29</f>
        <v/>
      </c>
      <c r="Q29" s="32" t="n"/>
      <c r="R29" s="32" t="n"/>
      <c r="S29" s="32" t="n"/>
      <c r="T29" s="33" t="n"/>
      <c r="U29" s="40">
        <f>'S25'!T29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'S25'!M30+L30</f>
        <v/>
      </c>
      <c r="N30" s="36">
        <f>IFERROR(M30/K30,0)</f>
        <v/>
      </c>
      <c r="O30" s="42">
        <f>'S25'!N30</f>
        <v/>
      </c>
      <c r="P30" s="36">
        <f>N30-O30</f>
        <v/>
      </c>
      <c r="Q30" s="32" t="n"/>
      <c r="R30" s="32" t="n"/>
      <c r="S30" s="32" t="n"/>
      <c r="T30" s="33" t="n"/>
      <c r="U30" s="42">
        <f>'S25'!T30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'S25'!M31+L31</f>
        <v/>
      </c>
      <c r="N31" s="31">
        <f>IFERROR(M31/K31,0)</f>
        <v/>
      </c>
      <c r="O31" s="40">
        <f>'S25'!N31</f>
        <v/>
      </c>
      <c r="P31" s="31">
        <f>N31-O31</f>
        <v/>
      </c>
      <c r="Q31" s="32" t="n"/>
      <c r="R31" s="32" t="n"/>
      <c r="S31" s="32" t="n"/>
      <c r="T31" s="33" t="n"/>
      <c r="U31" s="40">
        <f>'S25'!T31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'S25'!M32+L32</f>
        <v/>
      </c>
      <c r="N32" s="36">
        <f>IFERROR(M32/K32,0)</f>
        <v/>
      </c>
      <c r="O32" s="42">
        <f>'S25'!N32</f>
        <v/>
      </c>
      <c r="P32" s="36">
        <f>N32-O32</f>
        <v/>
      </c>
      <c r="Q32" s="32" t="n"/>
      <c r="R32" s="32" t="n"/>
      <c r="S32" s="32" t="n"/>
      <c r="T32" s="33" t="n"/>
      <c r="U32" s="42">
        <f>'S25'!T32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'S25'!M33+L33</f>
        <v/>
      </c>
      <c r="N33" s="31">
        <f>IFERROR(M33/K33,0)</f>
        <v/>
      </c>
      <c r="O33" s="40">
        <f>'S25'!N33</f>
        <v/>
      </c>
      <c r="P33" s="31">
        <f>N33-O33</f>
        <v/>
      </c>
      <c r="Q33" s="32" t="n"/>
      <c r="R33" s="32" t="n"/>
      <c r="S33" s="32" t="n"/>
      <c r="T33" s="33" t="n"/>
      <c r="U33" s="40">
        <f>'S25'!T33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'S25'!M34+L34</f>
        <v/>
      </c>
      <c r="N34" s="36">
        <f>IFERROR(M34/K34,0)</f>
        <v/>
      </c>
      <c r="O34" s="42">
        <f>'S25'!N34</f>
        <v/>
      </c>
      <c r="P34" s="36">
        <f>N34-O34</f>
        <v/>
      </c>
      <c r="Q34" s="32" t="n"/>
      <c r="R34" s="32" t="n"/>
      <c r="S34" s="32" t="n"/>
      <c r="T34" s="33" t="n"/>
      <c r="U34" s="42">
        <f>'S25'!T34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'S25'!M35+L35</f>
        <v/>
      </c>
      <c r="N35" s="31">
        <f>IFERROR(M35/K35,0)</f>
        <v/>
      </c>
      <c r="O35" s="40">
        <f>'S25'!N35</f>
        <v/>
      </c>
      <c r="P35" s="31">
        <f>N35-O35</f>
        <v/>
      </c>
      <c r="Q35" s="32" t="n"/>
      <c r="R35" s="32" t="n"/>
      <c r="S35" s="32" t="n"/>
      <c r="T35" s="33" t="n"/>
      <c r="U35" s="40">
        <f>'S25'!T35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'S25'!M36+L36</f>
        <v/>
      </c>
      <c r="N36" s="36">
        <f>IFERROR(M36/K36,0)</f>
        <v/>
      </c>
      <c r="O36" s="42">
        <f>'S25'!N36</f>
        <v/>
      </c>
      <c r="P36" s="36">
        <f>N36-O36</f>
        <v/>
      </c>
      <c r="Q36" s="32" t="n"/>
      <c r="R36" s="32" t="n"/>
      <c r="S36" s="32" t="n"/>
      <c r="T36" s="33" t="n"/>
      <c r="U36" s="42">
        <f>'S25'!T36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'S25'!M37+L37</f>
        <v/>
      </c>
      <c r="N37" s="31">
        <f>IFERROR(M37/K37,0)</f>
        <v/>
      </c>
      <c r="O37" s="40">
        <f>'S25'!N37</f>
        <v/>
      </c>
      <c r="P37" s="31">
        <f>N37-O37</f>
        <v/>
      </c>
      <c r="Q37" s="32" t="n"/>
      <c r="R37" s="32" t="n"/>
      <c r="S37" s="32" t="n"/>
      <c r="T37" s="33" t="n"/>
      <c r="U37" s="40">
        <f>'S25'!T37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'S25'!M38+L38</f>
        <v/>
      </c>
      <c r="N38" s="36">
        <f>IFERROR(M38/K38,0)</f>
        <v/>
      </c>
      <c r="O38" s="42">
        <f>'S25'!N38</f>
        <v/>
      </c>
      <c r="P38" s="36">
        <f>N38-O38</f>
        <v/>
      </c>
      <c r="Q38" s="32" t="n"/>
      <c r="R38" s="32" t="n"/>
      <c r="S38" s="32" t="n"/>
      <c r="T38" s="33" t="n"/>
      <c r="U38" s="42">
        <f>'S25'!T38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'S25'!M39+L39</f>
        <v/>
      </c>
      <c r="N39" s="31">
        <f>IFERROR(M39/K39,0)</f>
        <v/>
      </c>
      <c r="O39" s="40">
        <f>'S25'!N39</f>
        <v/>
      </c>
      <c r="P39" s="31">
        <f>N39-O39</f>
        <v/>
      </c>
      <c r="Q39" s="32" t="n"/>
      <c r="R39" s="32" t="n"/>
      <c r="S39" s="32" t="n"/>
      <c r="T39" s="33" t="n"/>
      <c r="U39" s="40">
        <f>'S25'!T39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'S25'!M40+L40</f>
        <v/>
      </c>
      <c r="N40" s="36">
        <f>IFERROR(M40/K40,0)</f>
        <v/>
      </c>
      <c r="O40" s="42">
        <f>'S25'!N40</f>
        <v/>
      </c>
      <c r="P40" s="36">
        <f>N40-O40</f>
        <v/>
      </c>
      <c r="Q40" s="32" t="n"/>
      <c r="R40" s="32" t="n"/>
      <c r="S40" s="32" t="n"/>
      <c r="T40" s="33" t="n"/>
      <c r="U40" s="42">
        <f>'S25'!T40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'S25'!M41+L41</f>
        <v/>
      </c>
      <c r="N41" s="31">
        <f>IFERROR(M41/K41,0)</f>
        <v/>
      </c>
      <c r="O41" s="40">
        <f>'S25'!N41</f>
        <v/>
      </c>
      <c r="P41" s="31">
        <f>N41-O41</f>
        <v/>
      </c>
      <c r="Q41" s="32" t="n"/>
      <c r="R41" s="32" t="n"/>
      <c r="S41" s="32" t="n"/>
      <c r="T41" s="33" t="n"/>
      <c r="U41" s="40">
        <f>'S25'!T41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'S25'!M42+L42</f>
        <v/>
      </c>
      <c r="N42" s="36">
        <f>IFERROR(M42/K42,0)</f>
        <v/>
      </c>
      <c r="O42" s="42">
        <f>'S25'!N42</f>
        <v/>
      </c>
      <c r="P42" s="36">
        <f>N42-O42</f>
        <v/>
      </c>
      <c r="Q42" s="32" t="n"/>
      <c r="R42" s="32" t="n"/>
      <c r="S42" s="32" t="n"/>
      <c r="T42" s="33" t="n"/>
      <c r="U42" s="42">
        <f>'S25'!T42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'S25'!M43+L43</f>
        <v/>
      </c>
      <c r="N43" s="31">
        <f>IFERROR(M43/K43,0)</f>
        <v/>
      </c>
      <c r="O43" s="40">
        <f>'S25'!N43</f>
        <v/>
      </c>
      <c r="P43" s="31">
        <f>N43-O43</f>
        <v/>
      </c>
      <c r="Q43" s="32" t="n"/>
      <c r="R43" s="32" t="n"/>
      <c r="S43" s="32" t="n"/>
      <c r="T43" s="33" t="n"/>
      <c r="U43" s="40">
        <f>'S25'!T43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'S25'!M44+L44</f>
        <v/>
      </c>
      <c r="N44" s="36">
        <f>IFERROR(M44/K44,0)</f>
        <v/>
      </c>
      <c r="O44" s="42">
        <f>'S25'!N44</f>
        <v/>
      </c>
      <c r="P44" s="36">
        <f>N44-O44</f>
        <v/>
      </c>
      <c r="Q44" s="32" t="n"/>
      <c r="R44" s="32" t="n"/>
      <c r="S44" s="32" t="n"/>
      <c r="T44" s="33" t="n"/>
      <c r="U44" s="42">
        <f>'S25'!T44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'S25'!M45+L45</f>
        <v/>
      </c>
      <c r="N45" s="31">
        <f>IFERROR(M45/K45,0)</f>
        <v/>
      </c>
      <c r="O45" s="40">
        <f>'S25'!N45</f>
        <v/>
      </c>
      <c r="P45" s="31">
        <f>N45-O45</f>
        <v/>
      </c>
      <c r="Q45" s="32" t="n"/>
      <c r="R45" s="32" t="n"/>
      <c r="S45" s="32" t="n"/>
      <c r="T45" s="33" t="n"/>
      <c r="U45" s="40">
        <f>'S25'!T45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'S25'!M46+L46</f>
        <v/>
      </c>
      <c r="N46" s="36">
        <f>IFERROR(M46/K46,0)</f>
        <v/>
      </c>
      <c r="O46" s="42">
        <f>'S25'!N46</f>
        <v/>
      </c>
      <c r="P46" s="36">
        <f>N46-O46</f>
        <v/>
      </c>
      <c r="Q46" s="32" t="n"/>
      <c r="R46" s="32" t="n"/>
      <c r="S46" s="32" t="n"/>
      <c r="T46" s="33" t="n"/>
      <c r="U46" s="42">
        <f>'S25'!T46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'S25'!M47+L47</f>
        <v/>
      </c>
      <c r="N47" s="31">
        <f>IFERROR(M47/K47,0)</f>
        <v/>
      </c>
      <c r="O47" s="40">
        <f>'S25'!N47</f>
        <v/>
      </c>
      <c r="P47" s="31">
        <f>N47-O47</f>
        <v/>
      </c>
      <c r="Q47" s="32" t="n"/>
      <c r="R47" s="32" t="n"/>
      <c r="S47" s="32" t="n"/>
      <c r="T47" s="33" t="n"/>
      <c r="U47" s="40">
        <f>'S25'!T47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'S25'!M48+L48</f>
        <v/>
      </c>
      <c r="N48" s="36">
        <f>IFERROR(M48/K48,0)</f>
        <v/>
      </c>
      <c r="O48" s="42">
        <f>'S25'!N48</f>
        <v/>
      </c>
      <c r="P48" s="36">
        <f>N48-O48</f>
        <v/>
      </c>
      <c r="Q48" s="32" t="n"/>
      <c r="R48" s="32" t="n"/>
      <c r="S48" s="32" t="n"/>
      <c r="T48" s="33" t="n"/>
      <c r="U48" s="42">
        <f>'S25'!T48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'S25'!M49+L49</f>
        <v/>
      </c>
      <c r="N49" s="31">
        <f>IFERROR(M49/K49,0)</f>
        <v/>
      </c>
      <c r="O49" s="40">
        <f>'S25'!N49</f>
        <v/>
      </c>
      <c r="P49" s="31">
        <f>N49-O49</f>
        <v/>
      </c>
      <c r="Q49" s="32" t="n"/>
      <c r="R49" s="32" t="n"/>
      <c r="S49" s="32" t="n"/>
      <c r="T49" s="33" t="n"/>
      <c r="U49" s="40">
        <f>'S25'!T49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'S25'!M50+L50</f>
        <v/>
      </c>
      <c r="N50" s="36">
        <f>IFERROR(M50/K50,0)</f>
        <v/>
      </c>
      <c r="O50" s="42">
        <f>'S25'!N50</f>
        <v/>
      </c>
      <c r="P50" s="36">
        <f>N50-O50</f>
        <v/>
      </c>
      <c r="Q50" s="32" t="n"/>
      <c r="R50" s="32" t="n"/>
      <c r="S50" s="32" t="n"/>
      <c r="T50" s="33" t="n"/>
      <c r="U50" s="42">
        <f>'S25'!T50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'S25'!M51+L51</f>
        <v/>
      </c>
      <c r="N51" s="31">
        <f>IFERROR(M51/K51,0)</f>
        <v/>
      </c>
      <c r="O51" s="40">
        <f>'S25'!N51</f>
        <v/>
      </c>
      <c r="P51" s="31">
        <f>N51-O51</f>
        <v/>
      </c>
      <c r="Q51" s="32" t="n"/>
      <c r="R51" s="32" t="n"/>
      <c r="S51" s="32" t="n"/>
      <c r="T51" s="33" t="n"/>
      <c r="U51" s="40">
        <f>'S25'!T51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'S25'!M52+L52</f>
        <v/>
      </c>
      <c r="N52" s="36">
        <f>IFERROR(M52/K52,0)</f>
        <v/>
      </c>
      <c r="O52" s="42">
        <f>'S25'!N52</f>
        <v/>
      </c>
      <c r="P52" s="36">
        <f>N52-O52</f>
        <v/>
      </c>
      <c r="Q52" s="32" t="n"/>
      <c r="R52" s="32" t="n"/>
      <c r="S52" s="32" t="n"/>
      <c r="T52" s="33" t="n"/>
      <c r="U52" s="42">
        <f>'S25'!T52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'S25'!M53+L53</f>
        <v/>
      </c>
      <c r="N53" s="31">
        <f>IFERROR(M53/K53,0)</f>
        <v/>
      </c>
      <c r="O53" s="40">
        <f>'S25'!N53</f>
        <v/>
      </c>
      <c r="P53" s="31">
        <f>N53-O53</f>
        <v/>
      </c>
      <c r="Q53" s="32" t="n"/>
      <c r="R53" s="32" t="n"/>
      <c r="S53" s="32" t="n"/>
      <c r="T53" s="33" t="n"/>
      <c r="U53" s="40">
        <f>'S25'!T53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'S25'!M54+L54</f>
        <v/>
      </c>
      <c r="N54" s="36">
        <f>IFERROR(M54/K54,0)</f>
        <v/>
      </c>
      <c r="O54" s="42">
        <f>'S25'!N54</f>
        <v/>
      </c>
      <c r="P54" s="36">
        <f>N54-O54</f>
        <v/>
      </c>
      <c r="Q54" s="32" t="n"/>
      <c r="R54" s="32" t="n"/>
      <c r="S54" s="32" t="n"/>
      <c r="T54" s="33" t="n"/>
      <c r="U54" s="42">
        <f>'S25'!T54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'S25'!M55+L55</f>
        <v/>
      </c>
      <c r="N55" s="31">
        <f>IFERROR(M55/K55,0)</f>
        <v/>
      </c>
      <c r="O55" s="40">
        <f>'S25'!N55</f>
        <v/>
      </c>
      <c r="P55" s="31">
        <f>N55-O55</f>
        <v/>
      </c>
      <c r="Q55" s="32" t="n"/>
      <c r="R55" s="32" t="n"/>
      <c r="S55" s="32" t="n"/>
      <c r="T55" s="33" t="n"/>
      <c r="U55" s="40">
        <f>'S25'!T55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'S25'!M56+L56</f>
        <v/>
      </c>
      <c r="N56" s="36">
        <f>IFERROR(M56/K56,0)</f>
        <v/>
      </c>
      <c r="O56" s="42">
        <f>'S25'!N56</f>
        <v/>
      </c>
      <c r="P56" s="36">
        <f>N56-O56</f>
        <v/>
      </c>
      <c r="Q56" s="32" t="n"/>
      <c r="R56" s="32" t="n"/>
      <c r="S56" s="32" t="n"/>
      <c r="T56" s="33" t="n"/>
      <c r="U56" s="42">
        <f>'S25'!T56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'S25'!M57+L57</f>
        <v/>
      </c>
      <c r="N57" s="31">
        <f>IFERROR(M57/K57,0)</f>
        <v/>
      </c>
      <c r="O57" s="40">
        <f>'S25'!N57</f>
        <v/>
      </c>
      <c r="P57" s="31">
        <f>N57-O57</f>
        <v/>
      </c>
      <c r="Q57" s="32" t="n"/>
      <c r="R57" s="32" t="n"/>
      <c r="S57" s="32" t="n"/>
      <c r="T57" s="33" t="n"/>
      <c r="U57" s="40">
        <f>'S25'!T57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'S25'!M58+L58</f>
        <v/>
      </c>
      <c r="N58" s="36">
        <f>IFERROR(M58/K58,0)</f>
        <v/>
      </c>
      <c r="O58" s="42">
        <f>'S25'!N58</f>
        <v/>
      </c>
      <c r="P58" s="36">
        <f>N58-O58</f>
        <v/>
      </c>
      <c r="Q58" s="32" t="n"/>
      <c r="R58" s="32" t="n"/>
      <c r="S58" s="32" t="n"/>
      <c r="T58" s="33" t="n"/>
      <c r="U58" s="42">
        <f>'S25'!T58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'S25'!M59+L59</f>
        <v/>
      </c>
      <c r="N59" s="31">
        <f>IFERROR(M59/K59,0)</f>
        <v/>
      </c>
      <c r="O59" s="40">
        <f>'S25'!N59</f>
        <v/>
      </c>
      <c r="P59" s="31">
        <f>N59-O59</f>
        <v/>
      </c>
      <c r="Q59" s="32" t="n"/>
      <c r="R59" s="32" t="n"/>
      <c r="S59" s="32" t="n"/>
      <c r="T59" s="33" t="n"/>
      <c r="U59" s="40">
        <f>'S25'!T59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'S25'!M60+L60</f>
        <v/>
      </c>
      <c r="N60" s="36">
        <f>IFERROR(M60/K60,0)</f>
        <v/>
      </c>
      <c r="O60" s="42">
        <f>'S25'!N60</f>
        <v/>
      </c>
      <c r="P60" s="36">
        <f>N60-O60</f>
        <v/>
      </c>
      <c r="Q60" s="32" t="n"/>
      <c r="R60" s="32" t="n"/>
      <c r="S60" s="32" t="n"/>
      <c r="T60" s="33" t="n"/>
      <c r="U60" s="42">
        <f>'S25'!T60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'S25'!M61+L61</f>
        <v/>
      </c>
      <c r="N61" s="31">
        <f>IFERROR(M61/K61,0)</f>
        <v/>
      </c>
      <c r="O61" s="40">
        <f>'S25'!N61</f>
        <v/>
      </c>
      <c r="P61" s="31">
        <f>N61-O61</f>
        <v/>
      </c>
      <c r="Q61" s="32" t="n"/>
      <c r="R61" s="32" t="n"/>
      <c r="S61" s="32" t="n"/>
      <c r="T61" s="33" t="n"/>
      <c r="U61" s="40">
        <f>'S25'!T61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'S25'!M62+L62</f>
        <v/>
      </c>
      <c r="N62" s="36">
        <f>IFERROR(M62/K62,0)</f>
        <v/>
      </c>
      <c r="O62" s="42">
        <f>'S25'!N62</f>
        <v/>
      </c>
      <c r="P62" s="36">
        <f>N62-O62</f>
        <v/>
      </c>
      <c r="Q62" s="32" t="n"/>
      <c r="R62" s="32" t="n"/>
      <c r="S62" s="32" t="n"/>
      <c r="T62" s="33" t="n"/>
      <c r="U62" s="42">
        <f>'S25'!T62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'S25'!M63+L63</f>
        <v/>
      </c>
      <c r="N63" s="31">
        <f>IFERROR(M63/K63,0)</f>
        <v/>
      </c>
      <c r="O63" s="40">
        <f>'S25'!N63</f>
        <v/>
      </c>
      <c r="P63" s="31">
        <f>N63-O63</f>
        <v/>
      </c>
      <c r="Q63" s="32" t="n"/>
      <c r="R63" s="32" t="n"/>
      <c r="S63" s="32" t="n"/>
      <c r="T63" s="33" t="n"/>
      <c r="U63" s="40">
        <f>'S25'!T63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'S25'!M64+L64</f>
        <v/>
      </c>
      <c r="N64" s="36">
        <f>IFERROR(M64/K64,0)</f>
        <v/>
      </c>
      <c r="O64" s="42">
        <f>'S25'!N64</f>
        <v/>
      </c>
      <c r="P64" s="36">
        <f>N64-O64</f>
        <v/>
      </c>
      <c r="Q64" s="32" t="n"/>
      <c r="R64" s="32" t="n"/>
      <c r="S64" s="32" t="n"/>
      <c r="T64" s="33" t="n"/>
      <c r="U64" s="42">
        <f>'S25'!T64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'S25'!M65+L65</f>
        <v/>
      </c>
      <c r="N65" s="31">
        <f>IFERROR(M65/K65,0)</f>
        <v/>
      </c>
      <c r="O65" s="40">
        <f>'S25'!N65</f>
        <v/>
      </c>
      <c r="P65" s="31">
        <f>N65-O65</f>
        <v/>
      </c>
      <c r="Q65" s="32" t="n"/>
      <c r="R65" s="32" t="n"/>
      <c r="S65" s="32" t="n"/>
      <c r="T65" s="33" t="n"/>
      <c r="U65" s="40">
        <f>'S25'!T65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'S25'!M66+L66</f>
        <v/>
      </c>
      <c r="N66" s="36">
        <f>IFERROR(M66/K66,0)</f>
        <v/>
      </c>
      <c r="O66" s="42">
        <f>'S25'!N66</f>
        <v/>
      </c>
      <c r="P66" s="36">
        <f>N66-O66</f>
        <v/>
      </c>
      <c r="Q66" s="32" t="n"/>
      <c r="R66" s="32" t="n"/>
      <c r="S66" s="32" t="n"/>
      <c r="T66" s="33" t="n"/>
      <c r="U66" s="42">
        <f>'S25'!T66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'S25'!M67+L67</f>
        <v/>
      </c>
      <c r="N67" s="31">
        <f>IFERROR(M67/K67,0)</f>
        <v/>
      </c>
      <c r="O67" s="40">
        <f>'S25'!N67</f>
        <v/>
      </c>
      <c r="P67" s="31">
        <f>N67-O67</f>
        <v/>
      </c>
      <c r="Q67" s="32" t="n"/>
      <c r="R67" s="32" t="n"/>
      <c r="S67" s="32" t="n"/>
      <c r="T67" s="33" t="n"/>
      <c r="U67" s="40">
        <f>'S25'!T67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'S25'!M68+L68</f>
        <v/>
      </c>
      <c r="N68" s="36">
        <f>IFERROR(M68/K68,0)</f>
        <v/>
      </c>
      <c r="O68" s="42">
        <f>'S25'!N68</f>
        <v/>
      </c>
      <c r="P68" s="36">
        <f>N68-O68</f>
        <v/>
      </c>
      <c r="Q68" s="32" t="n"/>
      <c r="R68" s="32" t="n"/>
      <c r="S68" s="32" t="n"/>
      <c r="T68" s="33" t="n"/>
      <c r="U68" s="42">
        <f>'S25'!T68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'S25'!M69+L69</f>
        <v/>
      </c>
      <c r="N69" s="31">
        <f>IFERROR(M69/K69,0)</f>
        <v/>
      </c>
      <c r="O69" s="40">
        <f>'S25'!N69</f>
        <v/>
      </c>
      <c r="P69" s="31">
        <f>N69-O69</f>
        <v/>
      </c>
      <c r="Q69" s="32" t="n"/>
      <c r="R69" s="32" t="n"/>
      <c r="S69" s="32" t="n"/>
      <c r="T69" s="33" t="n"/>
      <c r="U69" s="40">
        <f>'S25'!T69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'S25'!M70+L70</f>
        <v/>
      </c>
      <c r="N70" s="36">
        <f>IFERROR(M70/K70,0)</f>
        <v/>
      </c>
      <c r="O70" s="42">
        <f>'S25'!N70</f>
        <v/>
      </c>
      <c r="P70" s="36">
        <f>N70-O70</f>
        <v/>
      </c>
      <c r="Q70" s="32" t="n"/>
      <c r="R70" s="32" t="n"/>
      <c r="S70" s="32" t="n"/>
      <c r="T70" s="33" t="n"/>
      <c r="U70" s="42">
        <f>'S25'!T70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'S25'!M71+L71</f>
        <v/>
      </c>
      <c r="N71" s="31">
        <f>IFERROR(M71/K71,0)</f>
        <v/>
      </c>
      <c r="O71" s="40">
        <f>'S25'!N71</f>
        <v/>
      </c>
      <c r="P71" s="31">
        <f>N71-O71</f>
        <v/>
      </c>
      <c r="Q71" s="32" t="n"/>
      <c r="R71" s="32" t="n"/>
      <c r="S71" s="32" t="n"/>
      <c r="T71" s="33" t="n"/>
      <c r="U71" s="40">
        <f>'S25'!T71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'S25'!M72+L72</f>
        <v/>
      </c>
      <c r="N72" s="36">
        <f>IFERROR(M72/K72,0)</f>
        <v/>
      </c>
      <c r="O72" s="42">
        <f>'S25'!N72</f>
        <v/>
      </c>
      <c r="P72" s="36">
        <f>N72-O72</f>
        <v/>
      </c>
      <c r="Q72" s="32" t="n"/>
      <c r="R72" s="32" t="n"/>
      <c r="S72" s="32" t="n"/>
      <c r="T72" s="33" t="n"/>
      <c r="U72" s="42">
        <f>'S25'!T72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'S25'!M73+L73</f>
        <v/>
      </c>
      <c r="N73" s="31">
        <f>IFERROR(M73/K73,0)</f>
        <v/>
      </c>
      <c r="O73" s="40">
        <f>'S25'!N73</f>
        <v/>
      </c>
      <c r="P73" s="31">
        <f>N73-O73</f>
        <v/>
      </c>
      <c r="Q73" s="32" t="n"/>
      <c r="R73" s="32" t="n"/>
      <c r="S73" s="32" t="n"/>
      <c r="T73" s="33" t="n"/>
      <c r="U73" s="40">
        <f>'S25'!T73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'S25'!M74+L74</f>
        <v/>
      </c>
      <c r="N74" s="36">
        <f>IFERROR(M74/K74,0)</f>
        <v/>
      </c>
      <c r="O74" s="42">
        <f>'S25'!N74</f>
        <v/>
      </c>
      <c r="P74" s="36">
        <f>N74-O74</f>
        <v/>
      </c>
      <c r="Q74" s="32" t="n"/>
      <c r="R74" s="32" t="n"/>
      <c r="S74" s="32" t="n"/>
      <c r="T74" s="33" t="n"/>
      <c r="U74" s="42">
        <f>'S25'!T74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'S25'!M75+L75</f>
        <v/>
      </c>
      <c r="N75" s="31">
        <f>IFERROR(M75/K75,0)</f>
        <v/>
      </c>
      <c r="O75" s="40">
        <f>'S25'!N75</f>
        <v/>
      </c>
      <c r="P75" s="31">
        <f>N75-O75</f>
        <v/>
      </c>
      <c r="Q75" s="32" t="n"/>
      <c r="R75" s="32" t="n"/>
      <c r="S75" s="32" t="n"/>
      <c r="T75" s="33" t="n"/>
      <c r="U75" s="40">
        <f>'S25'!T75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'S25'!M76+L76</f>
        <v/>
      </c>
      <c r="N76" s="36">
        <f>IFERROR(M76/K76,0)</f>
        <v/>
      </c>
      <c r="O76" s="42">
        <f>'S25'!N76</f>
        <v/>
      </c>
      <c r="P76" s="36">
        <f>N76-O76</f>
        <v/>
      </c>
      <c r="Q76" s="32" t="n"/>
      <c r="R76" s="32" t="n"/>
      <c r="S76" s="32" t="n"/>
      <c r="T76" s="33" t="n"/>
      <c r="U76" s="42">
        <f>'S25'!T76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29.xml><?xml version="1.0" encoding="utf-8"?>
<worksheet xmlns="http://schemas.openxmlformats.org/spreadsheetml/2006/main">
  <sheetPr>
    <tabColor rgb="00ED7D31"/>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27 (29/06 - 05/07) — Juin 2026 - Exécution Physique et Financière</t>
        </is>
      </c>
    </row>
    <row r="3" ht="22" customHeight="1">
      <c r="B3" s="20" t="inlineStr">
        <is>
          <t>Date :</t>
        </is>
      </c>
      <c r="C3" s="21" t="n">
        <v>46202</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'S26'!M5+L5</f>
        <v/>
      </c>
      <c r="N5" s="31">
        <f>IFERROR(M5/K5,0)</f>
        <v/>
      </c>
      <c r="O5" s="40">
        <f>'S26'!N5</f>
        <v/>
      </c>
      <c r="P5" s="31">
        <f>N5-O5</f>
        <v/>
      </c>
      <c r="Q5" s="32" t="n"/>
      <c r="R5" s="32" t="n"/>
      <c r="S5" s="32" t="n"/>
      <c r="T5" s="33" t="n"/>
      <c r="U5" s="40">
        <f>'S26'!T5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'S26'!M6+L6</f>
        <v/>
      </c>
      <c r="N6" s="36">
        <f>IFERROR(M6/K6,0)</f>
        <v/>
      </c>
      <c r="O6" s="42">
        <f>'S26'!N6</f>
        <v/>
      </c>
      <c r="P6" s="36">
        <f>N6-O6</f>
        <v/>
      </c>
      <c r="Q6" s="32" t="n"/>
      <c r="R6" s="32" t="n"/>
      <c r="S6" s="32" t="n"/>
      <c r="T6" s="33" t="n"/>
      <c r="U6" s="42">
        <f>'S26'!T6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'S26'!M7+L7</f>
        <v/>
      </c>
      <c r="N7" s="31">
        <f>IFERROR(M7/K7,0)</f>
        <v/>
      </c>
      <c r="O7" s="40">
        <f>'S26'!N7</f>
        <v/>
      </c>
      <c r="P7" s="31">
        <f>N7-O7</f>
        <v/>
      </c>
      <c r="Q7" s="32" t="n"/>
      <c r="R7" s="32" t="n"/>
      <c r="S7" s="32" t="n"/>
      <c r="T7" s="33" t="n"/>
      <c r="U7" s="40">
        <f>'S26'!T7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'S26'!M8+L8</f>
        <v/>
      </c>
      <c r="N8" s="36">
        <f>IFERROR(M8/K8,0)</f>
        <v/>
      </c>
      <c r="O8" s="42">
        <f>'S26'!N8</f>
        <v/>
      </c>
      <c r="P8" s="36">
        <f>N8-O8</f>
        <v/>
      </c>
      <c r="Q8" s="32" t="n"/>
      <c r="R8" s="32" t="n"/>
      <c r="S8" s="32" t="n"/>
      <c r="T8" s="33" t="n"/>
      <c r="U8" s="42">
        <f>'S26'!T8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'S26'!M9+L9</f>
        <v/>
      </c>
      <c r="N9" s="31">
        <f>IFERROR(M9/K9,0)</f>
        <v/>
      </c>
      <c r="O9" s="40">
        <f>'S26'!N9</f>
        <v/>
      </c>
      <c r="P9" s="31">
        <f>N9-O9</f>
        <v/>
      </c>
      <c r="Q9" s="32" t="n"/>
      <c r="R9" s="32" t="n"/>
      <c r="S9" s="32" t="n"/>
      <c r="T9" s="33" t="n"/>
      <c r="U9" s="40">
        <f>'S26'!T9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'S26'!M10+L10</f>
        <v/>
      </c>
      <c r="N10" s="36">
        <f>IFERROR(M10/K10,0)</f>
        <v/>
      </c>
      <c r="O10" s="42">
        <f>'S26'!N10</f>
        <v/>
      </c>
      <c r="P10" s="36">
        <f>N10-O10</f>
        <v/>
      </c>
      <c r="Q10" s="32" t="n"/>
      <c r="R10" s="32" t="n"/>
      <c r="S10" s="32" t="n"/>
      <c r="T10" s="33" t="n"/>
      <c r="U10" s="42">
        <f>'S26'!T10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'S26'!M11+L11</f>
        <v/>
      </c>
      <c r="N11" s="31">
        <f>IFERROR(M11/K11,0)</f>
        <v/>
      </c>
      <c r="O11" s="40">
        <f>'S26'!N11</f>
        <v/>
      </c>
      <c r="P11" s="31">
        <f>N11-O11</f>
        <v/>
      </c>
      <c r="Q11" s="32" t="n"/>
      <c r="R11" s="32" t="n"/>
      <c r="S11" s="32" t="n"/>
      <c r="T11" s="33" t="n"/>
      <c r="U11" s="40">
        <f>'S26'!T11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'S26'!M12+L12</f>
        <v/>
      </c>
      <c r="N12" s="36">
        <f>IFERROR(M12/K12,0)</f>
        <v/>
      </c>
      <c r="O12" s="42">
        <f>'S26'!N12</f>
        <v/>
      </c>
      <c r="P12" s="36">
        <f>N12-O12</f>
        <v/>
      </c>
      <c r="Q12" s="32" t="n"/>
      <c r="R12" s="32" t="n"/>
      <c r="S12" s="32" t="n"/>
      <c r="T12" s="33" t="n"/>
      <c r="U12" s="42">
        <f>'S26'!T12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'S26'!M13+L13</f>
        <v/>
      </c>
      <c r="N13" s="31">
        <f>IFERROR(M13/K13,0)</f>
        <v/>
      </c>
      <c r="O13" s="40">
        <f>'S26'!N13</f>
        <v/>
      </c>
      <c r="P13" s="31">
        <f>N13-O13</f>
        <v/>
      </c>
      <c r="Q13" s="32" t="n"/>
      <c r="R13" s="32" t="n"/>
      <c r="S13" s="32" t="n"/>
      <c r="T13" s="33" t="n"/>
      <c r="U13" s="40">
        <f>'S26'!T13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'S26'!M14+L14</f>
        <v/>
      </c>
      <c r="N14" s="36">
        <f>IFERROR(M14/K14,0)</f>
        <v/>
      </c>
      <c r="O14" s="42">
        <f>'S26'!N14</f>
        <v/>
      </c>
      <c r="P14" s="36">
        <f>N14-O14</f>
        <v/>
      </c>
      <c r="Q14" s="32" t="n"/>
      <c r="R14" s="32" t="n"/>
      <c r="S14" s="32" t="n"/>
      <c r="T14" s="33" t="n"/>
      <c r="U14" s="42">
        <f>'S26'!T14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'S26'!M15+L15</f>
        <v/>
      </c>
      <c r="N15" s="31">
        <f>IFERROR(M15/K15,0)</f>
        <v/>
      </c>
      <c r="O15" s="40">
        <f>'S26'!N15</f>
        <v/>
      </c>
      <c r="P15" s="31">
        <f>N15-O15</f>
        <v/>
      </c>
      <c r="Q15" s="32" t="n"/>
      <c r="R15" s="32" t="n"/>
      <c r="S15" s="32" t="n"/>
      <c r="T15" s="33" t="n"/>
      <c r="U15" s="40">
        <f>'S26'!T15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'S26'!M16+L16</f>
        <v/>
      </c>
      <c r="N16" s="36">
        <f>IFERROR(M16/K16,0)</f>
        <v/>
      </c>
      <c r="O16" s="42">
        <f>'S26'!N16</f>
        <v/>
      </c>
      <c r="P16" s="36">
        <f>N16-O16</f>
        <v/>
      </c>
      <c r="Q16" s="32" t="n"/>
      <c r="R16" s="32" t="n"/>
      <c r="S16" s="32" t="n"/>
      <c r="T16" s="33" t="n"/>
      <c r="U16" s="42">
        <f>'S26'!T16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'S26'!M17+L17</f>
        <v/>
      </c>
      <c r="N17" s="31">
        <f>IFERROR(M17/K17,0)</f>
        <v/>
      </c>
      <c r="O17" s="40">
        <f>'S26'!N17</f>
        <v/>
      </c>
      <c r="P17" s="31">
        <f>N17-O17</f>
        <v/>
      </c>
      <c r="Q17" s="32" t="n"/>
      <c r="R17" s="32" t="n"/>
      <c r="S17" s="32" t="n"/>
      <c r="T17" s="33" t="n"/>
      <c r="U17" s="40">
        <f>'S26'!T17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'S26'!M18+L18</f>
        <v/>
      </c>
      <c r="N18" s="36">
        <f>IFERROR(M18/K18,0)</f>
        <v/>
      </c>
      <c r="O18" s="42">
        <f>'S26'!N18</f>
        <v/>
      </c>
      <c r="P18" s="36">
        <f>N18-O18</f>
        <v/>
      </c>
      <c r="Q18" s="32" t="n"/>
      <c r="R18" s="32" t="n"/>
      <c r="S18" s="32" t="n"/>
      <c r="T18" s="33" t="n"/>
      <c r="U18" s="42">
        <f>'S26'!T18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'S26'!M19+L19</f>
        <v/>
      </c>
      <c r="N19" s="31">
        <f>IFERROR(M19/K19,0)</f>
        <v/>
      </c>
      <c r="O19" s="40">
        <f>'S26'!N19</f>
        <v/>
      </c>
      <c r="P19" s="31">
        <f>N19-O19</f>
        <v/>
      </c>
      <c r="Q19" s="32" t="n"/>
      <c r="R19" s="32" t="n"/>
      <c r="S19" s="32" t="n"/>
      <c r="T19" s="33" t="n"/>
      <c r="U19" s="40">
        <f>'S26'!T19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'S26'!M20+L20</f>
        <v/>
      </c>
      <c r="N20" s="36">
        <f>IFERROR(M20/K20,0)</f>
        <v/>
      </c>
      <c r="O20" s="42">
        <f>'S26'!N20</f>
        <v/>
      </c>
      <c r="P20" s="36">
        <f>N20-O20</f>
        <v/>
      </c>
      <c r="Q20" s="32" t="n"/>
      <c r="R20" s="32" t="n"/>
      <c r="S20" s="32" t="n"/>
      <c r="T20" s="33" t="n"/>
      <c r="U20" s="42">
        <f>'S26'!T20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'S26'!M21+L21</f>
        <v/>
      </c>
      <c r="N21" s="31">
        <f>IFERROR(M21/K21,0)</f>
        <v/>
      </c>
      <c r="O21" s="40">
        <f>'S26'!N21</f>
        <v/>
      </c>
      <c r="P21" s="31">
        <f>N21-O21</f>
        <v/>
      </c>
      <c r="Q21" s="32" t="n"/>
      <c r="R21" s="32" t="n"/>
      <c r="S21" s="32" t="n"/>
      <c r="T21" s="33" t="n"/>
      <c r="U21" s="40">
        <f>'S26'!T21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'S26'!M22+L22</f>
        <v/>
      </c>
      <c r="N22" s="36">
        <f>IFERROR(M22/K22,0)</f>
        <v/>
      </c>
      <c r="O22" s="42">
        <f>'S26'!N22</f>
        <v/>
      </c>
      <c r="P22" s="36">
        <f>N22-O22</f>
        <v/>
      </c>
      <c r="Q22" s="32" t="n"/>
      <c r="R22" s="32" t="n"/>
      <c r="S22" s="32" t="n"/>
      <c r="T22" s="33" t="n"/>
      <c r="U22" s="42">
        <f>'S26'!T22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'S26'!M23+L23</f>
        <v/>
      </c>
      <c r="N23" s="31">
        <f>IFERROR(M23/K23,0)</f>
        <v/>
      </c>
      <c r="O23" s="40">
        <f>'S26'!N23</f>
        <v/>
      </c>
      <c r="P23" s="31">
        <f>N23-O23</f>
        <v/>
      </c>
      <c r="Q23" s="32" t="n"/>
      <c r="R23" s="32" t="n"/>
      <c r="S23" s="32" t="n"/>
      <c r="T23" s="33" t="n"/>
      <c r="U23" s="40">
        <f>'S26'!T23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'S26'!M24+L24</f>
        <v/>
      </c>
      <c r="N24" s="36">
        <f>IFERROR(M24/K24,0)</f>
        <v/>
      </c>
      <c r="O24" s="42">
        <f>'S26'!N24</f>
        <v/>
      </c>
      <c r="P24" s="36">
        <f>N24-O24</f>
        <v/>
      </c>
      <c r="Q24" s="32" t="n"/>
      <c r="R24" s="32" t="n"/>
      <c r="S24" s="32" t="n"/>
      <c r="T24" s="33" t="n"/>
      <c r="U24" s="42">
        <f>'S26'!T24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'S26'!M25+L25</f>
        <v/>
      </c>
      <c r="N25" s="31">
        <f>IFERROR(M25/K25,0)</f>
        <v/>
      </c>
      <c r="O25" s="40">
        <f>'S26'!N25</f>
        <v/>
      </c>
      <c r="P25" s="31">
        <f>N25-O25</f>
        <v/>
      </c>
      <c r="Q25" s="32" t="n"/>
      <c r="R25" s="32" t="n"/>
      <c r="S25" s="32" t="n"/>
      <c r="T25" s="33" t="n"/>
      <c r="U25" s="40">
        <f>'S26'!T25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'S26'!M26+L26</f>
        <v/>
      </c>
      <c r="N26" s="36">
        <f>IFERROR(M26/K26,0)</f>
        <v/>
      </c>
      <c r="O26" s="42">
        <f>'S26'!N26</f>
        <v/>
      </c>
      <c r="P26" s="36">
        <f>N26-O26</f>
        <v/>
      </c>
      <c r="Q26" s="32" t="n"/>
      <c r="R26" s="32" t="n"/>
      <c r="S26" s="32" t="n"/>
      <c r="T26" s="33" t="n"/>
      <c r="U26" s="42">
        <f>'S26'!T26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'S26'!M27+L27</f>
        <v/>
      </c>
      <c r="N27" s="31">
        <f>IFERROR(M27/K27,0)</f>
        <v/>
      </c>
      <c r="O27" s="40">
        <f>'S26'!N27</f>
        <v/>
      </c>
      <c r="P27" s="31">
        <f>N27-O27</f>
        <v/>
      </c>
      <c r="Q27" s="32" t="n"/>
      <c r="R27" s="32" t="n"/>
      <c r="S27" s="32" t="n"/>
      <c r="T27" s="33" t="n"/>
      <c r="U27" s="40">
        <f>'S26'!T27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'S26'!M28+L28</f>
        <v/>
      </c>
      <c r="N28" s="36">
        <f>IFERROR(M28/K28,0)</f>
        <v/>
      </c>
      <c r="O28" s="42">
        <f>'S26'!N28</f>
        <v/>
      </c>
      <c r="P28" s="36">
        <f>N28-O28</f>
        <v/>
      </c>
      <c r="Q28" s="32" t="n"/>
      <c r="R28" s="32" t="n"/>
      <c r="S28" s="32" t="n"/>
      <c r="T28" s="33" t="n"/>
      <c r="U28" s="42">
        <f>'S26'!T28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'S26'!M29+L29</f>
        <v/>
      </c>
      <c r="N29" s="31">
        <f>IFERROR(M29/K29,0)</f>
        <v/>
      </c>
      <c r="O29" s="40">
        <f>'S26'!N29</f>
        <v/>
      </c>
      <c r="P29" s="31">
        <f>N29-O29</f>
        <v/>
      </c>
      <c r="Q29" s="32" t="n"/>
      <c r="R29" s="32" t="n"/>
      <c r="S29" s="32" t="n"/>
      <c r="T29" s="33" t="n"/>
      <c r="U29" s="40">
        <f>'S26'!T29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'S26'!M30+L30</f>
        <v/>
      </c>
      <c r="N30" s="36">
        <f>IFERROR(M30/K30,0)</f>
        <v/>
      </c>
      <c r="O30" s="42">
        <f>'S26'!N30</f>
        <v/>
      </c>
      <c r="P30" s="36">
        <f>N30-O30</f>
        <v/>
      </c>
      <c r="Q30" s="32" t="n"/>
      <c r="R30" s="32" t="n"/>
      <c r="S30" s="32" t="n"/>
      <c r="T30" s="33" t="n"/>
      <c r="U30" s="42">
        <f>'S26'!T30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'S26'!M31+L31</f>
        <v/>
      </c>
      <c r="N31" s="31">
        <f>IFERROR(M31/K31,0)</f>
        <v/>
      </c>
      <c r="O31" s="40">
        <f>'S26'!N31</f>
        <v/>
      </c>
      <c r="P31" s="31">
        <f>N31-O31</f>
        <v/>
      </c>
      <c r="Q31" s="32" t="n"/>
      <c r="R31" s="32" t="n"/>
      <c r="S31" s="32" t="n"/>
      <c r="T31" s="33" t="n"/>
      <c r="U31" s="40">
        <f>'S26'!T31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'S26'!M32+L32</f>
        <v/>
      </c>
      <c r="N32" s="36">
        <f>IFERROR(M32/K32,0)</f>
        <v/>
      </c>
      <c r="O32" s="42">
        <f>'S26'!N32</f>
        <v/>
      </c>
      <c r="P32" s="36">
        <f>N32-O32</f>
        <v/>
      </c>
      <c r="Q32" s="32" t="n"/>
      <c r="R32" s="32" t="n"/>
      <c r="S32" s="32" t="n"/>
      <c r="T32" s="33" t="n"/>
      <c r="U32" s="42">
        <f>'S26'!T32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'S26'!M33+L33</f>
        <v/>
      </c>
      <c r="N33" s="31">
        <f>IFERROR(M33/K33,0)</f>
        <v/>
      </c>
      <c r="O33" s="40">
        <f>'S26'!N33</f>
        <v/>
      </c>
      <c r="P33" s="31">
        <f>N33-O33</f>
        <v/>
      </c>
      <c r="Q33" s="32" t="n"/>
      <c r="R33" s="32" t="n"/>
      <c r="S33" s="32" t="n"/>
      <c r="T33" s="33" t="n"/>
      <c r="U33" s="40">
        <f>'S26'!T33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'S26'!M34+L34</f>
        <v/>
      </c>
      <c r="N34" s="36">
        <f>IFERROR(M34/K34,0)</f>
        <v/>
      </c>
      <c r="O34" s="42">
        <f>'S26'!N34</f>
        <v/>
      </c>
      <c r="P34" s="36">
        <f>N34-O34</f>
        <v/>
      </c>
      <c r="Q34" s="32" t="n"/>
      <c r="R34" s="32" t="n"/>
      <c r="S34" s="32" t="n"/>
      <c r="T34" s="33" t="n"/>
      <c r="U34" s="42">
        <f>'S26'!T34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'S26'!M35+L35</f>
        <v/>
      </c>
      <c r="N35" s="31">
        <f>IFERROR(M35/K35,0)</f>
        <v/>
      </c>
      <c r="O35" s="40">
        <f>'S26'!N35</f>
        <v/>
      </c>
      <c r="P35" s="31">
        <f>N35-O35</f>
        <v/>
      </c>
      <c r="Q35" s="32" t="n"/>
      <c r="R35" s="32" t="n"/>
      <c r="S35" s="32" t="n"/>
      <c r="T35" s="33" t="n"/>
      <c r="U35" s="40">
        <f>'S26'!T35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'S26'!M36+L36</f>
        <v/>
      </c>
      <c r="N36" s="36">
        <f>IFERROR(M36/K36,0)</f>
        <v/>
      </c>
      <c r="O36" s="42">
        <f>'S26'!N36</f>
        <v/>
      </c>
      <c r="P36" s="36">
        <f>N36-O36</f>
        <v/>
      </c>
      <c r="Q36" s="32" t="n"/>
      <c r="R36" s="32" t="n"/>
      <c r="S36" s="32" t="n"/>
      <c r="T36" s="33" t="n"/>
      <c r="U36" s="42">
        <f>'S26'!T36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'S26'!M37+L37</f>
        <v/>
      </c>
      <c r="N37" s="31">
        <f>IFERROR(M37/K37,0)</f>
        <v/>
      </c>
      <c r="O37" s="40">
        <f>'S26'!N37</f>
        <v/>
      </c>
      <c r="P37" s="31">
        <f>N37-O37</f>
        <v/>
      </c>
      <c r="Q37" s="32" t="n"/>
      <c r="R37" s="32" t="n"/>
      <c r="S37" s="32" t="n"/>
      <c r="T37" s="33" t="n"/>
      <c r="U37" s="40">
        <f>'S26'!T37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'S26'!M38+L38</f>
        <v/>
      </c>
      <c r="N38" s="36">
        <f>IFERROR(M38/K38,0)</f>
        <v/>
      </c>
      <c r="O38" s="42">
        <f>'S26'!N38</f>
        <v/>
      </c>
      <c r="P38" s="36">
        <f>N38-O38</f>
        <v/>
      </c>
      <c r="Q38" s="32" t="n"/>
      <c r="R38" s="32" t="n"/>
      <c r="S38" s="32" t="n"/>
      <c r="T38" s="33" t="n"/>
      <c r="U38" s="42">
        <f>'S26'!T38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'S26'!M39+L39</f>
        <v/>
      </c>
      <c r="N39" s="31">
        <f>IFERROR(M39/K39,0)</f>
        <v/>
      </c>
      <c r="O39" s="40">
        <f>'S26'!N39</f>
        <v/>
      </c>
      <c r="P39" s="31">
        <f>N39-O39</f>
        <v/>
      </c>
      <c r="Q39" s="32" t="n"/>
      <c r="R39" s="32" t="n"/>
      <c r="S39" s="32" t="n"/>
      <c r="T39" s="33" t="n"/>
      <c r="U39" s="40">
        <f>'S26'!T39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'S26'!M40+L40</f>
        <v/>
      </c>
      <c r="N40" s="36">
        <f>IFERROR(M40/K40,0)</f>
        <v/>
      </c>
      <c r="O40" s="42">
        <f>'S26'!N40</f>
        <v/>
      </c>
      <c r="P40" s="36">
        <f>N40-O40</f>
        <v/>
      </c>
      <c r="Q40" s="32" t="n"/>
      <c r="R40" s="32" t="n"/>
      <c r="S40" s="32" t="n"/>
      <c r="T40" s="33" t="n"/>
      <c r="U40" s="42">
        <f>'S26'!T40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'S26'!M41+L41</f>
        <v/>
      </c>
      <c r="N41" s="31">
        <f>IFERROR(M41/K41,0)</f>
        <v/>
      </c>
      <c r="O41" s="40">
        <f>'S26'!N41</f>
        <v/>
      </c>
      <c r="P41" s="31">
        <f>N41-O41</f>
        <v/>
      </c>
      <c r="Q41" s="32" t="n"/>
      <c r="R41" s="32" t="n"/>
      <c r="S41" s="32" t="n"/>
      <c r="T41" s="33" t="n"/>
      <c r="U41" s="40">
        <f>'S26'!T41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'S26'!M42+L42</f>
        <v/>
      </c>
      <c r="N42" s="36">
        <f>IFERROR(M42/K42,0)</f>
        <v/>
      </c>
      <c r="O42" s="42">
        <f>'S26'!N42</f>
        <v/>
      </c>
      <c r="P42" s="36">
        <f>N42-O42</f>
        <v/>
      </c>
      <c r="Q42" s="32" t="n"/>
      <c r="R42" s="32" t="n"/>
      <c r="S42" s="32" t="n"/>
      <c r="T42" s="33" t="n"/>
      <c r="U42" s="42">
        <f>'S26'!T42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'S26'!M43+L43</f>
        <v/>
      </c>
      <c r="N43" s="31">
        <f>IFERROR(M43/K43,0)</f>
        <v/>
      </c>
      <c r="O43" s="40">
        <f>'S26'!N43</f>
        <v/>
      </c>
      <c r="P43" s="31">
        <f>N43-O43</f>
        <v/>
      </c>
      <c r="Q43" s="32" t="n"/>
      <c r="R43" s="32" t="n"/>
      <c r="S43" s="32" t="n"/>
      <c r="T43" s="33" t="n"/>
      <c r="U43" s="40">
        <f>'S26'!T43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'S26'!M44+L44</f>
        <v/>
      </c>
      <c r="N44" s="36">
        <f>IFERROR(M44/K44,0)</f>
        <v/>
      </c>
      <c r="O44" s="42">
        <f>'S26'!N44</f>
        <v/>
      </c>
      <c r="P44" s="36">
        <f>N44-O44</f>
        <v/>
      </c>
      <c r="Q44" s="32" t="n"/>
      <c r="R44" s="32" t="n"/>
      <c r="S44" s="32" t="n"/>
      <c r="T44" s="33" t="n"/>
      <c r="U44" s="42">
        <f>'S26'!T44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'S26'!M45+L45</f>
        <v/>
      </c>
      <c r="N45" s="31">
        <f>IFERROR(M45/K45,0)</f>
        <v/>
      </c>
      <c r="O45" s="40">
        <f>'S26'!N45</f>
        <v/>
      </c>
      <c r="P45" s="31">
        <f>N45-O45</f>
        <v/>
      </c>
      <c r="Q45" s="32" t="n"/>
      <c r="R45" s="32" t="n"/>
      <c r="S45" s="32" t="n"/>
      <c r="T45" s="33" t="n"/>
      <c r="U45" s="40">
        <f>'S26'!T45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'S26'!M46+L46</f>
        <v/>
      </c>
      <c r="N46" s="36">
        <f>IFERROR(M46/K46,0)</f>
        <v/>
      </c>
      <c r="O46" s="42">
        <f>'S26'!N46</f>
        <v/>
      </c>
      <c r="P46" s="36">
        <f>N46-O46</f>
        <v/>
      </c>
      <c r="Q46" s="32" t="n"/>
      <c r="R46" s="32" t="n"/>
      <c r="S46" s="32" t="n"/>
      <c r="T46" s="33" t="n"/>
      <c r="U46" s="42">
        <f>'S26'!T46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'S26'!M47+L47</f>
        <v/>
      </c>
      <c r="N47" s="31">
        <f>IFERROR(M47/K47,0)</f>
        <v/>
      </c>
      <c r="O47" s="40">
        <f>'S26'!N47</f>
        <v/>
      </c>
      <c r="P47" s="31">
        <f>N47-O47</f>
        <v/>
      </c>
      <c r="Q47" s="32" t="n"/>
      <c r="R47" s="32" t="n"/>
      <c r="S47" s="32" t="n"/>
      <c r="T47" s="33" t="n"/>
      <c r="U47" s="40">
        <f>'S26'!T47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'S26'!M48+L48</f>
        <v/>
      </c>
      <c r="N48" s="36">
        <f>IFERROR(M48/K48,0)</f>
        <v/>
      </c>
      <c r="O48" s="42">
        <f>'S26'!N48</f>
        <v/>
      </c>
      <c r="P48" s="36">
        <f>N48-O48</f>
        <v/>
      </c>
      <c r="Q48" s="32" t="n"/>
      <c r="R48" s="32" t="n"/>
      <c r="S48" s="32" t="n"/>
      <c r="T48" s="33" t="n"/>
      <c r="U48" s="42">
        <f>'S26'!T48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'S26'!M49+L49</f>
        <v/>
      </c>
      <c r="N49" s="31">
        <f>IFERROR(M49/K49,0)</f>
        <v/>
      </c>
      <c r="O49" s="40">
        <f>'S26'!N49</f>
        <v/>
      </c>
      <c r="P49" s="31">
        <f>N49-O49</f>
        <v/>
      </c>
      <c r="Q49" s="32" t="n"/>
      <c r="R49" s="32" t="n"/>
      <c r="S49" s="32" t="n"/>
      <c r="T49" s="33" t="n"/>
      <c r="U49" s="40">
        <f>'S26'!T49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'S26'!M50+L50</f>
        <v/>
      </c>
      <c r="N50" s="36">
        <f>IFERROR(M50/K50,0)</f>
        <v/>
      </c>
      <c r="O50" s="42">
        <f>'S26'!N50</f>
        <v/>
      </c>
      <c r="P50" s="36">
        <f>N50-O50</f>
        <v/>
      </c>
      <c r="Q50" s="32" t="n"/>
      <c r="R50" s="32" t="n"/>
      <c r="S50" s="32" t="n"/>
      <c r="T50" s="33" t="n"/>
      <c r="U50" s="42">
        <f>'S26'!T50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'S26'!M51+L51</f>
        <v/>
      </c>
      <c r="N51" s="31">
        <f>IFERROR(M51/K51,0)</f>
        <v/>
      </c>
      <c r="O51" s="40">
        <f>'S26'!N51</f>
        <v/>
      </c>
      <c r="P51" s="31">
        <f>N51-O51</f>
        <v/>
      </c>
      <c r="Q51" s="32" t="n"/>
      <c r="R51" s="32" t="n"/>
      <c r="S51" s="32" t="n"/>
      <c r="T51" s="33" t="n"/>
      <c r="U51" s="40">
        <f>'S26'!T51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'S26'!M52+L52</f>
        <v/>
      </c>
      <c r="N52" s="36">
        <f>IFERROR(M52/K52,0)</f>
        <v/>
      </c>
      <c r="O52" s="42">
        <f>'S26'!N52</f>
        <v/>
      </c>
      <c r="P52" s="36">
        <f>N52-O52</f>
        <v/>
      </c>
      <c r="Q52" s="32" t="n"/>
      <c r="R52" s="32" t="n"/>
      <c r="S52" s="32" t="n"/>
      <c r="T52" s="33" t="n"/>
      <c r="U52" s="42">
        <f>'S26'!T52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'S26'!M53+L53</f>
        <v/>
      </c>
      <c r="N53" s="31">
        <f>IFERROR(M53/K53,0)</f>
        <v/>
      </c>
      <c r="O53" s="40">
        <f>'S26'!N53</f>
        <v/>
      </c>
      <c r="P53" s="31">
        <f>N53-O53</f>
        <v/>
      </c>
      <c r="Q53" s="32" t="n"/>
      <c r="R53" s="32" t="n"/>
      <c r="S53" s="32" t="n"/>
      <c r="T53" s="33" t="n"/>
      <c r="U53" s="40">
        <f>'S26'!T53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'S26'!M54+L54</f>
        <v/>
      </c>
      <c r="N54" s="36">
        <f>IFERROR(M54/K54,0)</f>
        <v/>
      </c>
      <c r="O54" s="42">
        <f>'S26'!N54</f>
        <v/>
      </c>
      <c r="P54" s="36">
        <f>N54-O54</f>
        <v/>
      </c>
      <c r="Q54" s="32" t="n"/>
      <c r="R54" s="32" t="n"/>
      <c r="S54" s="32" t="n"/>
      <c r="T54" s="33" t="n"/>
      <c r="U54" s="42">
        <f>'S26'!T54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'S26'!M55+L55</f>
        <v/>
      </c>
      <c r="N55" s="31">
        <f>IFERROR(M55/K55,0)</f>
        <v/>
      </c>
      <c r="O55" s="40">
        <f>'S26'!N55</f>
        <v/>
      </c>
      <c r="P55" s="31">
        <f>N55-O55</f>
        <v/>
      </c>
      <c r="Q55" s="32" t="n"/>
      <c r="R55" s="32" t="n"/>
      <c r="S55" s="32" t="n"/>
      <c r="T55" s="33" t="n"/>
      <c r="U55" s="40">
        <f>'S26'!T55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'S26'!M56+L56</f>
        <v/>
      </c>
      <c r="N56" s="36">
        <f>IFERROR(M56/K56,0)</f>
        <v/>
      </c>
      <c r="O56" s="42">
        <f>'S26'!N56</f>
        <v/>
      </c>
      <c r="P56" s="36">
        <f>N56-O56</f>
        <v/>
      </c>
      <c r="Q56" s="32" t="n"/>
      <c r="R56" s="32" t="n"/>
      <c r="S56" s="32" t="n"/>
      <c r="T56" s="33" t="n"/>
      <c r="U56" s="42">
        <f>'S26'!T56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'S26'!M57+L57</f>
        <v/>
      </c>
      <c r="N57" s="31">
        <f>IFERROR(M57/K57,0)</f>
        <v/>
      </c>
      <c r="O57" s="40">
        <f>'S26'!N57</f>
        <v/>
      </c>
      <c r="P57" s="31">
        <f>N57-O57</f>
        <v/>
      </c>
      <c r="Q57" s="32" t="n"/>
      <c r="R57" s="32" t="n"/>
      <c r="S57" s="32" t="n"/>
      <c r="T57" s="33" t="n"/>
      <c r="U57" s="40">
        <f>'S26'!T57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'S26'!M58+L58</f>
        <v/>
      </c>
      <c r="N58" s="36">
        <f>IFERROR(M58/K58,0)</f>
        <v/>
      </c>
      <c r="O58" s="42">
        <f>'S26'!N58</f>
        <v/>
      </c>
      <c r="P58" s="36">
        <f>N58-O58</f>
        <v/>
      </c>
      <c r="Q58" s="32" t="n"/>
      <c r="R58" s="32" t="n"/>
      <c r="S58" s="32" t="n"/>
      <c r="T58" s="33" t="n"/>
      <c r="U58" s="42">
        <f>'S26'!T58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'S26'!M59+L59</f>
        <v/>
      </c>
      <c r="N59" s="31">
        <f>IFERROR(M59/K59,0)</f>
        <v/>
      </c>
      <c r="O59" s="40">
        <f>'S26'!N59</f>
        <v/>
      </c>
      <c r="P59" s="31">
        <f>N59-O59</f>
        <v/>
      </c>
      <c r="Q59" s="32" t="n"/>
      <c r="R59" s="32" t="n"/>
      <c r="S59" s="32" t="n"/>
      <c r="T59" s="33" t="n"/>
      <c r="U59" s="40">
        <f>'S26'!T59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'S26'!M60+L60</f>
        <v/>
      </c>
      <c r="N60" s="36">
        <f>IFERROR(M60/K60,0)</f>
        <v/>
      </c>
      <c r="O60" s="42">
        <f>'S26'!N60</f>
        <v/>
      </c>
      <c r="P60" s="36">
        <f>N60-O60</f>
        <v/>
      </c>
      <c r="Q60" s="32" t="n"/>
      <c r="R60" s="32" t="n"/>
      <c r="S60" s="32" t="n"/>
      <c r="T60" s="33" t="n"/>
      <c r="U60" s="42">
        <f>'S26'!T60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'S26'!M61+L61</f>
        <v/>
      </c>
      <c r="N61" s="31">
        <f>IFERROR(M61/K61,0)</f>
        <v/>
      </c>
      <c r="O61" s="40">
        <f>'S26'!N61</f>
        <v/>
      </c>
      <c r="P61" s="31">
        <f>N61-O61</f>
        <v/>
      </c>
      <c r="Q61" s="32" t="n"/>
      <c r="R61" s="32" t="n"/>
      <c r="S61" s="32" t="n"/>
      <c r="T61" s="33" t="n"/>
      <c r="U61" s="40">
        <f>'S26'!T61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'S26'!M62+L62</f>
        <v/>
      </c>
      <c r="N62" s="36">
        <f>IFERROR(M62/K62,0)</f>
        <v/>
      </c>
      <c r="O62" s="42">
        <f>'S26'!N62</f>
        <v/>
      </c>
      <c r="P62" s="36">
        <f>N62-O62</f>
        <v/>
      </c>
      <c r="Q62" s="32" t="n"/>
      <c r="R62" s="32" t="n"/>
      <c r="S62" s="32" t="n"/>
      <c r="T62" s="33" t="n"/>
      <c r="U62" s="42">
        <f>'S26'!T62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'S26'!M63+L63</f>
        <v/>
      </c>
      <c r="N63" s="31">
        <f>IFERROR(M63/K63,0)</f>
        <v/>
      </c>
      <c r="O63" s="40">
        <f>'S26'!N63</f>
        <v/>
      </c>
      <c r="P63" s="31">
        <f>N63-O63</f>
        <v/>
      </c>
      <c r="Q63" s="32" t="n"/>
      <c r="R63" s="32" t="n"/>
      <c r="S63" s="32" t="n"/>
      <c r="T63" s="33" t="n"/>
      <c r="U63" s="40">
        <f>'S26'!T63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'S26'!M64+L64</f>
        <v/>
      </c>
      <c r="N64" s="36">
        <f>IFERROR(M64/K64,0)</f>
        <v/>
      </c>
      <c r="O64" s="42">
        <f>'S26'!N64</f>
        <v/>
      </c>
      <c r="P64" s="36">
        <f>N64-O64</f>
        <v/>
      </c>
      <c r="Q64" s="32" t="n"/>
      <c r="R64" s="32" t="n"/>
      <c r="S64" s="32" t="n"/>
      <c r="T64" s="33" t="n"/>
      <c r="U64" s="42">
        <f>'S26'!T64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'S26'!M65+L65</f>
        <v/>
      </c>
      <c r="N65" s="31">
        <f>IFERROR(M65/K65,0)</f>
        <v/>
      </c>
      <c r="O65" s="40">
        <f>'S26'!N65</f>
        <v/>
      </c>
      <c r="P65" s="31">
        <f>N65-O65</f>
        <v/>
      </c>
      <c r="Q65" s="32" t="n"/>
      <c r="R65" s="32" t="n"/>
      <c r="S65" s="32" t="n"/>
      <c r="T65" s="33" t="n"/>
      <c r="U65" s="40">
        <f>'S26'!T65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'S26'!M66+L66</f>
        <v/>
      </c>
      <c r="N66" s="36">
        <f>IFERROR(M66/K66,0)</f>
        <v/>
      </c>
      <c r="O66" s="42">
        <f>'S26'!N66</f>
        <v/>
      </c>
      <c r="P66" s="36">
        <f>N66-O66</f>
        <v/>
      </c>
      <c r="Q66" s="32" t="n"/>
      <c r="R66" s="32" t="n"/>
      <c r="S66" s="32" t="n"/>
      <c r="T66" s="33" t="n"/>
      <c r="U66" s="42">
        <f>'S26'!T66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'S26'!M67+L67</f>
        <v/>
      </c>
      <c r="N67" s="31">
        <f>IFERROR(M67/K67,0)</f>
        <v/>
      </c>
      <c r="O67" s="40">
        <f>'S26'!N67</f>
        <v/>
      </c>
      <c r="P67" s="31">
        <f>N67-O67</f>
        <v/>
      </c>
      <c r="Q67" s="32" t="n"/>
      <c r="R67" s="32" t="n"/>
      <c r="S67" s="32" t="n"/>
      <c r="T67" s="33" t="n"/>
      <c r="U67" s="40">
        <f>'S26'!T67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'S26'!M68+L68</f>
        <v/>
      </c>
      <c r="N68" s="36">
        <f>IFERROR(M68/K68,0)</f>
        <v/>
      </c>
      <c r="O68" s="42">
        <f>'S26'!N68</f>
        <v/>
      </c>
      <c r="P68" s="36">
        <f>N68-O68</f>
        <v/>
      </c>
      <c r="Q68" s="32" t="n"/>
      <c r="R68" s="32" t="n"/>
      <c r="S68" s="32" t="n"/>
      <c r="T68" s="33" t="n"/>
      <c r="U68" s="42">
        <f>'S26'!T68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'S26'!M69+L69</f>
        <v/>
      </c>
      <c r="N69" s="31">
        <f>IFERROR(M69/K69,0)</f>
        <v/>
      </c>
      <c r="O69" s="40">
        <f>'S26'!N69</f>
        <v/>
      </c>
      <c r="P69" s="31">
        <f>N69-O69</f>
        <v/>
      </c>
      <c r="Q69" s="32" t="n"/>
      <c r="R69" s="32" t="n"/>
      <c r="S69" s="32" t="n"/>
      <c r="T69" s="33" t="n"/>
      <c r="U69" s="40">
        <f>'S26'!T69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'S26'!M70+L70</f>
        <v/>
      </c>
      <c r="N70" s="36">
        <f>IFERROR(M70/K70,0)</f>
        <v/>
      </c>
      <c r="O70" s="42">
        <f>'S26'!N70</f>
        <v/>
      </c>
      <c r="P70" s="36">
        <f>N70-O70</f>
        <v/>
      </c>
      <c r="Q70" s="32" t="n"/>
      <c r="R70" s="32" t="n"/>
      <c r="S70" s="32" t="n"/>
      <c r="T70" s="33" t="n"/>
      <c r="U70" s="42">
        <f>'S26'!T70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'S26'!M71+L71</f>
        <v/>
      </c>
      <c r="N71" s="31">
        <f>IFERROR(M71/K71,0)</f>
        <v/>
      </c>
      <c r="O71" s="40">
        <f>'S26'!N71</f>
        <v/>
      </c>
      <c r="P71" s="31">
        <f>N71-O71</f>
        <v/>
      </c>
      <c r="Q71" s="32" t="n"/>
      <c r="R71" s="32" t="n"/>
      <c r="S71" s="32" t="n"/>
      <c r="T71" s="33" t="n"/>
      <c r="U71" s="40">
        <f>'S26'!T71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'S26'!M72+L72</f>
        <v/>
      </c>
      <c r="N72" s="36">
        <f>IFERROR(M72/K72,0)</f>
        <v/>
      </c>
      <c r="O72" s="42">
        <f>'S26'!N72</f>
        <v/>
      </c>
      <c r="P72" s="36">
        <f>N72-O72</f>
        <v/>
      </c>
      <c r="Q72" s="32" t="n"/>
      <c r="R72" s="32" t="n"/>
      <c r="S72" s="32" t="n"/>
      <c r="T72" s="33" t="n"/>
      <c r="U72" s="42">
        <f>'S26'!T72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'S26'!M73+L73</f>
        <v/>
      </c>
      <c r="N73" s="31">
        <f>IFERROR(M73/K73,0)</f>
        <v/>
      </c>
      <c r="O73" s="40">
        <f>'S26'!N73</f>
        <v/>
      </c>
      <c r="P73" s="31">
        <f>N73-O73</f>
        <v/>
      </c>
      <c r="Q73" s="32" t="n"/>
      <c r="R73" s="32" t="n"/>
      <c r="S73" s="32" t="n"/>
      <c r="T73" s="33" t="n"/>
      <c r="U73" s="40">
        <f>'S26'!T73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'S26'!M74+L74</f>
        <v/>
      </c>
      <c r="N74" s="36">
        <f>IFERROR(M74/K74,0)</f>
        <v/>
      </c>
      <c r="O74" s="42">
        <f>'S26'!N74</f>
        <v/>
      </c>
      <c r="P74" s="36">
        <f>N74-O74</f>
        <v/>
      </c>
      <c r="Q74" s="32" t="n"/>
      <c r="R74" s="32" t="n"/>
      <c r="S74" s="32" t="n"/>
      <c r="T74" s="33" t="n"/>
      <c r="U74" s="42">
        <f>'S26'!T74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'S26'!M75+L75</f>
        <v/>
      </c>
      <c r="N75" s="31">
        <f>IFERROR(M75/K75,0)</f>
        <v/>
      </c>
      <c r="O75" s="40">
        <f>'S26'!N75</f>
        <v/>
      </c>
      <c r="P75" s="31">
        <f>N75-O75</f>
        <v/>
      </c>
      <c r="Q75" s="32" t="n"/>
      <c r="R75" s="32" t="n"/>
      <c r="S75" s="32" t="n"/>
      <c r="T75" s="33" t="n"/>
      <c r="U75" s="40">
        <f>'S26'!T75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'S26'!M76+L76</f>
        <v/>
      </c>
      <c r="N76" s="36">
        <f>IFERROR(M76/K76,0)</f>
        <v/>
      </c>
      <c r="O76" s="42">
        <f>'S26'!N76</f>
        <v/>
      </c>
      <c r="P76" s="36">
        <f>N76-O76</f>
        <v/>
      </c>
      <c r="Q76" s="32" t="n"/>
      <c r="R76" s="32" t="n"/>
      <c r="S76" s="32" t="n"/>
      <c r="T76" s="33" t="n"/>
      <c r="U76" s="42">
        <f>'S26'!T76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30.xml><?xml version="1.0" encoding="utf-8"?>
<worksheet xmlns="http://schemas.openxmlformats.org/spreadsheetml/2006/main">
  <sheetPr>
    <tabColor rgb="00C55A11"/>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28 (06/07 - 12/07) — Juillet 2026 - Exécution Physique et Financière</t>
        </is>
      </c>
    </row>
    <row r="3" ht="22" customHeight="1">
      <c r="B3" s="20" t="inlineStr">
        <is>
          <t>Date :</t>
        </is>
      </c>
      <c r="C3" s="21" t="n">
        <v>46209</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'S27'!M5+L5</f>
        <v/>
      </c>
      <c r="N5" s="31">
        <f>IFERROR(M5/K5,0)</f>
        <v/>
      </c>
      <c r="O5" s="40">
        <f>'S27'!N5</f>
        <v/>
      </c>
      <c r="P5" s="31">
        <f>N5-O5</f>
        <v/>
      </c>
      <c r="Q5" s="32" t="n"/>
      <c r="R5" s="32" t="n"/>
      <c r="S5" s="32" t="n"/>
      <c r="T5" s="33" t="n"/>
      <c r="U5" s="40">
        <f>'S27'!T5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'S27'!M6+L6</f>
        <v/>
      </c>
      <c r="N6" s="36">
        <f>IFERROR(M6/K6,0)</f>
        <v/>
      </c>
      <c r="O6" s="42">
        <f>'S27'!N6</f>
        <v/>
      </c>
      <c r="P6" s="36">
        <f>N6-O6</f>
        <v/>
      </c>
      <c r="Q6" s="32" t="n"/>
      <c r="R6" s="32" t="n"/>
      <c r="S6" s="32" t="n"/>
      <c r="T6" s="33" t="n"/>
      <c r="U6" s="42">
        <f>'S27'!T6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'S27'!M7+L7</f>
        <v/>
      </c>
      <c r="N7" s="31">
        <f>IFERROR(M7/K7,0)</f>
        <v/>
      </c>
      <c r="O7" s="40">
        <f>'S27'!N7</f>
        <v/>
      </c>
      <c r="P7" s="31">
        <f>N7-O7</f>
        <v/>
      </c>
      <c r="Q7" s="32" t="n"/>
      <c r="R7" s="32" t="n"/>
      <c r="S7" s="32" t="n"/>
      <c r="T7" s="33" t="n"/>
      <c r="U7" s="40">
        <f>'S27'!T7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'S27'!M8+L8</f>
        <v/>
      </c>
      <c r="N8" s="36">
        <f>IFERROR(M8/K8,0)</f>
        <v/>
      </c>
      <c r="O8" s="42">
        <f>'S27'!N8</f>
        <v/>
      </c>
      <c r="P8" s="36">
        <f>N8-O8</f>
        <v/>
      </c>
      <c r="Q8" s="32" t="n"/>
      <c r="R8" s="32" t="n"/>
      <c r="S8" s="32" t="n"/>
      <c r="T8" s="33" t="n"/>
      <c r="U8" s="42">
        <f>'S27'!T8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'S27'!M9+L9</f>
        <v/>
      </c>
      <c r="N9" s="31">
        <f>IFERROR(M9/K9,0)</f>
        <v/>
      </c>
      <c r="O9" s="40">
        <f>'S27'!N9</f>
        <v/>
      </c>
      <c r="P9" s="31">
        <f>N9-O9</f>
        <v/>
      </c>
      <c r="Q9" s="32" t="n"/>
      <c r="R9" s="32" t="n"/>
      <c r="S9" s="32" t="n"/>
      <c r="T9" s="33" t="n"/>
      <c r="U9" s="40">
        <f>'S27'!T9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'S27'!M10+L10</f>
        <v/>
      </c>
      <c r="N10" s="36">
        <f>IFERROR(M10/K10,0)</f>
        <v/>
      </c>
      <c r="O10" s="42">
        <f>'S27'!N10</f>
        <v/>
      </c>
      <c r="P10" s="36">
        <f>N10-O10</f>
        <v/>
      </c>
      <c r="Q10" s="32" t="n"/>
      <c r="R10" s="32" t="n"/>
      <c r="S10" s="32" t="n"/>
      <c r="T10" s="33" t="n"/>
      <c r="U10" s="42">
        <f>'S27'!T10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'S27'!M11+L11</f>
        <v/>
      </c>
      <c r="N11" s="31">
        <f>IFERROR(M11/K11,0)</f>
        <v/>
      </c>
      <c r="O11" s="40">
        <f>'S27'!N11</f>
        <v/>
      </c>
      <c r="P11" s="31">
        <f>N11-O11</f>
        <v/>
      </c>
      <c r="Q11" s="32" t="n"/>
      <c r="R11" s="32" t="n"/>
      <c r="S11" s="32" t="n"/>
      <c r="T11" s="33" t="n"/>
      <c r="U11" s="40">
        <f>'S27'!T11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'S27'!M12+L12</f>
        <v/>
      </c>
      <c r="N12" s="36">
        <f>IFERROR(M12/K12,0)</f>
        <v/>
      </c>
      <c r="O12" s="42">
        <f>'S27'!N12</f>
        <v/>
      </c>
      <c r="P12" s="36">
        <f>N12-O12</f>
        <v/>
      </c>
      <c r="Q12" s="32" t="n"/>
      <c r="R12" s="32" t="n"/>
      <c r="S12" s="32" t="n"/>
      <c r="T12" s="33" t="n"/>
      <c r="U12" s="42">
        <f>'S27'!T12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'S27'!M13+L13</f>
        <v/>
      </c>
      <c r="N13" s="31">
        <f>IFERROR(M13/K13,0)</f>
        <v/>
      </c>
      <c r="O13" s="40">
        <f>'S27'!N13</f>
        <v/>
      </c>
      <c r="P13" s="31">
        <f>N13-O13</f>
        <v/>
      </c>
      <c r="Q13" s="32" t="n"/>
      <c r="R13" s="32" t="n"/>
      <c r="S13" s="32" t="n"/>
      <c r="T13" s="33" t="n"/>
      <c r="U13" s="40">
        <f>'S27'!T13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'S27'!M14+L14</f>
        <v/>
      </c>
      <c r="N14" s="36">
        <f>IFERROR(M14/K14,0)</f>
        <v/>
      </c>
      <c r="O14" s="42">
        <f>'S27'!N14</f>
        <v/>
      </c>
      <c r="P14" s="36">
        <f>N14-O14</f>
        <v/>
      </c>
      <c r="Q14" s="32" t="n"/>
      <c r="R14" s="32" t="n"/>
      <c r="S14" s="32" t="n"/>
      <c r="T14" s="33" t="n"/>
      <c r="U14" s="42">
        <f>'S27'!T14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'S27'!M15+L15</f>
        <v/>
      </c>
      <c r="N15" s="31">
        <f>IFERROR(M15/K15,0)</f>
        <v/>
      </c>
      <c r="O15" s="40">
        <f>'S27'!N15</f>
        <v/>
      </c>
      <c r="P15" s="31">
        <f>N15-O15</f>
        <v/>
      </c>
      <c r="Q15" s="32" t="n"/>
      <c r="R15" s="32" t="n"/>
      <c r="S15" s="32" t="n"/>
      <c r="T15" s="33" t="n"/>
      <c r="U15" s="40">
        <f>'S27'!T15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'S27'!M16+L16</f>
        <v/>
      </c>
      <c r="N16" s="36">
        <f>IFERROR(M16/K16,0)</f>
        <v/>
      </c>
      <c r="O16" s="42">
        <f>'S27'!N16</f>
        <v/>
      </c>
      <c r="P16" s="36">
        <f>N16-O16</f>
        <v/>
      </c>
      <c r="Q16" s="32" t="n"/>
      <c r="R16" s="32" t="n"/>
      <c r="S16" s="32" t="n"/>
      <c r="T16" s="33" t="n"/>
      <c r="U16" s="42">
        <f>'S27'!T16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'S27'!M17+L17</f>
        <v/>
      </c>
      <c r="N17" s="31">
        <f>IFERROR(M17/K17,0)</f>
        <v/>
      </c>
      <c r="O17" s="40">
        <f>'S27'!N17</f>
        <v/>
      </c>
      <c r="P17" s="31">
        <f>N17-O17</f>
        <v/>
      </c>
      <c r="Q17" s="32" t="n"/>
      <c r="R17" s="32" t="n"/>
      <c r="S17" s="32" t="n"/>
      <c r="T17" s="33" t="n"/>
      <c r="U17" s="40">
        <f>'S27'!T17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'S27'!M18+L18</f>
        <v/>
      </c>
      <c r="N18" s="36">
        <f>IFERROR(M18/K18,0)</f>
        <v/>
      </c>
      <c r="O18" s="42">
        <f>'S27'!N18</f>
        <v/>
      </c>
      <c r="P18" s="36">
        <f>N18-O18</f>
        <v/>
      </c>
      <c r="Q18" s="32" t="n"/>
      <c r="R18" s="32" t="n"/>
      <c r="S18" s="32" t="n"/>
      <c r="T18" s="33" t="n"/>
      <c r="U18" s="42">
        <f>'S27'!T18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'S27'!M19+L19</f>
        <v/>
      </c>
      <c r="N19" s="31">
        <f>IFERROR(M19/K19,0)</f>
        <v/>
      </c>
      <c r="O19" s="40">
        <f>'S27'!N19</f>
        <v/>
      </c>
      <c r="P19" s="31">
        <f>N19-O19</f>
        <v/>
      </c>
      <c r="Q19" s="32" t="n"/>
      <c r="R19" s="32" t="n"/>
      <c r="S19" s="32" t="n"/>
      <c r="T19" s="33" t="n"/>
      <c r="U19" s="40">
        <f>'S27'!T19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'S27'!M20+L20</f>
        <v/>
      </c>
      <c r="N20" s="36">
        <f>IFERROR(M20/K20,0)</f>
        <v/>
      </c>
      <c r="O20" s="42">
        <f>'S27'!N20</f>
        <v/>
      </c>
      <c r="P20" s="36">
        <f>N20-O20</f>
        <v/>
      </c>
      <c r="Q20" s="32" t="n"/>
      <c r="R20" s="32" t="n"/>
      <c r="S20" s="32" t="n"/>
      <c r="T20" s="33" t="n"/>
      <c r="U20" s="42">
        <f>'S27'!T20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'S27'!M21+L21</f>
        <v/>
      </c>
      <c r="N21" s="31">
        <f>IFERROR(M21/K21,0)</f>
        <v/>
      </c>
      <c r="O21" s="40">
        <f>'S27'!N21</f>
        <v/>
      </c>
      <c r="P21" s="31">
        <f>N21-O21</f>
        <v/>
      </c>
      <c r="Q21" s="32" t="n"/>
      <c r="R21" s="32" t="n"/>
      <c r="S21" s="32" t="n"/>
      <c r="T21" s="33" t="n"/>
      <c r="U21" s="40">
        <f>'S27'!T21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'S27'!M22+L22</f>
        <v/>
      </c>
      <c r="N22" s="36">
        <f>IFERROR(M22/K22,0)</f>
        <v/>
      </c>
      <c r="O22" s="42">
        <f>'S27'!N22</f>
        <v/>
      </c>
      <c r="P22" s="36">
        <f>N22-O22</f>
        <v/>
      </c>
      <c r="Q22" s="32" t="n"/>
      <c r="R22" s="32" t="n"/>
      <c r="S22" s="32" t="n"/>
      <c r="T22" s="33" t="n"/>
      <c r="U22" s="42">
        <f>'S27'!T22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'S27'!M23+L23</f>
        <v/>
      </c>
      <c r="N23" s="31">
        <f>IFERROR(M23/K23,0)</f>
        <v/>
      </c>
      <c r="O23" s="40">
        <f>'S27'!N23</f>
        <v/>
      </c>
      <c r="P23" s="31">
        <f>N23-O23</f>
        <v/>
      </c>
      <c r="Q23" s="32" t="n"/>
      <c r="R23" s="32" t="n"/>
      <c r="S23" s="32" t="n"/>
      <c r="T23" s="33" t="n"/>
      <c r="U23" s="40">
        <f>'S27'!T23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'S27'!M24+L24</f>
        <v/>
      </c>
      <c r="N24" s="36">
        <f>IFERROR(M24/K24,0)</f>
        <v/>
      </c>
      <c r="O24" s="42">
        <f>'S27'!N24</f>
        <v/>
      </c>
      <c r="P24" s="36">
        <f>N24-O24</f>
        <v/>
      </c>
      <c r="Q24" s="32" t="n"/>
      <c r="R24" s="32" t="n"/>
      <c r="S24" s="32" t="n"/>
      <c r="T24" s="33" t="n"/>
      <c r="U24" s="42">
        <f>'S27'!T24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'S27'!M25+L25</f>
        <v/>
      </c>
      <c r="N25" s="31">
        <f>IFERROR(M25/K25,0)</f>
        <v/>
      </c>
      <c r="O25" s="40">
        <f>'S27'!N25</f>
        <v/>
      </c>
      <c r="P25" s="31">
        <f>N25-O25</f>
        <v/>
      </c>
      <c r="Q25" s="32" t="n"/>
      <c r="R25" s="32" t="n"/>
      <c r="S25" s="32" t="n"/>
      <c r="T25" s="33" t="n"/>
      <c r="U25" s="40">
        <f>'S27'!T25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'S27'!M26+L26</f>
        <v/>
      </c>
      <c r="N26" s="36">
        <f>IFERROR(M26/K26,0)</f>
        <v/>
      </c>
      <c r="O26" s="42">
        <f>'S27'!N26</f>
        <v/>
      </c>
      <c r="P26" s="36">
        <f>N26-O26</f>
        <v/>
      </c>
      <c r="Q26" s="32" t="n"/>
      <c r="R26" s="32" t="n"/>
      <c r="S26" s="32" t="n"/>
      <c r="T26" s="33" t="n"/>
      <c r="U26" s="42">
        <f>'S27'!T26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'S27'!M27+L27</f>
        <v/>
      </c>
      <c r="N27" s="31">
        <f>IFERROR(M27/K27,0)</f>
        <v/>
      </c>
      <c r="O27" s="40">
        <f>'S27'!N27</f>
        <v/>
      </c>
      <c r="P27" s="31">
        <f>N27-O27</f>
        <v/>
      </c>
      <c r="Q27" s="32" t="n"/>
      <c r="R27" s="32" t="n"/>
      <c r="S27" s="32" t="n"/>
      <c r="T27" s="33" t="n"/>
      <c r="U27" s="40">
        <f>'S27'!T27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'S27'!M28+L28</f>
        <v/>
      </c>
      <c r="N28" s="36">
        <f>IFERROR(M28/K28,0)</f>
        <v/>
      </c>
      <c r="O28" s="42">
        <f>'S27'!N28</f>
        <v/>
      </c>
      <c r="P28" s="36">
        <f>N28-O28</f>
        <v/>
      </c>
      <c r="Q28" s="32" t="n"/>
      <c r="R28" s="32" t="n"/>
      <c r="S28" s="32" t="n"/>
      <c r="T28" s="33" t="n"/>
      <c r="U28" s="42">
        <f>'S27'!T28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'S27'!M29+L29</f>
        <v/>
      </c>
      <c r="N29" s="31">
        <f>IFERROR(M29/K29,0)</f>
        <v/>
      </c>
      <c r="O29" s="40">
        <f>'S27'!N29</f>
        <v/>
      </c>
      <c r="P29" s="31">
        <f>N29-O29</f>
        <v/>
      </c>
      <c r="Q29" s="32" t="n"/>
      <c r="R29" s="32" t="n"/>
      <c r="S29" s="32" t="n"/>
      <c r="T29" s="33" t="n"/>
      <c r="U29" s="40">
        <f>'S27'!T29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'S27'!M30+L30</f>
        <v/>
      </c>
      <c r="N30" s="36">
        <f>IFERROR(M30/K30,0)</f>
        <v/>
      </c>
      <c r="O30" s="42">
        <f>'S27'!N30</f>
        <v/>
      </c>
      <c r="P30" s="36">
        <f>N30-O30</f>
        <v/>
      </c>
      <c r="Q30" s="32" t="n"/>
      <c r="R30" s="32" t="n"/>
      <c r="S30" s="32" t="n"/>
      <c r="T30" s="33" t="n"/>
      <c r="U30" s="42">
        <f>'S27'!T30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'S27'!M31+L31</f>
        <v/>
      </c>
      <c r="N31" s="31">
        <f>IFERROR(M31/K31,0)</f>
        <v/>
      </c>
      <c r="O31" s="40">
        <f>'S27'!N31</f>
        <v/>
      </c>
      <c r="P31" s="31">
        <f>N31-O31</f>
        <v/>
      </c>
      <c r="Q31" s="32" t="n"/>
      <c r="R31" s="32" t="n"/>
      <c r="S31" s="32" t="n"/>
      <c r="T31" s="33" t="n"/>
      <c r="U31" s="40">
        <f>'S27'!T31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'S27'!M32+L32</f>
        <v/>
      </c>
      <c r="N32" s="36">
        <f>IFERROR(M32/K32,0)</f>
        <v/>
      </c>
      <c r="O32" s="42">
        <f>'S27'!N32</f>
        <v/>
      </c>
      <c r="P32" s="36">
        <f>N32-O32</f>
        <v/>
      </c>
      <c r="Q32" s="32" t="n"/>
      <c r="R32" s="32" t="n"/>
      <c r="S32" s="32" t="n"/>
      <c r="T32" s="33" t="n"/>
      <c r="U32" s="42">
        <f>'S27'!T32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'S27'!M33+L33</f>
        <v/>
      </c>
      <c r="N33" s="31">
        <f>IFERROR(M33/K33,0)</f>
        <v/>
      </c>
      <c r="O33" s="40">
        <f>'S27'!N33</f>
        <v/>
      </c>
      <c r="P33" s="31">
        <f>N33-O33</f>
        <v/>
      </c>
      <c r="Q33" s="32" t="n"/>
      <c r="R33" s="32" t="n"/>
      <c r="S33" s="32" t="n"/>
      <c r="T33" s="33" t="n"/>
      <c r="U33" s="40">
        <f>'S27'!T33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'S27'!M34+L34</f>
        <v/>
      </c>
      <c r="N34" s="36">
        <f>IFERROR(M34/K34,0)</f>
        <v/>
      </c>
      <c r="O34" s="42">
        <f>'S27'!N34</f>
        <v/>
      </c>
      <c r="P34" s="36">
        <f>N34-O34</f>
        <v/>
      </c>
      <c r="Q34" s="32" t="n"/>
      <c r="R34" s="32" t="n"/>
      <c r="S34" s="32" t="n"/>
      <c r="T34" s="33" t="n"/>
      <c r="U34" s="42">
        <f>'S27'!T34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'S27'!M35+L35</f>
        <v/>
      </c>
      <c r="N35" s="31">
        <f>IFERROR(M35/K35,0)</f>
        <v/>
      </c>
      <c r="O35" s="40">
        <f>'S27'!N35</f>
        <v/>
      </c>
      <c r="P35" s="31">
        <f>N35-O35</f>
        <v/>
      </c>
      <c r="Q35" s="32" t="n"/>
      <c r="R35" s="32" t="n"/>
      <c r="S35" s="32" t="n"/>
      <c r="T35" s="33" t="n"/>
      <c r="U35" s="40">
        <f>'S27'!T35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'S27'!M36+L36</f>
        <v/>
      </c>
      <c r="N36" s="36">
        <f>IFERROR(M36/K36,0)</f>
        <v/>
      </c>
      <c r="O36" s="42">
        <f>'S27'!N36</f>
        <v/>
      </c>
      <c r="P36" s="36">
        <f>N36-O36</f>
        <v/>
      </c>
      <c r="Q36" s="32" t="n"/>
      <c r="R36" s="32" t="n"/>
      <c r="S36" s="32" t="n"/>
      <c r="T36" s="33" t="n"/>
      <c r="U36" s="42">
        <f>'S27'!T36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'S27'!M37+L37</f>
        <v/>
      </c>
      <c r="N37" s="31">
        <f>IFERROR(M37/K37,0)</f>
        <v/>
      </c>
      <c r="O37" s="40">
        <f>'S27'!N37</f>
        <v/>
      </c>
      <c r="P37" s="31">
        <f>N37-O37</f>
        <v/>
      </c>
      <c r="Q37" s="32" t="n"/>
      <c r="R37" s="32" t="n"/>
      <c r="S37" s="32" t="n"/>
      <c r="T37" s="33" t="n"/>
      <c r="U37" s="40">
        <f>'S27'!T37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'S27'!M38+L38</f>
        <v/>
      </c>
      <c r="N38" s="36">
        <f>IFERROR(M38/K38,0)</f>
        <v/>
      </c>
      <c r="O38" s="42">
        <f>'S27'!N38</f>
        <v/>
      </c>
      <c r="P38" s="36">
        <f>N38-O38</f>
        <v/>
      </c>
      <c r="Q38" s="32" t="n"/>
      <c r="R38" s="32" t="n"/>
      <c r="S38" s="32" t="n"/>
      <c r="T38" s="33" t="n"/>
      <c r="U38" s="42">
        <f>'S27'!T38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'S27'!M39+L39</f>
        <v/>
      </c>
      <c r="N39" s="31">
        <f>IFERROR(M39/K39,0)</f>
        <v/>
      </c>
      <c r="O39" s="40">
        <f>'S27'!N39</f>
        <v/>
      </c>
      <c r="P39" s="31">
        <f>N39-O39</f>
        <v/>
      </c>
      <c r="Q39" s="32" t="n"/>
      <c r="R39" s="32" t="n"/>
      <c r="S39" s="32" t="n"/>
      <c r="T39" s="33" t="n"/>
      <c r="U39" s="40">
        <f>'S27'!T39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'S27'!M40+L40</f>
        <v/>
      </c>
      <c r="N40" s="36">
        <f>IFERROR(M40/K40,0)</f>
        <v/>
      </c>
      <c r="O40" s="42">
        <f>'S27'!N40</f>
        <v/>
      </c>
      <c r="P40" s="36">
        <f>N40-O40</f>
        <v/>
      </c>
      <c r="Q40" s="32" t="n"/>
      <c r="R40" s="32" t="n"/>
      <c r="S40" s="32" t="n"/>
      <c r="T40" s="33" t="n"/>
      <c r="U40" s="42">
        <f>'S27'!T40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'S27'!M41+L41</f>
        <v/>
      </c>
      <c r="N41" s="31">
        <f>IFERROR(M41/K41,0)</f>
        <v/>
      </c>
      <c r="O41" s="40">
        <f>'S27'!N41</f>
        <v/>
      </c>
      <c r="P41" s="31">
        <f>N41-O41</f>
        <v/>
      </c>
      <c r="Q41" s="32" t="n"/>
      <c r="R41" s="32" t="n"/>
      <c r="S41" s="32" t="n"/>
      <c r="T41" s="33" t="n"/>
      <c r="U41" s="40">
        <f>'S27'!T41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'S27'!M42+L42</f>
        <v/>
      </c>
      <c r="N42" s="36">
        <f>IFERROR(M42/K42,0)</f>
        <v/>
      </c>
      <c r="O42" s="42">
        <f>'S27'!N42</f>
        <v/>
      </c>
      <c r="P42" s="36">
        <f>N42-O42</f>
        <v/>
      </c>
      <c r="Q42" s="32" t="n"/>
      <c r="R42" s="32" t="n"/>
      <c r="S42" s="32" t="n"/>
      <c r="T42" s="33" t="n"/>
      <c r="U42" s="42">
        <f>'S27'!T42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'S27'!M43+L43</f>
        <v/>
      </c>
      <c r="N43" s="31">
        <f>IFERROR(M43/K43,0)</f>
        <v/>
      </c>
      <c r="O43" s="40">
        <f>'S27'!N43</f>
        <v/>
      </c>
      <c r="P43" s="31">
        <f>N43-O43</f>
        <v/>
      </c>
      <c r="Q43" s="32" t="n"/>
      <c r="R43" s="32" t="n"/>
      <c r="S43" s="32" t="n"/>
      <c r="T43" s="33" t="n"/>
      <c r="U43" s="40">
        <f>'S27'!T43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'S27'!M44+L44</f>
        <v/>
      </c>
      <c r="N44" s="36">
        <f>IFERROR(M44/K44,0)</f>
        <v/>
      </c>
      <c r="O44" s="42">
        <f>'S27'!N44</f>
        <v/>
      </c>
      <c r="P44" s="36">
        <f>N44-O44</f>
        <v/>
      </c>
      <c r="Q44" s="32" t="n"/>
      <c r="R44" s="32" t="n"/>
      <c r="S44" s="32" t="n"/>
      <c r="T44" s="33" t="n"/>
      <c r="U44" s="42">
        <f>'S27'!T44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'S27'!M45+L45</f>
        <v/>
      </c>
      <c r="N45" s="31">
        <f>IFERROR(M45/K45,0)</f>
        <v/>
      </c>
      <c r="O45" s="40">
        <f>'S27'!N45</f>
        <v/>
      </c>
      <c r="P45" s="31">
        <f>N45-O45</f>
        <v/>
      </c>
      <c r="Q45" s="32" t="n"/>
      <c r="R45" s="32" t="n"/>
      <c r="S45" s="32" t="n"/>
      <c r="T45" s="33" t="n"/>
      <c r="U45" s="40">
        <f>'S27'!T45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'S27'!M46+L46</f>
        <v/>
      </c>
      <c r="N46" s="36">
        <f>IFERROR(M46/K46,0)</f>
        <v/>
      </c>
      <c r="O46" s="42">
        <f>'S27'!N46</f>
        <v/>
      </c>
      <c r="P46" s="36">
        <f>N46-O46</f>
        <v/>
      </c>
      <c r="Q46" s="32" t="n"/>
      <c r="R46" s="32" t="n"/>
      <c r="S46" s="32" t="n"/>
      <c r="T46" s="33" t="n"/>
      <c r="U46" s="42">
        <f>'S27'!T46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'S27'!M47+L47</f>
        <v/>
      </c>
      <c r="N47" s="31">
        <f>IFERROR(M47/K47,0)</f>
        <v/>
      </c>
      <c r="O47" s="40">
        <f>'S27'!N47</f>
        <v/>
      </c>
      <c r="P47" s="31">
        <f>N47-O47</f>
        <v/>
      </c>
      <c r="Q47" s="32" t="n"/>
      <c r="R47" s="32" t="n"/>
      <c r="S47" s="32" t="n"/>
      <c r="T47" s="33" t="n"/>
      <c r="U47" s="40">
        <f>'S27'!T47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'S27'!M48+L48</f>
        <v/>
      </c>
      <c r="N48" s="36">
        <f>IFERROR(M48/K48,0)</f>
        <v/>
      </c>
      <c r="O48" s="42">
        <f>'S27'!N48</f>
        <v/>
      </c>
      <c r="P48" s="36">
        <f>N48-O48</f>
        <v/>
      </c>
      <c r="Q48" s="32" t="n"/>
      <c r="R48" s="32" t="n"/>
      <c r="S48" s="32" t="n"/>
      <c r="T48" s="33" t="n"/>
      <c r="U48" s="42">
        <f>'S27'!T48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'S27'!M49+L49</f>
        <v/>
      </c>
      <c r="N49" s="31">
        <f>IFERROR(M49/K49,0)</f>
        <v/>
      </c>
      <c r="O49" s="40">
        <f>'S27'!N49</f>
        <v/>
      </c>
      <c r="P49" s="31">
        <f>N49-O49</f>
        <v/>
      </c>
      <c r="Q49" s="32" t="n"/>
      <c r="R49" s="32" t="n"/>
      <c r="S49" s="32" t="n"/>
      <c r="T49" s="33" t="n"/>
      <c r="U49" s="40">
        <f>'S27'!T49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'S27'!M50+L50</f>
        <v/>
      </c>
      <c r="N50" s="36">
        <f>IFERROR(M50/K50,0)</f>
        <v/>
      </c>
      <c r="O50" s="42">
        <f>'S27'!N50</f>
        <v/>
      </c>
      <c r="P50" s="36">
        <f>N50-O50</f>
        <v/>
      </c>
      <c r="Q50" s="32" t="n"/>
      <c r="R50" s="32" t="n"/>
      <c r="S50" s="32" t="n"/>
      <c r="T50" s="33" t="n"/>
      <c r="U50" s="42">
        <f>'S27'!T50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'S27'!M51+L51</f>
        <v/>
      </c>
      <c r="N51" s="31">
        <f>IFERROR(M51/K51,0)</f>
        <v/>
      </c>
      <c r="O51" s="40">
        <f>'S27'!N51</f>
        <v/>
      </c>
      <c r="P51" s="31">
        <f>N51-O51</f>
        <v/>
      </c>
      <c r="Q51" s="32" t="n"/>
      <c r="R51" s="32" t="n"/>
      <c r="S51" s="32" t="n"/>
      <c r="T51" s="33" t="n"/>
      <c r="U51" s="40">
        <f>'S27'!T51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'S27'!M52+L52</f>
        <v/>
      </c>
      <c r="N52" s="36">
        <f>IFERROR(M52/K52,0)</f>
        <v/>
      </c>
      <c r="O52" s="42">
        <f>'S27'!N52</f>
        <v/>
      </c>
      <c r="P52" s="36">
        <f>N52-O52</f>
        <v/>
      </c>
      <c r="Q52" s="32" t="n"/>
      <c r="R52" s="32" t="n"/>
      <c r="S52" s="32" t="n"/>
      <c r="T52" s="33" t="n"/>
      <c r="U52" s="42">
        <f>'S27'!T52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'S27'!M53+L53</f>
        <v/>
      </c>
      <c r="N53" s="31">
        <f>IFERROR(M53/K53,0)</f>
        <v/>
      </c>
      <c r="O53" s="40">
        <f>'S27'!N53</f>
        <v/>
      </c>
      <c r="P53" s="31">
        <f>N53-O53</f>
        <v/>
      </c>
      <c r="Q53" s="32" t="n"/>
      <c r="R53" s="32" t="n"/>
      <c r="S53" s="32" t="n"/>
      <c r="T53" s="33" t="n"/>
      <c r="U53" s="40">
        <f>'S27'!T53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'S27'!M54+L54</f>
        <v/>
      </c>
      <c r="N54" s="36">
        <f>IFERROR(M54/K54,0)</f>
        <v/>
      </c>
      <c r="O54" s="42">
        <f>'S27'!N54</f>
        <v/>
      </c>
      <c r="P54" s="36">
        <f>N54-O54</f>
        <v/>
      </c>
      <c r="Q54" s="32" t="n"/>
      <c r="R54" s="32" t="n"/>
      <c r="S54" s="32" t="n"/>
      <c r="T54" s="33" t="n"/>
      <c r="U54" s="42">
        <f>'S27'!T54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'S27'!M55+L55</f>
        <v/>
      </c>
      <c r="N55" s="31">
        <f>IFERROR(M55/K55,0)</f>
        <v/>
      </c>
      <c r="O55" s="40">
        <f>'S27'!N55</f>
        <v/>
      </c>
      <c r="P55" s="31">
        <f>N55-O55</f>
        <v/>
      </c>
      <c r="Q55" s="32" t="n"/>
      <c r="R55" s="32" t="n"/>
      <c r="S55" s="32" t="n"/>
      <c r="T55" s="33" t="n"/>
      <c r="U55" s="40">
        <f>'S27'!T55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'S27'!M56+L56</f>
        <v/>
      </c>
      <c r="N56" s="36">
        <f>IFERROR(M56/K56,0)</f>
        <v/>
      </c>
      <c r="O56" s="42">
        <f>'S27'!N56</f>
        <v/>
      </c>
      <c r="P56" s="36">
        <f>N56-O56</f>
        <v/>
      </c>
      <c r="Q56" s="32" t="n"/>
      <c r="R56" s="32" t="n"/>
      <c r="S56" s="32" t="n"/>
      <c r="T56" s="33" t="n"/>
      <c r="U56" s="42">
        <f>'S27'!T56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'S27'!M57+L57</f>
        <v/>
      </c>
      <c r="N57" s="31">
        <f>IFERROR(M57/K57,0)</f>
        <v/>
      </c>
      <c r="O57" s="40">
        <f>'S27'!N57</f>
        <v/>
      </c>
      <c r="P57" s="31">
        <f>N57-O57</f>
        <v/>
      </c>
      <c r="Q57" s="32" t="n"/>
      <c r="R57" s="32" t="n"/>
      <c r="S57" s="32" t="n"/>
      <c r="T57" s="33" t="n"/>
      <c r="U57" s="40">
        <f>'S27'!T57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'S27'!M58+L58</f>
        <v/>
      </c>
      <c r="N58" s="36">
        <f>IFERROR(M58/K58,0)</f>
        <v/>
      </c>
      <c r="O58" s="42">
        <f>'S27'!N58</f>
        <v/>
      </c>
      <c r="P58" s="36">
        <f>N58-O58</f>
        <v/>
      </c>
      <c r="Q58" s="32" t="n"/>
      <c r="R58" s="32" t="n"/>
      <c r="S58" s="32" t="n"/>
      <c r="T58" s="33" t="n"/>
      <c r="U58" s="42">
        <f>'S27'!T58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'S27'!M59+L59</f>
        <v/>
      </c>
      <c r="N59" s="31">
        <f>IFERROR(M59/K59,0)</f>
        <v/>
      </c>
      <c r="O59" s="40">
        <f>'S27'!N59</f>
        <v/>
      </c>
      <c r="P59" s="31">
        <f>N59-O59</f>
        <v/>
      </c>
      <c r="Q59" s="32" t="n"/>
      <c r="R59" s="32" t="n"/>
      <c r="S59" s="32" t="n"/>
      <c r="T59" s="33" t="n"/>
      <c r="U59" s="40">
        <f>'S27'!T59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'S27'!M60+L60</f>
        <v/>
      </c>
      <c r="N60" s="36">
        <f>IFERROR(M60/K60,0)</f>
        <v/>
      </c>
      <c r="O60" s="42">
        <f>'S27'!N60</f>
        <v/>
      </c>
      <c r="P60" s="36">
        <f>N60-O60</f>
        <v/>
      </c>
      <c r="Q60" s="32" t="n"/>
      <c r="R60" s="32" t="n"/>
      <c r="S60" s="32" t="n"/>
      <c r="T60" s="33" t="n"/>
      <c r="U60" s="42">
        <f>'S27'!T60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'S27'!M61+L61</f>
        <v/>
      </c>
      <c r="N61" s="31">
        <f>IFERROR(M61/K61,0)</f>
        <v/>
      </c>
      <c r="O61" s="40">
        <f>'S27'!N61</f>
        <v/>
      </c>
      <c r="P61" s="31">
        <f>N61-O61</f>
        <v/>
      </c>
      <c r="Q61" s="32" t="n"/>
      <c r="R61" s="32" t="n"/>
      <c r="S61" s="32" t="n"/>
      <c r="T61" s="33" t="n"/>
      <c r="U61" s="40">
        <f>'S27'!T61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'S27'!M62+L62</f>
        <v/>
      </c>
      <c r="N62" s="36">
        <f>IFERROR(M62/K62,0)</f>
        <v/>
      </c>
      <c r="O62" s="42">
        <f>'S27'!N62</f>
        <v/>
      </c>
      <c r="P62" s="36">
        <f>N62-O62</f>
        <v/>
      </c>
      <c r="Q62" s="32" t="n"/>
      <c r="R62" s="32" t="n"/>
      <c r="S62" s="32" t="n"/>
      <c r="T62" s="33" t="n"/>
      <c r="U62" s="42">
        <f>'S27'!T62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'S27'!M63+L63</f>
        <v/>
      </c>
      <c r="N63" s="31">
        <f>IFERROR(M63/K63,0)</f>
        <v/>
      </c>
      <c r="O63" s="40">
        <f>'S27'!N63</f>
        <v/>
      </c>
      <c r="P63" s="31">
        <f>N63-O63</f>
        <v/>
      </c>
      <c r="Q63" s="32" t="n"/>
      <c r="R63" s="32" t="n"/>
      <c r="S63" s="32" t="n"/>
      <c r="T63" s="33" t="n"/>
      <c r="U63" s="40">
        <f>'S27'!T63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'S27'!M64+L64</f>
        <v/>
      </c>
      <c r="N64" s="36">
        <f>IFERROR(M64/K64,0)</f>
        <v/>
      </c>
      <c r="O64" s="42">
        <f>'S27'!N64</f>
        <v/>
      </c>
      <c r="P64" s="36">
        <f>N64-O64</f>
        <v/>
      </c>
      <c r="Q64" s="32" t="n"/>
      <c r="R64" s="32" t="n"/>
      <c r="S64" s="32" t="n"/>
      <c r="T64" s="33" t="n"/>
      <c r="U64" s="42">
        <f>'S27'!T64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'S27'!M65+L65</f>
        <v/>
      </c>
      <c r="N65" s="31">
        <f>IFERROR(M65/K65,0)</f>
        <v/>
      </c>
      <c r="O65" s="40">
        <f>'S27'!N65</f>
        <v/>
      </c>
      <c r="P65" s="31">
        <f>N65-O65</f>
        <v/>
      </c>
      <c r="Q65" s="32" t="n"/>
      <c r="R65" s="32" t="n"/>
      <c r="S65" s="32" t="n"/>
      <c r="T65" s="33" t="n"/>
      <c r="U65" s="40">
        <f>'S27'!T65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'S27'!M66+L66</f>
        <v/>
      </c>
      <c r="N66" s="36">
        <f>IFERROR(M66/K66,0)</f>
        <v/>
      </c>
      <c r="O66" s="42">
        <f>'S27'!N66</f>
        <v/>
      </c>
      <c r="P66" s="36">
        <f>N66-O66</f>
        <v/>
      </c>
      <c r="Q66" s="32" t="n"/>
      <c r="R66" s="32" t="n"/>
      <c r="S66" s="32" t="n"/>
      <c r="T66" s="33" t="n"/>
      <c r="U66" s="42">
        <f>'S27'!T66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'S27'!M67+L67</f>
        <v/>
      </c>
      <c r="N67" s="31">
        <f>IFERROR(M67/K67,0)</f>
        <v/>
      </c>
      <c r="O67" s="40">
        <f>'S27'!N67</f>
        <v/>
      </c>
      <c r="P67" s="31">
        <f>N67-O67</f>
        <v/>
      </c>
      <c r="Q67" s="32" t="n"/>
      <c r="R67" s="32" t="n"/>
      <c r="S67" s="32" t="n"/>
      <c r="T67" s="33" t="n"/>
      <c r="U67" s="40">
        <f>'S27'!T67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'S27'!M68+L68</f>
        <v/>
      </c>
      <c r="N68" s="36">
        <f>IFERROR(M68/K68,0)</f>
        <v/>
      </c>
      <c r="O68" s="42">
        <f>'S27'!N68</f>
        <v/>
      </c>
      <c r="P68" s="36">
        <f>N68-O68</f>
        <v/>
      </c>
      <c r="Q68" s="32" t="n"/>
      <c r="R68" s="32" t="n"/>
      <c r="S68" s="32" t="n"/>
      <c r="T68" s="33" t="n"/>
      <c r="U68" s="42">
        <f>'S27'!T68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'S27'!M69+L69</f>
        <v/>
      </c>
      <c r="N69" s="31">
        <f>IFERROR(M69/K69,0)</f>
        <v/>
      </c>
      <c r="O69" s="40">
        <f>'S27'!N69</f>
        <v/>
      </c>
      <c r="P69" s="31">
        <f>N69-O69</f>
        <v/>
      </c>
      <c r="Q69" s="32" t="n"/>
      <c r="R69" s="32" t="n"/>
      <c r="S69" s="32" t="n"/>
      <c r="T69" s="33" t="n"/>
      <c r="U69" s="40">
        <f>'S27'!T69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'S27'!M70+L70</f>
        <v/>
      </c>
      <c r="N70" s="36">
        <f>IFERROR(M70/K70,0)</f>
        <v/>
      </c>
      <c r="O70" s="42">
        <f>'S27'!N70</f>
        <v/>
      </c>
      <c r="P70" s="36">
        <f>N70-O70</f>
        <v/>
      </c>
      <c r="Q70" s="32" t="n"/>
      <c r="R70" s="32" t="n"/>
      <c r="S70" s="32" t="n"/>
      <c r="T70" s="33" t="n"/>
      <c r="U70" s="42">
        <f>'S27'!T70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'S27'!M71+L71</f>
        <v/>
      </c>
      <c r="N71" s="31">
        <f>IFERROR(M71/K71,0)</f>
        <v/>
      </c>
      <c r="O71" s="40">
        <f>'S27'!N71</f>
        <v/>
      </c>
      <c r="P71" s="31">
        <f>N71-O71</f>
        <v/>
      </c>
      <c r="Q71" s="32" t="n"/>
      <c r="R71" s="32" t="n"/>
      <c r="S71" s="32" t="n"/>
      <c r="T71" s="33" t="n"/>
      <c r="U71" s="40">
        <f>'S27'!T71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'S27'!M72+L72</f>
        <v/>
      </c>
      <c r="N72" s="36">
        <f>IFERROR(M72/K72,0)</f>
        <v/>
      </c>
      <c r="O72" s="42">
        <f>'S27'!N72</f>
        <v/>
      </c>
      <c r="P72" s="36">
        <f>N72-O72</f>
        <v/>
      </c>
      <c r="Q72" s="32" t="n"/>
      <c r="R72" s="32" t="n"/>
      <c r="S72" s="32" t="n"/>
      <c r="T72" s="33" t="n"/>
      <c r="U72" s="42">
        <f>'S27'!T72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'S27'!M73+L73</f>
        <v/>
      </c>
      <c r="N73" s="31">
        <f>IFERROR(M73/K73,0)</f>
        <v/>
      </c>
      <c r="O73" s="40">
        <f>'S27'!N73</f>
        <v/>
      </c>
      <c r="P73" s="31">
        <f>N73-O73</f>
        <v/>
      </c>
      <c r="Q73" s="32" t="n"/>
      <c r="R73" s="32" t="n"/>
      <c r="S73" s="32" t="n"/>
      <c r="T73" s="33" t="n"/>
      <c r="U73" s="40">
        <f>'S27'!T73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'S27'!M74+L74</f>
        <v/>
      </c>
      <c r="N74" s="36">
        <f>IFERROR(M74/K74,0)</f>
        <v/>
      </c>
      <c r="O74" s="42">
        <f>'S27'!N74</f>
        <v/>
      </c>
      <c r="P74" s="36">
        <f>N74-O74</f>
        <v/>
      </c>
      <c r="Q74" s="32" t="n"/>
      <c r="R74" s="32" t="n"/>
      <c r="S74" s="32" t="n"/>
      <c r="T74" s="33" t="n"/>
      <c r="U74" s="42">
        <f>'S27'!T74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'S27'!M75+L75</f>
        <v/>
      </c>
      <c r="N75" s="31">
        <f>IFERROR(M75/K75,0)</f>
        <v/>
      </c>
      <c r="O75" s="40">
        <f>'S27'!N75</f>
        <v/>
      </c>
      <c r="P75" s="31">
        <f>N75-O75</f>
        <v/>
      </c>
      <c r="Q75" s="32" t="n"/>
      <c r="R75" s="32" t="n"/>
      <c r="S75" s="32" t="n"/>
      <c r="T75" s="33" t="n"/>
      <c r="U75" s="40">
        <f>'S27'!T75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'S27'!M76+L76</f>
        <v/>
      </c>
      <c r="N76" s="36">
        <f>IFERROR(M76/K76,0)</f>
        <v/>
      </c>
      <c r="O76" s="42">
        <f>'S27'!N76</f>
        <v/>
      </c>
      <c r="P76" s="36">
        <f>N76-O76</f>
        <v/>
      </c>
      <c r="Q76" s="32" t="n"/>
      <c r="R76" s="32" t="n"/>
      <c r="S76" s="32" t="n"/>
      <c r="T76" s="33" t="n"/>
      <c r="U76" s="42">
        <f>'S27'!T76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31.xml><?xml version="1.0" encoding="utf-8"?>
<worksheet xmlns="http://schemas.openxmlformats.org/spreadsheetml/2006/main">
  <sheetPr>
    <tabColor rgb="00C55A11"/>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29 (13/07 - 19/07) — Juillet 2026 - Exécution Physique et Financière</t>
        </is>
      </c>
    </row>
    <row r="3" ht="22" customHeight="1">
      <c r="B3" s="20" t="inlineStr">
        <is>
          <t>Date :</t>
        </is>
      </c>
      <c r="C3" s="21" t="n">
        <v>46216</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'S28'!M5+L5</f>
        <v/>
      </c>
      <c r="N5" s="31">
        <f>IFERROR(M5/K5,0)</f>
        <v/>
      </c>
      <c r="O5" s="40">
        <f>'S28'!N5</f>
        <v/>
      </c>
      <c r="P5" s="31">
        <f>N5-O5</f>
        <v/>
      </c>
      <c r="Q5" s="32" t="n"/>
      <c r="R5" s="32" t="n"/>
      <c r="S5" s="32" t="n"/>
      <c r="T5" s="33" t="n"/>
      <c r="U5" s="40">
        <f>'S28'!T5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'S28'!M6+L6</f>
        <v/>
      </c>
      <c r="N6" s="36">
        <f>IFERROR(M6/K6,0)</f>
        <v/>
      </c>
      <c r="O6" s="42">
        <f>'S28'!N6</f>
        <v/>
      </c>
      <c r="P6" s="36">
        <f>N6-O6</f>
        <v/>
      </c>
      <c r="Q6" s="32" t="n"/>
      <c r="R6" s="32" t="n"/>
      <c r="S6" s="32" t="n"/>
      <c r="T6" s="33" t="n"/>
      <c r="U6" s="42">
        <f>'S28'!T6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'S28'!M7+L7</f>
        <v/>
      </c>
      <c r="N7" s="31">
        <f>IFERROR(M7/K7,0)</f>
        <v/>
      </c>
      <c r="O7" s="40">
        <f>'S28'!N7</f>
        <v/>
      </c>
      <c r="P7" s="31">
        <f>N7-O7</f>
        <v/>
      </c>
      <c r="Q7" s="32" t="n"/>
      <c r="R7" s="32" t="n"/>
      <c r="S7" s="32" t="n"/>
      <c r="T7" s="33" t="n"/>
      <c r="U7" s="40">
        <f>'S28'!T7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'S28'!M8+L8</f>
        <v/>
      </c>
      <c r="N8" s="36">
        <f>IFERROR(M8/K8,0)</f>
        <v/>
      </c>
      <c r="O8" s="42">
        <f>'S28'!N8</f>
        <v/>
      </c>
      <c r="P8" s="36">
        <f>N8-O8</f>
        <v/>
      </c>
      <c r="Q8" s="32" t="n"/>
      <c r="R8" s="32" t="n"/>
      <c r="S8" s="32" t="n"/>
      <c r="T8" s="33" t="n"/>
      <c r="U8" s="42">
        <f>'S28'!T8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'S28'!M9+L9</f>
        <v/>
      </c>
      <c r="N9" s="31">
        <f>IFERROR(M9/K9,0)</f>
        <v/>
      </c>
      <c r="O9" s="40">
        <f>'S28'!N9</f>
        <v/>
      </c>
      <c r="P9" s="31">
        <f>N9-O9</f>
        <v/>
      </c>
      <c r="Q9" s="32" t="n"/>
      <c r="R9" s="32" t="n"/>
      <c r="S9" s="32" t="n"/>
      <c r="T9" s="33" t="n"/>
      <c r="U9" s="40">
        <f>'S28'!T9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'S28'!M10+L10</f>
        <v/>
      </c>
      <c r="N10" s="36">
        <f>IFERROR(M10/K10,0)</f>
        <v/>
      </c>
      <c r="O10" s="42">
        <f>'S28'!N10</f>
        <v/>
      </c>
      <c r="P10" s="36">
        <f>N10-O10</f>
        <v/>
      </c>
      <c r="Q10" s="32" t="n"/>
      <c r="R10" s="32" t="n"/>
      <c r="S10" s="32" t="n"/>
      <c r="T10" s="33" t="n"/>
      <c r="U10" s="42">
        <f>'S28'!T10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'S28'!M11+L11</f>
        <v/>
      </c>
      <c r="N11" s="31">
        <f>IFERROR(M11/K11,0)</f>
        <v/>
      </c>
      <c r="O11" s="40">
        <f>'S28'!N11</f>
        <v/>
      </c>
      <c r="P11" s="31">
        <f>N11-O11</f>
        <v/>
      </c>
      <c r="Q11" s="32" t="n"/>
      <c r="R11" s="32" t="n"/>
      <c r="S11" s="32" t="n"/>
      <c r="T11" s="33" t="n"/>
      <c r="U11" s="40">
        <f>'S28'!T11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'S28'!M12+L12</f>
        <v/>
      </c>
      <c r="N12" s="36">
        <f>IFERROR(M12/K12,0)</f>
        <v/>
      </c>
      <c r="O12" s="42">
        <f>'S28'!N12</f>
        <v/>
      </c>
      <c r="P12" s="36">
        <f>N12-O12</f>
        <v/>
      </c>
      <c r="Q12" s="32" t="n"/>
      <c r="R12" s="32" t="n"/>
      <c r="S12" s="32" t="n"/>
      <c r="T12" s="33" t="n"/>
      <c r="U12" s="42">
        <f>'S28'!T12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'S28'!M13+L13</f>
        <v/>
      </c>
      <c r="N13" s="31">
        <f>IFERROR(M13/K13,0)</f>
        <v/>
      </c>
      <c r="O13" s="40">
        <f>'S28'!N13</f>
        <v/>
      </c>
      <c r="P13" s="31">
        <f>N13-O13</f>
        <v/>
      </c>
      <c r="Q13" s="32" t="n"/>
      <c r="R13" s="32" t="n"/>
      <c r="S13" s="32" t="n"/>
      <c r="T13" s="33" t="n"/>
      <c r="U13" s="40">
        <f>'S28'!T13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'S28'!M14+L14</f>
        <v/>
      </c>
      <c r="N14" s="36">
        <f>IFERROR(M14/K14,0)</f>
        <v/>
      </c>
      <c r="O14" s="42">
        <f>'S28'!N14</f>
        <v/>
      </c>
      <c r="P14" s="36">
        <f>N14-O14</f>
        <v/>
      </c>
      <c r="Q14" s="32" t="n"/>
      <c r="R14" s="32" t="n"/>
      <c r="S14" s="32" t="n"/>
      <c r="T14" s="33" t="n"/>
      <c r="U14" s="42">
        <f>'S28'!T14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'S28'!M15+L15</f>
        <v/>
      </c>
      <c r="N15" s="31">
        <f>IFERROR(M15/K15,0)</f>
        <v/>
      </c>
      <c r="O15" s="40">
        <f>'S28'!N15</f>
        <v/>
      </c>
      <c r="P15" s="31">
        <f>N15-O15</f>
        <v/>
      </c>
      <c r="Q15" s="32" t="n"/>
      <c r="R15" s="32" t="n"/>
      <c r="S15" s="32" t="n"/>
      <c r="T15" s="33" t="n"/>
      <c r="U15" s="40">
        <f>'S28'!T15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'S28'!M16+L16</f>
        <v/>
      </c>
      <c r="N16" s="36">
        <f>IFERROR(M16/K16,0)</f>
        <v/>
      </c>
      <c r="O16" s="42">
        <f>'S28'!N16</f>
        <v/>
      </c>
      <c r="P16" s="36">
        <f>N16-O16</f>
        <v/>
      </c>
      <c r="Q16" s="32" t="n"/>
      <c r="R16" s="32" t="n"/>
      <c r="S16" s="32" t="n"/>
      <c r="T16" s="33" t="n"/>
      <c r="U16" s="42">
        <f>'S28'!T16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'S28'!M17+L17</f>
        <v/>
      </c>
      <c r="N17" s="31">
        <f>IFERROR(M17/K17,0)</f>
        <v/>
      </c>
      <c r="O17" s="40">
        <f>'S28'!N17</f>
        <v/>
      </c>
      <c r="P17" s="31">
        <f>N17-O17</f>
        <v/>
      </c>
      <c r="Q17" s="32" t="n"/>
      <c r="R17" s="32" t="n"/>
      <c r="S17" s="32" t="n"/>
      <c r="T17" s="33" t="n"/>
      <c r="U17" s="40">
        <f>'S28'!T17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'S28'!M18+L18</f>
        <v/>
      </c>
      <c r="N18" s="36">
        <f>IFERROR(M18/K18,0)</f>
        <v/>
      </c>
      <c r="O18" s="42">
        <f>'S28'!N18</f>
        <v/>
      </c>
      <c r="P18" s="36">
        <f>N18-O18</f>
        <v/>
      </c>
      <c r="Q18" s="32" t="n"/>
      <c r="R18" s="32" t="n"/>
      <c r="S18" s="32" t="n"/>
      <c r="T18" s="33" t="n"/>
      <c r="U18" s="42">
        <f>'S28'!T18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'S28'!M19+L19</f>
        <v/>
      </c>
      <c r="N19" s="31">
        <f>IFERROR(M19/K19,0)</f>
        <v/>
      </c>
      <c r="O19" s="40">
        <f>'S28'!N19</f>
        <v/>
      </c>
      <c r="P19" s="31">
        <f>N19-O19</f>
        <v/>
      </c>
      <c r="Q19" s="32" t="n"/>
      <c r="R19" s="32" t="n"/>
      <c r="S19" s="32" t="n"/>
      <c r="T19" s="33" t="n"/>
      <c r="U19" s="40">
        <f>'S28'!T19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'S28'!M20+L20</f>
        <v/>
      </c>
      <c r="N20" s="36">
        <f>IFERROR(M20/K20,0)</f>
        <v/>
      </c>
      <c r="O20" s="42">
        <f>'S28'!N20</f>
        <v/>
      </c>
      <c r="P20" s="36">
        <f>N20-O20</f>
        <v/>
      </c>
      <c r="Q20" s="32" t="n"/>
      <c r="R20" s="32" t="n"/>
      <c r="S20" s="32" t="n"/>
      <c r="T20" s="33" t="n"/>
      <c r="U20" s="42">
        <f>'S28'!T20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'S28'!M21+L21</f>
        <v/>
      </c>
      <c r="N21" s="31">
        <f>IFERROR(M21/K21,0)</f>
        <v/>
      </c>
      <c r="O21" s="40">
        <f>'S28'!N21</f>
        <v/>
      </c>
      <c r="P21" s="31">
        <f>N21-O21</f>
        <v/>
      </c>
      <c r="Q21" s="32" t="n"/>
      <c r="R21" s="32" t="n"/>
      <c r="S21" s="32" t="n"/>
      <c r="T21" s="33" t="n"/>
      <c r="U21" s="40">
        <f>'S28'!T21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'S28'!M22+L22</f>
        <v/>
      </c>
      <c r="N22" s="36">
        <f>IFERROR(M22/K22,0)</f>
        <v/>
      </c>
      <c r="O22" s="42">
        <f>'S28'!N22</f>
        <v/>
      </c>
      <c r="P22" s="36">
        <f>N22-O22</f>
        <v/>
      </c>
      <c r="Q22" s="32" t="n"/>
      <c r="R22" s="32" t="n"/>
      <c r="S22" s="32" t="n"/>
      <c r="T22" s="33" t="n"/>
      <c r="U22" s="42">
        <f>'S28'!T22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'S28'!M23+L23</f>
        <v/>
      </c>
      <c r="N23" s="31">
        <f>IFERROR(M23/K23,0)</f>
        <v/>
      </c>
      <c r="O23" s="40">
        <f>'S28'!N23</f>
        <v/>
      </c>
      <c r="P23" s="31">
        <f>N23-O23</f>
        <v/>
      </c>
      <c r="Q23" s="32" t="n"/>
      <c r="R23" s="32" t="n"/>
      <c r="S23" s="32" t="n"/>
      <c r="T23" s="33" t="n"/>
      <c r="U23" s="40">
        <f>'S28'!T23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'S28'!M24+L24</f>
        <v/>
      </c>
      <c r="N24" s="36">
        <f>IFERROR(M24/K24,0)</f>
        <v/>
      </c>
      <c r="O24" s="42">
        <f>'S28'!N24</f>
        <v/>
      </c>
      <c r="P24" s="36">
        <f>N24-O24</f>
        <v/>
      </c>
      <c r="Q24" s="32" t="n"/>
      <c r="R24" s="32" t="n"/>
      <c r="S24" s="32" t="n"/>
      <c r="T24" s="33" t="n"/>
      <c r="U24" s="42">
        <f>'S28'!T24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'S28'!M25+L25</f>
        <v/>
      </c>
      <c r="N25" s="31">
        <f>IFERROR(M25/K25,0)</f>
        <v/>
      </c>
      <c r="O25" s="40">
        <f>'S28'!N25</f>
        <v/>
      </c>
      <c r="P25" s="31">
        <f>N25-O25</f>
        <v/>
      </c>
      <c r="Q25" s="32" t="n"/>
      <c r="R25" s="32" t="n"/>
      <c r="S25" s="32" t="n"/>
      <c r="T25" s="33" t="n"/>
      <c r="U25" s="40">
        <f>'S28'!T25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'S28'!M26+L26</f>
        <v/>
      </c>
      <c r="N26" s="36">
        <f>IFERROR(M26/K26,0)</f>
        <v/>
      </c>
      <c r="O26" s="42">
        <f>'S28'!N26</f>
        <v/>
      </c>
      <c r="P26" s="36">
        <f>N26-O26</f>
        <v/>
      </c>
      <c r="Q26" s="32" t="n"/>
      <c r="R26" s="32" t="n"/>
      <c r="S26" s="32" t="n"/>
      <c r="T26" s="33" t="n"/>
      <c r="U26" s="42">
        <f>'S28'!T26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'S28'!M27+L27</f>
        <v/>
      </c>
      <c r="N27" s="31">
        <f>IFERROR(M27/K27,0)</f>
        <v/>
      </c>
      <c r="O27" s="40">
        <f>'S28'!N27</f>
        <v/>
      </c>
      <c r="P27" s="31">
        <f>N27-O27</f>
        <v/>
      </c>
      <c r="Q27" s="32" t="n"/>
      <c r="R27" s="32" t="n"/>
      <c r="S27" s="32" t="n"/>
      <c r="T27" s="33" t="n"/>
      <c r="U27" s="40">
        <f>'S28'!T27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'S28'!M28+L28</f>
        <v/>
      </c>
      <c r="N28" s="36">
        <f>IFERROR(M28/K28,0)</f>
        <v/>
      </c>
      <c r="O28" s="42">
        <f>'S28'!N28</f>
        <v/>
      </c>
      <c r="P28" s="36">
        <f>N28-O28</f>
        <v/>
      </c>
      <c r="Q28" s="32" t="n"/>
      <c r="R28" s="32" t="n"/>
      <c r="S28" s="32" t="n"/>
      <c r="T28" s="33" t="n"/>
      <c r="U28" s="42">
        <f>'S28'!T28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'S28'!M29+L29</f>
        <v/>
      </c>
      <c r="N29" s="31">
        <f>IFERROR(M29/K29,0)</f>
        <v/>
      </c>
      <c r="O29" s="40">
        <f>'S28'!N29</f>
        <v/>
      </c>
      <c r="P29" s="31">
        <f>N29-O29</f>
        <v/>
      </c>
      <c r="Q29" s="32" t="n"/>
      <c r="R29" s="32" t="n"/>
      <c r="S29" s="32" t="n"/>
      <c r="T29" s="33" t="n"/>
      <c r="U29" s="40">
        <f>'S28'!T29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'S28'!M30+L30</f>
        <v/>
      </c>
      <c r="N30" s="36">
        <f>IFERROR(M30/K30,0)</f>
        <v/>
      </c>
      <c r="O30" s="42">
        <f>'S28'!N30</f>
        <v/>
      </c>
      <c r="P30" s="36">
        <f>N30-O30</f>
        <v/>
      </c>
      <c r="Q30" s="32" t="n"/>
      <c r="R30" s="32" t="n"/>
      <c r="S30" s="32" t="n"/>
      <c r="T30" s="33" t="n"/>
      <c r="U30" s="42">
        <f>'S28'!T30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'S28'!M31+L31</f>
        <v/>
      </c>
      <c r="N31" s="31">
        <f>IFERROR(M31/K31,0)</f>
        <v/>
      </c>
      <c r="O31" s="40">
        <f>'S28'!N31</f>
        <v/>
      </c>
      <c r="P31" s="31">
        <f>N31-O31</f>
        <v/>
      </c>
      <c r="Q31" s="32" t="n"/>
      <c r="R31" s="32" t="n"/>
      <c r="S31" s="32" t="n"/>
      <c r="T31" s="33" t="n"/>
      <c r="U31" s="40">
        <f>'S28'!T31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'S28'!M32+L32</f>
        <v/>
      </c>
      <c r="N32" s="36">
        <f>IFERROR(M32/K32,0)</f>
        <v/>
      </c>
      <c r="O32" s="42">
        <f>'S28'!N32</f>
        <v/>
      </c>
      <c r="P32" s="36">
        <f>N32-O32</f>
        <v/>
      </c>
      <c r="Q32" s="32" t="n"/>
      <c r="R32" s="32" t="n"/>
      <c r="S32" s="32" t="n"/>
      <c r="T32" s="33" t="n"/>
      <c r="U32" s="42">
        <f>'S28'!T32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'S28'!M33+L33</f>
        <v/>
      </c>
      <c r="N33" s="31">
        <f>IFERROR(M33/K33,0)</f>
        <v/>
      </c>
      <c r="O33" s="40">
        <f>'S28'!N33</f>
        <v/>
      </c>
      <c r="P33" s="31">
        <f>N33-O33</f>
        <v/>
      </c>
      <c r="Q33" s="32" t="n"/>
      <c r="R33" s="32" t="n"/>
      <c r="S33" s="32" t="n"/>
      <c r="T33" s="33" t="n"/>
      <c r="U33" s="40">
        <f>'S28'!T33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'S28'!M34+L34</f>
        <v/>
      </c>
      <c r="N34" s="36">
        <f>IFERROR(M34/K34,0)</f>
        <v/>
      </c>
      <c r="O34" s="42">
        <f>'S28'!N34</f>
        <v/>
      </c>
      <c r="P34" s="36">
        <f>N34-O34</f>
        <v/>
      </c>
      <c r="Q34" s="32" t="n"/>
      <c r="R34" s="32" t="n"/>
      <c r="S34" s="32" t="n"/>
      <c r="T34" s="33" t="n"/>
      <c r="U34" s="42">
        <f>'S28'!T34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'S28'!M35+L35</f>
        <v/>
      </c>
      <c r="N35" s="31">
        <f>IFERROR(M35/K35,0)</f>
        <v/>
      </c>
      <c r="O35" s="40">
        <f>'S28'!N35</f>
        <v/>
      </c>
      <c r="P35" s="31">
        <f>N35-O35</f>
        <v/>
      </c>
      <c r="Q35" s="32" t="n"/>
      <c r="R35" s="32" t="n"/>
      <c r="S35" s="32" t="n"/>
      <c r="T35" s="33" t="n"/>
      <c r="U35" s="40">
        <f>'S28'!T35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'S28'!M36+L36</f>
        <v/>
      </c>
      <c r="N36" s="36">
        <f>IFERROR(M36/K36,0)</f>
        <v/>
      </c>
      <c r="O36" s="42">
        <f>'S28'!N36</f>
        <v/>
      </c>
      <c r="P36" s="36">
        <f>N36-O36</f>
        <v/>
      </c>
      <c r="Q36" s="32" t="n"/>
      <c r="R36" s="32" t="n"/>
      <c r="S36" s="32" t="n"/>
      <c r="T36" s="33" t="n"/>
      <c r="U36" s="42">
        <f>'S28'!T36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'S28'!M37+L37</f>
        <v/>
      </c>
      <c r="N37" s="31">
        <f>IFERROR(M37/K37,0)</f>
        <v/>
      </c>
      <c r="O37" s="40">
        <f>'S28'!N37</f>
        <v/>
      </c>
      <c r="P37" s="31">
        <f>N37-O37</f>
        <v/>
      </c>
      <c r="Q37" s="32" t="n"/>
      <c r="R37" s="32" t="n"/>
      <c r="S37" s="32" t="n"/>
      <c r="T37" s="33" t="n"/>
      <c r="U37" s="40">
        <f>'S28'!T37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'S28'!M38+L38</f>
        <v/>
      </c>
      <c r="N38" s="36">
        <f>IFERROR(M38/K38,0)</f>
        <v/>
      </c>
      <c r="O38" s="42">
        <f>'S28'!N38</f>
        <v/>
      </c>
      <c r="P38" s="36">
        <f>N38-O38</f>
        <v/>
      </c>
      <c r="Q38" s="32" t="n"/>
      <c r="R38" s="32" t="n"/>
      <c r="S38" s="32" t="n"/>
      <c r="T38" s="33" t="n"/>
      <c r="U38" s="42">
        <f>'S28'!T38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'S28'!M39+L39</f>
        <v/>
      </c>
      <c r="N39" s="31">
        <f>IFERROR(M39/K39,0)</f>
        <v/>
      </c>
      <c r="O39" s="40">
        <f>'S28'!N39</f>
        <v/>
      </c>
      <c r="P39" s="31">
        <f>N39-O39</f>
        <v/>
      </c>
      <c r="Q39" s="32" t="n"/>
      <c r="R39" s="32" t="n"/>
      <c r="S39" s="32" t="n"/>
      <c r="T39" s="33" t="n"/>
      <c r="U39" s="40">
        <f>'S28'!T39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'S28'!M40+L40</f>
        <v/>
      </c>
      <c r="N40" s="36">
        <f>IFERROR(M40/K40,0)</f>
        <v/>
      </c>
      <c r="O40" s="42">
        <f>'S28'!N40</f>
        <v/>
      </c>
      <c r="P40" s="36">
        <f>N40-O40</f>
        <v/>
      </c>
      <c r="Q40" s="32" t="n"/>
      <c r="R40" s="32" t="n"/>
      <c r="S40" s="32" t="n"/>
      <c r="T40" s="33" t="n"/>
      <c r="U40" s="42">
        <f>'S28'!T40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'S28'!M41+L41</f>
        <v/>
      </c>
      <c r="N41" s="31">
        <f>IFERROR(M41/K41,0)</f>
        <v/>
      </c>
      <c r="O41" s="40">
        <f>'S28'!N41</f>
        <v/>
      </c>
      <c r="P41" s="31">
        <f>N41-O41</f>
        <v/>
      </c>
      <c r="Q41" s="32" t="n"/>
      <c r="R41" s="32" t="n"/>
      <c r="S41" s="32" t="n"/>
      <c r="T41" s="33" t="n"/>
      <c r="U41" s="40">
        <f>'S28'!T41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'S28'!M42+L42</f>
        <v/>
      </c>
      <c r="N42" s="36">
        <f>IFERROR(M42/K42,0)</f>
        <v/>
      </c>
      <c r="O42" s="42">
        <f>'S28'!N42</f>
        <v/>
      </c>
      <c r="P42" s="36">
        <f>N42-O42</f>
        <v/>
      </c>
      <c r="Q42" s="32" t="n"/>
      <c r="R42" s="32" t="n"/>
      <c r="S42" s="32" t="n"/>
      <c r="T42" s="33" t="n"/>
      <c r="U42" s="42">
        <f>'S28'!T42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'S28'!M43+L43</f>
        <v/>
      </c>
      <c r="N43" s="31">
        <f>IFERROR(M43/K43,0)</f>
        <v/>
      </c>
      <c r="O43" s="40">
        <f>'S28'!N43</f>
        <v/>
      </c>
      <c r="P43" s="31">
        <f>N43-O43</f>
        <v/>
      </c>
      <c r="Q43" s="32" t="n"/>
      <c r="R43" s="32" t="n"/>
      <c r="S43" s="32" t="n"/>
      <c r="T43" s="33" t="n"/>
      <c r="U43" s="40">
        <f>'S28'!T43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'S28'!M44+L44</f>
        <v/>
      </c>
      <c r="N44" s="36">
        <f>IFERROR(M44/K44,0)</f>
        <v/>
      </c>
      <c r="O44" s="42">
        <f>'S28'!N44</f>
        <v/>
      </c>
      <c r="P44" s="36">
        <f>N44-O44</f>
        <v/>
      </c>
      <c r="Q44" s="32" t="n"/>
      <c r="R44" s="32" t="n"/>
      <c r="S44" s="32" t="n"/>
      <c r="T44" s="33" t="n"/>
      <c r="U44" s="42">
        <f>'S28'!T44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'S28'!M45+L45</f>
        <v/>
      </c>
      <c r="N45" s="31">
        <f>IFERROR(M45/K45,0)</f>
        <v/>
      </c>
      <c r="O45" s="40">
        <f>'S28'!N45</f>
        <v/>
      </c>
      <c r="P45" s="31">
        <f>N45-O45</f>
        <v/>
      </c>
      <c r="Q45" s="32" t="n"/>
      <c r="R45" s="32" t="n"/>
      <c r="S45" s="32" t="n"/>
      <c r="T45" s="33" t="n"/>
      <c r="U45" s="40">
        <f>'S28'!T45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'S28'!M46+L46</f>
        <v/>
      </c>
      <c r="N46" s="36">
        <f>IFERROR(M46/K46,0)</f>
        <v/>
      </c>
      <c r="O46" s="42">
        <f>'S28'!N46</f>
        <v/>
      </c>
      <c r="P46" s="36">
        <f>N46-O46</f>
        <v/>
      </c>
      <c r="Q46" s="32" t="n"/>
      <c r="R46" s="32" t="n"/>
      <c r="S46" s="32" t="n"/>
      <c r="T46" s="33" t="n"/>
      <c r="U46" s="42">
        <f>'S28'!T46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'S28'!M47+L47</f>
        <v/>
      </c>
      <c r="N47" s="31">
        <f>IFERROR(M47/K47,0)</f>
        <v/>
      </c>
      <c r="O47" s="40">
        <f>'S28'!N47</f>
        <v/>
      </c>
      <c r="P47" s="31">
        <f>N47-O47</f>
        <v/>
      </c>
      <c r="Q47" s="32" t="n"/>
      <c r="R47" s="32" t="n"/>
      <c r="S47" s="32" t="n"/>
      <c r="T47" s="33" t="n"/>
      <c r="U47" s="40">
        <f>'S28'!T47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'S28'!M48+L48</f>
        <v/>
      </c>
      <c r="N48" s="36">
        <f>IFERROR(M48/K48,0)</f>
        <v/>
      </c>
      <c r="O48" s="42">
        <f>'S28'!N48</f>
        <v/>
      </c>
      <c r="P48" s="36">
        <f>N48-O48</f>
        <v/>
      </c>
      <c r="Q48" s="32" t="n"/>
      <c r="R48" s="32" t="n"/>
      <c r="S48" s="32" t="n"/>
      <c r="T48" s="33" t="n"/>
      <c r="U48" s="42">
        <f>'S28'!T48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'S28'!M49+L49</f>
        <v/>
      </c>
      <c r="N49" s="31">
        <f>IFERROR(M49/K49,0)</f>
        <v/>
      </c>
      <c r="O49" s="40">
        <f>'S28'!N49</f>
        <v/>
      </c>
      <c r="P49" s="31">
        <f>N49-O49</f>
        <v/>
      </c>
      <c r="Q49" s="32" t="n"/>
      <c r="R49" s="32" t="n"/>
      <c r="S49" s="32" t="n"/>
      <c r="T49" s="33" t="n"/>
      <c r="U49" s="40">
        <f>'S28'!T49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'S28'!M50+L50</f>
        <v/>
      </c>
      <c r="N50" s="36">
        <f>IFERROR(M50/K50,0)</f>
        <v/>
      </c>
      <c r="O50" s="42">
        <f>'S28'!N50</f>
        <v/>
      </c>
      <c r="P50" s="36">
        <f>N50-O50</f>
        <v/>
      </c>
      <c r="Q50" s="32" t="n"/>
      <c r="R50" s="32" t="n"/>
      <c r="S50" s="32" t="n"/>
      <c r="T50" s="33" t="n"/>
      <c r="U50" s="42">
        <f>'S28'!T50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'S28'!M51+L51</f>
        <v/>
      </c>
      <c r="N51" s="31">
        <f>IFERROR(M51/K51,0)</f>
        <v/>
      </c>
      <c r="O51" s="40">
        <f>'S28'!N51</f>
        <v/>
      </c>
      <c r="P51" s="31">
        <f>N51-O51</f>
        <v/>
      </c>
      <c r="Q51" s="32" t="n"/>
      <c r="R51" s="32" t="n"/>
      <c r="S51" s="32" t="n"/>
      <c r="T51" s="33" t="n"/>
      <c r="U51" s="40">
        <f>'S28'!T51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'S28'!M52+L52</f>
        <v/>
      </c>
      <c r="N52" s="36">
        <f>IFERROR(M52/K52,0)</f>
        <v/>
      </c>
      <c r="O52" s="42">
        <f>'S28'!N52</f>
        <v/>
      </c>
      <c r="P52" s="36">
        <f>N52-O52</f>
        <v/>
      </c>
      <c r="Q52" s="32" t="n"/>
      <c r="R52" s="32" t="n"/>
      <c r="S52" s="32" t="n"/>
      <c r="T52" s="33" t="n"/>
      <c r="U52" s="42">
        <f>'S28'!T52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'S28'!M53+L53</f>
        <v/>
      </c>
      <c r="N53" s="31">
        <f>IFERROR(M53/K53,0)</f>
        <v/>
      </c>
      <c r="O53" s="40">
        <f>'S28'!N53</f>
        <v/>
      </c>
      <c r="P53" s="31">
        <f>N53-O53</f>
        <v/>
      </c>
      <c r="Q53" s="32" t="n"/>
      <c r="R53" s="32" t="n"/>
      <c r="S53" s="32" t="n"/>
      <c r="T53" s="33" t="n"/>
      <c r="U53" s="40">
        <f>'S28'!T53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'S28'!M54+L54</f>
        <v/>
      </c>
      <c r="N54" s="36">
        <f>IFERROR(M54/K54,0)</f>
        <v/>
      </c>
      <c r="O54" s="42">
        <f>'S28'!N54</f>
        <v/>
      </c>
      <c r="P54" s="36">
        <f>N54-O54</f>
        <v/>
      </c>
      <c r="Q54" s="32" t="n"/>
      <c r="R54" s="32" t="n"/>
      <c r="S54" s="32" t="n"/>
      <c r="T54" s="33" t="n"/>
      <c r="U54" s="42">
        <f>'S28'!T54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'S28'!M55+L55</f>
        <v/>
      </c>
      <c r="N55" s="31">
        <f>IFERROR(M55/K55,0)</f>
        <v/>
      </c>
      <c r="O55" s="40">
        <f>'S28'!N55</f>
        <v/>
      </c>
      <c r="P55" s="31">
        <f>N55-O55</f>
        <v/>
      </c>
      <c r="Q55" s="32" t="n"/>
      <c r="R55" s="32" t="n"/>
      <c r="S55" s="32" t="n"/>
      <c r="T55" s="33" t="n"/>
      <c r="U55" s="40">
        <f>'S28'!T55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'S28'!M56+L56</f>
        <v/>
      </c>
      <c r="N56" s="36">
        <f>IFERROR(M56/K56,0)</f>
        <v/>
      </c>
      <c r="O56" s="42">
        <f>'S28'!N56</f>
        <v/>
      </c>
      <c r="P56" s="36">
        <f>N56-O56</f>
        <v/>
      </c>
      <c r="Q56" s="32" t="n"/>
      <c r="R56" s="32" t="n"/>
      <c r="S56" s="32" t="n"/>
      <c r="T56" s="33" t="n"/>
      <c r="U56" s="42">
        <f>'S28'!T56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'S28'!M57+L57</f>
        <v/>
      </c>
      <c r="N57" s="31">
        <f>IFERROR(M57/K57,0)</f>
        <v/>
      </c>
      <c r="O57" s="40">
        <f>'S28'!N57</f>
        <v/>
      </c>
      <c r="P57" s="31">
        <f>N57-O57</f>
        <v/>
      </c>
      <c r="Q57" s="32" t="n"/>
      <c r="R57" s="32" t="n"/>
      <c r="S57" s="32" t="n"/>
      <c r="T57" s="33" t="n"/>
      <c r="U57" s="40">
        <f>'S28'!T57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'S28'!M58+L58</f>
        <v/>
      </c>
      <c r="N58" s="36">
        <f>IFERROR(M58/K58,0)</f>
        <v/>
      </c>
      <c r="O58" s="42">
        <f>'S28'!N58</f>
        <v/>
      </c>
      <c r="P58" s="36">
        <f>N58-O58</f>
        <v/>
      </c>
      <c r="Q58" s="32" t="n"/>
      <c r="R58" s="32" t="n"/>
      <c r="S58" s="32" t="n"/>
      <c r="T58" s="33" t="n"/>
      <c r="U58" s="42">
        <f>'S28'!T58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'S28'!M59+L59</f>
        <v/>
      </c>
      <c r="N59" s="31">
        <f>IFERROR(M59/K59,0)</f>
        <v/>
      </c>
      <c r="O59" s="40">
        <f>'S28'!N59</f>
        <v/>
      </c>
      <c r="P59" s="31">
        <f>N59-O59</f>
        <v/>
      </c>
      <c r="Q59" s="32" t="n"/>
      <c r="R59" s="32" t="n"/>
      <c r="S59" s="32" t="n"/>
      <c r="T59" s="33" t="n"/>
      <c r="U59" s="40">
        <f>'S28'!T59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'S28'!M60+L60</f>
        <v/>
      </c>
      <c r="N60" s="36">
        <f>IFERROR(M60/K60,0)</f>
        <v/>
      </c>
      <c r="O60" s="42">
        <f>'S28'!N60</f>
        <v/>
      </c>
      <c r="P60" s="36">
        <f>N60-O60</f>
        <v/>
      </c>
      <c r="Q60" s="32" t="n"/>
      <c r="R60" s="32" t="n"/>
      <c r="S60" s="32" t="n"/>
      <c r="T60" s="33" t="n"/>
      <c r="U60" s="42">
        <f>'S28'!T60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'S28'!M61+L61</f>
        <v/>
      </c>
      <c r="N61" s="31">
        <f>IFERROR(M61/K61,0)</f>
        <v/>
      </c>
      <c r="O61" s="40">
        <f>'S28'!N61</f>
        <v/>
      </c>
      <c r="P61" s="31">
        <f>N61-O61</f>
        <v/>
      </c>
      <c r="Q61" s="32" t="n"/>
      <c r="R61" s="32" t="n"/>
      <c r="S61" s="32" t="n"/>
      <c r="T61" s="33" t="n"/>
      <c r="U61" s="40">
        <f>'S28'!T61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'S28'!M62+L62</f>
        <v/>
      </c>
      <c r="N62" s="36">
        <f>IFERROR(M62/K62,0)</f>
        <v/>
      </c>
      <c r="O62" s="42">
        <f>'S28'!N62</f>
        <v/>
      </c>
      <c r="P62" s="36">
        <f>N62-O62</f>
        <v/>
      </c>
      <c r="Q62" s="32" t="n"/>
      <c r="R62" s="32" t="n"/>
      <c r="S62" s="32" t="n"/>
      <c r="T62" s="33" t="n"/>
      <c r="U62" s="42">
        <f>'S28'!T62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'S28'!M63+L63</f>
        <v/>
      </c>
      <c r="N63" s="31">
        <f>IFERROR(M63/K63,0)</f>
        <v/>
      </c>
      <c r="O63" s="40">
        <f>'S28'!N63</f>
        <v/>
      </c>
      <c r="P63" s="31">
        <f>N63-O63</f>
        <v/>
      </c>
      <c r="Q63" s="32" t="n"/>
      <c r="R63" s="32" t="n"/>
      <c r="S63" s="32" t="n"/>
      <c r="T63" s="33" t="n"/>
      <c r="U63" s="40">
        <f>'S28'!T63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'S28'!M64+L64</f>
        <v/>
      </c>
      <c r="N64" s="36">
        <f>IFERROR(M64/K64,0)</f>
        <v/>
      </c>
      <c r="O64" s="42">
        <f>'S28'!N64</f>
        <v/>
      </c>
      <c r="P64" s="36">
        <f>N64-O64</f>
        <v/>
      </c>
      <c r="Q64" s="32" t="n"/>
      <c r="R64" s="32" t="n"/>
      <c r="S64" s="32" t="n"/>
      <c r="T64" s="33" t="n"/>
      <c r="U64" s="42">
        <f>'S28'!T64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'S28'!M65+L65</f>
        <v/>
      </c>
      <c r="N65" s="31">
        <f>IFERROR(M65/K65,0)</f>
        <v/>
      </c>
      <c r="O65" s="40">
        <f>'S28'!N65</f>
        <v/>
      </c>
      <c r="P65" s="31">
        <f>N65-O65</f>
        <v/>
      </c>
      <c r="Q65" s="32" t="n"/>
      <c r="R65" s="32" t="n"/>
      <c r="S65" s="32" t="n"/>
      <c r="T65" s="33" t="n"/>
      <c r="U65" s="40">
        <f>'S28'!T65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'S28'!M66+L66</f>
        <v/>
      </c>
      <c r="N66" s="36">
        <f>IFERROR(M66/K66,0)</f>
        <v/>
      </c>
      <c r="O66" s="42">
        <f>'S28'!N66</f>
        <v/>
      </c>
      <c r="P66" s="36">
        <f>N66-O66</f>
        <v/>
      </c>
      <c r="Q66" s="32" t="n"/>
      <c r="R66" s="32" t="n"/>
      <c r="S66" s="32" t="n"/>
      <c r="T66" s="33" t="n"/>
      <c r="U66" s="42">
        <f>'S28'!T66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'S28'!M67+L67</f>
        <v/>
      </c>
      <c r="N67" s="31">
        <f>IFERROR(M67/K67,0)</f>
        <v/>
      </c>
      <c r="O67" s="40">
        <f>'S28'!N67</f>
        <v/>
      </c>
      <c r="P67" s="31">
        <f>N67-O67</f>
        <v/>
      </c>
      <c r="Q67" s="32" t="n"/>
      <c r="R67" s="32" t="n"/>
      <c r="S67" s="32" t="n"/>
      <c r="T67" s="33" t="n"/>
      <c r="U67" s="40">
        <f>'S28'!T67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'S28'!M68+L68</f>
        <v/>
      </c>
      <c r="N68" s="36">
        <f>IFERROR(M68/K68,0)</f>
        <v/>
      </c>
      <c r="O68" s="42">
        <f>'S28'!N68</f>
        <v/>
      </c>
      <c r="P68" s="36">
        <f>N68-O68</f>
        <v/>
      </c>
      <c r="Q68" s="32" t="n"/>
      <c r="R68" s="32" t="n"/>
      <c r="S68" s="32" t="n"/>
      <c r="T68" s="33" t="n"/>
      <c r="U68" s="42">
        <f>'S28'!T68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'S28'!M69+L69</f>
        <v/>
      </c>
      <c r="N69" s="31">
        <f>IFERROR(M69/K69,0)</f>
        <v/>
      </c>
      <c r="O69" s="40">
        <f>'S28'!N69</f>
        <v/>
      </c>
      <c r="P69" s="31">
        <f>N69-O69</f>
        <v/>
      </c>
      <c r="Q69" s="32" t="n"/>
      <c r="R69" s="32" t="n"/>
      <c r="S69" s="32" t="n"/>
      <c r="T69" s="33" t="n"/>
      <c r="U69" s="40">
        <f>'S28'!T69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'S28'!M70+L70</f>
        <v/>
      </c>
      <c r="N70" s="36">
        <f>IFERROR(M70/K70,0)</f>
        <v/>
      </c>
      <c r="O70" s="42">
        <f>'S28'!N70</f>
        <v/>
      </c>
      <c r="P70" s="36">
        <f>N70-O70</f>
        <v/>
      </c>
      <c r="Q70" s="32" t="n"/>
      <c r="R70" s="32" t="n"/>
      <c r="S70" s="32" t="n"/>
      <c r="T70" s="33" t="n"/>
      <c r="U70" s="42">
        <f>'S28'!T70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'S28'!M71+L71</f>
        <v/>
      </c>
      <c r="N71" s="31">
        <f>IFERROR(M71/K71,0)</f>
        <v/>
      </c>
      <c r="O71" s="40">
        <f>'S28'!N71</f>
        <v/>
      </c>
      <c r="P71" s="31">
        <f>N71-O71</f>
        <v/>
      </c>
      <c r="Q71" s="32" t="n"/>
      <c r="R71" s="32" t="n"/>
      <c r="S71" s="32" t="n"/>
      <c r="T71" s="33" t="n"/>
      <c r="U71" s="40">
        <f>'S28'!T71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'S28'!M72+L72</f>
        <v/>
      </c>
      <c r="N72" s="36">
        <f>IFERROR(M72/K72,0)</f>
        <v/>
      </c>
      <c r="O72" s="42">
        <f>'S28'!N72</f>
        <v/>
      </c>
      <c r="P72" s="36">
        <f>N72-O72</f>
        <v/>
      </c>
      <c r="Q72" s="32" t="n"/>
      <c r="R72" s="32" t="n"/>
      <c r="S72" s="32" t="n"/>
      <c r="T72" s="33" t="n"/>
      <c r="U72" s="42">
        <f>'S28'!T72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'S28'!M73+L73</f>
        <v/>
      </c>
      <c r="N73" s="31">
        <f>IFERROR(M73/K73,0)</f>
        <v/>
      </c>
      <c r="O73" s="40">
        <f>'S28'!N73</f>
        <v/>
      </c>
      <c r="P73" s="31">
        <f>N73-O73</f>
        <v/>
      </c>
      <c r="Q73" s="32" t="n"/>
      <c r="R73" s="32" t="n"/>
      <c r="S73" s="32" t="n"/>
      <c r="T73" s="33" t="n"/>
      <c r="U73" s="40">
        <f>'S28'!T73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'S28'!M74+L74</f>
        <v/>
      </c>
      <c r="N74" s="36">
        <f>IFERROR(M74/K74,0)</f>
        <v/>
      </c>
      <c r="O74" s="42">
        <f>'S28'!N74</f>
        <v/>
      </c>
      <c r="P74" s="36">
        <f>N74-O74</f>
        <v/>
      </c>
      <c r="Q74" s="32" t="n"/>
      <c r="R74" s="32" t="n"/>
      <c r="S74" s="32" t="n"/>
      <c r="T74" s="33" t="n"/>
      <c r="U74" s="42">
        <f>'S28'!T74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'S28'!M75+L75</f>
        <v/>
      </c>
      <c r="N75" s="31">
        <f>IFERROR(M75/K75,0)</f>
        <v/>
      </c>
      <c r="O75" s="40">
        <f>'S28'!N75</f>
        <v/>
      </c>
      <c r="P75" s="31">
        <f>N75-O75</f>
        <v/>
      </c>
      <c r="Q75" s="32" t="n"/>
      <c r="R75" s="32" t="n"/>
      <c r="S75" s="32" t="n"/>
      <c r="T75" s="33" t="n"/>
      <c r="U75" s="40">
        <f>'S28'!T75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'S28'!M76+L76</f>
        <v/>
      </c>
      <c r="N76" s="36">
        <f>IFERROR(M76/K76,0)</f>
        <v/>
      </c>
      <c r="O76" s="42">
        <f>'S28'!N76</f>
        <v/>
      </c>
      <c r="P76" s="36">
        <f>N76-O76</f>
        <v/>
      </c>
      <c r="Q76" s="32" t="n"/>
      <c r="R76" s="32" t="n"/>
      <c r="S76" s="32" t="n"/>
      <c r="T76" s="33" t="n"/>
      <c r="U76" s="42">
        <f>'S28'!T76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32.xml><?xml version="1.0" encoding="utf-8"?>
<worksheet xmlns="http://schemas.openxmlformats.org/spreadsheetml/2006/main">
  <sheetPr>
    <tabColor rgb="00C55A11"/>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30 (20/07 - 26/07) — Juillet 2026 - Exécution Physique et Financière</t>
        </is>
      </c>
    </row>
    <row r="3" ht="22" customHeight="1">
      <c r="B3" s="20" t="inlineStr">
        <is>
          <t>Date :</t>
        </is>
      </c>
      <c r="C3" s="21" t="n">
        <v>46223</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'S29'!M5+L5</f>
        <v/>
      </c>
      <c r="N5" s="31">
        <f>IFERROR(M5/K5,0)</f>
        <v/>
      </c>
      <c r="O5" s="40">
        <f>'S29'!N5</f>
        <v/>
      </c>
      <c r="P5" s="31">
        <f>N5-O5</f>
        <v/>
      </c>
      <c r="Q5" s="32" t="n"/>
      <c r="R5" s="32" t="n"/>
      <c r="S5" s="32" t="n"/>
      <c r="T5" s="33" t="n"/>
      <c r="U5" s="40">
        <f>'S29'!T5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'S29'!M6+L6</f>
        <v/>
      </c>
      <c r="N6" s="36">
        <f>IFERROR(M6/K6,0)</f>
        <v/>
      </c>
      <c r="O6" s="42">
        <f>'S29'!N6</f>
        <v/>
      </c>
      <c r="P6" s="36">
        <f>N6-O6</f>
        <v/>
      </c>
      <c r="Q6" s="32" t="n"/>
      <c r="R6" s="32" t="n"/>
      <c r="S6" s="32" t="n"/>
      <c r="T6" s="33" t="n"/>
      <c r="U6" s="42">
        <f>'S29'!T6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'S29'!M7+L7</f>
        <v/>
      </c>
      <c r="N7" s="31">
        <f>IFERROR(M7/K7,0)</f>
        <v/>
      </c>
      <c r="O7" s="40">
        <f>'S29'!N7</f>
        <v/>
      </c>
      <c r="P7" s="31">
        <f>N7-O7</f>
        <v/>
      </c>
      <c r="Q7" s="32" t="n"/>
      <c r="R7" s="32" t="n"/>
      <c r="S7" s="32" t="n"/>
      <c r="T7" s="33" t="n"/>
      <c r="U7" s="40">
        <f>'S29'!T7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'S29'!M8+L8</f>
        <v/>
      </c>
      <c r="N8" s="36">
        <f>IFERROR(M8/K8,0)</f>
        <v/>
      </c>
      <c r="O8" s="42">
        <f>'S29'!N8</f>
        <v/>
      </c>
      <c r="P8" s="36">
        <f>N8-O8</f>
        <v/>
      </c>
      <c r="Q8" s="32" t="n"/>
      <c r="R8" s="32" t="n"/>
      <c r="S8" s="32" t="n"/>
      <c r="T8" s="33" t="n"/>
      <c r="U8" s="42">
        <f>'S29'!T8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'S29'!M9+L9</f>
        <v/>
      </c>
      <c r="N9" s="31">
        <f>IFERROR(M9/K9,0)</f>
        <v/>
      </c>
      <c r="O9" s="40">
        <f>'S29'!N9</f>
        <v/>
      </c>
      <c r="P9" s="31">
        <f>N9-O9</f>
        <v/>
      </c>
      <c r="Q9" s="32" t="n"/>
      <c r="R9" s="32" t="n"/>
      <c r="S9" s="32" t="n"/>
      <c r="T9" s="33" t="n"/>
      <c r="U9" s="40">
        <f>'S29'!T9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'S29'!M10+L10</f>
        <v/>
      </c>
      <c r="N10" s="36">
        <f>IFERROR(M10/K10,0)</f>
        <v/>
      </c>
      <c r="O10" s="42">
        <f>'S29'!N10</f>
        <v/>
      </c>
      <c r="P10" s="36">
        <f>N10-O10</f>
        <v/>
      </c>
      <c r="Q10" s="32" t="n"/>
      <c r="R10" s="32" t="n"/>
      <c r="S10" s="32" t="n"/>
      <c r="T10" s="33" t="n"/>
      <c r="U10" s="42">
        <f>'S29'!T10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'S29'!M11+L11</f>
        <v/>
      </c>
      <c r="N11" s="31">
        <f>IFERROR(M11/K11,0)</f>
        <v/>
      </c>
      <c r="O11" s="40">
        <f>'S29'!N11</f>
        <v/>
      </c>
      <c r="P11" s="31">
        <f>N11-O11</f>
        <v/>
      </c>
      <c r="Q11" s="32" t="n"/>
      <c r="R11" s="32" t="n"/>
      <c r="S11" s="32" t="n"/>
      <c r="T11" s="33" t="n"/>
      <c r="U11" s="40">
        <f>'S29'!T11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'S29'!M12+L12</f>
        <v/>
      </c>
      <c r="N12" s="36">
        <f>IFERROR(M12/K12,0)</f>
        <v/>
      </c>
      <c r="O12" s="42">
        <f>'S29'!N12</f>
        <v/>
      </c>
      <c r="P12" s="36">
        <f>N12-O12</f>
        <v/>
      </c>
      <c r="Q12" s="32" t="n"/>
      <c r="R12" s="32" t="n"/>
      <c r="S12" s="32" t="n"/>
      <c r="T12" s="33" t="n"/>
      <c r="U12" s="42">
        <f>'S29'!T12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'S29'!M13+L13</f>
        <v/>
      </c>
      <c r="N13" s="31">
        <f>IFERROR(M13/K13,0)</f>
        <v/>
      </c>
      <c r="O13" s="40">
        <f>'S29'!N13</f>
        <v/>
      </c>
      <c r="P13" s="31">
        <f>N13-O13</f>
        <v/>
      </c>
      <c r="Q13" s="32" t="n"/>
      <c r="R13" s="32" t="n"/>
      <c r="S13" s="32" t="n"/>
      <c r="T13" s="33" t="n"/>
      <c r="U13" s="40">
        <f>'S29'!T13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'S29'!M14+L14</f>
        <v/>
      </c>
      <c r="N14" s="36">
        <f>IFERROR(M14/K14,0)</f>
        <v/>
      </c>
      <c r="O14" s="42">
        <f>'S29'!N14</f>
        <v/>
      </c>
      <c r="P14" s="36">
        <f>N14-O14</f>
        <v/>
      </c>
      <c r="Q14" s="32" t="n"/>
      <c r="R14" s="32" t="n"/>
      <c r="S14" s="32" t="n"/>
      <c r="T14" s="33" t="n"/>
      <c r="U14" s="42">
        <f>'S29'!T14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'S29'!M15+L15</f>
        <v/>
      </c>
      <c r="N15" s="31">
        <f>IFERROR(M15/K15,0)</f>
        <v/>
      </c>
      <c r="O15" s="40">
        <f>'S29'!N15</f>
        <v/>
      </c>
      <c r="P15" s="31">
        <f>N15-O15</f>
        <v/>
      </c>
      <c r="Q15" s="32" t="n"/>
      <c r="R15" s="32" t="n"/>
      <c r="S15" s="32" t="n"/>
      <c r="T15" s="33" t="n"/>
      <c r="U15" s="40">
        <f>'S29'!T15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'S29'!M16+L16</f>
        <v/>
      </c>
      <c r="N16" s="36">
        <f>IFERROR(M16/K16,0)</f>
        <v/>
      </c>
      <c r="O16" s="42">
        <f>'S29'!N16</f>
        <v/>
      </c>
      <c r="P16" s="36">
        <f>N16-O16</f>
        <v/>
      </c>
      <c r="Q16" s="32" t="n"/>
      <c r="R16" s="32" t="n"/>
      <c r="S16" s="32" t="n"/>
      <c r="T16" s="33" t="n"/>
      <c r="U16" s="42">
        <f>'S29'!T16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'S29'!M17+L17</f>
        <v/>
      </c>
      <c r="N17" s="31">
        <f>IFERROR(M17/K17,0)</f>
        <v/>
      </c>
      <c r="O17" s="40">
        <f>'S29'!N17</f>
        <v/>
      </c>
      <c r="P17" s="31">
        <f>N17-O17</f>
        <v/>
      </c>
      <c r="Q17" s="32" t="n"/>
      <c r="R17" s="32" t="n"/>
      <c r="S17" s="32" t="n"/>
      <c r="T17" s="33" t="n"/>
      <c r="U17" s="40">
        <f>'S29'!T17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'S29'!M18+L18</f>
        <v/>
      </c>
      <c r="N18" s="36">
        <f>IFERROR(M18/K18,0)</f>
        <v/>
      </c>
      <c r="O18" s="42">
        <f>'S29'!N18</f>
        <v/>
      </c>
      <c r="P18" s="36">
        <f>N18-O18</f>
        <v/>
      </c>
      <c r="Q18" s="32" t="n"/>
      <c r="R18" s="32" t="n"/>
      <c r="S18" s="32" t="n"/>
      <c r="T18" s="33" t="n"/>
      <c r="U18" s="42">
        <f>'S29'!T18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'S29'!M19+L19</f>
        <v/>
      </c>
      <c r="N19" s="31">
        <f>IFERROR(M19/K19,0)</f>
        <v/>
      </c>
      <c r="O19" s="40">
        <f>'S29'!N19</f>
        <v/>
      </c>
      <c r="P19" s="31">
        <f>N19-O19</f>
        <v/>
      </c>
      <c r="Q19" s="32" t="n"/>
      <c r="R19" s="32" t="n"/>
      <c r="S19" s="32" t="n"/>
      <c r="T19" s="33" t="n"/>
      <c r="U19" s="40">
        <f>'S29'!T19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'S29'!M20+L20</f>
        <v/>
      </c>
      <c r="N20" s="36">
        <f>IFERROR(M20/K20,0)</f>
        <v/>
      </c>
      <c r="O20" s="42">
        <f>'S29'!N20</f>
        <v/>
      </c>
      <c r="P20" s="36">
        <f>N20-O20</f>
        <v/>
      </c>
      <c r="Q20" s="32" t="n"/>
      <c r="R20" s="32" t="n"/>
      <c r="S20" s="32" t="n"/>
      <c r="T20" s="33" t="n"/>
      <c r="U20" s="42">
        <f>'S29'!T20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'S29'!M21+L21</f>
        <v/>
      </c>
      <c r="N21" s="31">
        <f>IFERROR(M21/K21,0)</f>
        <v/>
      </c>
      <c r="O21" s="40">
        <f>'S29'!N21</f>
        <v/>
      </c>
      <c r="P21" s="31">
        <f>N21-O21</f>
        <v/>
      </c>
      <c r="Q21" s="32" t="n"/>
      <c r="R21" s="32" t="n"/>
      <c r="S21" s="32" t="n"/>
      <c r="T21" s="33" t="n"/>
      <c r="U21" s="40">
        <f>'S29'!T21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'S29'!M22+L22</f>
        <v/>
      </c>
      <c r="N22" s="36">
        <f>IFERROR(M22/K22,0)</f>
        <v/>
      </c>
      <c r="O22" s="42">
        <f>'S29'!N22</f>
        <v/>
      </c>
      <c r="P22" s="36">
        <f>N22-O22</f>
        <v/>
      </c>
      <c r="Q22" s="32" t="n"/>
      <c r="R22" s="32" t="n"/>
      <c r="S22" s="32" t="n"/>
      <c r="T22" s="33" t="n"/>
      <c r="U22" s="42">
        <f>'S29'!T22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'S29'!M23+L23</f>
        <v/>
      </c>
      <c r="N23" s="31">
        <f>IFERROR(M23/K23,0)</f>
        <v/>
      </c>
      <c r="O23" s="40">
        <f>'S29'!N23</f>
        <v/>
      </c>
      <c r="P23" s="31">
        <f>N23-O23</f>
        <v/>
      </c>
      <c r="Q23" s="32" t="n"/>
      <c r="R23" s="32" t="n"/>
      <c r="S23" s="32" t="n"/>
      <c r="T23" s="33" t="n"/>
      <c r="U23" s="40">
        <f>'S29'!T23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'S29'!M24+L24</f>
        <v/>
      </c>
      <c r="N24" s="36">
        <f>IFERROR(M24/K24,0)</f>
        <v/>
      </c>
      <c r="O24" s="42">
        <f>'S29'!N24</f>
        <v/>
      </c>
      <c r="P24" s="36">
        <f>N24-O24</f>
        <v/>
      </c>
      <c r="Q24" s="32" t="n"/>
      <c r="R24" s="32" t="n"/>
      <c r="S24" s="32" t="n"/>
      <c r="T24" s="33" t="n"/>
      <c r="U24" s="42">
        <f>'S29'!T24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'S29'!M25+L25</f>
        <v/>
      </c>
      <c r="N25" s="31">
        <f>IFERROR(M25/K25,0)</f>
        <v/>
      </c>
      <c r="O25" s="40">
        <f>'S29'!N25</f>
        <v/>
      </c>
      <c r="P25" s="31">
        <f>N25-O25</f>
        <v/>
      </c>
      <c r="Q25" s="32" t="n"/>
      <c r="R25" s="32" t="n"/>
      <c r="S25" s="32" t="n"/>
      <c r="T25" s="33" t="n"/>
      <c r="U25" s="40">
        <f>'S29'!T25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'S29'!M26+L26</f>
        <v/>
      </c>
      <c r="N26" s="36">
        <f>IFERROR(M26/K26,0)</f>
        <v/>
      </c>
      <c r="O26" s="42">
        <f>'S29'!N26</f>
        <v/>
      </c>
      <c r="P26" s="36">
        <f>N26-O26</f>
        <v/>
      </c>
      <c r="Q26" s="32" t="n"/>
      <c r="R26" s="32" t="n"/>
      <c r="S26" s="32" t="n"/>
      <c r="T26" s="33" t="n"/>
      <c r="U26" s="42">
        <f>'S29'!T26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'S29'!M27+L27</f>
        <v/>
      </c>
      <c r="N27" s="31">
        <f>IFERROR(M27/K27,0)</f>
        <v/>
      </c>
      <c r="O27" s="40">
        <f>'S29'!N27</f>
        <v/>
      </c>
      <c r="P27" s="31">
        <f>N27-O27</f>
        <v/>
      </c>
      <c r="Q27" s="32" t="n"/>
      <c r="R27" s="32" t="n"/>
      <c r="S27" s="32" t="n"/>
      <c r="T27" s="33" t="n"/>
      <c r="U27" s="40">
        <f>'S29'!T27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'S29'!M28+L28</f>
        <v/>
      </c>
      <c r="N28" s="36">
        <f>IFERROR(M28/K28,0)</f>
        <v/>
      </c>
      <c r="O28" s="42">
        <f>'S29'!N28</f>
        <v/>
      </c>
      <c r="P28" s="36">
        <f>N28-O28</f>
        <v/>
      </c>
      <c r="Q28" s="32" t="n"/>
      <c r="R28" s="32" t="n"/>
      <c r="S28" s="32" t="n"/>
      <c r="T28" s="33" t="n"/>
      <c r="U28" s="42">
        <f>'S29'!T28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'S29'!M29+L29</f>
        <v/>
      </c>
      <c r="N29" s="31">
        <f>IFERROR(M29/K29,0)</f>
        <v/>
      </c>
      <c r="O29" s="40">
        <f>'S29'!N29</f>
        <v/>
      </c>
      <c r="P29" s="31">
        <f>N29-O29</f>
        <v/>
      </c>
      <c r="Q29" s="32" t="n"/>
      <c r="R29" s="32" t="n"/>
      <c r="S29" s="32" t="n"/>
      <c r="T29" s="33" t="n"/>
      <c r="U29" s="40">
        <f>'S29'!T29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'S29'!M30+L30</f>
        <v/>
      </c>
      <c r="N30" s="36">
        <f>IFERROR(M30/K30,0)</f>
        <v/>
      </c>
      <c r="O30" s="42">
        <f>'S29'!N30</f>
        <v/>
      </c>
      <c r="P30" s="36">
        <f>N30-O30</f>
        <v/>
      </c>
      <c r="Q30" s="32" t="n"/>
      <c r="R30" s="32" t="n"/>
      <c r="S30" s="32" t="n"/>
      <c r="T30" s="33" t="n"/>
      <c r="U30" s="42">
        <f>'S29'!T30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'S29'!M31+L31</f>
        <v/>
      </c>
      <c r="N31" s="31">
        <f>IFERROR(M31/K31,0)</f>
        <v/>
      </c>
      <c r="O31" s="40">
        <f>'S29'!N31</f>
        <v/>
      </c>
      <c r="P31" s="31">
        <f>N31-O31</f>
        <v/>
      </c>
      <c r="Q31" s="32" t="n"/>
      <c r="R31" s="32" t="n"/>
      <c r="S31" s="32" t="n"/>
      <c r="T31" s="33" t="n"/>
      <c r="U31" s="40">
        <f>'S29'!T31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'S29'!M32+L32</f>
        <v/>
      </c>
      <c r="N32" s="36">
        <f>IFERROR(M32/K32,0)</f>
        <v/>
      </c>
      <c r="O32" s="42">
        <f>'S29'!N32</f>
        <v/>
      </c>
      <c r="P32" s="36">
        <f>N32-O32</f>
        <v/>
      </c>
      <c r="Q32" s="32" t="n"/>
      <c r="R32" s="32" t="n"/>
      <c r="S32" s="32" t="n"/>
      <c r="T32" s="33" t="n"/>
      <c r="U32" s="42">
        <f>'S29'!T32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'S29'!M33+L33</f>
        <v/>
      </c>
      <c r="N33" s="31">
        <f>IFERROR(M33/K33,0)</f>
        <v/>
      </c>
      <c r="O33" s="40">
        <f>'S29'!N33</f>
        <v/>
      </c>
      <c r="P33" s="31">
        <f>N33-O33</f>
        <v/>
      </c>
      <c r="Q33" s="32" t="n"/>
      <c r="R33" s="32" t="n"/>
      <c r="S33" s="32" t="n"/>
      <c r="T33" s="33" t="n"/>
      <c r="U33" s="40">
        <f>'S29'!T33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'S29'!M34+L34</f>
        <v/>
      </c>
      <c r="N34" s="36">
        <f>IFERROR(M34/K34,0)</f>
        <v/>
      </c>
      <c r="O34" s="42">
        <f>'S29'!N34</f>
        <v/>
      </c>
      <c r="P34" s="36">
        <f>N34-O34</f>
        <v/>
      </c>
      <c r="Q34" s="32" t="n"/>
      <c r="R34" s="32" t="n"/>
      <c r="S34" s="32" t="n"/>
      <c r="T34" s="33" t="n"/>
      <c r="U34" s="42">
        <f>'S29'!T34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'S29'!M35+L35</f>
        <v/>
      </c>
      <c r="N35" s="31">
        <f>IFERROR(M35/K35,0)</f>
        <v/>
      </c>
      <c r="O35" s="40">
        <f>'S29'!N35</f>
        <v/>
      </c>
      <c r="P35" s="31">
        <f>N35-O35</f>
        <v/>
      </c>
      <c r="Q35" s="32" t="n"/>
      <c r="R35" s="32" t="n"/>
      <c r="S35" s="32" t="n"/>
      <c r="T35" s="33" t="n"/>
      <c r="U35" s="40">
        <f>'S29'!T35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'S29'!M36+L36</f>
        <v/>
      </c>
      <c r="N36" s="36">
        <f>IFERROR(M36/K36,0)</f>
        <v/>
      </c>
      <c r="O36" s="42">
        <f>'S29'!N36</f>
        <v/>
      </c>
      <c r="P36" s="36">
        <f>N36-O36</f>
        <v/>
      </c>
      <c r="Q36" s="32" t="n"/>
      <c r="R36" s="32" t="n"/>
      <c r="S36" s="32" t="n"/>
      <c r="T36" s="33" t="n"/>
      <c r="U36" s="42">
        <f>'S29'!T36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'S29'!M37+L37</f>
        <v/>
      </c>
      <c r="N37" s="31">
        <f>IFERROR(M37/K37,0)</f>
        <v/>
      </c>
      <c r="O37" s="40">
        <f>'S29'!N37</f>
        <v/>
      </c>
      <c r="P37" s="31">
        <f>N37-O37</f>
        <v/>
      </c>
      <c r="Q37" s="32" t="n"/>
      <c r="R37" s="32" t="n"/>
      <c r="S37" s="32" t="n"/>
      <c r="T37" s="33" t="n"/>
      <c r="U37" s="40">
        <f>'S29'!T37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'S29'!M38+L38</f>
        <v/>
      </c>
      <c r="N38" s="36">
        <f>IFERROR(M38/K38,0)</f>
        <v/>
      </c>
      <c r="O38" s="42">
        <f>'S29'!N38</f>
        <v/>
      </c>
      <c r="P38" s="36">
        <f>N38-O38</f>
        <v/>
      </c>
      <c r="Q38" s="32" t="n"/>
      <c r="R38" s="32" t="n"/>
      <c r="S38" s="32" t="n"/>
      <c r="T38" s="33" t="n"/>
      <c r="U38" s="42">
        <f>'S29'!T38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'S29'!M39+L39</f>
        <v/>
      </c>
      <c r="N39" s="31">
        <f>IFERROR(M39/K39,0)</f>
        <v/>
      </c>
      <c r="O39" s="40">
        <f>'S29'!N39</f>
        <v/>
      </c>
      <c r="P39" s="31">
        <f>N39-O39</f>
        <v/>
      </c>
      <c r="Q39" s="32" t="n"/>
      <c r="R39" s="32" t="n"/>
      <c r="S39" s="32" t="n"/>
      <c r="T39" s="33" t="n"/>
      <c r="U39" s="40">
        <f>'S29'!T39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'S29'!M40+L40</f>
        <v/>
      </c>
      <c r="N40" s="36">
        <f>IFERROR(M40/K40,0)</f>
        <v/>
      </c>
      <c r="O40" s="42">
        <f>'S29'!N40</f>
        <v/>
      </c>
      <c r="P40" s="36">
        <f>N40-O40</f>
        <v/>
      </c>
      <c r="Q40" s="32" t="n"/>
      <c r="R40" s="32" t="n"/>
      <c r="S40" s="32" t="n"/>
      <c r="T40" s="33" t="n"/>
      <c r="U40" s="42">
        <f>'S29'!T40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'S29'!M41+L41</f>
        <v/>
      </c>
      <c r="N41" s="31">
        <f>IFERROR(M41/K41,0)</f>
        <v/>
      </c>
      <c r="O41" s="40">
        <f>'S29'!N41</f>
        <v/>
      </c>
      <c r="P41" s="31">
        <f>N41-O41</f>
        <v/>
      </c>
      <c r="Q41" s="32" t="n"/>
      <c r="R41" s="32" t="n"/>
      <c r="S41" s="32" t="n"/>
      <c r="T41" s="33" t="n"/>
      <c r="U41" s="40">
        <f>'S29'!T41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'S29'!M42+L42</f>
        <v/>
      </c>
      <c r="N42" s="36">
        <f>IFERROR(M42/K42,0)</f>
        <v/>
      </c>
      <c r="O42" s="42">
        <f>'S29'!N42</f>
        <v/>
      </c>
      <c r="P42" s="36">
        <f>N42-O42</f>
        <v/>
      </c>
      <c r="Q42" s="32" t="n"/>
      <c r="R42" s="32" t="n"/>
      <c r="S42" s="32" t="n"/>
      <c r="T42" s="33" t="n"/>
      <c r="U42" s="42">
        <f>'S29'!T42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'S29'!M43+L43</f>
        <v/>
      </c>
      <c r="N43" s="31">
        <f>IFERROR(M43/K43,0)</f>
        <v/>
      </c>
      <c r="O43" s="40">
        <f>'S29'!N43</f>
        <v/>
      </c>
      <c r="P43" s="31">
        <f>N43-O43</f>
        <v/>
      </c>
      <c r="Q43" s="32" t="n"/>
      <c r="R43" s="32" t="n"/>
      <c r="S43" s="32" t="n"/>
      <c r="T43" s="33" t="n"/>
      <c r="U43" s="40">
        <f>'S29'!T43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'S29'!M44+L44</f>
        <v/>
      </c>
      <c r="N44" s="36">
        <f>IFERROR(M44/K44,0)</f>
        <v/>
      </c>
      <c r="O44" s="42">
        <f>'S29'!N44</f>
        <v/>
      </c>
      <c r="P44" s="36">
        <f>N44-O44</f>
        <v/>
      </c>
      <c r="Q44" s="32" t="n"/>
      <c r="R44" s="32" t="n"/>
      <c r="S44" s="32" t="n"/>
      <c r="T44" s="33" t="n"/>
      <c r="U44" s="42">
        <f>'S29'!T44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'S29'!M45+L45</f>
        <v/>
      </c>
      <c r="N45" s="31">
        <f>IFERROR(M45/K45,0)</f>
        <v/>
      </c>
      <c r="O45" s="40">
        <f>'S29'!N45</f>
        <v/>
      </c>
      <c r="P45" s="31">
        <f>N45-O45</f>
        <v/>
      </c>
      <c r="Q45" s="32" t="n"/>
      <c r="R45" s="32" t="n"/>
      <c r="S45" s="32" t="n"/>
      <c r="T45" s="33" t="n"/>
      <c r="U45" s="40">
        <f>'S29'!T45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'S29'!M46+L46</f>
        <v/>
      </c>
      <c r="N46" s="36">
        <f>IFERROR(M46/K46,0)</f>
        <v/>
      </c>
      <c r="O46" s="42">
        <f>'S29'!N46</f>
        <v/>
      </c>
      <c r="P46" s="36">
        <f>N46-O46</f>
        <v/>
      </c>
      <c r="Q46" s="32" t="n"/>
      <c r="R46" s="32" t="n"/>
      <c r="S46" s="32" t="n"/>
      <c r="T46" s="33" t="n"/>
      <c r="U46" s="42">
        <f>'S29'!T46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'S29'!M47+L47</f>
        <v/>
      </c>
      <c r="N47" s="31">
        <f>IFERROR(M47/K47,0)</f>
        <v/>
      </c>
      <c r="O47" s="40">
        <f>'S29'!N47</f>
        <v/>
      </c>
      <c r="P47" s="31">
        <f>N47-O47</f>
        <v/>
      </c>
      <c r="Q47" s="32" t="n"/>
      <c r="R47" s="32" t="n"/>
      <c r="S47" s="32" t="n"/>
      <c r="T47" s="33" t="n"/>
      <c r="U47" s="40">
        <f>'S29'!T47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'S29'!M48+L48</f>
        <v/>
      </c>
      <c r="N48" s="36">
        <f>IFERROR(M48/K48,0)</f>
        <v/>
      </c>
      <c r="O48" s="42">
        <f>'S29'!N48</f>
        <v/>
      </c>
      <c r="P48" s="36">
        <f>N48-O48</f>
        <v/>
      </c>
      <c r="Q48" s="32" t="n"/>
      <c r="R48" s="32" t="n"/>
      <c r="S48" s="32" t="n"/>
      <c r="T48" s="33" t="n"/>
      <c r="U48" s="42">
        <f>'S29'!T48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'S29'!M49+L49</f>
        <v/>
      </c>
      <c r="N49" s="31">
        <f>IFERROR(M49/K49,0)</f>
        <v/>
      </c>
      <c r="O49" s="40">
        <f>'S29'!N49</f>
        <v/>
      </c>
      <c r="P49" s="31">
        <f>N49-O49</f>
        <v/>
      </c>
      <c r="Q49" s="32" t="n"/>
      <c r="R49" s="32" t="n"/>
      <c r="S49" s="32" t="n"/>
      <c r="T49" s="33" t="n"/>
      <c r="U49" s="40">
        <f>'S29'!T49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'S29'!M50+L50</f>
        <v/>
      </c>
      <c r="N50" s="36">
        <f>IFERROR(M50/K50,0)</f>
        <v/>
      </c>
      <c r="O50" s="42">
        <f>'S29'!N50</f>
        <v/>
      </c>
      <c r="P50" s="36">
        <f>N50-O50</f>
        <v/>
      </c>
      <c r="Q50" s="32" t="n"/>
      <c r="R50" s="32" t="n"/>
      <c r="S50" s="32" t="n"/>
      <c r="T50" s="33" t="n"/>
      <c r="U50" s="42">
        <f>'S29'!T50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'S29'!M51+L51</f>
        <v/>
      </c>
      <c r="N51" s="31">
        <f>IFERROR(M51/K51,0)</f>
        <v/>
      </c>
      <c r="O51" s="40">
        <f>'S29'!N51</f>
        <v/>
      </c>
      <c r="P51" s="31">
        <f>N51-O51</f>
        <v/>
      </c>
      <c r="Q51" s="32" t="n"/>
      <c r="R51" s="32" t="n"/>
      <c r="S51" s="32" t="n"/>
      <c r="T51" s="33" t="n"/>
      <c r="U51" s="40">
        <f>'S29'!T51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'S29'!M52+L52</f>
        <v/>
      </c>
      <c r="N52" s="36">
        <f>IFERROR(M52/K52,0)</f>
        <v/>
      </c>
      <c r="O52" s="42">
        <f>'S29'!N52</f>
        <v/>
      </c>
      <c r="P52" s="36">
        <f>N52-O52</f>
        <v/>
      </c>
      <c r="Q52" s="32" t="n"/>
      <c r="R52" s="32" t="n"/>
      <c r="S52" s="32" t="n"/>
      <c r="T52" s="33" t="n"/>
      <c r="U52" s="42">
        <f>'S29'!T52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'S29'!M53+L53</f>
        <v/>
      </c>
      <c r="N53" s="31">
        <f>IFERROR(M53/K53,0)</f>
        <v/>
      </c>
      <c r="O53" s="40">
        <f>'S29'!N53</f>
        <v/>
      </c>
      <c r="P53" s="31">
        <f>N53-O53</f>
        <v/>
      </c>
      <c r="Q53" s="32" t="n"/>
      <c r="R53" s="32" t="n"/>
      <c r="S53" s="32" t="n"/>
      <c r="T53" s="33" t="n"/>
      <c r="U53" s="40">
        <f>'S29'!T53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'S29'!M54+L54</f>
        <v/>
      </c>
      <c r="N54" s="36">
        <f>IFERROR(M54/K54,0)</f>
        <v/>
      </c>
      <c r="O54" s="42">
        <f>'S29'!N54</f>
        <v/>
      </c>
      <c r="P54" s="36">
        <f>N54-O54</f>
        <v/>
      </c>
      <c r="Q54" s="32" t="n"/>
      <c r="R54" s="32" t="n"/>
      <c r="S54" s="32" t="n"/>
      <c r="T54" s="33" t="n"/>
      <c r="U54" s="42">
        <f>'S29'!T54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'S29'!M55+L55</f>
        <v/>
      </c>
      <c r="N55" s="31">
        <f>IFERROR(M55/K55,0)</f>
        <v/>
      </c>
      <c r="O55" s="40">
        <f>'S29'!N55</f>
        <v/>
      </c>
      <c r="P55" s="31">
        <f>N55-O55</f>
        <v/>
      </c>
      <c r="Q55" s="32" t="n"/>
      <c r="R55" s="32" t="n"/>
      <c r="S55" s="32" t="n"/>
      <c r="T55" s="33" t="n"/>
      <c r="U55" s="40">
        <f>'S29'!T55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'S29'!M56+L56</f>
        <v/>
      </c>
      <c r="N56" s="36">
        <f>IFERROR(M56/K56,0)</f>
        <v/>
      </c>
      <c r="O56" s="42">
        <f>'S29'!N56</f>
        <v/>
      </c>
      <c r="P56" s="36">
        <f>N56-O56</f>
        <v/>
      </c>
      <c r="Q56" s="32" t="n"/>
      <c r="R56" s="32" t="n"/>
      <c r="S56" s="32" t="n"/>
      <c r="T56" s="33" t="n"/>
      <c r="U56" s="42">
        <f>'S29'!T56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'S29'!M57+L57</f>
        <v/>
      </c>
      <c r="N57" s="31">
        <f>IFERROR(M57/K57,0)</f>
        <v/>
      </c>
      <c r="O57" s="40">
        <f>'S29'!N57</f>
        <v/>
      </c>
      <c r="P57" s="31">
        <f>N57-O57</f>
        <v/>
      </c>
      <c r="Q57" s="32" t="n"/>
      <c r="R57" s="32" t="n"/>
      <c r="S57" s="32" t="n"/>
      <c r="T57" s="33" t="n"/>
      <c r="U57" s="40">
        <f>'S29'!T57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'S29'!M58+L58</f>
        <v/>
      </c>
      <c r="N58" s="36">
        <f>IFERROR(M58/K58,0)</f>
        <v/>
      </c>
      <c r="O58" s="42">
        <f>'S29'!N58</f>
        <v/>
      </c>
      <c r="P58" s="36">
        <f>N58-O58</f>
        <v/>
      </c>
      <c r="Q58" s="32" t="n"/>
      <c r="R58" s="32" t="n"/>
      <c r="S58" s="32" t="n"/>
      <c r="T58" s="33" t="n"/>
      <c r="U58" s="42">
        <f>'S29'!T58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'S29'!M59+L59</f>
        <v/>
      </c>
      <c r="N59" s="31">
        <f>IFERROR(M59/K59,0)</f>
        <v/>
      </c>
      <c r="O59" s="40">
        <f>'S29'!N59</f>
        <v/>
      </c>
      <c r="P59" s="31">
        <f>N59-O59</f>
        <v/>
      </c>
      <c r="Q59" s="32" t="n"/>
      <c r="R59" s="32" t="n"/>
      <c r="S59" s="32" t="n"/>
      <c r="T59" s="33" t="n"/>
      <c r="U59" s="40">
        <f>'S29'!T59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'S29'!M60+L60</f>
        <v/>
      </c>
      <c r="N60" s="36">
        <f>IFERROR(M60/K60,0)</f>
        <v/>
      </c>
      <c r="O60" s="42">
        <f>'S29'!N60</f>
        <v/>
      </c>
      <c r="P60" s="36">
        <f>N60-O60</f>
        <v/>
      </c>
      <c r="Q60" s="32" t="n"/>
      <c r="R60" s="32" t="n"/>
      <c r="S60" s="32" t="n"/>
      <c r="T60" s="33" t="n"/>
      <c r="U60" s="42">
        <f>'S29'!T60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'S29'!M61+L61</f>
        <v/>
      </c>
      <c r="N61" s="31">
        <f>IFERROR(M61/K61,0)</f>
        <v/>
      </c>
      <c r="O61" s="40">
        <f>'S29'!N61</f>
        <v/>
      </c>
      <c r="P61" s="31">
        <f>N61-O61</f>
        <v/>
      </c>
      <c r="Q61" s="32" t="n"/>
      <c r="R61" s="32" t="n"/>
      <c r="S61" s="32" t="n"/>
      <c r="T61" s="33" t="n"/>
      <c r="U61" s="40">
        <f>'S29'!T61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'S29'!M62+L62</f>
        <v/>
      </c>
      <c r="N62" s="36">
        <f>IFERROR(M62/K62,0)</f>
        <v/>
      </c>
      <c r="O62" s="42">
        <f>'S29'!N62</f>
        <v/>
      </c>
      <c r="P62" s="36">
        <f>N62-O62</f>
        <v/>
      </c>
      <c r="Q62" s="32" t="n"/>
      <c r="R62" s="32" t="n"/>
      <c r="S62" s="32" t="n"/>
      <c r="T62" s="33" t="n"/>
      <c r="U62" s="42">
        <f>'S29'!T62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'S29'!M63+L63</f>
        <v/>
      </c>
      <c r="N63" s="31">
        <f>IFERROR(M63/K63,0)</f>
        <v/>
      </c>
      <c r="O63" s="40">
        <f>'S29'!N63</f>
        <v/>
      </c>
      <c r="P63" s="31">
        <f>N63-O63</f>
        <v/>
      </c>
      <c r="Q63" s="32" t="n"/>
      <c r="R63" s="32" t="n"/>
      <c r="S63" s="32" t="n"/>
      <c r="T63" s="33" t="n"/>
      <c r="U63" s="40">
        <f>'S29'!T63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'S29'!M64+L64</f>
        <v/>
      </c>
      <c r="N64" s="36">
        <f>IFERROR(M64/K64,0)</f>
        <v/>
      </c>
      <c r="O64" s="42">
        <f>'S29'!N64</f>
        <v/>
      </c>
      <c r="P64" s="36">
        <f>N64-O64</f>
        <v/>
      </c>
      <c r="Q64" s="32" t="n"/>
      <c r="R64" s="32" t="n"/>
      <c r="S64" s="32" t="n"/>
      <c r="T64" s="33" t="n"/>
      <c r="U64" s="42">
        <f>'S29'!T64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'S29'!M65+L65</f>
        <v/>
      </c>
      <c r="N65" s="31">
        <f>IFERROR(M65/K65,0)</f>
        <v/>
      </c>
      <c r="O65" s="40">
        <f>'S29'!N65</f>
        <v/>
      </c>
      <c r="P65" s="31">
        <f>N65-O65</f>
        <v/>
      </c>
      <c r="Q65" s="32" t="n"/>
      <c r="R65" s="32" t="n"/>
      <c r="S65" s="32" t="n"/>
      <c r="T65" s="33" t="n"/>
      <c r="U65" s="40">
        <f>'S29'!T65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'S29'!M66+L66</f>
        <v/>
      </c>
      <c r="N66" s="36">
        <f>IFERROR(M66/K66,0)</f>
        <v/>
      </c>
      <c r="O66" s="42">
        <f>'S29'!N66</f>
        <v/>
      </c>
      <c r="P66" s="36">
        <f>N66-O66</f>
        <v/>
      </c>
      <c r="Q66" s="32" t="n"/>
      <c r="R66" s="32" t="n"/>
      <c r="S66" s="32" t="n"/>
      <c r="T66" s="33" t="n"/>
      <c r="U66" s="42">
        <f>'S29'!T66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'S29'!M67+L67</f>
        <v/>
      </c>
      <c r="N67" s="31">
        <f>IFERROR(M67/K67,0)</f>
        <v/>
      </c>
      <c r="O67" s="40">
        <f>'S29'!N67</f>
        <v/>
      </c>
      <c r="P67" s="31">
        <f>N67-O67</f>
        <v/>
      </c>
      <c r="Q67" s="32" t="n"/>
      <c r="R67" s="32" t="n"/>
      <c r="S67" s="32" t="n"/>
      <c r="T67" s="33" t="n"/>
      <c r="U67" s="40">
        <f>'S29'!T67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'S29'!M68+L68</f>
        <v/>
      </c>
      <c r="N68" s="36">
        <f>IFERROR(M68/K68,0)</f>
        <v/>
      </c>
      <c r="O68" s="42">
        <f>'S29'!N68</f>
        <v/>
      </c>
      <c r="P68" s="36">
        <f>N68-O68</f>
        <v/>
      </c>
      <c r="Q68" s="32" t="n"/>
      <c r="R68" s="32" t="n"/>
      <c r="S68" s="32" t="n"/>
      <c r="T68" s="33" t="n"/>
      <c r="U68" s="42">
        <f>'S29'!T68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'S29'!M69+L69</f>
        <v/>
      </c>
      <c r="N69" s="31">
        <f>IFERROR(M69/K69,0)</f>
        <v/>
      </c>
      <c r="O69" s="40">
        <f>'S29'!N69</f>
        <v/>
      </c>
      <c r="P69" s="31">
        <f>N69-O69</f>
        <v/>
      </c>
      <c r="Q69" s="32" t="n"/>
      <c r="R69" s="32" t="n"/>
      <c r="S69" s="32" t="n"/>
      <c r="T69" s="33" t="n"/>
      <c r="U69" s="40">
        <f>'S29'!T69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'S29'!M70+L70</f>
        <v/>
      </c>
      <c r="N70" s="36">
        <f>IFERROR(M70/K70,0)</f>
        <v/>
      </c>
      <c r="O70" s="42">
        <f>'S29'!N70</f>
        <v/>
      </c>
      <c r="P70" s="36">
        <f>N70-O70</f>
        <v/>
      </c>
      <c r="Q70" s="32" t="n"/>
      <c r="R70" s="32" t="n"/>
      <c r="S70" s="32" t="n"/>
      <c r="T70" s="33" t="n"/>
      <c r="U70" s="42">
        <f>'S29'!T70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'S29'!M71+L71</f>
        <v/>
      </c>
      <c r="N71" s="31">
        <f>IFERROR(M71/K71,0)</f>
        <v/>
      </c>
      <c r="O71" s="40">
        <f>'S29'!N71</f>
        <v/>
      </c>
      <c r="P71" s="31">
        <f>N71-O71</f>
        <v/>
      </c>
      <c r="Q71" s="32" t="n"/>
      <c r="R71" s="32" t="n"/>
      <c r="S71" s="32" t="n"/>
      <c r="T71" s="33" t="n"/>
      <c r="U71" s="40">
        <f>'S29'!T71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'S29'!M72+L72</f>
        <v/>
      </c>
      <c r="N72" s="36">
        <f>IFERROR(M72/K72,0)</f>
        <v/>
      </c>
      <c r="O72" s="42">
        <f>'S29'!N72</f>
        <v/>
      </c>
      <c r="P72" s="36">
        <f>N72-O72</f>
        <v/>
      </c>
      <c r="Q72" s="32" t="n"/>
      <c r="R72" s="32" t="n"/>
      <c r="S72" s="32" t="n"/>
      <c r="T72" s="33" t="n"/>
      <c r="U72" s="42">
        <f>'S29'!T72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'S29'!M73+L73</f>
        <v/>
      </c>
      <c r="N73" s="31">
        <f>IFERROR(M73/K73,0)</f>
        <v/>
      </c>
      <c r="O73" s="40">
        <f>'S29'!N73</f>
        <v/>
      </c>
      <c r="P73" s="31">
        <f>N73-O73</f>
        <v/>
      </c>
      <c r="Q73" s="32" t="n"/>
      <c r="R73" s="32" t="n"/>
      <c r="S73" s="32" t="n"/>
      <c r="T73" s="33" t="n"/>
      <c r="U73" s="40">
        <f>'S29'!T73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'S29'!M74+L74</f>
        <v/>
      </c>
      <c r="N74" s="36">
        <f>IFERROR(M74/K74,0)</f>
        <v/>
      </c>
      <c r="O74" s="42">
        <f>'S29'!N74</f>
        <v/>
      </c>
      <c r="P74" s="36">
        <f>N74-O74</f>
        <v/>
      </c>
      <c r="Q74" s="32" t="n"/>
      <c r="R74" s="32" t="n"/>
      <c r="S74" s="32" t="n"/>
      <c r="T74" s="33" t="n"/>
      <c r="U74" s="42">
        <f>'S29'!T74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'S29'!M75+L75</f>
        <v/>
      </c>
      <c r="N75" s="31">
        <f>IFERROR(M75/K75,0)</f>
        <v/>
      </c>
      <c r="O75" s="40">
        <f>'S29'!N75</f>
        <v/>
      </c>
      <c r="P75" s="31">
        <f>N75-O75</f>
        <v/>
      </c>
      <c r="Q75" s="32" t="n"/>
      <c r="R75" s="32" t="n"/>
      <c r="S75" s="32" t="n"/>
      <c r="T75" s="33" t="n"/>
      <c r="U75" s="40">
        <f>'S29'!T75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'S29'!M76+L76</f>
        <v/>
      </c>
      <c r="N76" s="36">
        <f>IFERROR(M76/K76,0)</f>
        <v/>
      </c>
      <c r="O76" s="42">
        <f>'S29'!N76</f>
        <v/>
      </c>
      <c r="P76" s="36">
        <f>N76-O76</f>
        <v/>
      </c>
      <c r="Q76" s="32" t="n"/>
      <c r="R76" s="32" t="n"/>
      <c r="S76" s="32" t="n"/>
      <c r="T76" s="33" t="n"/>
      <c r="U76" s="42">
        <f>'S29'!T76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33.xml><?xml version="1.0" encoding="utf-8"?>
<worksheet xmlns="http://schemas.openxmlformats.org/spreadsheetml/2006/main">
  <sheetPr>
    <tabColor rgb="00C55A11"/>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31 (27/07 - 02/08) — Juillet 2026 - Exécution Physique et Financière</t>
        </is>
      </c>
    </row>
    <row r="3" ht="22" customHeight="1">
      <c r="B3" s="20" t="inlineStr">
        <is>
          <t>Date :</t>
        </is>
      </c>
      <c r="C3" s="21" t="n">
        <v>46230</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'S30'!M5+L5</f>
        <v/>
      </c>
      <c r="N5" s="31">
        <f>IFERROR(M5/K5,0)</f>
        <v/>
      </c>
      <c r="O5" s="40">
        <f>'S30'!N5</f>
        <v/>
      </c>
      <c r="P5" s="31">
        <f>N5-O5</f>
        <v/>
      </c>
      <c r="Q5" s="32" t="n"/>
      <c r="R5" s="32" t="n"/>
      <c r="S5" s="32" t="n"/>
      <c r="T5" s="33" t="n"/>
      <c r="U5" s="40">
        <f>'S30'!T5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'S30'!M6+L6</f>
        <v/>
      </c>
      <c r="N6" s="36">
        <f>IFERROR(M6/K6,0)</f>
        <v/>
      </c>
      <c r="O6" s="42">
        <f>'S30'!N6</f>
        <v/>
      </c>
      <c r="P6" s="36">
        <f>N6-O6</f>
        <v/>
      </c>
      <c r="Q6" s="32" t="n"/>
      <c r="R6" s="32" t="n"/>
      <c r="S6" s="32" t="n"/>
      <c r="T6" s="33" t="n"/>
      <c r="U6" s="42">
        <f>'S30'!T6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'S30'!M7+L7</f>
        <v/>
      </c>
      <c r="N7" s="31">
        <f>IFERROR(M7/K7,0)</f>
        <v/>
      </c>
      <c r="O7" s="40">
        <f>'S30'!N7</f>
        <v/>
      </c>
      <c r="P7" s="31">
        <f>N7-O7</f>
        <v/>
      </c>
      <c r="Q7" s="32" t="n"/>
      <c r="R7" s="32" t="n"/>
      <c r="S7" s="32" t="n"/>
      <c r="T7" s="33" t="n"/>
      <c r="U7" s="40">
        <f>'S30'!T7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'S30'!M8+L8</f>
        <v/>
      </c>
      <c r="N8" s="36">
        <f>IFERROR(M8/K8,0)</f>
        <v/>
      </c>
      <c r="O8" s="42">
        <f>'S30'!N8</f>
        <v/>
      </c>
      <c r="P8" s="36">
        <f>N8-O8</f>
        <v/>
      </c>
      <c r="Q8" s="32" t="n"/>
      <c r="R8" s="32" t="n"/>
      <c r="S8" s="32" t="n"/>
      <c r="T8" s="33" t="n"/>
      <c r="U8" s="42">
        <f>'S30'!T8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'S30'!M9+L9</f>
        <v/>
      </c>
      <c r="N9" s="31">
        <f>IFERROR(M9/K9,0)</f>
        <v/>
      </c>
      <c r="O9" s="40">
        <f>'S30'!N9</f>
        <v/>
      </c>
      <c r="P9" s="31">
        <f>N9-O9</f>
        <v/>
      </c>
      <c r="Q9" s="32" t="n"/>
      <c r="R9" s="32" t="n"/>
      <c r="S9" s="32" t="n"/>
      <c r="T9" s="33" t="n"/>
      <c r="U9" s="40">
        <f>'S30'!T9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'S30'!M10+L10</f>
        <v/>
      </c>
      <c r="N10" s="36">
        <f>IFERROR(M10/K10,0)</f>
        <v/>
      </c>
      <c r="O10" s="42">
        <f>'S30'!N10</f>
        <v/>
      </c>
      <c r="P10" s="36">
        <f>N10-O10</f>
        <v/>
      </c>
      <c r="Q10" s="32" t="n"/>
      <c r="R10" s="32" t="n"/>
      <c r="S10" s="32" t="n"/>
      <c r="T10" s="33" t="n"/>
      <c r="U10" s="42">
        <f>'S30'!T10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'S30'!M11+L11</f>
        <v/>
      </c>
      <c r="N11" s="31">
        <f>IFERROR(M11/K11,0)</f>
        <v/>
      </c>
      <c r="O11" s="40">
        <f>'S30'!N11</f>
        <v/>
      </c>
      <c r="P11" s="31">
        <f>N11-O11</f>
        <v/>
      </c>
      <c r="Q11" s="32" t="n"/>
      <c r="R11" s="32" t="n"/>
      <c r="S11" s="32" t="n"/>
      <c r="T11" s="33" t="n"/>
      <c r="U11" s="40">
        <f>'S30'!T11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'S30'!M12+L12</f>
        <v/>
      </c>
      <c r="N12" s="36">
        <f>IFERROR(M12/K12,0)</f>
        <v/>
      </c>
      <c r="O12" s="42">
        <f>'S30'!N12</f>
        <v/>
      </c>
      <c r="P12" s="36">
        <f>N12-O12</f>
        <v/>
      </c>
      <c r="Q12" s="32" t="n"/>
      <c r="R12" s="32" t="n"/>
      <c r="S12" s="32" t="n"/>
      <c r="T12" s="33" t="n"/>
      <c r="U12" s="42">
        <f>'S30'!T12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'S30'!M13+L13</f>
        <v/>
      </c>
      <c r="N13" s="31">
        <f>IFERROR(M13/K13,0)</f>
        <v/>
      </c>
      <c r="O13" s="40">
        <f>'S30'!N13</f>
        <v/>
      </c>
      <c r="P13" s="31">
        <f>N13-O13</f>
        <v/>
      </c>
      <c r="Q13" s="32" t="n"/>
      <c r="R13" s="32" t="n"/>
      <c r="S13" s="32" t="n"/>
      <c r="T13" s="33" t="n"/>
      <c r="U13" s="40">
        <f>'S30'!T13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'S30'!M14+L14</f>
        <v/>
      </c>
      <c r="N14" s="36">
        <f>IFERROR(M14/K14,0)</f>
        <v/>
      </c>
      <c r="O14" s="42">
        <f>'S30'!N14</f>
        <v/>
      </c>
      <c r="P14" s="36">
        <f>N14-O14</f>
        <v/>
      </c>
      <c r="Q14" s="32" t="n"/>
      <c r="R14" s="32" t="n"/>
      <c r="S14" s="32" t="n"/>
      <c r="T14" s="33" t="n"/>
      <c r="U14" s="42">
        <f>'S30'!T14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'S30'!M15+L15</f>
        <v/>
      </c>
      <c r="N15" s="31">
        <f>IFERROR(M15/K15,0)</f>
        <v/>
      </c>
      <c r="O15" s="40">
        <f>'S30'!N15</f>
        <v/>
      </c>
      <c r="P15" s="31">
        <f>N15-O15</f>
        <v/>
      </c>
      <c r="Q15" s="32" t="n"/>
      <c r="R15" s="32" t="n"/>
      <c r="S15" s="32" t="n"/>
      <c r="T15" s="33" t="n"/>
      <c r="U15" s="40">
        <f>'S30'!T15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'S30'!M16+L16</f>
        <v/>
      </c>
      <c r="N16" s="36">
        <f>IFERROR(M16/K16,0)</f>
        <v/>
      </c>
      <c r="O16" s="42">
        <f>'S30'!N16</f>
        <v/>
      </c>
      <c r="P16" s="36">
        <f>N16-O16</f>
        <v/>
      </c>
      <c r="Q16" s="32" t="n"/>
      <c r="R16" s="32" t="n"/>
      <c r="S16" s="32" t="n"/>
      <c r="T16" s="33" t="n"/>
      <c r="U16" s="42">
        <f>'S30'!T16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'S30'!M17+L17</f>
        <v/>
      </c>
      <c r="N17" s="31">
        <f>IFERROR(M17/K17,0)</f>
        <v/>
      </c>
      <c r="O17" s="40">
        <f>'S30'!N17</f>
        <v/>
      </c>
      <c r="P17" s="31">
        <f>N17-O17</f>
        <v/>
      </c>
      <c r="Q17" s="32" t="n"/>
      <c r="R17" s="32" t="n"/>
      <c r="S17" s="32" t="n"/>
      <c r="T17" s="33" t="n"/>
      <c r="U17" s="40">
        <f>'S30'!T17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'S30'!M18+L18</f>
        <v/>
      </c>
      <c r="N18" s="36">
        <f>IFERROR(M18/K18,0)</f>
        <v/>
      </c>
      <c r="O18" s="42">
        <f>'S30'!N18</f>
        <v/>
      </c>
      <c r="P18" s="36">
        <f>N18-O18</f>
        <v/>
      </c>
      <c r="Q18" s="32" t="n"/>
      <c r="R18" s="32" t="n"/>
      <c r="S18" s="32" t="n"/>
      <c r="T18" s="33" t="n"/>
      <c r="U18" s="42">
        <f>'S30'!T18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'S30'!M19+L19</f>
        <v/>
      </c>
      <c r="N19" s="31">
        <f>IFERROR(M19/K19,0)</f>
        <v/>
      </c>
      <c r="O19" s="40">
        <f>'S30'!N19</f>
        <v/>
      </c>
      <c r="P19" s="31">
        <f>N19-O19</f>
        <v/>
      </c>
      <c r="Q19" s="32" t="n"/>
      <c r="R19" s="32" t="n"/>
      <c r="S19" s="32" t="n"/>
      <c r="T19" s="33" t="n"/>
      <c r="U19" s="40">
        <f>'S30'!T19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'S30'!M20+L20</f>
        <v/>
      </c>
      <c r="N20" s="36">
        <f>IFERROR(M20/K20,0)</f>
        <v/>
      </c>
      <c r="O20" s="42">
        <f>'S30'!N20</f>
        <v/>
      </c>
      <c r="P20" s="36">
        <f>N20-O20</f>
        <v/>
      </c>
      <c r="Q20" s="32" t="n"/>
      <c r="R20" s="32" t="n"/>
      <c r="S20" s="32" t="n"/>
      <c r="T20" s="33" t="n"/>
      <c r="U20" s="42">
        <f>'S30'!T20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'S30'!M21+L21</f>
        <v/>
      </c>
      <c r="N21" s="31">
        <f>IFERROR(M21/K21,0)</f>
        <v/>
      </c>
      <c r="O21" s="40">
        <f>'S30'!N21</f>
        <v/>
      </c>
      <c r="P21" s="31">
        <f>N21-O21</f>
        <v/>
      </c>
      <c r="Q21" s="32" t="n"/>
      <c r="R21" s="32" t="n"/>
      <c r="S21" s="32" t="n"/>
      <c r="T21" s="33" t="n"/>
      <c r="U21" s="40">
        <f>'S30'!T21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'S30'!M22+L22</f>
        <v/>
      </c>
      <c r="N22" s="36">
        <f>IFERROR(M22/K22,0)</f>
        <v/>
      </c>
      <c r="O22" s="42">
        <f>'S30'!N22</f>
        <v/>
      </c>
      <c r="P22" s="36">
        <f>N22-O22</f>
        <v/>
      </c>
      <c r="Q22" s="32" t="n"/>
      <c r="R22" s="32" t="n"/>
      <c r="S22" s="32" t="n"/>
      <c r="T22" s="33" t="n"/>
      <c r="U22" s="42">
        <f>'S30'!T22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'S30'!M23+L23</f>
        <v/>
      </c>
      <c r="N23" s="31">
        <f>IFERROR(M23/K23,0)</f>
        <v/>
      </c>
      <c r="O23" s="40">
        <f>'S30'!N23</f>
        <v/>
      </c>
      <c r="P23" s="31">
        <f>N23-O23</f>
        <v/>
      </c>
      <c r="Q23" s="32" t="n"/>
      <c r="R23" s="32" t="n"/>
      <c r="S23" s="32" t="n"/>
      <c r="T23" s="33" t="n"/>
      <c r="U23" s="40">
        <f>'S30'!T23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'S30'!M24+L24</f>
        <v/>
      </c>
      <c r="N24" s="36">
        <f>IFERROR(M24/K24,0)</f>
        <v/>
      </c>
      <c r="O24" s="42">
        <f>'S30'!N24</f>
        <v/>
      </c>
      <c r="P24" s="36">
        <f>N24-O24</f>
        <v/>
      </c>
      <c r="Q24" s="32" t="n"/>
      <c r="R24" s="32" t="n"/>
      <c r="S24" s="32" t="n"/>
      <c r="T24" s="33" t="n"/>
      <c r="U24" s="42">
        <f>'S30'!T24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'S30'!M25+L25</f>
        <v/>
      </c>
      <c r="N25" s="31">
        <f>IFERROR(M25/K25,0)</f>
        <v/>
      </c>
      <c r="O25" s="40">
        <f>'S30'!N25</f>
        <v/>
      </c>
      <c r="P25" s="31">
        <f>N25-O25</f>
        <v/>
      </c>
      <c r="Q25" s="32" t="n"/>
      <c r="R25" s="32" t="n"/>
      <c r="S25" s="32" t="n"/>
      <c r="T25" s="33" t="n"/>
      <c r="U25" s="40">
        <f>'S30'!T25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'S30'!M26+L26</f>
        <v/>
      </c>
      <c r="N26" s="36">
        <f>IFERROR(M26/K26,0)</f>
        <v/>
      </c>
      <c r="O26" s="42">
        <f>'S30'!N26</f>
        <v/>
      </c>
      <c r="P26" s="36">
        <f>N26-O26</f>
        <v/>
      </c>
      <c r="Q26" s="32" t="n"/>
      <c r="R26" s="32" t="n"/>
      <c r="S26" s="32" t="n"/>
      <c r="T26" s="33" t="n"/>
      <c r="U26" s="42">
        <f>'S30'!T26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'S30'!M27+L27</f>
        <v/>
      </c>
      <c r="N27" s="31">
        <f>IFERROR(M27/K27,0)</f>
        <v/>
      </c>
      <c r="O27" s="40">
        <f>'S30'!N27</f>
        <v/>
      </c>
      <c r="P27" s="31">
        <f>N27-O27</f>
        <v/>
      </c>
      <c r="Q27" s="32" t="n"/>
      <c r="R27" s="32" t="n"/>
      <c r="S27" s="32" t="n"/>
      <c r="T27" s="33" t="n"/>
      <c r="U27" s="40">
        <f>'S30'!T27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'S30'!M28+L28</f>
        <v/>
      </c>
      <c r="N28" s="36">
        <f>IFERROR(M28/K28,0)</f>
        <v/>
      </c>
      <c r="O28" s="42">
        <f>'S30'!N28</f>
        <v/>
      </c>
      <c r="P28" s="36">
        <f>N28-O28</f>
        <v/>
      </c>
      <c r="Q28" s="32" t="n"/>
      <c r="R28" s="32" t="n"/>
      <c r="S28" s="32" t="n"/>
      <c r="T28" s="33" t="n"/>
      <c r="U28" s="42">
        <f>'S30'!T28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'S30'!M29+L29</f>
        <v/>
      </c>
      <c r="N29" s="31">
        <f>IFERROR(M29/K29,0)</f>
        <v/>
      </c>
      <c r="O29" s="40">
        <f>'S30'!N29</f>
        <v/>
      </c>
      <c r="P29" s="31">
        <f>N29-O29</f>
        <v/>
      </c>
      <c r="Q29" s="32" t="n"/>
      <c r="R29" s="32" t="n"/>
      <c r="S29" s="32" t="n"/>
      <c r="T29" s="33" t="n"/>
      <c r="U29" s="40">
        <f>'S30'!T29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'S30'!M30+L30</f>
        <v/>
      </c>
      <c r="N30" s="36">
        <f>IFERROR(M30/K30,0)</f>
        <v/>
      </c>
      <c r="O30" s="42">
        <f>'S30'!N30</f>
        <v/>
      </c>
      <c r="P30" s="36">
        <f>N30-O30</f>
        <v/>
      </c>
      <c r="Q30" s="32" t="n"/>
      <c r="R30" s="32" t="n"/>
      <c r="S30" s="32" t="n"/>
      <c r="T30" s="33" t="n"/>
      <c r="U30" s="42">
        <f>'S30'!T30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'S30'!M31+L31</f>
        <v/>
      </c>
      <c r="N31" s="31">
        <f>IFERROR(M31/K31,0)</f>
        <v/>
      </c>
      <c r="O31" s="40">
        <f>'S30'!N31</f>
        <v/>
      </c>
      <c r="P31" s="31">
        <f>N31-O31</f>
        <v/>
      </c>
      <c r="Q31" s="32" t="n"/>
      <c r="R31" s="32" t="n"/>
      <c r="S31" s="32" t="n"/>
      <c r="T31" s="33" t="n"/>
      <c r="U31" s="40">
        <f>'S30'!T31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'S30'!M32+L32</f>
        <v/>
      </c>
      <c r="N32" s="36">
        <f>IFERROR(M32/K32,0)</f>
        <v/>
      </c>
      <c r="O32" s="42">
        <f>'S30'!N32</f>
        <v/>
      </c>
      <c r="P32" s="36">
        <f>N32-O32</f>
        <v/>
      </c>
      <c r="Q32" s="32" t="n"/>
      <c r="R32" s="32" t="n"/>
      <c r="S32" s="32" t="n"/>
      <c r="T32" s="33" t="n"/>
      <c r="U32" s="42">
        <f>'S30'!T32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'S30'!M33+L33</f>
        <v/>
      </c>
      <c r="N33" s="31">
        <f>IFERROR(M33/K33,0)</f>
        <v/>
      </c>
      <c r="O33" s="40">
        <f>'S30'!N33</f>
        <v/>
      </c>
      <c r="P33" s="31">
        <f>N33-O33</f>
        <v/>
      </c>
      <c r="Q33" s="32" t="n"/>
      <c r="R33" s="32" t="n"/>
      <c r="S33" s="32" t="n"/>
      <c r="T33" s="33" t="n"/>
      <c r="U33" s="40">
        <f>'S30'!T33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'S30'!M34+L34</f>
        <v/>
      </c>
      <c r="N34" s="36">
        <f>IFERROR(M34/K34,0)</f>
        <v/>
      </c>
      <c r="O34" s="42">
        <f>'S30'!N34</f>
        <v/>
      </c>
      <c r="P34" s="36">
        <f>N34-O34</f>
        <v/>
      </c>
      <c r="Q34" s="32" t="n"/>
      <c r="R34" s="32" t="n"/>
      <c r="S34" s="32" t="n"/>
      <c r="T34" s="33" t="n"/>
      <c r="U34" s="42">
        <f>'S30'!T34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'S30'!M35+L35</f>
        <v/>
      </c>
      <c r="N35" s="31">
        <f>IFERROR(M35/K35,0)</f>
        <v/>
      </c>
      <c r="O35" s="40">
        <f>'S30'!N35</f>
        <v/>
      </c>
      <c r="P35" s="31">
        <f>N35-O35</f>
        <v/>
      </c>
      <c r="Q35" s="32" t="n"/>
      <c r="R35" s="32" t="n"/>
      <c r="S35" s="32" t="n"/>
      <c r="T35" s="33" t="n"/>
      <c r="U35" s="40">
        <f>'S30'!T35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'S30'!M36+L36</f>
        <v/>
      </c>
      <c r="N36" s="36">
        <f>IFERROR(M36/K36,0)</f>
        <v/>
      </c>
      <c r="O36" s="42">
        <f>'S30'!N36</f>
        <v/>
      </c>
      <c r="P36" s="36">
        <f>N36-O36</f>
        <v/>
      </c>
      <c r="Q36" s="32" t="n"/>
      <c r="R36" s="32" t="n"/>
      <c r="S36" s="32" t="n"/>
      <c r="T36" s="33" t="n"/>
      <c r="U36" s="42">
        <f>'S30'!T36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'S30'!M37+L37</f>
        <v/>
      </c>
      <c r="N37" s="31">
        <f>IFERROR(M37/K37,0)</f>
        <v/>
      </c>
      <c r="O37" s="40">
        <f>'S30'!N37</f>
        <v/>
      </c>
      <c r="P37" s="31">
        <f>N37-O37</f>
        <v/>
      </c>
      <c r="Q37" s="32" t="n"/>
      <c r="R37" s="32" t="n"/>
      <c r="S37" s="32" t="n"/>
      <c r="T37" s="33" t="n"/>
      <c r="U37" s="40">
        <f>'S30'!T37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'S30'!M38+L38</f>
        <v/>
      </c>
      <c r="N38" s="36">
        <f>IFERROR(M38/K38,0)</f>
        <v/>
      </c>
      <c r="O38" s="42">
        <f>'S30'!N38</f>
        <v/>
      </c>
      <c r="P38" s="36">
        <f>N38-O38</f>
        <v/>
      </c>
      <c r="Q38" s="32" t="n"/>
      <c r="R38" s="32" t="n"/>
      <c r="S38" s="32" t="n"/>
      <c r="T38" s="33" t="n"/>
      <c r="U38" s="42">
        <f>'S30'!T38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'S30'!M39+L39</f>
        <v/>
      </c>
      <c r="N39" s="31">
        <f>IFERROR(M39/K39,0)</f>
        <v/>
      </c>
      <c r="O39" s="40">
        <f>'S30'!N39</f>
        <v/>
      </c>
      <c r="P39" s="31">
        <f>N39-O39</f>
        <v/>
      </c>
      <c r="Q39" s="32" t="n"/>
      <c r="R39" s="32" t="n"/>
      <c r="S39" s="32" t="n"/>
      <c r="T39" s="33" t="n"/>
      <c r="U39" s="40">
        <f>'S30'!T39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'S30'!M40+L40</f>
        <v/>
      </c>
      <c r="N40" s="36">
        <f>IFERROR(M40/K40,0)</f>
        <v/>
      </c>
      <c r="O40" s="42">
        <f>'S30'!N40</f>
        <v/>
      </c>
      <c r="P40" s="36">
        <f>N40-O40</f>
        <v/>
      </c>
      <c r="Q40" s="32" t="n"/>
      <c r="R40" s="32" t="n"/>
      <c r="S40" s="32" t="n"/>
      <c r="T40" s="33" t="n"/>
      <c r="U40" s="42">
        <f>'S30'!T40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'S30'!M41+L41</f>
        <v/>
      </c>
      <c r="N41" s="31">
        <f>IFERROR(M41/K41,0)</f>
        <v/>
      </c>
      <c r="O41" s="40">
        <f>'S30'!N41</f>
        <v/>
      </c>
      <c r="P41" s="31">
        <f>N41-O41</f>
        <v/>
      </c>
      <c r="Q41" s="32" t="n"/>
      <c r="R41" s="32" t="n"/>
      <c r="S41" s="32" t="n"/>
      <c r="T41" s="33" t="n"/>
      <c r="U41" s="40">
        <f>'S30'!T41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'S30'!M42+L42</f>
        <v/>
      </c>
      <c r="N42" s="36">
        <f>IFERROR(M42/K42,0)</f>
        <v/>
      </c>
      <c r="O42" s="42">
        <f>'S30'!N42</f>
        <v/>
      </c>
      <c r="P42" s="36">
        <f>N42-O42</f>
        <v/>
      </c>
      <c r="Q42" s="32" t="n"/>
      <c r="R42" s="32" t="n"/>
      <c r="S42" s="32" t="n"/>
      <c r="T42" s="33" t="n"/>
      <c r="U42" s="42">
        <f>'S30'!T42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'S30'!M43+L43</f>
        <v/>
      </c>
      <c r="N43" s="31">
        <f>IFERROR(M43/K43,0)</f>
        <v/>
      </c>
      <c r="O43" s="40">
        <f>'S30'!N43</f>
        <v/>
      </c>
      <c r="P43" s="31">
        <f>N43-O43</f>
        <v/>
      </c>
      <c r="Q43" s="32" t="n"/>
      <c r="R43" s="32" t="n"/>
      <c r="S43" s="32" t="n"/>
      <c r="T43" s="33" t="n"/>
      <c r="U43" s="40">
        <f>'S30'!T43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'S30'!M44+L44</f>
        <v/>
      </c>
      <c r="N44" s="36">
        <f>IFERROR(M44/K44,0)</f>
        <v/>
      </c>
      <c r="O44" s="42">
        <f>'S30'!N44</f>
        <v/>
      </c>
      <c r="P44" s="36">
        <f>N44-O44</f>
        <v/>
      </c>
      <c r="Q44" s="32" t="n"/>
      <c r="R44" s="32" t="n"/>
      <c r="S44" s="32" t="n"/>
      <c r="T44" s="33" t="n"/>
      <c r="U44" s="42">
        <f>'S30'!T44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'S30'!M45+L45</f>
        <v/>
      </c>
      <c r="N45" s="31">
        <f>IFERROR(M45/K45,0)</f>
        <v/>
      </c>
      <c r="O45" s="40">
        <f>'S30'!N45</f>
        <v/>
      </c>
      <c r="P45" s="31">
        <f>N45-O45</f>
        <v/>
      </c>
      <c r="Q45" s="32" t="n"/>
      <c r="R45" s="32" t="n"/>
      <c r="S45" s="32" t="n"/>
      <c r="T45" s="33" t="n"/>
      <c r="U45" s="40">
        <f>'S30'!T45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'S30'!M46+L46</f>
        <v/>
      </c>
      <c r="N46" s="36">
        <f>IFERROR(M46/K46,0)</f>
        <v/>
      </c>
      <c r="O46" s="42">
        <f>'S30'!N46</f>
        <v/>
      </c>
      <c r="P46" s="36">
        <f>N46-O46</f>
        <v/>
      </c>
      <c r="Q46" s="32" t="n"/>
      <c r="R46" s="32" t="n"/>
      <c r="S46" s="32" t="n"/>
      <c r="T46" s="33" t="n"/>
      <c r="U46" s="42">
        <f>'S30'!T46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'S30'!M47+L47</f>
        <v/>
      </c>
      <c r="N47" s="31">
        <f>IFERROR(M47/K47,0)</f>
        <v/>
      </c>
      <c r="O47" s="40">
        <f>'S30'!N47</f>
        <v/>
      </c>
      <c r="P47" s="31">
        <f>N47-O47</f>
        <v/>
      </c>
      <c r="Q47" s="32" t="n"/>
      <c r="R47" s="32" t="n"/>
      <c r="S47" s="32" t="n"/>
      <c r="T47" s="33" t="n"/>
      <c r="U47" s="40">
        <f>'S30'!T47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'S30'!M48+L48</f>
        <v/>
      </c>
      <c r="N48" s="36">
        <f>IFERROR(M48/K48,0)</f>
        <v/>
      </c>
      <c r="O48" s="42">
        <f>'S30'!N48</f>
        <v/>
      </c>
      <c r="P48" s="36">
        <f>N48-O48</f>
        <v/>
      </c>
      <c r="Q48" s="32" t="n"/>
      <c r="R48" s="32" t="n"/>
      <c r="S48" s="32" t="n"/>
      <c r="T48" s="33" t="n"/>
      <c r="U48" s="42">
        <f>'S30'!T48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'S30'!M49+L49</f>
        <v/>
      </c>
      <c r="N49" s="31">
        <f>IFERROR(M49/K49,0)</f>
        <v/>
      </c>
      <c r="O49" s="40">
        <f>'S30'!N49</f>
        <v/>
      </c>
      <c r="P49" s="31">
        <f>N49-O49</f>
        <v/>
      </c>
      <c r="Q49" s="32" t="n"/>
      <c r="R49" s="32" t="n"/>
      <c r="S49" s="32" t="n"/>
      <c r="T49" s="33" t="n"/>
      <c r="U49" s="40">
        <f>'S30'!T49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'S30'!M50+L50</f>
        <v/>
      </c>
      <c r="N50" s="36">
        <f>IFERROR(M50/K50,0)</f>
        <v/>
      </c>
      <c r="O50" s="42">
        <f>'S30'!N50</f>
        <v/>
      </c>
      <c r="P50" s="36">
        <f>N50-O50</f>
        <v/>
      </c>
      <c r="Q50" s="32" t="n"/>
      <c r="R50" s="32" t="n"/>
      <c r="S50" s="32" t="n"/>
      <c r="T50" s="33" t="n"/>
      <c r="U50" s="42">
        <f>'S30'!T50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'S30'!M51+L51</f>
        <v/>
      </c>
      <c r="N51" s="31">
        <f>IFERROR(M51/K51,0)</f>
        <v/>
      </c>
      <c r="O51" s="40">
        <f>'S30'!N51</f>
        <v/>
      </c>
      <c r="P51" s="31">
        <f>N51-O51</f>
        <v/>
      </c>
      <c r="Q51" s="32" t="n"/>
      <c r="R51" s="32" t="n"/>
      <c r="S51" s="32" t="n"/>
      <c r="T51" s="33" t="n"/>
      <c r="U51" s="40">
        <f>'S30'!T51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'S30'!M52+L52</f>
        <v/>
      </c>
      <c r="N52" s="36">
        <f>IFERROR(M52/K52,0)</f>
        <v/>
      </c>
      <c r="O52" s="42">
        <f>'S30'!N52</f>
        <v/>
      </c>
      <c r="P52" s="36">
        <f>N52-O52</f>
        <v/>
      </c>
      <c r="Q52" s="32" t="n"/>
      <c r="R52" s="32" t="n"/>
      <c r="S52" s="32" t="n"/>
      <c r="T52" s="33" t="n"/>
      <c r="U52" s="42">
        <f>'S30'!T52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'S30'!M53+L53</f>
        <v/>
      </c>
      <c r="N53" s="31">
        <f>IFERROR(M53/K53,0)</f>
        <v/>
      </c>
      <c r="O53" s="40">
        <f>'S30'!N53</f>
        <v/>
      </c>
      <c r="P53" s="31">
        <f>N53-O53</f>
        <v/>
      </c>
      <c r="Q53" s="32" t="n"/>
      <c r="R53" s="32" t="n"/>
      <c r="S53" s="32" t="n"/>
      <c r="T53" s="33" t="n"/>
      <c r="U53" s="40">
        <f>'S30'!T53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'S30'!M54+L54</f>
        <v/>
      </c>
      <c r="N54" s="36">
        <f>IFERROR(M54/K54,0)</f>
        <v/>
      </c>
      <c r="O54" s="42">
        <f>'S30'!N54</f>
        <v/>
      </c>
      <c r="P54" s="36">
        <f>N54-O54</f>
        <v/>
      </c>
      <c r="Q54" s="32" t="n"/>
      <c r="R54" s="32" t="n"/>
      <c r="S54" s="32" t="n"/>
      <c r="T54" s="33" t="n"/>
      <c r="U54" s="42">
        <f>'S30'!T54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'S30'!M55+L55</f>
        <v/>
      </c>
      <c r="N55" s="31">
        <f>IFERROR(M55/K55,0)</f>
        <v/>
      </c>
      <c r="O55" s="40">
        <f>'S30'!N55</f>
        <v/>
      </c>
      <c r="P55" s="31">
        <f>N55-O55</f>
        <v/>
      </c>
      <c r="Q55" s="32" t="n"/>
      <c r="R55" s="32" t="n"/>
      <c r="S55" s="32" t="n"/>
      <c r="T55" s="33" t="n"/>
      <c r="U55" s="40">
        <f>'S30'!T55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'S30'!M56+L56</f>
        <v/>
      </c>
      <c r="N56" s="36">
        <f>IFERROR(M56/K56,0)</f>
        <v/>
      </c>
      <c r="O56" s="42">
        <f>'S30'!N56</f>
        <v/>
      </c>
      <c r="P56" s="36">
        <f>N56-O56</f>
        <v/>
      </c>
      <c r="Q56" s="32" t="n"/>
      <c r="R56" s="32" t="n"/>
      <c r="S56" s="32" t="n"/>
      <c r="T56" s="33" t="n"/>
      <c r="U56" s="42">
        <f>'S30'!T56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'S30'!M57+L57</f>
        <v/>
      </c>
      <c r="N57" s="31">
        <f>IFERROR(M57/K57,0)</f>
        <v/>
      </c>
      <c r="O57" s="40">
        <f>'S30'!N57</f>
        <v/>
      </c>
      <c r="P57" s="31">
        <f>N57-O57</f>
        <v/>
      </c>
      <c r="Q57" s="32" t="n"/>
      <c r="R57" s="32" t="n"/>
      <c r="S57" s="32" t="n"/>
      <c r="T57" s="33" t="n"/>
      <c r="U57" s="40">
        <f>'S30'!T57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'S30'!M58+L58</f>
        <v/>
      </c>
      <c r="N58" s="36">
        <f>IFERROR(M58/K58,0)</f>
        <v/>
      </c>
      <c r="O58" s="42">
        <f>'S30'!N58</f>
        <v/>
      </c>
      <c r="P58" s="36">
        <f>N58-O58</f>
        <v/>
      </c>
      <c r="Q58" s="32" t="n"/>
      <c r="R58" s="32" t="n"/>
      <c r="S58" s="32" t="n"/>
      <c r="T58" s="33" t="n"/>
      <c r="U58" s="42">
        <f>'S30'!T58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'S30'!M59+L59</f>
        <v/>
      </c>
      <c r="N59" s="31">
        <f>IFERROR(M59/K59,0)</f>
        <v/>
      </c>
      <c r="O59" s="40">
        <f>'S30'!N59</f>
        <v/>
      </c>
      <c r="P59" s="31">
        <f>N59-O59</f>
        <v/>
      </c>
      <c r="Q59" s="32" t="n"/>
      <c r="R59" s="32" t="n"/>
      <c r="S59" s="32" t="n"/>
      <c r="T59" s="33" t="n"/>
      <c r="U59" s="40">
        <f>'S30'!T59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'S30'!M60+L60</f>
        <v/>
      </c>
      <c r="N60" s="36">
        <f>IFERROR(M60/K60,0)</f>
        <v/>
      </c>
      <c r="O60" s="42">
        <f>'S30'!N60</f>
        <v/>
      </c>
      <c r="P60" s="36">
        <f>N60-O60</f>
        <v/>
      </c>
      <c r="Q60" s="32" t="n"/>
      <c r="R60" s="32" t="n"/>
      <c r="S60" s="32" t="n"/>
      <c r="T60" s="33" t="n"/>
      <c r="U60" s="42">
        <f>'S30'!T60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'S30'!M61+L61</f>
        <v/>
      </c>
      <c r="N61" s="31">
        <f>IFERROR(M61/K61,0)</f>
        <v/>
      </c>
      <c r="O61" s="40">
        <f>'S30'!N61</f>
        <v/>
      </c>
      <c r="P61" s="31">
        <f>N61-O61</f>
        <v/>
      </c>
      <c r="Q61" s="32" t="n"/>
      <c r="R61" s="32" t="n"/>
      <c r="S61" s="32" t="n"/>
      <c r="T61" s="33" t="n"/>
      <c r="U61" s="40">
        <f>'S30'!T61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'S30'!M62+L62</f>
        <v/>
      </c>
      <c r="N62" s="36">
        <f>IFERROR(M62/K62,0)</f>
        <v/>
      </c>
      <c r="O62" s="42">
        <f>'S30'!N62</f>
        <v/>
      </c>
      <c r="P62" s="36">
        <f>N62-O62</f>
        <v/>
      </c>
      <c r="Q62" s="32" t="n"/>
      <c r="R62" s="32" t="n"/>
      <c r="S62" s="32" t="n"/>
      <c r="T62" s="33" t="n"/>
      <c r="U62" s="42">
        <f>'S30'!T62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'S30'!M63+L63</f>
        <v/>
      </c>
      <c r="N63" s="31">
        <f>IFERROR(M63/K63,0)</f>
        <v/>
      </c>
      <c r="O63" s="40">
        <f>'S30'!N63</f>
        <v/>
      </c>
      <c r="P63" s="31">
        <f>N63-O63</f>
        <v/>
      </c>
      <c r="Q63" s="32" t="n"/>
      <c r="R63" s="32" t="n"/>
      <c r="S63" s="32" t="n"/>
      <c r="T63" s="33" t="n"/>
      <c r="U63" s="40">
        <f>'S30'!T63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'S30'!M64+L64</f>
        <v/>
      </c>
      <c r="N64" s="36">
        <f>IFERROR(M64/K64,0)</f>
        <v/>
      </c>
      <c r="O64" s="42">
        <f>'S30'!N64</f>
        <v/>
      </c>
      <c r="P64" s="36">
        <f>N64-O64</f>
        <v/>
      </c>
      <c r="Q64" s="32" t="n"/>
      <c r="R64" s="32" t="n"/>
      <c r="S64" s="32" t="n"/>
      <c r="T64" s="33" t="n"/>
      <c r="U64" s="42">
        <f>'S30'!T64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'S30'!M65+L65</f>
        <v/>
      </c>
      <c r="N65" s="31">
        <f>IFERROR(M65/K65,0)</f>
        <v/>
      </c>
      <c r="O65" s="40">
        <f>'S30'!N65</f>
        <v/>
      </c>
      <c r="P65" s="31">
        <f>N65-O65</f>
        <v/>
      </c>
      <c r="Q65" s="32" t="n"/>
      <c r="R65" s="32" t="n"/>
      <c r="S65" s="32" t="n"/>
      <c r="T65" s="33" t="n"/>
      <c r="U65" s="40">
        <f>'S30'!T65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'S30'!M66+L66</f>
        <v/>
      </c>
      <c r="N66" s="36">
        <f>IFERROR(M66/K66,0)</f>
        <v/>
      </c>
      <c r="O66" s="42">
        <f>'S30'!N66</f>
        <v/>
      </c>
      <c r="P66" s="36">
        <f>N66-O66</f>
        <v/>
      </c>
      <c r="Q66" s="32" t="n"/>
      <c r="R66" s="32" t="n"/>
      <c r="S66" s="32" t="n"/>
      <c r="T66" s="33" t="n"/>
      <c r="U66" s="42">
        <f>'S30'!T66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'S30'!M67+L67</f>
        <v/>
      </c>
      <c r="N67" s="31">
        <f>IFERROR(M67/K67,0)</f>
        <v/>
      </c>
      <c r="O67" s="40">
        <f>'S30'!N67</f>
        <v/>
      </c>
      <c r="P67" s="31">
        <f>N67-O67</f>
        <v/>
      </c>
      <c r="Q67" s="32" t="n"/>
      <c r="R67" s="32" t="n"/>
      <c r="S67" s="32" t="n"/>
      <c r="T67" s="33" t="n"/>
      <c r="U67" s="40">
        <f>'S30'!T67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'S30'!M68+L68</f>
        <v/>
      </c>
      <c r="N68" s="36">
        <f>IFERROR(M68/K68,0)</f>
        <v/>
      </c>
      <c r="O68" s="42">
        <f>'S30'!N68</f>
        <v/>
      </c>
      <c r="P68" s="36">
        <f>N68-O68</f>
        <v/>
      </c>
      <c r="Q68" s="32" t="n"/>
      <c r="R68" s="32" t="n"/>
      <c r="S68" s="32" t="n"/>
      <c r="T68" s="33" t="n"/>
      <c r="U68" s="42">
        <f>'S30'!T68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'S30'!M69+L69</f>
        <v/>
      </c>
      <c r="N69" s="31">
        <f>IFERROR(M69/K69,0)</f>
        <v/>
      </c>
      <c r="O69" s="40">
        <f>'S30'!N69</f>
        <v/>
      </c>
      <c r="P69" s="31">
        <f>N69-O69</f>
        <v/>
      </c>
      <c r="Q69" s="32" t="n"/>
      <c r="R69" s="32" t="n"/>
      <c r="S69" s="32" t="n"/>
      <c r="T69" s="33" t="n"/>
      <c r="U69" s="40">
        <f>'S30'!T69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'S30'!M70+L70</f>
        <v/>
      </c>
      <c r="N70" s="36">
        <f>IFERROR(M70/K70,0)</f>
        <v/>
      </c>
      <c r="O70" s="42">
        <f>'S30'!N70</f>
        <v/>
      </c>
      <c r="P70" s="36">
        <f>N70-O70</f>
        <v/>
      </c>
      <c r="Q70" s="32" t="n"/>
      <c r="R70" s="32" t="n"/>
      <c r="S70" s="32" t="n"/>
      <c r="T70" s="33" t="n"/>
      <c r="U70" s="42">
        <f>'S30'!T70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'S30'!M71+L71</f>
        <v/>
      </c>
      <c r="N71" s="31">
        <f>IFERROR(M71/K71,0)</f>
        <v/>
      </c>
      <c r="O71" s="40">
        <f>'S30'!N71</f>
        <v/>
      </c>
      <c r="P71" s="31">
        <f>N71-O71</f>
        <v/>
      </c>
      <c r="Q71" s="32" t="n"/>
      <c r="R71" s="32" t="n"/>
      <c r="S71" s="32" t="n"/>
      <c r="T71" s="33" t="n"/>
      <c r="U71" s="40">
        <f>'S30'!T71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'S30'!M72+L72</f>
        <v/>
      </c>
      <c r="N72" s="36">
        <f>IFERROR(M72/K72,0)</f>
        <v/>
      </c>
      <c r="O72" s="42">
        <f>'S30'!N72</f>
        <v/>
      </c>
      <c r="P72" s="36">
        <f>N72-O72</f>
        <v/>
      </c>
      <c r="Q72" s="32" t="n"/>
      <c r="R72" s="32" t="n"/>
      <c r="S72" s="32" t="n"/>
      <c r="T72" s="33" t="n"/>
      <c r="U72" s="42">
        <f>'S30'!T72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'S30'!M73+L73</f>
        <v/>
      </c>
      <c r="N73" s="31">
        <f>IFERROR(M73/K73,0)</f>
        <v/>
      </c>
      <c r="O73" s="40">
        <f>'S30'!N73</f>
        <v/>
      </c>
      <c r="P73" s="31">
        <f>N73-O73</f>
        <v/>
      </c>
      <c r="Q73" s="32" t="n"/>
      <c r="R73" s="32" t="n"/>
      <c r="S73" s="32" t="n"/>
      <c r="T73" s="33" t="n"/>
      <c r="U73" s="40">
        <f>'S30'!T73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'S30'!M74+L74</f>
        <v/>
      </c>
      <c r="N74" s="36">
        <f>IFERROR(M74/K74,0)</f>
        <v/>
      </c>
      <c r="O74" s="42">
        <f>'S30'!N74</f>
        <v/>
      </c>
      <c r="P74" s="36">
        <f>N74-O74</f>
        <v/>
      </c>
      <c r="Q74" s="32" t="n"/>
      <c r="R74" s="32" t="n"/>
      <c r="S74" s="32" t="n"/>
      <c r="T74" s="33" t="n"/>
      <c r="U74" s="42">
        <f>'S30'!T74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'S30'!M75+L75</f>
        <v/>
      </c>
      <c r="N75" s="31">
        <f>IFERROR(M75/K75,0)</f>
        <v/>
      </c>
      <c r="O75" s="40">
        <f>'S30'!N75</f>
        <v/>
      </c>
      <c r="P75" s="31">
        <f>N75-O75</f>
        <v/>
      </c>
      <c r="Q75" s="32" t="n"/>
      <c r="R75" s="32" t="n"/>
      <c r="S75" s="32" t="n"/>
      <c r="T75" s="33" t="n"/>
      <c r="U75" s="40">
        <f>'S30'!T75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'S30'!M76+L76</f>
        <v/>
      </c>
      <c r="N76" s="36">
        <f>IFERROR(M76/K76,0)</f>
        <v/>
      </c>
      <c r="O76" s="42">
        <f>'S30'!N76</f>
        <v/>
      </c>
      <c r="P76" s="36">
        <f>N76-O76</f>
        <v/>
      </c>
      <c r="Q76" s="32" t="n"/>
      <c r="R76" s="32" t="n"/>
      <c r="S76" s="32" t="n"/>
      <c r="T76" s="33" t="n"/>
      <c r="U76" s="42">
        <f>'S30'!T76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34.xml><?xml version="1.0" encoding="utf-8"?>
<worksheet xmlns="http://schemas.openxmlformats.org/spreadsheetml/2006/main">
  <sheetPr>
    <tabColor rgb="00FF000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32 (03/08 - 09/08) — Août 2026 - Exécution Physique et Financière</t>
        </is>
      </c>
    </row>
    <row r="3" ht="22" customHeight="1">
      <c r="B3" s="20" t="inlineStr">
        <is>
          <t>Date :</t>
        </is>
      </c>
      <c r="C3" s="21" t="n">
        <v>46237</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'S31'!M5+L5</f>
        <v/>
      </c>
      <c r="N5" s="31">
        <f>IFERROR(M5/K5,0)</f>
        <v/>
      </c>
      <c r="O5" s="40">
        <f>'S31'!N5</f>
        <v/>
      </c>
      <c r="P5" s="31">
        <f>N5-O5</f>
        <v/>
      </c>
      <c r="Q5" s="32" t="n"/>
      <c r="R5" s="32" t="n"/>
      <c r="S5" s="32" t="n"/>
      <c r="T5" s="33" t="n"/>
      <c r="U5" s="40">
        <f>'S31'!T5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'S31'!M6+L6</f>
        <v/>
      </c>
      <c r="N6" s="36">
        <f>IFERROR(M6/K6,0)</f>
        <v/>
      </c>
      <c r="O6" s="42">
        <f>'S31'!N6</f>
        <v/>
      </c>
      <c r="P6" s="36">
        <f>N6-O6</f>
        <v/>
      </c>
      <c r="Q6" s="32" t="n"/>
      <c r="R6" s="32" t="n"/>
      <c r="S6" s="32" t="n"/>
      <c r="T6" s="33" t="n"/>
      <c r="U6" s="42">
        <f>'S31'!T6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'S31'!M7+L7</f>
        <v/>
      </c>
      <c r="N7" s="31">
        <f>IFERROR(M7/K7,0)</f>
        <v/>
      </c>
      <c r="O7" s="40">
        <f>'S31'!N7</f>
        <v/>
      </c>
      <c r="P7" s="31">
        <f>N7-O7</f>
        <v/>
      </c>
      <c r="Q7" s="32" t="n"/>
      <c r="R7" s="32" t="n"/>
      <c r="S7" s="32" t="n"/>
      <c r="T7" s="33" t="n"/>
      <c r="U7" s="40">
        <f>'S31'!T7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'S31'!M8+L8</f>
        <v/>
      </c>
      <c r="N8" s="36">
        <f>IFERROR(M8/K8,0)</f>
        <v/>
      </c>
      <c r="O8" s="42">
        <f>'S31'!N8</f>
        <v/>
      </c>
      <c r="P8" s="36">
        <f>N8-O8</f>
        <v/>
      </c>
      <c r="Q8" s="32" t="n"/>
      <c r="R8" s="32" t="n"/>
      <c r="S8" s="32" t="n"/>
      <c r="T8" s="33" t="n"/>
      <c r="U8" s="42">
        <f>'S31'!T8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'S31'!M9+L9</f>
        <v/>
      </c>
      <c r="N9" s="31">
        <f>IFERROR(M9/K9,0)</f>
        <v/>
      </c>
      <c r="O9" s="40">
        <f>'S31'!N9</f>
        <v/>
      </c>
      <c r="P9" s="31">
        <f>N9-O9</f>
        <v/>
      </c>
      <c r="Q9" s="32" t="n"/>
      <c r="R9" s="32" t="n"/>
      <c r="S9" s="32" t="n"/>
      <c r="T9" s="33" t="n"/>
      <c r="U9" s="40">
        <f>'S31'!T9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'S31'!M10+L10</f>
        <v/>
      </c>
      <c r="N10" s="36">
        <f>IFERROR(M10/K10,0)</f>
        <v/>
      </c>
      <c r="O10" s="42">
        <f>'S31'!N10</f>
        <v/>
      </c>
      <c r="P10" s="36">
        <f>N10-O10</f>
        <v/>
      </c>
      <c r="Q10" s="32" t="n"/>
      <c r="R10" s="32" t="n"/>
      <c r="S10" s="32" t="n"/>
      <c r="T10" s="33" t="n"/>
      <c r="U10" s="42">
        <f>'S31'!T10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'S31'!M11+L11</f>
        <v/>
      </c>
      <c r="N11" s="31">
        <f>IFERROR(M11/K11,0)</f>
        <v/>
      </c>
      <c r="O11" s="40">
        <f>'S31'!N11</f>
        <v/>
      </c>
      <c r="P11" s="31">
        <f>N11-O11</f>
        <v/>
      </c>
      <c r="Q11" s="32" t="n"/>
      <c r="R11" s="32" t="n"/>
      <c r="S11" s="32" t="n"/>
      <c r="T11" s="33" t="n"/>
      <c r="U11" s="40">
        <f>'S31'!T11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'S31'!M12+L12</f>
        <v/>
      </c>
      <c r="N12" s="36">
        <f>IFERROR(M12/K12,0)</f>
        <v/>
      </c>
      <c r="O12" s="42">
        <f>'S31'!N12</f>
        <v/>
      </c>
      <c r="P12" s="36">
        <f>N12-O12</f>
        <v/>
      </c>
      <c r="Q12" s="32" t="n"/>
      <c r="R12" s="32" t="n"/>
      <c r="S12" s="32" t="n"/>
      <c r="T12" s="33" t="n"/>
      <c r="U12" s="42">
        <f>'S31'!T12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'S31'!M13+L13</f>
        <v/>
      </c>
      <c r="N13" s="31">
        <f>IFERROR(M13/K13,0)</f>
        <v/>
      </c>
      <c r="O13" s="40">
        <f>'S31'!N13</f>
        <v/>
      </c>
      <c r="P13" s="31">
        <f>N13-O13</f>
        <v/>
      </c>
      <c r="Q13" s="32" t="n"/>
      <c r="R13" s="32" t="n"/>
      <c r="S13" s="32" t="n"/>
      <c r="T13" s="33" t="n"/>
      <c r="U13" s="40">
        <f>'S31'!T13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'S31'!M14+L14</f>
        <v/>
      </c>
      <c r="N14" s="36">
        <f>IFERROR(M14/K14,0)</f>
        <v/>
      </c>
      <c r="O14" s="42">
        <f>'S31'!N14</f>
        <v/>
      </c>
      <c r="P14" s="36">
        <f>N14-O14</f>
        <v/>
      </c>
      <c r="Q14" s="32" t="n"/>
      <c r="R14" s="32" t="n"/>
      <c r="S14" s="32" t="n"/>
      <c r="T14" s="33" t="n"/>
      <c r="U14" s="42">
        <f>'S31'!T14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'S31'!M15+L15</f>
        <v/>
      </c>
      <c r="N15" s="31">
        <f>IFERROR(M15/K15,0)</f>
        <v/>
      </c>
      <c r="O15" s="40">
        <f>'S31'!N15</f>
        <v/>
      </c>
      <c r="P15" s="31">
        <f>N15-O15</f>
        <v/>
      </c>
      <c r="Q15" s="32" t="n"/>
      <c r="R15" s="32" t="n"/>
      <c r="S15" s="32" t="n"/>
      <c r="T15" s="33" t="n"/>
      <c r="U15" s="40">
        <f>'S31'!T15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'S31'!M16+L16</f>
        <v/>
      </c>
      <c r="N16" s="36">
        <f>IFERROR(M16/K16,0)</f>
        <v/>
      </c>
      <c r="O16" s="42">
        <f>'S31'!N16</f>
        <v/>
      </c>
      <c r="P16" s="36">
        <f>N16-O16</f>
        <v/>
      </c>
      <c r="Q16" s="32" t="n"/>
      <c r="R16" s="32" t="n"/>
      <c r="S16" s="32" t="n"/>
      <c r="T16" s="33" t="n"/>
      <c r="U16" s="42">
        <f>'S31'!T16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'S31'!M17+L17</f>
        <v/>
      </c>
      <c r="N17" s="31">
        <f>IFERROR(M17/K17,0)</f>
        <v/>
      </c>
      <c r="O17" s="40">
        <f>'S31'!N17</f>
        <v/>
      </c>
      <c r="P17" s="31">
        <f>N17-O17</f>
        <v/>
      </c>
      <c r="Q17" s="32" t="n"/>
      <c r="R17" s="32" t="n"/>
      <c r="S17" s="32" t="n"/>
      <c r="T17" s="33" t="n"/>
      <c r="U17" s="40">
        <f>'S31'!T17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'S31'!M18+L18</f>
        <v/>
      </c>
      <c r="N18" s="36">
        <f>IFERROR(M18/K18,0)</f>
        <v/>
      </c>
      <c r="O18" s="42">
        <f>'S31'!N18</f>
        <v/>
      </c>
      <c r="P18" s="36">
        <f>N18-O18</f>
        <v/>
      </c>
      <c r="Q18" s="32" t="n"/>
      <c r="R18" s="32" t="n"/>
      <c r="S18" s="32" t="n"/>
      <c r="T18" s="33" t="n"/>
      <c r="U18" s="42">
        <f>'S31'!T18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'S31'!M19+L19</f>
        <v/>
      </c>
      <c r="N19" s="31">
        <f>IFERROR(M19/K19,0)</f>
        <v/>
      </c>
      <c r="O19" s="40">
        <f>'S31'!N19</f>
        <v/>
      </c>
      <c r="P19" s="31">
        <f>N19-O19</f>
        <v/>
      </c>
      <c r="Q19" s="32" t="n"/>
      <c r="R19" s="32" t="n"/>
      <c r="S19" s="32" t="n"/>
      <c r="T19" s="33" t="n"/>
      <c r="U19" s="40">
        <f>'S31'!T19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'S31'!M20+L20</f>
        <v/>
      </c>
      <c r="N20" s="36">
        <f>IFERROR(M20/K20,0)</f>
        <v/>
      </c>
      <c r="O20" s="42">
        <f>'S31'!N20</f>
        <v/>
      </c>
      <c r="P20" s="36">
        <f>N20-O20</f>
        <v/>
      </c>
      <c r="Q20" s="32" t="n"/>
      <c r="R20" s="32" t="n"/>
      <c r="S20" s="32" t="n"/>
      <c r="T20" s="33" t="n"/>
      <c r="U20" s="42">
        <f>'S31'!T20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'S31'!M21+L21</f>
        <v/>
      </c>
      <c r="N21" s="31">
        <f>IFERROR(M21/K21,0)</f>
        <v/>
      </c>
      <c r="O21" s="40">
        <f>'S31'!N21</f>
        <v/>
      </c>
      <c r="P21" s="31">
        <f>N21-O21</f>
        <v/>
      </c>
      <c r="Q21" s="32" t="n"/>
      <c r="R21" s="32" t="n"/>
      <c r="S21" s="32" t="n"/>
      <c r="T21" s="33" t="n"/>
      <c r="U21" s="40">
        <f>'S31'!T21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'S31'!M22+L22</f>
        <v/>
      </c>
      <c r="N22" s="36">
        <f>IFERROR(M22/K22,0)</f>
        <v/>
      </c>
      <c r="O22" s="42">
        <f>'S31'!N22</f>
        <v/>
      </c>
      <c r="P22" s="36">
        <f>N22-O22</f>
        <v/>
      </c>
      <c r="Q22" s="32" t="n"/>
      <c r="R22" s="32" t="n"/>
      <c r="S22" s="32" t="n"/>
      <c r="T22" s="33" t="n"/>
      <c r="U22" s="42">
        <f>'S31'!T22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'S31'!M23+L23</f>
        <v/>
      </c>
      <c r="N23" s="31">
        <f>IFERROR(M23/K23,0)</f>
        <v/>
      </c>
      <c r="O23" s="40">
        <f>'S31'!N23</f>
        <v/>
      </c>
      <c r="P23" s="31">
        <f>N23-O23</f>
        <v/>
      </c>
      <c r="Q23" s="32" t="n"/>
      <c r="R23" s="32" t="n"/>
      <c r="S23" s="32" t="n"/>
      <c r="T23" s="33" t="n"/>
      <c r="U23" s="40">
        <f>'S31'!T23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'S31'!M24+L24</f>
        <v/>
      </c>
      <c r="N24" s="36">
        <f>IFERROR(M24/K24,0)</f>
        <v/>
      </c>
      <c r="O24" s="42">
        <f>'S31'!N24</f>
        <v/>
      </c>
      <c r="P24" s="36">
        <f>N24-O24</f>
        <v/>
      </c>
      <c r="Q24" s="32" t="n"/>
      <c r="R24" s="32" t="n"/>
      <c r="S24" s="32" t="n"/>
      <c r="T24" s="33" t="n"/>
      <c r="U24" s="42">
        <f>'S31'!T24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'S31'!M25+L25</f>
        <v/>
      </c>
      <c r="N25" s="31">
        <f>IFERROR(M25/K25,0)</f>
        <v/>
      </c>
      <c r="O25" s="40">
        <f>'S31'!N25</f>
        <v/>
      </c>
      <c r="P25" s="31">
        <f>N25-O25</f>
        <v/>
      </c>
      <c r="Q25" s="32" t="n"/>
      <c r="R25" s="32" t="n"/>
      <c r="S25" s="32" t="n"/>
      <c r="T25" s="33" t="n"/>
      <c r="U25" s="40">
        <f>'S31'!T25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'S31'!M26+L26</f>
        <v/>
      </c>
      <c r="N26" s="36">
        <f>IFERROR(M26/K26,0)</f>
        <v/>
      </c>
      <c r="O26" s="42">
        <f>'S31'!N26</f>
        <v/>
      </c>
      <c r="P26" s="36">
        <f>N26-O26</f>
        <v/>
      </c>
      <c r="Q26" s="32" t="n"/>
      <c r="R26" s="32" t="n"/>
      <c r="S26" s="32" t="n"/>
      <c r="T26" s="33" t="n"/>
      <c r="U26" s="42">
        <f>'S31'!T26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'S31'!M27+L27</f>
        <v/>
      </c>
      <c r="N27" s="31">
        <f>IFERROR(M27/K27,0)</f>
        <v/>
      </c>
      <c r="O27" s="40">
        <f>'S31'!N27</f>
        <v/>
      </c>
      <c r="P27" s="31">
        <f>N27-O27</f>
        <v/>
      </c>
      <c r="Q27" s="32" t="n"/>
      <c r="R27" s="32" t="n"/>
      <c r="S27" s="32" t="n"/>
      <c r="T27" s="33" t="n"/>
      <c r="U27" s="40">
        <f>'S31'!T27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'S31'!M28+L28</f>
        <v/>
      </c>
      <c r="N28" s="36">
        <f>IFERROR(M28/K28,0)</f>
        <v/>
      </c>
      <c r="O28" s="42">
        <f>'S31'!N28</f>
        <v/>
      </c>
      <c r="P28" s="36">
        <f>N28-O28</f>
        <v/>
      </c>
      <c r="Q28" s="32" t="n"/>
      <c r="R28" s="32" t="n"/>
      <c r="S28" s="32" t="n"/>
      <c r="T28" s="33" t="n"/>
      <c r="U28" s="42">
        <f>'S31'!T28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'S31'!M29+L29</f>
        <v/>
      </c>
      <c r="N29" s="31">
        <f>IFERROR(M29/K29,0)</f>
        <v/>
      </c>
      <c r="O29" s="40">
        <f>'S31'!N29</f>
        <v/>
      </c>
      <c r="P29" s="31">
        <f>N29-O29</f>
        <v/>
      </c>
      <c r="Q29" s="32" t="n"/>
      <c r="R29" s="32" t="n"/>
      <c r="S29" s="32" t="n"/>
      <c r="T29" s="33" t="n"/>
      <c r="U29" s="40">
        <f>'S31'!T29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'S31'!M30+L30</f>
        <v/>
      </c>
      <c r="N30" s="36">
        <f>IFERROR(M30/K30,0)</f>
        <v/>
      </c>
      <c r="O30" s="42">
        <f>'S31'!N30</f>
        <v/>
      </c>
      <c r="P30" s="36">
        <f>N30-O30</f>
        <v/>
      </c>
      <c r="Q30" s="32" t="n"/>
      <c r="R30" s="32" t="n"/>
      <c r="S30" s="32" t="n"/>
      <c r="T30" s="33" t="n"/>
      <c r="U30" s="42">
        <f>'S31'!T30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'S31'!M31+L31</f>
        <v/>
      </c>
      <c r="N31" s="31">
        <f>IFERROR(M31/K31,0)</f>
        <v/>
      </c>
      <c r="O31" s="40">
        <f>'S31'!N31</f>
        <v/>
      </c>
      <c r="P31" s="31">
        <f>N31-O31</f>
        <v/>
      </c>
      <c r="Q31" s="32" t="n"/>
      <c r="R31" s="32" t="n"/>
      <c r="S31" s="32" t="n"/>
      <c r="T31" s="33" t="n"/>
      <c r="U31" s="40">
        <f>'S31'!T31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'S31'!M32+L32</f>
        <v/>
      </c>
      <c r="N32" s="36">
        <f>IFERROR(M32/K32,0)</f>
        <v/>
      </c>
      <c r="O32" s="42">
        <f>'S31'!N32</f>
        <v/>
      </c>
      <c r="P32" s="36">
        <f>N32-O32</f>
        <v/>
      </c>
      <c r="Q32" s="32" t="n"/>
      <c r="R32" s="32" t="n"/>
      <c r="S32" s="32" t="n"/>
      <c r="T32" s="33" t="n"/>
      <c r="U32" s="42">
        <f>'S31'!T32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'S31'!M33+L33</f>
        <v/>
      </c>
      <c r="N33" s="31">
        <f>IFERROR(M33/K33,0)</f>
        <v/>
      </c>
      <c r="O33" s="40">
        <f>'S31'!N33</f>
        <v/>
      </c>
      <c r="P33" s="31">
        <f>N33-O33</f>
        <v/>
      </c>
      <c r="Q33" s="32" t="n"/>
      <c r="R33" s="32" t="n"/>
      <c r="S33" s="32" t="n"/>
      <c r="T33" s="33" t="n"/>
      <c r="U33" s="40">
        <f>'S31'!T33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'S31'!M34+L34</f>
        <v/>
      </c>
      <c r="N34" s="36">
        <f>IFERROR(M34/K34,0)</f>
        <v/>
      </c>
      <c r="O34" s="42">
        <f>'S31'!N34</f>
        <v/>
      </c>
      <c r="P34" s="36">
        <f>N34-O34</f>
        <v/>
      </c>
      <c r="Q34" s="32" t="n"/>
      <c r="R34" s="32" t="n"/>
      <c r="S34" s="32" t="n"/>
      <c r="T34" s="33" t="n"/>
      <c r="U34" s="42">
        <f>'S31'!T34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'S31'!M35+L35</f>
        <v/>
      </c>
      <c r="N35" s="31">
        <f>IFERROR(M35/K35,0)</f>
        <v/>
      </c>
      <c r="O35" s="40">
        <f>'S31'!N35</f>
        <v/>
      </c>
      <c r="P35" s="31">
        <f>N35-O35</f>
        <v/>
      </c>
      <c r="Q35" s="32" t="n"/>
      <c r="R35" s="32" t="n"/>
      <c r="S35" s="32" t="n"/>
      <c r="T35" s="33" t="n"/>
      <c r="U35" s="40">
        <f>'S31'!T35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'S31'!M36+L36</f>
        <v/>
      </c>
      <c r="N36" s="36">
        <f>IFERROR(M36/K36,0)</f>
        <v/>
      </c>
      <c r="O36" s="42">
        <f>'S31'!N36</f>
        <v/>
      </c>
      <c r="P36" s="36">
        <f>N36-O36</f>
        <v/>
      </c>
      <c r="Q36" s="32" t="n"/>
      <c r="R36" s="32" t="n"/>
      <c r="S36" s="32" t="n"/>
      <c r="T36" s="33" t="n"/>
      <c r="U36" s="42">
        <f>'S31'!T36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'S31'!M37+L37</f>
        <v/>
      </c>
      <c r="N37" s="31">
        <f>IFERROR(M37/K37,0)</f>
        <v/>
      </c>
      <c r="O37" s="40">
        <f>'S31'!N37</f>
        <v/>
      </c>
      <c r="P37" s="31">
        <f>N37-O37</f>
        <v/>
      </c>
      <c r="Q37" s="32" t="n"/>
      <c r="R37" s="32" t="n"/>
      <c r="S37" s="32" t="n"/>
      <c r="T37" s="33" t="n"/>
      <c r="U37" s="40">
        <f>'S31'!T37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'S31'!M38+L38</f>
        <v/>
      </c>
      <c r="N38" s="36">
        <f>IFERROR(M38/K38,0)</f>
        <v/>
      </c>
      <c r="O38" s="42">
        <f>'S31'!N38</f>
        <v/>
      </c>
      <c r="P38" s="36">
        <f>N38-O38</f>
        <v/>
      </c>
      <c r="Q38" s="32" t="n"/>
      <c r="R38" s="32" t="n"/>
      <c r="S38" s="32" t="n"/>
      <c r="T38" s="33" t="n"/>
      <c r="U38" s="42">
        <f>'S31'!T38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'S31'!M39+L39</f>
        <v/>
      </c>
      <c r="N39" s="31">
        <f>IFERROR(M39/K39,0)</f>
        <v/>
      </c>
      <c r="O39" s="40">
        <f>'S31'!N39</f>
        <v/>
      </c>
      <c r="P39" s="31">
        <f>N39-O39</f>
        <v/>
      </c>
      <c r="Q39" s="32" t="n"/>
      <c r="R39" s="32" t="n"/>
      <c r="S39" s="32" t="n"/>
      <c r="T39" s="33" t="n"/>
      <c r="U39" s="40">
        <f>'S31'!T39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'S31'!M40+L40</f>
        <v/>
      </c>
      <c r="N40" s="36">
        <f>IFERROR(M40/K40,0)</f>
        <v/>
      </c>
      <c r="O40" s="42">
        <f>'S31'!N40</f>
        <v/>
      </c>
      <c r="P40" s="36">
        <f>N40-O40</f>
        <v/>
      </c>
      <c r="Q40" s="32" t="n"/>
      <c r="R40" s="32" t="n"/>
      <c r="S40" s="32" t="n"/>
      <c r="T40" s="33" t="n"/>
      <c r="U40" s="42">
        <f>'S31'!T40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'S31'!M41+L41</f>
        <v/>
      </c>
      <c r="N41" s="31">
        <f>IFERROR(M41/K41,0)</f>
        <v/>
      </c>
      <c r="O41" s="40">
        <f>'S31'!N41</f>
        <v/>
      </c>
      <c r="P41" s="31">
        <f>N41-O41</f>
        <v/>
      </c>
      <c r="Q41" s="32" t="n"/>
      <c r="R41" s="32" t="n"/>
      <c r="S41" s="32" t="n"/>
      <c r="T41" s="33" t="n"/>
      <c r="U41" s="40">
        <f>'S31'!T41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'S31'!M42+L42</f>
        <v/>
      </c>
      <c r="N42" s="36">
        <f>IFERROR(M42/K42,0)</f>
        <v/>
      </c>
      <c r="O42" s="42">
        <f>'S31'!N42</f>
        <v/>
      </c>
      <c r="P42" s="36">
        <f>N42-O42</f>
        <v/>
      </c>
      <c r="Q42" s="32" t="n"/>
      <c r="R42" s="32" t="n"/>
      <c r="S42" s="32" t="n"/>
      <c r="T42" s="33" t="n"/>
      <c r="U42" s="42">
        <f>'S31'!T42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'S31'!M43+L43</f>
        <v/>
      </c>
      <c r="N43" s="31">
        <f>IFERROR(M43/K43,0)</f>
        <v/>
      </c>
      <c r="O43" s="40">
        <f>'S31'!N43</f>
        <v/>
      </c>
      <c r="P43" s="31">
        <f>N43-O43</f>
        <v/>
      </c>
      <c r="Q43" s="32" t="n"/>
      <c r="R43" s="32" t="n"/>
      <c r="S43" s="32" t="n"/>
      <c r="T43" s="33" t="n"/>
      <c r="U43" s="40">
        <f>'S31'!T43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'S31'!M44+L44</f>
        <v/>
      </c>
      <c r="N44" s="36">
        <f>IFERROR(M44/K44,0)</f>
        <v/>
      </c>
      <c r="O44" s="42">
        <f>'S31'!N44</f>
        <v/>
      </c>
      <c r="P44" s="36">
        <f>N44-O44</f>
        <v/>
      </c>
      <c r="Q44" s="32" t="n"/>
      <c r="R44" s="32" t="n"/>
      <c r="S44" s="32" t="n"/>
      <c r="T44" s="33" t="n"/>
      <c r="U44" s="42">
        <f>'S31'!T44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'S31'!M45+L45</f>
        <v/>
      </c>
      <c r="N45" s="31">
        <f>IFERROR(M45/K45,0)</f>
        <v/>
      </c>
      <c r="O45" s="40">
        <f>'S31'!N45</f>
        <v/>
      </c>
      <c r="P45" s="31">
        <f>N45-O45</f>
        <v/>
      </c>
      <c r="Q45" s="32" t="n"/>
      <c r="R45" s="32" t="n"/>
      <c r="S45" s="32" t="n"/>
      <c r="T45" s="33" t="n"/>
      <c r="U45" s="40">
        <f>'S31'!T45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'S31'!M46+L46</f>
        <v/>
      </c>
      <c r="N46" s="36">
        <f>IFERROR(M46/K46,0)</f>
        <v/>
      </c>
      <c r="O46" s="42">
        <f>'S31'!N46</f>
        <v/>
      </c>
      <c r="P46" s="36">
        <f>N46-O46</f>
        <v/>
      </c>
      <c r="Q46" s="32" t="n"/>
      <c r="R46" s="32" t="n"/>
      <c r="S46" s="32" t="n"/>
      <c r="T46" s="33" t="n"/>
      <c r="U46" s="42">
        <f>'S31'!T46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'S31'!M47+L47</f>
        <v/>
      </c>
      <c r="N47" s="31">
        <f>IFERROR(M47/K47,0)</f>
        <v/>
      </c>
      <c r="O47" s="40">
        <f>'S31'!N47</f>
        <v/>
      </c>
      <c r="P47" s="31">
        <f>N47-O47</f>
        <v/>
      </c>
      <c r="Q47" s="32" t="n"/>
      <c r="R47" s="32" t="n"/>
      <c r="S47" s="32" t="n"/>
      <c r="T47" s="33" t="n"/>
      <c r="U47" s="40">
        <f>'S31'!T47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'S31'!M48+L48</f>
        <v/>
      </c>
      <c r="N48" s="36">
        <f>IFERROR(M48/K48,0)</f>
        <v/>
      </c>
      <c r="O48" s="42">
        <f>'S31'!N48</f>
        <v/>
      </c>
      <c r="P48" s="36">
        <f>N48-O48</f>
        <v/>
      </c>
      <c r="Q48" s="32" t="n"/>
      <c r="R48" s="32" t="n"/>
      <c r="S48" s="32" t="n"/>
      <c r="T48" s="33" t="n"/>
      <c r="U48" s="42">
        <f>'S31'!T48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'S31'!M49+L49</f>
        <v/>
      </c>
      <c r="N49" s="31">
        <f>IFERROR(M49/K49,0)</f>
        <v/>
      </c>
      <c r="O49" s="40">
        <f>'S31'!N49</f>
        <v/>
      </c>
      <c r="P49" s="31">
        <f>N49-O49</f>
        <v/>
      </c>
      <c r="Q49" s="32" t="n"/>
      <c r="R49" s="32" t="n"/>
      <c r="S49" s="32" t="n"/>
      <c r="T49" s="33" t="n"/>
      <c r="U49" s="40">
        <f>'S31'!T49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'S31'!M50+L50</f>
        <v/>
      </c>
      <c r="N50" s="36">
        <f>IFERROR(M50/K50,0)</f>
        <v/>
      </c>
      <c r="O50" s="42">
        <f>'S31'!N50</f>
        <v/>
      </c>
      <c r="P50" s="36">
        <f>N50-O50</f>
        <v/>
      </c>
      <c r="Q50" s="32" t="n"/>
      <c r="R50" s="32" t="n"/>
      <c r="S50" s="32" t="n"/>
      <c r="T50" s="33" t="n"/>
      <c r="U50" s="42">
        <f>'S31'!T50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'S31'!M51+L51</f>
        <v/>
      </c>
      <c r="N51" s="31">
        <f>IFERROR(M51/K51,0)</f>
        <v/>
      </c>
      <c r="O51" s="40">
        <f>'S31'!N51</f>
        <v/>
      </c>
      <c r="P51" s="31">
        <f>N51-O51</f>
        <v/>
      </c>
      <c r="Q51" s="32" t="n"/>
      <c r="R51" s="32" t="n"/>
      <c r="S51" s="32" t="n"/>
      <c r="T51" s="33" t="n"/>
      <c r="U51" s="40">
        <f>'S31'!T51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'S31'!M52+L52</f>
        <v/>
      </c>
      <c r="N52" s="36">
        <f>IFERROR(M52/K52,0)</f>
        <v/>
      </c>
      <c r="O52" s="42">
        <f>'S31'!N52</f>
        <v/>
      </c>
      <c r="P52" s="36">
        <f>N52-O52</f>
        <v/>
      </c>
      <c r="Q52" s="32" t="n"/>
      <c r="R52" s="32" t="n"/>
      <c r="S52" s="32" t="n"/>
      <c r="T52" s="33" t="n"/>
      <c r="U52" s="42">
        <f>'S31'!T52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'S31'!M53+L53</f>
        <v/>
      </c>
      <c r="N53" s="31">
        <f>IFERROR(M53/K53,0)</f>
        <v/>
      </c>
      <c r="O53" s="40">
        <f>'S31'!N53</f>
        <v/>
      </c>
      <c r="P53" s="31">
        <f>N53-O53</f>
        <v/>
      </c>
      <c r="Q53" s="32" t="n"/>
      <c r="R53" s="32" t="n"/>
      <c r="S53" s="32" t="n"/>
      <c r="T53" s="33" t="n"/>
      <c r="U53" s="40">
        <f>'S31'!T53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'S31'!M54+L54</f>
        <v/>
      </c>
      <c r="N54" s="36">
        <f>IFERROR(M54/K54,0)</f>
        <v/>
      </c>
      <c r="O54" s="42">
        <f>'S31'!N54</f>
        <v/>
      </c>
      <c r="P54" s="36">
        <f>N54-O54</f>
        <v/>
      </c>
      <c r="Q54" s="32" t="n"/>
      <c r="R54" s="32" t="n"/>
      <c r="S54" s="32" t="n"/>
      <c r="T54" s="33" t="n"/>
      <c r="U54" s="42">
        <f>'S31'!T54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'S31'!M55+L55</f>
        <v/>
      </c>
      <c r="N55" s="31">
        <f>IFERROR(M55/K55,0)</f>
        <v/>
      </c>
      <c r="O55" s="40">
        <f>'S31'!N55</f>
        <v/>
      </c>
      <c r="P55" s="31">
        <f>N55-O55</f>
        <v/>
      </c>
      <c r="Q55" s="32" t="n"/>
      <c r="R55" s="32" t="n"/>
      <c r="S55" s="32" t="n"/>
      <c r="T55" s="33" t="n"/>
      <c r="U55" s="40">
        <f>'S31'!T55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'S31'!M56+L56</f>
        <v/>
      </c>
      <c r="N56" s="36">
        <f>IFERROR(M56/K56,0)</f>
        <v/>
      </c>
      <c r="O56" s="42">
        <f>'S31'!N56</f>
        <v/>
      </c>
      <c r="P56" s="36">
        <f>N56-O56</f>
        <v/>
      </c>
      <c r="Q56" s="32" t="n"/>
      <c r="R56" s="32" t="n"/>
      <c r="S56" s="32" t="n"/>
      <c r="T56" s="33" t="n"/>
      <c r="U56" s="42">
        <f>'S31'!T56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'S31'!M57+L57</f>
        <v/>
      </c>
      <c r="N57" s="31">
        <f>IFERROR(M57/K57,0)</f>
        <v/>
      </c>
      <c r="O57" s="40">
        <f>'S31'!N57</f>
        <v/>
      </c>
      <c r="P57" s="31">
        <f>N57-O57</f>
        <v/>
      </c>
      <c r="Q57" s="32" t="n"/>
      <c r="R57" s="32" t="n"/>
      <c r="S57" s="32" t="n"/>
      <c r="T57" s="33" t="n"/>
      <c r="U57" s="40">
        <f>'S31'!T57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'S31'!M58+L58</f>
        <v/>
      </c>
      <c r="N58" s="36">
        <f>IFERROR(M58/K58,0)</f>
        <v/>
      </c>
      <c r="O58" s="42">
        <f>'S31'!N58</f>
        <v/>
      </c>
      <c r="P58" s="36">
        <f>N58-O58</f>
        <v/>
      </c>
      <c r="Q58" s="32" t="n"/>
      <c r="R58" s="32" t="n"/>
      <c r="S58" s="32" t="n"/>
      <c r="T58" s="33" t="n"/>
      <c r="U58" s="42">
        <f>'S31'!T58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'S31'!M59+L59</f>
        <v/>
      </c>
      <c r="N59" s="31">
        <f>IFERROR(M59/K59,0)</f>
        <v/>
      </c>
      <c r="O59" s="40">
        <f>'S31'!N59</f>
        <v/>
      </c>
      <c r="P59" s="31">
        <f>N59-O59</f>
        <v/>
      </c>
      <c r="Q59" s="32" t="n"/>
      <c r="R59" s="32" t="n"/>
      <c r="S59" s="32" t="n"/>
      <c r="T59" s="33" t="n"/>
      <c r="U59" s="40">
        <f>'S31'!T59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'S31'!M60+L60</f>
        <v/>
      </c>
      <c r="N60" s="36">
        <f>IFERROR(M60/K60,0)</f>
        <v/>
      </c>
      <c r="O60" s="42">
        <f>'S31'!N60</f>
        <v/>
      </c>
      <c r="P60" s="36">
        <f>N60-O60</f>
        <v/>
      </c>
      <c r="Q60" s="32" t="n"/>
      <c r="R60" s="32" t="n"/>
      <c r="S60" s="32" t="n"/>
      <c r="T60" s="33" t="n"/>
      <c r="U60" s="42">
        <f>'S31'!T60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'S31'!M61+L61</f>
        <v/>
      </c>
      <c r="N61" s="31">
        <f>IFERROR(M61/K61,0)</f>
        <v/>
      </c>
      <c r="O61" s="40">
        <f>'S31'!N61</f>
        <v/>
      </c>
      <c r="P61" s="31">
        <f>N61-O61</f>
        <v/>
      </c>
      <c r="Q61" s="32" t="n"/>
      <c r="R61" s="32" t="n"/>
      <c r="S61" s="32" t="n"/>
      <c r="T61" s="33" t="n"/>
      <c r="U61" s="40">
        <f>'S31'!T61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'S31'!M62+L62</f>
        <v/>
      </c>
      <c r="N62" s="36">
        <f>IFERROR(M62/K62,0)</f>
        <v/>
      </c>
      <c r="O62" s="42">
        <f>'S31'!N62</f>
        <v/>
      </c>
      <c r="P62" s="36">
        <f>N62-O62</f>
        <v/>
      </c>
      <c r="Q62" s="32" t="n"/>
      <c r="R62" s="32" t="n"/>
      <c r="S62" s="32" t="n"/>
      <c r="T62" s="33" t="n"/>
      <c r="U62" s="42">
        <f>'S31'!T62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'S31'!M63+L63</f>
        <v/>
      </c>
      <c r="N63" s="31">
        <f>IFERROR(M63/K63,0)</f>
        <v/>
      </c>
      <c r="O63" s="40">
        <f>'S31'!N63</f>
        <v/>
      </c>
      <c r="P63" s="31">
        <f>N63-O63</f>
        <v/>
      </c>
      <c r="Q63" s="32" t="n"/>
      <c r="R63" s="32" t="n"/>
      <c r="S63" s="32" t="n"/>
      <c r="T63" s="33" t="n"/>
      <c r="U63" s="40">
        <f>'S31'!T63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'S31'!M64+L64</f>
        <v/>
      </c>
      <c r="N64" s="36">
        <f>IFERROR(M64/K64,0)</f>
        <v/>
      </c>
      <c r="O64" s="42">
        <f>'S31'!N64</f>
        <v/>
      </c>
      <c r="P64" s="36">
        <f>N64-O64</f>
        <v/>
      </c>
      <c r="Q64" s="32" t="n"/>
      <c r="R64" s="32" t="n"/>
      <c r="S64" s="32" t="n"/>
      <c r="T64" s="33" t="n"/>
      <c r="U64" s="42">
        <f>'S31'!T64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'S31'!M65+L65</f>
        <v/>
      </c>
      <c r="N65" s="31">
        <f>IFERROR(M65/K65,0)</f>
        <v/>
      </c>
      <c r="O65" s="40">
        <f>'S31'!N65</f>
        <v/>
      </c>
      <c r="P65" s="31">
        <f>N65-O65</f>
        <v/>
      </c>
      <c r="Q65" s="32" t="n"/>
      <c r="R65" s="32" t="n"/>
      <c r="S65" s="32" t="n"/>
      <c r="T65" s="33" t="n"/>
      <c r="U65" s="40">
        <f>'S31'!T65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'S31'!M66+L66</f>
        <v/>
      </c>
      <c r="N66" s="36">
        <f>IFERROR(M66/K66,0)</f>
        <v/>
      </c>
      <c r="O66" s="42">
        <f>'S31'!N66</f>
        <v/>
      </c>
      <c r="P66" s="36">
        <f>N66-O66</f>
        <v/>
      </c>
      <c r="Q66" s="32" t="n"/>
      <c r="R66" s="32" t="n"/>
      <c r="S66" s="32" t="n"/>
      <c r="T66" s="33" t="n"/>
      <c r="U66" s="42">
        <f>'S31'!T66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'S31'!M67+L67</f>
        <v/>
      </c>
      <c r="N67" s="31">
        <f>IFERROR(M67/K67,0)</f>
        <v/>
      </c>
      <c r="O67" s="40">
        <f>'S31'!N67</f>
        <v/>
      </c>
      <c r="P67" s="31">
        <f>N67-O67</f>
        <v/>
      </c>
      <c r="Q67" s="32" t="n"/>
      <c r="R67" s="32" t="n"/>
      <c r="S67" s="32" t="n"/>
      <c r="T67" s="33" t="n"/>
      <c r="U67" s="40">
        <f>'S31'!T67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'S31'!M68+L68</f>
        <v/>
      </c>
      <c r="N68" s="36">
        <f>IFERROR(M68/K68,0)</f>
        <v/>
      </c>
      <c r="O68" s="42">
        <f>'S31'!N68</f>
        <v/>
      </c>
      <c r="P68" s="36">
        <f>N68-O68</f>
        <v/>
      </c>
      <c r="Q68" s="32" t="n"/>
      <c r="R68" s="32" t="n"/>
      <c r="S68" s="32" t="n"/>
      <c r="T68" s="33" t="n"/>
      <c r="U68" s="42">
        <f>'S31'!T68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'S31'!M69+L69</f>
        <v/>
      </c>
      <c r="N69" s="31">
        <f>IFERROR(M69/K69,0)</f>
        <v/>
      </c>
      <c r="O69" s="40">
        <f>'S31'!N69</f>
        <v/>
      </c>
      <c r="P69" s="31">
        <f>N69-O69</f>
        <v/>
      </c>
      <c r="Q69" s="32" t="n"/>
      <c r="R69" s="32" t="n"/>
      <c r="S69" s="32" t="n"/>
      <c r="T69" s="33" t="n"/>
      <c r="U69" s="40">
        <f>'S31'!T69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'S31'!M70+L70</f>
        <v/>
      </c>
      <c r="N70" s="36">
        <f>IFERROR(M70/K70,0)</f>
        <v/>
      </c>
      <c r="O70" s="42">
        <f>'S31'!N70</f>
        <v/>
      </c>
      <c r="P70" s="36">
        <f>N70-O70</f>
        <v/>
      </c>
      <c r="Q70" s="32" t="n"/>
      <c r="R70" s="32" t="n"/>
      <c r="S70" s="32" t="n"/>
      <c r="T70" s="33" t="n"/>
      <c r="U70" s="42">
        <f>'S31'!T70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'S31'!M71+L71</f>
        <v/>
      </c>
      <c r="N71" s="31">
        <f>IFERROR(M71/K71,0)</f>
        <v/>
      </c>
      <c r="O71" s="40">
        <f>'S31'!N71</f>
        <v/>
      </c>
      <c r="P71" s="31">
        <f>N71-O71</f>
        <v/>
      </c>
      <c r="Q71" s="32" t="n"/>
      <c r="R71" s="32" t="n"/>
      <c r="S71" s="32" t="n"/>
      <c r="T71" s="33" t="n"/>
      <c r="U71" s="40">
        <f>'S31'!T71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'S31'!M72+L72</f>
        <v/>
      </c>
      <c r="N72" s="36">
        <f>IFERROR(M72/K72,0)</f>
        <v/>
      </c>
      <c r="O72" s="42">
        <f>'S31'!N72</f>
        <v/>
      </c>
      <c r="P72" s="36">
        <f>N72-O72</f>
        <v/>
      </c>
      <c r="Q72" s="32" t="n"/>
      <c r="R72" s="32" t="n"/>
      <c r="S72" s="32" t="n"/>
      <c r="T72" s="33" t="n"/>
      <c r="U72" s="42">
        <f>'S31'!T72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'S31'!M73+L73</f>
        <v/>
      </c>
      <c r="N73" s="31">
        <f>IFERROR(M73/K73,0)</f>
        <v/>
      </c>
      <c r="O73" s="40">
        <f>'S31'!N73</f>
        <v/>
      </c>
      <c r="P73" s="31">
        <f>N73-O73</f>
        <v/>
      </c>
      <c r="Q73" s="32" t="n"/>
      <c r="R73" s="32" t="n"/>
      <c r="S73" s="32" t="n"/>
      <c r="T73" s="33" t="n"/>
      <c r="U73" s="40">
        <f>'S31'!T73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'S31'!M74+L74</f>
        <v/>
      </c>
      <c r="N74" s="36">
        <f>IFERROR(M74/K74,0)</f>
        <v/>
      </c>
      <c r="O74" s="42">
        <f>'S31'!N74</f>
        <v/>
      </c>
      <c r="P74" s="36">
        <f>N74-O74</f>
        <v/>
      </c>
      <c r="Q74" s="32" t="n"/>
      <c r="R74" s="32" t="n"/>
      <c r="S74" s="32" t="n"/>
      <c r="T74" s="33" t="n"/>
      <c r="U74" s="42">
        <f>'S31'!T74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'S31'!M75+L75</f>
        <v/>
      </c>
      <c r="N75" s="31">
        <f>IFERROR(M75/K75,0)</f>
        <v/>
      </c>
      <c r="O75" s="40">
        <f>'S31'!N75</f>
        <v/>
      </c>
      <c r="P75" s="31">
        <f>N75-O75</f>
        <v/>
      </c>
      <c r="Q75" s="32" t="n"/>
      <c r="R75" s="32" t="n"/>
      <c r="S75" s="32" t="n"/>
      <c r="T75" s="33" t="n"/>
      <c r="U75" s="40">
        <f>'S31'!T75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'S31'!M76+L76</f>
        <v/>
      </c>
      <c r="N76" s="36">
        <f>IFERROR(M76/K76,0)</f>
        <v/>
      </c>
      <c r="O76" s="42">
        <f>'S31'!N76</f>
        <v/>
      </c>
      <c r="P76" s="36">
        <f>N76-O76</f>
        <v/>
      </c>
      <c r="Q76" s="32" t="n"/>
      <c r="R76" s="32" t="n"/>
      <c r="S76" s="32" t="n"/>
      <c r="T76" s="33" t="n"/>
      <c r="U76" s="42">
        <f>'S31'!T76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35.xml><?xml version="1.0" encoding="utf-8"?>
<worksheet xmlns="http://schemas.openxmlformats.org/spreadsheetml/2006/main">
  <sheetPr>
    <tabColor rgb="00FF000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33 (10/08 - 16/08) — Août 2026 - Exécution Physique et Financière</t>
        </is>
      </c>
    </row>
    <row r="3" ht="22" customHeight="1">
      <c r="B3" s="20" t="inlineStr">
        <is>
          <t>Date :</t>
        </is>
      </c>
      <c r="C3" s="21" t="n">
        <v>46244</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'S32'!M5+L5</f>
        <v/>
      </c>
      <c r="N5" s="31">
        <f>IFERROR(M5/K5,0)</f>
        <v/>
      </c>
      <c r="O5" s="40">
        <f>'S32'!N5</f>
        <v/>
      </c>
      <c r="P5" s="31">
        <f>N5-O5</f>
        <v/>
      </c>
      <c r="Q5" s="32" t="n"/>
      <c r="R5" s="32" t="n"/>
      <c r="S5" s="32" t="n"/>
      <c r="T5" s="33" t="n"/>
      <c r="U5" s="40">
        <f>'S32'!T5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'S32'!M6+L6</f>
        <v/>
      </c>
      <c r="N6" s="36">
        <f>IFERROR(M6/K6,0)</f>
        <v/>
      </c>
      <c r="O6" s="42">
        <f>'S32'!N6</f>
        <v/>
      </c>
      <c r="P6" s="36">
        <f>N6-O6</f>
        <v/>
      </c>
      <c r="Q6" s="32" t="n"/>
      <c r="R6" s="32" t="n"/>
      <c r="S6" s="32" t="n"/>
      <c r="T6" s="33" t="n"/>
      <c r="U6" s="42">
        <f>'S32'!T6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'S32'!M7+L7</f>
        <v/>
      </c>
      <c r="N7" s="31">
        <f>IFERROR(M7/K7,0)</f>
        <v/>
      </c>
      <c r="O7" s="40">
        <f>'S32'!N7</f>
        <v/>
      </c>
      <c r="P7" s="31">
        <f>N7-O7</f>
        <v/>
      </c>
      <c r="Q7" s="32" t="n"/>
      <c r="R7" s="32" t="n"/>
      <c r="S7" s="32" t="n"/>
      <c r="T7" s="33" t="n"/>
      <c r="U7" s="40">
        <f>'S32'!T7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'S32'!M8+L8</f>
        <v/>
      </c>
      <c r="N8" s="36">
        <f>IFERROR(M8/K8,0)</f>
        <v/>
      </c>
      <c r="O8" s="42">
        <f>'S32'!N8</f>
        <v/>
      </c>
      <c r="P8" s="36">
        <f>N8-O8</f>
        <v/>
      </c>
      <c r="Q8" s="32" t="n"/>
      <c r="R8" s="32" t="n"/>
      <c r="S8" s="32" t="n"/>
      <c r="T8" s="33" t="n"/>
      <c r="U8" s="42">
        <f>'S32'!T8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'S32'!M9+L9</f>
        <v/>
      </c>
      <c r="N9" s="31">
        <f>IFERROR(M9/K9,0)</f>
        <v/>
      </c>
      <c r="O9" s="40">
        <f>'S32'!N9</f>
        <v/>
      </c>
      <c r="P9" s="31">
        <f>N9-O9</f>
        <v/>
      </c>
      <c r="Q9" s="32" t="n"/>
      <c r="R9" s="32" t="n"/>
      <c r="S9" s="32" t="n"/>
      <c r="T9" s="33" t="n"/>
      <c r="U9" s="40">
        <f>'S32'!T9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'S32'!M10+L10</f>
        <v/>
      </c>
      <c r="N10" s="36">
        <f>IFERROR(M10/K10,0)</f>
        <v/>
      </c>
      <c r="O10" s="42">
        <f>'S32'!N10</f>
        <v/>
      </c>
      <c r="P10" s="36">
        <f>N10-O10</f>
        <v/>
      </c>
      <c r="Q10" s="32" t="n"/>
      <c r="R10" s="32" t="n"/>
      <c r="S10" s="32" t="n"/>
      <c r="T10" s="33" t="n"/>
      <c r="U10" s="42">
        <f>'S32'!T10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'S32'!M11+L11</f>
        <v/>
      </c>
      <c r="N11" s="31">
        <f>IFERROR(M11/K11,0)</f>
        <v/>
      </c>
      <c r="O11" s="40">
        <f>'S32'!N11</f>
        <v/>
      </c>
      <c r="P11" s="31">
        <f>N11-O11</f>
        <v/>
      </c>
      <c r="Q11" s="32" t="n"/>
      <c r="R11" s="32" t="n"/>
      <c r="S11" s="32" t="n"/>
      <c r="T11" s="33" t="n"/>
      <c r="U11" s="40">
        <f>'S32'!T11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'S32'!M12+L12</f>
        <v/>
      </c>
      <c r="N12" s="36">
        <f>IFERROR(M12/K12,0)</f>
        <v/>
      </c>
      <c r="O12" s="42">
        <f>'S32'!N12</f>
        <v/>
      </c>
      <c r="P12" s="36">
        <f>N12-O12</f>
        <v/>
      </c>
      <c r="Q12" s="32" t="n"/>
      <c r="R12" s="32" t="n"/>
      <c r="S12" s="32" t="n"/>
      <c r="T12" s="33" t="n"/>
      <c r="U12" s="42">
        <f>'S32'!T12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'S32'!M13+L13</f>
        <v/>
      </c>
      <c r="N13" s="31">
        <f>IFERROR(M13/K13,0)</f>
        <v/>
      </c>
      <c r="O13" s="40">
        <f>'S32'!N13</f>
        <v/>
      </c>
      <c r="P13" s="31">
        <f>N13-O13</f>
        <v/>
      </c>
      <c r="Q13" s="32" t="n"/>
      <c r="R13" s="32" t="n"/>
      <c r="S13" s="32" t="n"/>
      <c r="T13" s="33" t="n"/>
      <c r="U13" s="40">
        <f>'S32'!T13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'S32'!M14+L14</f>
        <v/>
      </c>
      <c r="N14" s="36">
        <f>IFERROR(M14/K14,0)</f>
        <v/>
      </c>
      <c r="O14" s="42">
        <f>'S32'!N14</f>
        <v/>
      </c>
      <c r="P14" s="36">
        <f>N14-O14</f>
        <v/>
      </c>
      <c r="Q14" s="32" t="n"/>
      <c r="R14" s="32" t="n"/>
      <c r="S14" s="32" t="n"/>
      <c r="T14" s="33" t="n"/>
      <c r="U14" s="42">
        <f>'S32'!T14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'S32'!M15+L15</f>
        <v/>
      </c>
      <c r="N15" s="31">
        <f>IFERROR(M15/K15,0)</f>
        <v/>
      </c>
      <c r="O15" s="40">
        <f>'S32'!N15</f>
        <v/>
      </c>
      <c r="P15" s="31">
        <f>N15-O15</f>
        <v/>
      </c>
      <c r="Q15" s="32" t="n"/>
      <c r="R15" s="32" t="n"/>
      <c r="S15" s="32" t="n"/>
      <c r="T15" s="33" t="n"/>
      <c r="U15" s="40">
        <f>'S32'!T15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'S32'!M16+L16</f>
        <v/>
      </c>
      <c r="N16" s="36">
        <f>IFERROR(M16/K16,0)</f>
        <v/>
      </c>
      <c r="O16" s="42">
        <f>'S32'!N16</f>
        <v/>
      </c>
      <c r="P16" s="36">
        <f>N16-O16</f>
        <v/>
      </c>
      <c r="Q16" s="32" t="n"/>
      <c r="R16" s="32" t="n"/>
      <c r="S16" s="32" t="n"/>
      <c r="T16" s="33" t="n"/>
      <c r="U16" s="42">
        <f>'S32'!T16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'S32'!M17+L17</f>
        <v/>
      </c>
      <c r="N17" s="31">
        <f>IFERROR(M17/K17,0)</f>
        <v/>
      </c>
      <c r="O17" s="40">
        <f>'S32'!N17</f>
        <v/>
      </c>
      <c r="P17" s="31">
        <f>N17-O17</f>
        <v/>
      </c>
      <c r="Q17" s="32" t="n"/>
      <c r="R17" s="32" t="n"/>
      <c r="S17" s="32" t="n"/>
      <c r="T17" s="33" t="n"/>
      <c r="U17" s="40">
        <f>'S32'!T17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'S32'!M18+L18</f>
        <v/>
      </c>
      <c r="N18" s="36">
        <f>IFERROR(M18/K18,0)</f>
        <v/>
      </c>
      <c r="O18" s="42">
        <f>'S32'!N18</f>
        <v/>
      </c>
      <c r="P18" s="36">
        <f>N18-O18</f>
        <v/>
      </c>
      <c r="Q18" s="32" t="n"/>
      <c r="R18" s="32" t="n"/>
      <c r="S18" s="32" t="n"/>
      <c r="T18" s="33" t="n"/>
      <c r="U18" s="42">
        <f>'S32'!T18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'S32'!M19+L19</f>
        <v/>
      </c>
      <c r="N19" s="31">
        <f>IFERROR(M19/K19,0)</f>
        <v/>
      </c>
      <c r="O19" s="40">
        <f>'S32'!N19</f>
        <v/>
      </c>
      <c r="P19" s="31">
        <f>N19-O19</f>
        <v/>
      </c>
      <c r="Q19" s="32" t="n"/>
      <c r="R19" s="32" t="n"/>
      <c r="S19" s="32" t="n"/>
      <c r="T19" s="33" t="n"/>
      <c r="U19" s="40">
        <f>'S32'!T19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'S32'!M20+L20</f>
        <v/>
      </c>
      <c r="N20" s="36">
        <f>IFERROR(M20/K20,0)</f>
        <v/>
      </c>
      <c r="O20" s="42">
        <f>'S32'!N20</f>
        <v/>
      </c>
      <c r="P20" s="36">
        <f>N20-O20</f>
        <v/>
      </c>
      <c r="Q20" s="32" t="n"/>
      <c r="R20" s="32" t="n"/>
      <c r="S20" s="32" t="n"/>
      <c r="T20" s="33" t="n"/>
      <c r="U20" s="42">
        <f>'S32'!T20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'S32'!M21+L21</f>
        <v/>
      </c>
      <c r="N21" s="31">
        <f>IFERROR(M21/K21,0)</f>
        <v/>
      </c>
      <c r="O21" s="40">
        <f>'S32'!N21</f>
        <v/>
      </c>
      <c r="P21" s="31">
        <f>N21-O21</f>
        <v/>
      </c>
      <c r="Q21" s="32" t="n"/>
      <c r="R21" s="32" t="n"/>
      <c r="S21" s="32" t="n"/>
      <c r="T21" s="33" t="n"/>
      <c r="U21" s="40">
        <f>'S32'!T21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'S32'!M22+L22</f>
        <v/>
      </c>
      <c r="N22" s="36">
        <f>IFERROR(M22/K22,0)</f>
        <v/>
      </c>
      <c r="O22" s="42">
        <f>'S32'!N22</f>
        <v/>
      </c>
      <c r="P22" s="36">
        <f>N22-O22</f>
        <v/>
      </c>
      <c r="Q22" s="32" t="n"/>
      <c r="R22" s="32" t="n"/>
      <c r="S22" s="32" t="n"/>
      <c r="T22" s="33" t="n"/>
      <c r="U22" s="42">
        <f>'S32'!T22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'S32'!M23+L23</f>
        <v/>
      </c>
      <c r="N23" s="31">
        <f>IFERROR(M23/K23,0)</f>
        <v/>
      </c>
      <c r="O23" s="40">
        <f>'S32'!N23</f>
        <v/>
      </c>
      <c r="P23" s="31">
        <f>N23-O23</f>
        <v/>
      </c>
      <c r="Q23" s="32" t="n"/>
      <c r="R23" s="32" t="n"/>
      <c r="S23" s="32" t="n"/>
      <c r="T23" s="33" t="n"/>
      <c r="U23" s="40">
        <f>'S32'!T23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'S32'!M24+L24</f>
        <v/>
      </c>
      <c r="N24" s="36">
        <f>IFERROR(M24/K24,0)</f>
        <v/>
      </c>
      <c r="O24" s="42">
        <f>'S32'!N24</f>
        <v/>
      </c>
      <c r="P24" s="36">
        <f>N24-O24</f>
        <v/>
      </c>
      <c r="Q24" s="32" t="n"/>
      <c r="R24" s="32" t="n"/>
      <c r="S24" s="32" t="n"/>
      <c r="T24" s="33" t="n"/>
      <c r="U24" s="42">
        <f>'S32'!T24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'S32'!M25+L25</f>
        <v/>
      </c>
      <c r="N25" s="31">
        <f>IFERROR(M25/K25,0)</f>
        <v/>
      </c>
      <c r="O25" s="40">
        <f>'S32'!N25</f>
        <v/>
      </c>
      <c r="P25" s="31">
        <f>N25-O25</f>
        <v/>
      </c>
      <c r="Q25" s="32" t="n"/>
      <c r="R25" s="32" t="n"/>
      <c r="S25" s="32" t="n"/>
      <c r="T25" s="33" t="n"/>
      <c r="U25" s="40">
        <f>'S32'!T25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'S32'!M26+L26</f>
        <v/>
      </c>
      <c r="N26" s="36">
        <f>IFERROR(M26/K26,0)</f>
        <v/>
      </c>
      <c r="O26" s="42">
        <f>'S32'!N26</f>
        <v/>
      </c>
      <c r="P26" s="36">
        <f>N26-O26</f>
        <v/>
      </c>
      <c r="Q26" s="32" t="n"/>
      <c r="R26" s="32" t="n"/>
      <c r="S26" s="32" t="n"/>
      <c r="T26" s="33" t="n"/>
      <c r="U26" s="42">
        <f>'S32'!T26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'S32'!M27+L27</f>
        <v/>
      </c>
      <c r="N27" s="31">
        <f>IFERROR(M27/K27,0)</f>
        <v/>
      </c>
      <c r="O27" s="40">
        <f>'S32'!N27</f>
        <v/>
      </c>
      <c r="P27" s="31">
        <f>N27-O27</f>
        <v/>
      </c>
      <c r="Q27" s="32" t="n"/>
      <c r="R27" s="32" t="n"/>
      <c r="S27" s="32" t="n"/>
      <c r="T27" s="33" t="n"/>
      <c r="U27" s="40">
        <f>'S32'!T27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'S32'!M28+L28</f>
        <v/>
      </c>
      <c r="N28" s="36">
        <f>IFERROR(M28/K28,0)</f>
        <v/>
      </c>
      <c r="O28" s="42">
        <f>'S32'!N28</f>
        <v/>
      </c>
      <c r="P28" s="36">
        <f>N28-O28</f>
        <v/>
      </c>
      <c r="Q28" s="32" t="n"/>
      <c r="R28" s="32" t="n"/>
      <c r="S28" s="32" t="n"/>
      <c r="T28" s="33" t="n"/>
      <c r="U28" s="42">
        <f>'S32'!T28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'S32'!M29+L29</f>
        <v/>
      </c>
      <c r="N29" s="31">
        <f>IFERROR(M29/K29,0)</f>
        <v/>
      </c>
      <c r="O29" s="40">
        <f>'S32'!N29</f>
        <v/>
      </c>
      <c r="P29" s="31">
        <f>N29-O29</f>
        <v/>
      </c>
      <c r="Q29" s="32" t="n"/>
      <c r="R29" s="32" t="n"/>
      <c r="S29" s="32" t="n"/>
      <c r="T29" s="33" t="n"/>
      <c r="U29" s="40">
        <f>'S32'!T29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'S32'!M30+L30</f>
        <v/>
      </c>
      <c r="N30" s="36">
        <f>IFERROR(M30/K30,0)</f>
        <v/>
      </c>
      <c r="O30" s="42">
        <f>'S32'!N30</f>
        <v/>
      </c>
      <c r="P30" s="36">
        <f>N30-O30</f>
        <v/>
      </c>
      <c r="Q30" s="32" t="n"/>
      <c r="R30" s="32" t="n"/>
      <c r="S30" s="32" t="n"/>
      <c r="T30" s="33" t="n"/>
      <c r="U30" s="42">
        <f>'S32'!T30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'S32'!M31+L31</f>
        <v/>
      </c>
      <c r="N31" s="31">
        <f>IFERROR(M31/K31,0)</f>
        <v/>
      </c>
      <c r="O31" s="40">
        <f>'S32'!N31</f>
        <v/>
      </c>
      <c r="P31" s="31">
        <f>N31-O31</f>
        <v/>
      </c>
      <c r="Q31" s="32" t="n"/>
      <c r="R31" s="32" t="n"/>
      <c r="S31" s="32" t="n"/>
      <c r="T31" s="33" t="n"/>
      <c r="U31" s="40">
        <f>'S32'!T31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'S32'!M32+L32</f>
        <v/>
      </c>
      <c r="N32" s="36">
        <f>IFERROR(M32/K32,0)</f>
        <v/>
      </c>
      <c r="O32" s="42">
        <f>'S32'!N32</f>
        <v/>
      </c>
      <c r="P32" s="36">
        <f>N32-O32</f>
        <v/>
      </c>
      <c r="Q32" s="32" t="n"/>
      <c r="R32" s="32" t="n"/>
      <c r="S32" s="32" t="n"/>
      <c r="T32" s="33" t="n"/>
      <c r="U32" s="42">
        <f>'S32'!T32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'S32'!M33+L33</f>
        <v/>
      </c>
      <c r="N33" s="31">
        <f>IFERROR(M33/K33,0)</f>
        <v/>
      </c>
      <c r="O33" s="40">
        <f>'S32'!N33</f>
        <v/>
      </c>
      <c r="P33" s="31">
        <f>N33-O33</f>
        <v/>
      </c>
      <c r="Q33" s="32" t="n"/>
      <c r="R33" s="32" t="n"/>
      <c r="S33" s="32" t="n"/>
      <c r="T33" s="33" t="n"/>
      <c r="U33" s="40">
        <f>'S32'!T33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'S32'!M34+L34</f>
        <v/>
      </c>
      <c r="N34" s="36">
        <f>IFERROR(M34/K34,0)</f>
        <v/>
      </c>
      <c r="O34" s="42">
        <f>'S32'!N34</f>
        <v/>
      </c>
      <c r="P34" s="36">
        <f>N34-O34</f>
        <v/>
      </c>
      <c r="Q34" s="32" t="n"/>
      <c r="R34" s="32" t="n"/>
      <c r="S34" s="32" t="n"/>
      <c r="T34" s="33" t="n"/>
      <c r="U34" s="42">
        <f>'S32'!T34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'S32'!M35+L35</f>
        <v/>
      </c>
      <c r="N35" s="31">
        <f>IFERROR(M35/K35,0)</f>
        <v/>
      </c>
      <c r="O35" s="40">
        <f>'S32'!N35</f>
        <v/>
      </c>
      <c r="P35" s="31">
        <f>N35-O35</f>
        <v/>
      </c>
      <c r="Q35" s="32" t="n"/>
      <c r="R35" s="32" t="n"/>
      <c r="S35" s="32" t="n"/>
      <c r="T35" s="33" t="n"/>
      <c r="U35" s="40">
        <f>'S32'!T35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'S32'!M36+L36</f>
        <v/>
      </c>
      <c r="N36" s="36">
        <f>IFERROR(M36/K36,0)</f>
        <v/>
      </c>
      <c r="O36" s="42">
        <f>'S32'!N36</f>
        <v/>
      </c>
      <c r="P36" s="36">
        <f>N36-O36</f>
        <v/>
      </c>
      <c r="Q36" s="32" t="n"/>
      <c r="R36" s="32" t="n"/>
      <c r="S36" s="32" t="n"/>
      <c r="T36" s="33" t="n"/>
      <c r="U36" s="42">
        <f>'S32'!T36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'S32'!M37+L37</f>
        <v/>
      </c>
      <c r="N37" s="31">
        <f>IFERROR(M37/K37,0)</f>
        <v/>
      </c>
      <c r="O37" s="40">
        <f>'S32'!N37</f>
        <v/>
      </c>
      <c r="P37" s="31">
        <f>N37-O37</f>
        <v/>
      </c>
      <c r="Q37" s="32" t="n"/>
      <c r="R37" s="32" t="n"/>
      <c r="S37" s="32" t="n"/>
      <c r="T37" s="33" t="n"/>
      <c r="U37" s="40">
        <f>'S32'!T37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'S32'!M38+L38</f>
        <v/>
      </c>
      <c r="N38" s="36">
        <f>IFERROR(M38/K38,0)</f>
        <v/>
      </c>
      <c r="O38" s="42">
        <f>'S32'!N38</f>
        <v/>
      </c>
      <c r="P38" s="36">
        <f>N38-O38</f>
        <v/>
      </c>
      <c r="Q38" s="32" t="n"/>
      <c r="R38" s="32" t="n"/>
      <c r="S38" s="32" t="n"/>
      <c r="T38" s="33" t="n"/>
      <c r="U38" s="42">
        <f>'S32'!T38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'S32'!M39+L39</f>
        <v/>
      </c>
      <c r="N39" s="31">
        <f>IFERROR(M39/K39,0)</f>
        <v/>
      </c>
      <c r="O39" s="40">
        <f>'S32'!N39</f>
        <v/>
      </c>
      <c r="P39" s="31">
        <f>N39-O39</f>
        <v/>
      </c>
      <c r="Q39" s="32" t="n"/>
      <c r="R39" s="32" t="n"/>
      <c r="S39" s="32" t="n"/>
      <c r="T39" s="33" t="n"/>
      <c r="U39" s="40">
        <f>'S32'!T39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'S32'!M40+L40</f>
        <v/>
      </c>
      <c r="N40" s="36">
        <f>IFERROR(M40/K40,0)</f>
        <v/>
      </c>
      <c r="O40" s="42">
        <f>'S32'!N40</f>
        <v/>
      </c>
      <c r="P40" s="36">
        <f>N40-O40</f>
        <v/>
      </c>
      <c r="Q40" s="32" t="n"/>
      <c r="R40" s="32" t="n"/>
      <c r="S40" s="32" t="n"/>
      <c r="T40" s="33" t="n"/>
      <c r="U40" s="42">
        <f>'S32'!T40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'S32'!M41+L41</f>
        <v/>
      </c>
      <c r="N41" s="31">
        <f>IFERROR(M41/K41,0)</f>
        <v/>
      </c>
      <c r="O41" s="40">
        <f>'S32'!N41</f>
        <v/>
      </c>
      <c r="P41" s="31">
        <f>N41-O41</f>
        <v/>
      </c>
      <c r="Q41" s="32" t="n"/>
      <c r="R41" s="32" t="n"/>
      <c r="S41" s="32" t="n"/>
      <c r="T41" s="33" t="n"/>
      <c r="U41" s="40">
        <f>'S32'!T41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'S32'!M42+L42</f>
        <v/>
      </c>
      <c r="N42" s="36">
        <f>IFERROR(M42/K42,0)</f>
        <v/>
      </c>
      <c r="O42" s="42">
        <f>'S32'!N42</f>
        <v/>
      </c>
      <c r="P42" s="36">
        <f>N42-O42</f>
        <v/>
      </c>
      <c r="Q42" s="32" t="n"/>
      <c r="R42" s="32" t="n"/>
      <c r="S42" s="32" t="n"/>
      <c r="T42" s="33" t="n"/>
      <c r="U42" s="42">
        <f>'S32'!T42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'S32'!M43+L43</f>
        <v/>
      </c>
      <c r="N43" s="31">
        <f>IFERROR(M43/K43,0)</f>
        <v/>
      </c>
      <c r="O43" s="40">
        <f>'S32'!N43</f>
        <v/>
      </c>
      <c r="P43" s="31">
        <f>N43-O43</f>
        <v/>
      </c>
      <c r="Q43" s="32" t="n"/>
      <c r="R43" s="32" t="n"/>
      <c r="S43" s="32" t="n"/>
      <c r="T43" s="33" t="n"/>
      <c r="U43" s="40">
        <f>'S32'!T43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'S32'!M44+L44</f>
        <v/>
      </c>
      <c r="N44" s="36">
        <f>IFERROR(M44/K44,0)</f>
        <v/>
      </c>
      <c r="O44" s="42">
        <f>'S32'!N44</f>
        <v/>
      </c>
      <c r="P44" s="36">
        <f>N44-O44</f>
        <v/>
      </c>
      <c r="Q44" s="32" t="n"/>
      <c r="R44" s="32" t="n"/>
      <c r="S44" s="32" t="n"/>
      <c r="T44" s="33" t="n"/>
      <c r="U44" s="42">
        <f>'S32'!T44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'S32'!M45+L45</f>
        <v/>
      </c>
      <c r="N45" s="31">
        <f>IFERROR(M45/K45,0)</f>
        <v/>
      </c>
      <c r="O45" s="40">
        <f>'S32'!N45</f>
        <v/>
      </c>
      <c r="P45" s="31">
        <f>N45-O45</f>
        <v/>
      </c>
      <c r="Q45" s="32" t="n"/>
      <c r="R45" s="32" t="n"/>
      <c r="S45" s="32" t="n"/>
      <c r="T45" s="33" t="n"/>
      <c r="U45" s="40">
        <f>'S32'!T45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'S32'!M46+L46</f>
        <v/>
      </c>
      <c r="N46" s="36">
        <f>IFERROR(M46/K46,0)</f>
        <v/>
      </c>
      <c r="O46" s="42">
        <f>'S32'!N46</f>
        <v/>
      </c>
      <c r="P46" s="36">
        <f>N46-O46</f>
        <v/>
      </c>
      <c r="Q46" s="32" t="n"/>
      <c r="R46" s="32" t="n"/>
      <c r="S46" s="32" t="n"/>
      <c r="T46" s="33" t="n"/>
      <c r="U46" s="42">
        <f>'S32'!T46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'S32'!M47+L47</f>
        <v/>
      </c>
      <c r="N47" s="31">
        <f>IFERROR(M47/K47,0)</f>
        <v/>
      </c>
      <c r="O47" s="40">
        <f>'S32'!N47</f>
        <v/>
      </c>
      <c r="P47" s="31">
        <f>N47-O47</f>
        <v/>
      </c>
      <c r="Q47" s="32" t="n"/>
      <c r="R47" s="32" t="n"/>
      <c r="S47" s="32" t="n"/>
      <c r="T47" s="33" t="n"/>
      <c r="U47" s="40">
        <f>'S32'!T47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'S32'!M48+L48</f>
        <v/>
      </c>
      <c r="N48" s="36">
        <f>IFERROR(M48/K48,0)</f>
        <v/>
      </c>
      <c r="O48" s="42">
        <f>'S32'!N48</f>
        <v/>
      </c>
      <c r="P48" s="36">
        <f>N48-O48</f>
        <v/>
      </c>
      <c r="Q48" s="32" t="n"/>
      <c r="R48" s="32" t="n"/>
      <c r="S48" s="32" t="n"/>
      <c r="T48" s="33" t="n"/>
      <c r="U48" s="42">
        <f>'S32'!T48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'S32'!M49+L49</f>
        <v/>
      </c>
      <c r="N49" s="31">
        <f>IFERROR(M49/K49,0)</f>
        <v/>
      </c>
      <c r="O49" s="40">
        <f>'S32'!N49</f>
        <v/>
      </c>
      <c r="P49" s="31">
        <f>N49-O49</f>
        <v/>
      </c>
      <c r="Q49" s="32" t="n"/>
      <c r="R49" s="32" t="n"/>
      <c r="S49" s="32" t="n"/>
      <c r="T49" s="33" t="n"/>
      <c r="U49" s="40">
        <f>'S32'!T49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'S32'!M50+L50</f>
        <v/>
      </c>
      <c r="N50" s="36">
        <f>IFERROR(M50/K50,0)</f>
        <v/>
      </c>
      <c r="O50" s="42">
        <f>'S32'!N50</f>
        <v/>
      </c>
      <c r="P50" s="36">
        <f>N50-O50</f>
        <v/>
      </c>
      <c r="Q50" s="32" t="n"/>
      <c r="R50" s="32" t="n"/>
      <c r="S50" s="32" t="n"/>
      <c r="T50" s="33" t="n"/>
      <c r="U50" s="42">
        <f>'S32'!T50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'S32'!M51+L51</f>
        <v/>
      </c>
      <c r="N51" s="31">
        <f>IFERROR(M51/K51,0)</f>
        <v/>
      </c>
      <c r="O51" s="40">
        <f>'S32'!N51</f>
        <v/>
      </c>
      <c r="P51" s="31">
        <f>N51-O51</f>
        <v/>
      </c>
      <c r="Q51" s="32" t="n"/>
      <c r="R51" s="32" t="n"/>
      <c r="S51" s="32" t="n"/>
      <c r="T51" s="33" t="n"/>
      <c r="U51" s="40">
        <f>'S32'!T51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'S32'!M52+L52</f>
        <v/>
      </c>
      <c r="N52" s="36">
        <f>IFERROR(M52/K52,0)</f>
        <v/>
      </c>
      <c r="O52" s="42">
        <f>'S32'!N52</f>
        <v/>
      </c>
      <c r="P52" s="36">
        <f>N52-O52</f>
        <v/>
      </c>
      <c r="Q52" s="32" t="n"/>
      <c r="R52" s="32" t="n"/>
      <c r="S52" s="32" t="n"/>
      <c r="T52" s="33" t="n"/>
      <c r="U52" s="42">
        <f>'S32'!T52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'S32'!M53+L53</f>
        <v/>
      </c>
      <c r="N53" s="31">
        <f>IFERROR(M53/K53,0)</f>
        <v/>
      </c>
      <c r="O53" s="40">
        <f>'S32'!N53</f>
        <v/>
      </c>
      <c r="P53" s="31">
        <f>N53-O53</f>
        <v/>
      </c>
      <c r="Q53" s="32" t="n"/>
      <c r="R53" s="32" t="n"/>
      <c r="S53" s="32" t="n"/>
      <c r="T53" s="33" t="n"/>
      <c r="U53" s="40">
        <f>'S32'!T53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'S32'!M54+L54</f>
        <v/>
      </c>
      <c r="N54" s="36">
        <f>IFERROR(M54/K54,0)</f>
        <v/>
      </c>
      <c r="O54" s="42">
        <f>'S32'!N54</f>
        <v/>
      </c>
      <c r="P54" s="36">
        <f>N54-O54</f>
        <v/>
      </c>
      <c r="Q54" s="32" t="n"/>
      <c r="R54" s="32" t="n"/>
      <c r="S54" s="32" t="n"/>
      <c r="T54" s="33" t="n"/>
      <c r="U54" s="42">
        <f>'S32'!T54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'S32'!M55+L55</f>
        <v/>
      </c>
      <c r="N55" s="31">
        <f>IFERROR(M55/K55,0)</f>
        <v/>
      </c>
      <c r="O55" s="40">
        <f>'S32'!N55</f>
        <v/>
      </c>
      <c r="P55" s="31">
        <f>N55-O55</f>
        <v/>
      </c>
      <c r="Q55" s="32" t="n"/>
      <c r="R55" s="32" t="n"/>
      <c r="S55" s="32" t="n"/>
      <c r="T55" s="33" t="n"/>
      <c r="U55" s="40">
        <f>'S32'!T55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'S32'!M56+L56</f>
        <v/>
      </c>
      <c r="N56" s="36">
        <f>IFERROR(M56/K56,0)</f>
        <v/>
      </c>
      <c r="O56" s="42">
        <f>'S32'!N56</f>
        <v/>
      </c>
      <c r="P56" s="36">
        <f>N56-O56</f>
        <v/>
      </c>
      <c r="Q56" s="32" t="n"/>
      <c r="R56" s="32" t="n"/>
      <c r="S56" s="32" t="n"/>
      <c r="T56" s="33" t="n"/>
      <c r="U56" s="42">
        <f>'S32'!T56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'S32'!M57+L57</f>
        <v/>
      </c>
      <c r="N57" s="31">
        <f>IFERROR(M57/K57,0)</f>
        <v/>
      </c>
      <c r="O57" s="40">
        <f>'S32'!N57</f>
        <v/>
      </c>
      <c r="P57" s="31">
        <f>N57-O57</f>
        <v/>
      </c>
      <c r="Q57" s="32" t="n"/>
      <c r="R57" s="32" t="n"/>
      <c r="S57" s="32" t="n"/>
      <c r="T57" s="33" t="n"/>
      <c r="U57" s="40">
        <f>'S32'!T57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'S32'!M58+L58</f>
        <v/>
      </c>
      <c r="N58" s="36">
        <f>IFERROR(M58/K58,0)</f>
        <v/>
      </c>
      <c r="O58" s="42">
        <f>'S32'!N58</f>
        <v/>
      </c>
      <c r="P58" s="36">
        <f>N58-O58</f>
        <v/>
      </c>
      <c r="Q58" s="32" t="n"/>
      <c r="R58" s="32" t="n"/>
      <c r="S58" s="32" t="n"/>
      <c r="T58" s="33" t="n"/>
      <c r="U58" s="42">
        <f>'S32'!T58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'S32'!M59+L59</f>
        <v/>
      </c>
      <c r="N59" s="31">
        <f>IFERROR(M59/K59,0)</f>
        <v/>
      </c>
      <c r="O59" s="40">
        <f>'S32'!N59</f>
        <v/>
      </c>
      <c r="P59" s="31">
        <f>N59-O59</f>
        <v/>
      </c>
      <c r="Q59" s="32" t="n"/>
      <c r="R59" s="32" t="n"/>
      <c r="S59" s="32" t="n"/>
      <c r="T59" s="33" t="n"/>
      <c r="U59" s="40">
        <f>'S32'!T59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'S32'!M60+L60</f>
        <v/>
      </c>
      <c r="N60" s="36">
        <f>IFERROR(M60/K60,0)</f>
        <v/>
      </c>
      <c r="O60" s="42">
        <f>'S32'!N60</f>
        <v/>
      </c>
      <c r="P60" s="36">
        <f>N60-O60</f>
        <v/>
      </c>
      <c r="Q60" s="32" t="n"/>
      <c r="R60" s="32" t="n"/>
      <c r="S60" s="32" t="n"/>
      <c r="T60" s="33" t="n"/>
      <c r="U60" s="42">
        <f>'S32'!T60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'S32'!M61+L61</f>
        <v/>
      </c>
      <c r="N61" s="31">
        <f>IFERROR(M61/K61,0)</f>
        <v/>
      </c>
      <c r="O61" s="40">
        <f>'S32'!N61</f>
        <v/>
      </c>
      <c r="P61" s="31">
        <f>N61-O61</f>
        <v/>
      </c>
      <c r="Q61" s="32" t="n"/>
      <c r="R61" s="32" t="n"/>
      <c r="S61" s="32" t="n"/>
      <c r="T61" s="33" t="n"/>
      <c r="U61" s="40">
        <f>'S32'!T61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'S32'!M62+L62</f>
        <v/>
      </c>
      <c r="N62" s="36">
        <f>IFERROR(M62/K62,0)</f>
        <v/>
      </c>
      <c r="O62" s="42">
        <f>'S32'!N62</f>
        <v/>
      </c>
      <c r="P62" s="36">
        <f>N62-O62</f>
        <v/>
      </c>
      <c r="Q62" s="32" t="n"/>
      <c r="R62" s="32" t="n"/>
      <c r="S62" s="32" t="n"/>
      <c r="T62" s="33" t="n"/>
      <c r="U62" s="42">
        <f>'S32'!T62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'S32'!M63+L63</f>
        <v/>
      </c>
      <c r="N63" s="31">
        <f>IFERROR(M63/K63,0)</f>
        <v/>
      </c>
      <c r="O63" s="40">
        <f>'S32'!N63</f>
        <v/>
      </c>
      <c r="P63" s="31">
        <f>N63-O63</f>
        <v/>
      </c>
      <c r="Q63" s="32" t="n"/>
      <c r="R63" s="32" t="n"/>
      <c r="S63" s="32" t="n"/>
      <c r="T63" s="33" t="n"/>
      <c r="U63" s="40">
        <f>'S32'!T63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'S32'!M64+L64</f>
        <v/>
      </c>
      <c r="N64" s="36">
        <f>IFERROR(M64/K64,0)</f>
        <v/>
      </c>
      <c r="O64" s="42">
        <f>'S32'!N64</f>
        <v/>
      </c>
      <c r="P64" s="36">
        <f>N64-O64</f>
        <v/>
      </c>
      <c r="Q64" s="32" t="n"/>
      <c r="R64" s="32" t="n"/>
      <c r="S64" s="32" t="n"/>
      <c r="T64" s="33" t="n"/>
      <c r="U64" s="42">
        <f>'S32'!T64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'S32'!M65+L65</f>
        <v/>
      </c>
      <c r="N65" s="31">
        <f>IFERROR(M65/K65,0)</f>
        <v/>
      </c>
      <c r="O65" s="40">
        <f>'S32'!N65</f>
        <v/>
      </c>
      <c r="P65" s="31">
        <f>N65-O65</f>
        <v/>
      </c>
      <c r="Q65" s="32" t="n"/>
      <c r="R65" s="32" t="n"/>
      <c r="S65" s="32" t="n"/>
      <c r="T65" s="33" t="n"/>
      <c r="U65" s="40">
        <f>'S32'!T65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'S32'!M66+L66</f>
        <v/>
      </c>
      <c r="N66" s="36">
        <f>IFERROR(M66/K66,0)</f>
        <v/>
      </c>
      <c r="O66" s="42">
        <f>'S32'!N66</f>
        <v/>
      </c>
      <c r="P66" s="36">
        <f>N66-O66</f>
        <v/>
      </c>
      <c r="Q66" s="32" t="n"/>
      <c r="R66" s="32" t="n"/>
      <c r="S66" s="32" t="n"/>
      <c r="T66" s="33" t="n"/>
      <c r="U66" s="42">
        <f>'S32'!T66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'S32'!M67+L67</f>
        <v/>
      </c>
      <c r="N67" s="31">
        <f>IFERROR(M67/K67,0)</f>
        <v/>
      </c>
      <c r="O67" s="40">
        <f>'S32'!N67</f>
        <v/>
      </c>
      <c r="P67" s="31">
        <f>N67-O67</f>
        <v/>
      </c>
      <c r="Q67" s="32" t="n"/>
      <c r="R67" s="32" t="n"/>
      <c r="S67" s="32" t="n"/>
      <c r="T67" s="33" t="n"/>
      <c r="U67" s="40">
        <f>'S32'!T67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'S32'!M68+L68</f>
        <v/>
      </c>
      <c r="N68" s="36">
        <f>IFERROR(M68/K68,0)</f>
        <v/>
      </c>
      <c r="O68" s="42">
        <f>'S32'!N68</f>
        <v/>
      </c>
      <c r="P68" s="36">
        <f>N68-O68</f>
        <v/>
      </c>
      <c r="Q68" s="32" t="n"/>
      <c r="R68" s="32" t="n"/>
      <c r="S68" s="32" t="n"/>
      <c r="T68" s="33" t="n"/>
      <c r="U68" s="42">
        <f>'S32'!T68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'S32'!M69+L69</f>
        <v/>
      </c>
      <c r="N69" s="31">
        <f>IFERROR(M69/K69,0)</f>
        <v/>
      </c>
      <c r="O69" s="40">
        <f>'S32'!N69</f>
        <v/>
      </c>
      <c r="P69" s="31">
        <f>N69-O69</f>
        <v/>
      </c>
      <c r="Q69" s="32" t="n"/>
      <c r="R69" s="32" t="n"/>
      <c r="S69" s="32" t="n"/>
      <c r="T69" s="33" t="n"/>
      <c r="U69" s="40">
        <f>'S32'!T69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'S32'!M70+L70</f>
        <v/>
      </c>
      <c r="N70" s="36">
        <f>IFERROR(M70/K70,0)</f>
        <v/>
      </c>
      <c r="O70" s="42">
        <f>'S32'!N70</f>
        <v/>
      </c>
      <c r="P70" s="36">
        <f>N70-O70</f>
        <v/>
      </c>
      <c r="Q70" s="32" t="n"/>
      <c r="R70" s="32" t="n"/>
      <c r="S70" s="32" t="n"/>
      <c r="T70" s="33" t="n"/>
      <c r="U70" s="42">
        <f>'S32'!T70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'S32'!M71+L71</f>
        <v/>
      </c>
      <c r="N71" s="31">
        <f>IFERROR(M71/K71,0)</f>
        <v/>
      </c>
      <c r="O71" s="40">
        <f>'S32'!N71</f>
        <v/>
      </c>
      <c r="P71" s="31">
        <f>N71-O71</f>
        <v/>
      </c>
      <c r="Q71" s="32" t="n"/>
      <c r="R71" s="32" t="n"/>
      <c r="S71" s="32" t="n"/>
      <c r="T71" s="33" t="n"/>
      <c r="U71" s="40">
        <f>'S32'!T71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'S32'!M72+L72</f>
        <v/>
      </c>
      <c r="N72" s="36">
        <f>IFERROR(M72/K72,0)</f>
        <v/>
      </c>
      <c r="O72" s="42">
        <f>'S32'!N72</f>
        <v/>
      </c>
      <c r="P72" s="36">
        <f>N72-O72</f>
        <v/>
      </c>
      <c r="Q72" s="32" t="n"/>
      <c r="R72" s="32" t="n"/>
      <c r="S72" s="32" t="n"/>
      <c r="T72" s="33" t="n"/>
      <c r="U72" s="42">
        <f>'S32'!T72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'S32'!M73+L73</f>
        <v/>
      </c>
      <c r="N73" s="31">
        <f>IFERROR(M73/K73,0)</f>
        <v/>
      </c>
      <c r="O73" s="40">
        <f>'S32'!N73</f>
        <v/>
      </c>
      <c r="P73" s="31">
        <f>N73-O73</f>
        <v/>
      </c>
      <c r="Q73" s="32" t="n"/>
      <c r="R73" s="32" t="n"/>
      <c r="S73" s="32" t="n"/>
      <c r="T73" s="33" t="n"/>
      <c r="U73" s="40">
        <f>'S32'!T73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'S32'!M74+L74</f>
        <v/>
      </c>
      <c r="N74" s="36">
        <f>IFERROR(M74/K74,0)</f>
        <v/>
      </c>
      <c r="O74" s="42">
        <f>'S32'!N74</f>
        <v/>
      </c>
      <c r="P74" s="36">
        <f>N74-O74</f>
        <v/>
      </c>
      <c r="Q74" s="32" t="n"/>
      <c r="R74" s="32" t="n"/>
      <c r="S74" s="32" t="n"/>
      <c r="T74" s="33" t="n"/>
      <c r="U74" s="42">
        <f>'S32'!T74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'S32'!M75+L75</f>
        <v/>
      </c>
      <c r="N75" s="31">
        <f>IFERROR(M75/K75,0)</f>
        <v/>
      </c>
      <c r="O75" s="40">
        <f>'S32'!N75</f>
        <v/>
      </c>
      <c r="P75" s="31">
        <f>N75-O75</f>
        <v/>
      </c>
      <c r="Q75" s="32" t="n"/>
      <c r="R75" s="32" t="n"/>
      <c r="S75" s="32" t="n"/>
      <c r="T75" s="33" t="n"/>
      <c r="U75" s="40">
        <f>'S32'!T75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'S32'!M76+L76</f>
        <v/>
      </c>
      <c r="N76" s="36">
        <f>IFERROR(M76/K76,0)</f>
        <v/>
      </c>
      <c r="O76" s="42">
        <f>'S32'!N76</f>
        <v/>
      </c>
      <c r="P76" s="36">
        <f>N76-O76</f>
        <v/>
      </c>
      <c r="Q76" s="32" t="n"/>
      <c r="R76" s="32" t="n"/>
      <c r="S76" s="32" t="n"/>
      <c r="T76" s="33" t="n"/>
      <c r="U76" s="42">
        <f>'S32'!T76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36.xml><?xml version="1.0" encoding="utf-8"?>
<worksheet xmlns="http://schemas.openxmlformats.org/spreadsheetml/2006/main">
  <sheetPr>
    <tabColor rgb="00FF000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34 (17/08 - 23/08) — Août 2026 - Exécution Physique et Financière</t>
        </is>
      </c>
    </row>
    <row r="3" ht="22" customHeight="1">
      <c r="B3" s="20" t="inlineStr">
        <is>
          <t>Date :</t>
        </is>
      </c>
      <c r="C3" s="21" t="n">
        <v>46251</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'S33'!M5+L5</f>
        <v/>
      </c>
      <c r="N5" s="31">
        <f>IFERROR(M5/K5,0)</f>
        <v/>
      </c>
      <c r="O5" s="40">
        <f>'S33'!N5</f>
        <v/>
      </c>
      <c r="P5" s="31">
        <f>N5-O5</f>
        <v/>
      </c>
      <c r="Q5" s="32" t="n"/>
      <c r="R5" s="32" t="n"/>
      <c r="S5" s="32" t="n"/>
      <c r="T5" s="33" t="n"/>
      <c r="U5" s="40">
        <f>'S33'!T5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'S33'!M6+L6</f>
        <v/>
      </c>
      <c r="N6" s="36">
        <f>IFERROR(M6/K6,0)</f>
        <v/>
      </c>
      <c r="O6" s="42">
        <f>'S33'!N6</f>
        <v/>
      </c>
      <c r="P6" s="36">
        <f>N6-O6</f>
        <v/>
      </c>
      <c r="Q6" s="32" t="n"/>
      <c r="R6" s="32" t="n"/>
      <c r="S6" s="32" t="n"/>
      <c r="T6" s="33" t="n"/>
      <c r="U6" s="42">
        <f>'S33'!T6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'S33'!M7+L7</f>
        <v/>
      </c>
      <c r="N7" s="31">
        <f>IFERROR(M7/K7,0)</f>
        <v/>
      </c>
      <c r="O7" s="40">
        <f>'S33'!N7</f>
        <v/>
      </c>
      <c r="P7" s="31">
        <f>N7-O7</f>
        <v/>
      </c>
      <c r="Q7" s="32" t="n"/>
      <c r="R7" s="32" t="n"/>
      <c r="S7" s="32" t="n"/>
      <c r="T7" s="33" t="n"/>
      <c r="U7" s="40">
        <f>'S33'!T7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'S33'!M8+L8</f>
        <v/>
      </c>
      <c r="N8" s="36">
        <f>IFERROR(M8/K8,0)</f>
        <v/>
      </c>
      <c r="O8" s="42">
        <f>'S33'!N8</f>
        <v/>
      </c>
      <c r="P8" s="36">
        <f>N8-O8</f>
        <v/>
      </c>
      <c r="Q8" s="32" t="n"/>
      <c r="R8" s="32" t="n"/>
      <c r="S8" s="32" t="n"/>
      <c r="T8" s="33" t="n"/>
      <c r="U8" s="42">
        <f>'S33'!T8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'S33'!M9+L9</f>
        <v/>
      </c>
      <c r="N9" s="31">
        <f>IFERROR(M9/K9,0)</f>
        <v/>
      </c>
      <c r="O9" s="40">
        <f>'S33'!N9</f>
        <v/>
      </c>
      <c r="P9" s="31">
        <f>N9-O9</f>
        <v/>
      </c>
      <c r="Q9" s="32" t="n"/>
      <c r="R9" s="32" t="n"/>
      <c r="S9" s="32" t="n"/>
      <c r="T9" s="33" t="n"/>
      <c r="U9" s="40">
        <f>'S33'!T9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'S33'!M10+L10</f>
        <v/>
      </c>
      <c r="N10" s="36">
        <f>IFERROR(M10/K10,0)</f>
        <v/>
      </c>
      <c r="O10" s="42">
        <f>'S33'!N10</f>
        <v/>
      </c>
      <c r="P10" s="36">
        <f>N10-O10</f>
        <v/>
      </c>
      <c r="Q10" s="32" t="n"/>
      <c r="R10" s="32" t="n"/>
      <c r="S10" s="32" t="n"/>
      <c r="T10" s="33" t="n"/>
      <c r="U10" s="42">
        <f>'S33'!T10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'S33'!M11+L11</f>
        <v/>
      </c>
      <c r="N11" s="31">
        <f>IFERROR(M11/K11,0)</f>
        <v/>
      </c>
      <c r="O11" s="40">
        <f>'S33'!N11</f>
        <v/>
      </c>
      <c r="P11" s="31">
        <f>N11-O11</f>
        <v/>
      </c>
      <c r="Q11" s="32" t="n"/>
      <c r="R11" s="32" t="n"/>
      <c r="S11" s="32" t="n"/>
      <c r="T11" s="33" t="n"/>
      <c r="U11" s="40">
        <f>'S33'!T11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'S33'!M12+L12</f>
        <v/>
      </c>
      <c r="N12" s="36">
        <f>IFERROR(M12/K12,0)</f>
        <v/>
      </c>
      <c r="O12" s="42">
        <f>'S33'!N12</f>
        <v/>
      </c>
      <c r="P12" s="36">
        <f>N12-O12</f>
        <v/>
      </c>
      <c r="Q12" s="32" t="n"/>
      <c r="R12" s="32" t="n"/>
      <c r="S12" s="32" t="n"/>
      <c r="T12" s="33" t="n"/>
      <c r="U12" s="42">
        <f>'S33'!T12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'S33'!M13+L13</f>
        <v/>
      </c>
      <c r="N13" s="31">
        <f>IFERROR(M13/K13,0)</f>
        <v/>
      </c>
      <c r="O13" s="40">
        <f>'S33'!N13</f>
        <v/>
      </c>
      <c r="P13" s="31">
        <f>N13-O13</f>
        <v/>
      </c>
      <c r="Q13" s="32" t="n"/>
      <c r="R13" s="32" t="n"/>
      <c r="S13" s="32" t="n"/>
      <c r="T13" s="33" t="n"/>
      <c r="U13" s="40">
        <f>'S33'!T13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'S33'!M14+L14</f>
        <v/>
      </c>
      <c r="N14" s="36">
        <f>IFERROR(M14/K14,0)</f>
        <v/>
      </c>
      <c r="O14" s="42">
        <f>'S33'!N14</f>
        <v/>
      </c>
      <c r="P14" s="36">
        <f>N14-O14</f>
        <v/>
      </c>
      <c r="Q14" s="32" t="n"/>
      <c r="R14" s="32" t="n"/>
      <c r="S14" s="32" t="n"/>
      <c r="T14" s="33" t="n"/>
      <c r="U14" s="42">
        <f>'S33'!T14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'S33'!M15+L15</f>
        <v/>
      </c>
      <c r="N15" s="31">
        <f>IFERROR(M15/K15,0)</f>
        <v/>
      </c>
      <c r="O15" s="40">
        <f>'S33'!N15</f>
        <v/>
      </c>
      <c r="P15" s="31">
        <f>N15-O15</f>
        <v/>
      </c>
      <c r="Q15" s="32" t="n"/>
      <c r="R15" s="32" t="n"/>
      <c r="S15" s="32" t="n"/>
      <c r="T15" s="33" t="n"/>
      <c r="U15" s="40">
        <f>'S33'!T15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'S33'!M16+L16</f>
        <v/>
      </c>
      <c r="N16" s="36">
        <f>IFERROR(M16/K16,0)</f>
        <v/>
      </c>
      <c r="O16" s="42">
        <f>'S33'!N16</f>
        <v/>
      </c>
      <c r="P16" s="36">
        <f>N16-O16</f>
        <v/>
      </c>
      <c r="Q16" s="32" t="n"/>
      <c r="R16" s="32" t="n"/>
      <c r="S16" s="32" t="n"/>
      <c r="T16" s="33" t="n"/>
      <c r="U16" s="42">
        <f>'S33'!T16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'S33'!M17+L17</f>
        <v/>
      </c>
      <c r="N17" s="31">
        <f>IFERROR(M17/K17,0)</f>
        <v/>
      </c>
      <c r="O17" s="40">
        <f>'S33'!N17</f>
        <v/>
      </c>
      <c r="P17" s="31">
        <f>N17-O17</f>
        <v/>
      </c>
      <c r="Q17" s="32" t="n"/>
      <c r="R17" s="32" t="n"/>
      <c r="S17" s="32" t="n"/>
      <c r="T17" s="33" t="n"/>
      <c r="U17" s="40">
        <f>'S33'!T17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'S33'!M18+L18</f>
        <v/>
      </c>
      <c r="N18" s="36">
        <f>IFERROR(M18/K18,0)</f>
        <v/>
      </c>
      <c r="O18" s="42">
        <f>'S33'!N18</f>
        <v/>
      </c>
      <c r="P18" s="36">
        <f>N18-O18</f>
        <v/>
      </c>
      <c r="Q18" s="32" t="n"/>
      <c r="R18" s="32" t="n"/>
      <c r="S18" s="32" t="n"/>
      <c r="T18" s="33" t="n"/>
      <c r="U18" s="42">
        <f>'S33'!T18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'S33'!M19+L19</f>
        <v/>
      </c>
      <c r="N19" s="31">
        <f>IFERROR(M19/K19,0)</f>
        <v/>
      </c>
      <c r="O19" s="40">
        <f>'S33'!N19</f>
        <v/>
      </c>
      <c r="P19" s="31">
        <f>N19-O19</f>
        <v/>
      </c>
      <c r="Q19" s="32" t="n"/>
      <c r="R19" s="32" t="n"/>
      <c r="S19" s="32" t="n"/>
      <c r="T19" s="33" t="n"/>
      <c r="U19" s="40">
        <f>'S33'!T19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'S33'!M20+L20</f>
        <v/>
      </c>
      <c r="N20" s="36">
        <f>IFERROR(M20/K20,0)</f>
        <v/>
      </c>
      <c r="O20" s="42">
        <f>'S33'!N20</f>
        <v/>
      </c>
      <c r="P20" s="36">
        <f>N20-O20</f>
        <v/>
      </c>
      <c r="Q20" s="32" t="n"/>
      <c r="R20" s="32" t="n"/>
      <c r="S20" s="32" t="n"/>
      <c r="T20" s="33" t="n"/>
      <c r="U20" s="42">
        <f>'S33'!T20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'S33'!M21+L21</f>
        <v/>
      </c>
      <c r="N21" s="31">
        <f>IFERROR(M21/K21,0)</f>
        <v/>
      </c>
      <c r="O21" s="40">
        <f>'S33'!N21</f>
        <v/>
      </c>
      <c r="P21" s="31">
        <f>N21-O21</f>
        <v/>
      </c>
      <c r="Q21" s="32" t="n"/>
      <c r="R21" s="32" t="n"/>
      <c r="S21" s="32" t="n"/>
      <c r="T21" s="33" t="n"/>
      <c r="U21" s="40">
        <f>'S33'!T21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'S33'!M22+L22</f>
        <v/>
      </c>
      <c r="N22" s="36">
        <f>IFERROR(M22/K22,0)</f>
        <v/>
      </c>
      <c r="O22" s="42">
        <f>'S33'!N22</f>
        <v/>
      </c>
      <c r="P22" s="36">
        <f>N22-O22</f>
        <v/>
      </c>
      <c r="Q22" s="32" t="n"/>
      <c r="R22" s="32" t="n"/>
      <c r="S22" s="32" t="n"/>
      <c r="T22" s="33" t="n"/>
      <c r="U22" s="42">
        <f>'S33'!T22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'S33'!M23+L23</f>
        <v/>
      </c>
      <c r="N23" s="31">
        <f>IFERROR(M23/K23,0)</f>
        <v/>
      </c>
      <c r="O23" s="40">
        <f>'S33'!N23</f>
        <v/>
      </c>
      <c r="P23" s="31">
        <f>N23-O23</f>
        <v/>
      </c>
      <c r="Q23" s="32" t="n"/>
      <c r="R23" s="32" t="n"/>
      <c r="S23" s="32" t="n"/>
      <c r="T23" s="33" t="n"/>
      <c r="U23" s="40">
        <f>'S33'!T23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'S33'!M24+L24</f>
        <v/>
      </c>
      <c r="N24" s="36">
        <f>IFERROR(M24/K24,0)</f>
        <v/>
      </c>
      <c r="O24" s="42">
        <f>'S33'!N24</f>
        <v/>
      </c>
      <c r="P24" s="36">
        <f>N24-O24</f>
        <v/>
      </c>
      <c r="Q24" s="32" t="n"/>
      <c r="R24" s="32" t="n"/>
      <c r="S24" s="32" t="n"/>
      <c r="T24" s="33" t="n"/>
      <c r="U24" s="42">
        <f>'S33'!T24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'S33'!M25+L25</f>
        <v/>
      </c>
      <c r="N25" s="31">
        <f>IFERROR(M25/K25,0)</f>
        <v/>
      </c>
      <c r="O25" s="40">
        <f>'S33'!N25</f>
        <v/>
      </c>
      <c r="P25" s="31">
        <f>N25-O25</f>
        <v/>
      </c>
      <c r="Q25" s="32" t="n"/>
      <c r="R25" s="32" t="n"/>
      <c r="S25" s="32" t="n"/>
      <c r="T25" s="33" t="n"/>
      <c r="U25" s="40">
        <f>'S33'!T25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'S33'!M26+L26</f>
        <v/>
      </c>
      <c r="N26" s="36">
        <f>IFERROR(M26/K26,0)</f>
        <v/>
      </c>
      <c r="O26" s="42">
        <f>'S33'!N26</f>
        <v/>
      </c>
      <c r="P26" s="36">
        <f>N26-O26</f>
        <v/>
      </c>
      <c r="Q26" s="32" t="n"/>
      <c r="R26" s="32" t="n"/>
      <c r="S26" s="32" t="n"/>
      <c r="T26" s="33" t="n"/>
      <c r="U26" s="42">
        <f>'S33'!T26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'S33'!M27+L27</f>
        <v/>
      </c>
      <c r="N27" s="31">
        <f>IFERROR(M27/K27,0)</f>
        <v/>
      </c>
      <c r="O27" s="40">
        <f>'S33'!N27</f>
        <v/>
      </c>
      <c r="P27" s="31">
        <f>N27-O27</f>
        <v/>
      </c>
      <c r="Q27" s="32" t="n"/>
      <c r="R27" s="32" t="n"/>
      <c r="S27" s="32" t="n"/>
      <c r="T27" s="33" t="n"/>
      <c r="U27" s="40">
        <f>'S33'!T27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'S33'!M28+L28</f>
        <v/>
      </c>
      <c r="N28" s="36">
        <f>IFERROR(M28/K28,0)</f>
        <v/>
      </c>
      <c r="O28" s="42">
        <f>'S33'!N28</f>
        <v/>
      </c>
      <c r="P28" s="36">
        <f>N28-O28</f>
        <v/>
      </c>
      <c r="Q28" s="32" t="n"/>
      <c r="R28" s="32" t="n"/>
      <c r="S28" s="32" t="n"/>
      <c r="T28" s="33" t="n"/>
      <c r="U28" s="42">
        <f>'S33'!T28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'S33'!M29+L29</f>
        <v/>
      </c>
      <c r="N29" s="31">
        <f>IFERROR(M29/K29,0)</f>
        <v/>
      </c>
      <c r="O29" s="40">
        <f>'S33'!N29</f>
        <v/>
      </c>
      <c r="P29" s="31">
        <f>N29-O29</f>
        <v/>
      </c>
      <c r="Q29" s="32" t="n"/>
      <c r="R29" s="32" t="n"/>
      <c r="S29" s="32" t="n"/>
      <c r="T29" s="33" t="n"/>
      <c r="U29" s="40">
        <f>'S33'!T29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'S33'!M30+L30</f>
        <v/>
      </c>
      <c r="N30" s="36">
        <f>IFERROR(M30/K30,0)</f>
        <v/>
      </c>
      <c r="O30" s="42">
        <f>'S33'!N30</f>
        <v/>
      </c>
      <c r="P30" s="36">
        <f>N30-O30</f>
        <v/>
      </c>
      <c r="Q30" s="32" t="n"/>
      <c r="R30" s="32" t="n"/>
      <c r="S30" s="32" t="n"/>
      <c r="T30" s="33" t="n"/>
      <c r="U30" s="42">
        <f>'S33'!T30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'S33'!M31+L31</f>
        <v/>
      </c>
      <c r="N31" s="31">
        <f>IFERROR(M31/K31,0)</f>
        <v/>
      </c>
      <c r="O31" s="40">
        <f>'S33'!N31</f>
        <v/>
      </c>
      <c r="P31" s="31">
        <f>N31-O31</f>
        <v/>
      </c>
      <c r="Q31" s="32" t="n"/>
      <c r="R31" s="32" t="n"/>
      <c r="S31" s="32" t="n"/>
      <c r="T31" s="33" t="n"/>
      <c r="U31" s="40">
        <f>'S33'!T31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'S33'!M32+L32</f>
        <v/>
      </c>
      <c r="N32" s="36">
        <f>IFERROR(M32/K32,0)</f>
        <v/>
      </c>
      <c r="O32" s="42">
        <f>'S33'!N32</f>
        <v/>
      </c>
      <c r="P32" s="36">
        <f>N32-O32</f>
        <v/>
      </c>
      <c r="Q32" s="32" t="n"/>
      <c r="R32" s="32" t="n"/>
      <c r="S32" s="32" t="n"/>
      <c r="T32" s="33" t="n"/>
      <c r="U32" s="42">
        <f>'S33'!T32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'S33'!M33+L33</f>
        <v/>
      </c>
      <c r="N33" s="31">
        <f>IFERROR(M33/K33,0)</f>
        <v/>
      </c>
      <c r="O33" s="40">
        <f>'S33'!N33</f>
        <v/>
      </c>
      <c r="P33" s="31">
        <f>N33-O33</f>
        <v/>
      </c>
      <c r="Q33" s="32" t="n"/>
      <c r="R33" s="32" t="n"/>
      <c r="S33" s="32" t="n"/>
      <c r="T33" s="33" t="n"/>
      <c r="U33" s="40">
        <f>'S33'!T33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'S33'!M34+L34</f>
        <v/>
      </c>
      <c r="N34" s="36">
        <f>IFERROR(M34/K34,0)</f>
        <v/>
      </c>
      <c r="O34" s="42">
        <f>'S33'!N34</f>
        <v/>
      </c>
      <c r="P34" s="36">
        <f>N34-O34</f>
        <v/>
      </c>
      <c r="Q34" s="32" t="n"/>
      <c r="R34" s="32" t="n"/>
      <c r="S34" s="32" t="n"/>
      <c r="T34" s="33" t="n"/>
      <c r="U34" s="42">
        <f>'S33'!T34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'S33'!M35+L35</f>
        <v/>
      </c>
      <c r="N35" s="31">
        <f>IFERROR(M35/K35,0)</f>
        <v/>
      </c>
      <c r="O35" s="40">
        <f>'S33'!N35</f>
        <v/>
      </c>
      <c r="P35" s="31">
        <f>N35-O35</f>
        <v/>
      </c>
      <c r="Q35" s="32" t="n"/>
      <c r="R35" s="32" t="n"/>
      <c r="S35" s="32" t="n"/>
      <c r="T35" s="33" t="n"/>
      <c r="U35" s="40">
        <f>'S33'!T35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'S33'!M36+L36</f>
        <v/>
      </c>
      <c r="N36" s="36">
        <f>IFERROR(M36/K36,0)</f>
        <v/>
      </c>
      <c r="O36" s="42">
        <f>'S33'!N36</f>
        <v/>
      </c>
      <c r="P36" s="36">
        <f>N36-O36</f>
        <v/>
      </c>
      <c r="Q36" s="32" t="n"/>
      <c r="R36" s="32" t="n"/>
      <c r="S36" s="32" t="n"/>
      <c r="T36" s="33" t="n"/>
      <c r="U36" s="42">
        <f>'S33'!T36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'S33'!M37+L37</f>
        <v/>
      </c>
      <c r="N37" s="31">
        <f>IFERROR(M37/K37,0)</f>
        <v/>
      </c>
      <c r="O37" s="40">
        <f>'S33'!N37</f>
        <v/>
      </c>
      <c r="P37" s="31">
        <f>N37-O37</f>
        <v/>
      </c>
      <c r="Q37" s="32" t="n"/>
      <c r="R37" s="32" t="n"/>
      <c r="S37" s="32" t="n"/>
      <c r="T37" s="33" t="n"/>
      <c r="U37" s="40">
        <f>'S33'!T37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'S33'!M38+L38</f>
        <v/>
      </c>
      <c r="N38" s="36">
        <f>IFERROR(M38/K38,0)</f>
        <v/>
      </c>
      <c r="O38" s="42">
        <f>'S33'!N38</f>
        <v/>
      </c>
      <c r="P38" s="36">
        <f>N38-O38</f>
        <v/>
      </c>
      <c r="Q38" s="32" t="n"/>
      <c r="R38" s="32" t="n"/>
      <c r="S38" s="32" t="n"/>
      <c r="T38" s="33" t="n"/>
      <c r="U38" s="42">
        <f>'S33'!T38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'S33'!M39+L39</f>
        <v/>
      </c>
      <c r="N39" s="31">
        <f>IFERROR(M39/K39,0)</f>
        <v/>
      </c>
      <c r="O39" s="40">
        <f>'S33'!N39</f>
        <v/>
      </c>
      <c r="P39" s="31">
        <f>N39-O39</f>
        <v/>
      </c>
      <c r="Q39" s="32" t="n"/>
      <c r="R39" s="32" t="n"/>
      <c r="S39" s="32" t="n"/>
      <c r="T39" s="33" t="n"/>
      <c r="U39" s="40">
        <f>'S33'!T39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'S33'!M40+L40</f>
        <v/>
      </c>
      <c r="N40" s="36">
        <f>IFERROR(M40/K40,0)</f>
        <v/>
      </c>
      <c r="O40" s="42">
        <f>'S33'!N40</f>
        <v/>
      </c>
      <c r="P40" s="36">
        <f>N40-O40</f>
        <v/>
      </c>
      <c r="Q40" s="32" t="n"/>
      <c r="R40" s="32" t="n"/>
      <c r="S40" s="32" t="n"/>
      <c r="T40" s="33" t="n"/>
      <c r="U40" s="42">
        <f>'S33'!T40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'S33'!M41+L41</f>
        <v/>
      </c>
      <c r="N41" s="31">
        <f>IFERROR(M41/K41,0)</f>
        <v/>
      </c>
      <c r="O41" s="40">
        <f>'S33'!N41</f>
        <v/>
      </c>
      <c r="P41" s="31">
        <f>N41-O41</f>
        <v/>
      </c>
      <c r="Q41" s="32" t="n"/>
      <c r="R41" s="32" t="n"/>
      <c r="S41" s="32" t="n"/>
      <c r="T41" s="33" t="n"/>
      <c r="U41" s="40">
        <f>'S33'!T41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'S33'!M42+L42</f>
        <v/>
      </c>
      <c r="N42" s="36">
        <f>IFERROR(M42/K42,0)</f>
        <v/>
      </c>
      <c r="O42" s="42">
        <f>'S33'!N42</f>
        <v/>
      </c>
      <c r="P42" s="36">
        <f>N42-O42</f>
        <v/>
      </c>
      <c r="Q42" s="32" t="n"/>
      <c r="R42" s="32" t="n"/>
      <c r="S42" s="32" t="n"/>
      <c r="T42" s="33" t="n"/>
      <c r="U42" s="42">
        <f>'S33'!T42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'S33'!M43+L43</f>
        <v/>
      </c>
      <c r="N43" s="31">
        <f>IFERROR(M43/K43,0)</f>
        <v/>
      </c>
      <c r="O43" s="40">
        <f>'S33'!N43</f>
        <v/>
      </c>
      <c r="P43" s="31">
        <f>N43-O43</f>
        <v/>
      </c>
      <c r="Q43" s="32" t="n"/>
      <c r="R43" s="32" t="n"/>
      <c r="S43" s="32" t="n"/>
      <c r="T43" s="33" t="n"/>
      <c r="U43" s="40">
        <f>'S33'!T43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'S33'!M44+L44</f>
        <v/>
      </c>
      <c r="N44" s="36">
        <f>IFERROR(M44/K44,0)</f>
        <v/>
      </c>
      <c r="O44" s="42">
        <f>'S33'!N44</f>
        <v/>
      </c>
      <c r="P44" s="36">
        <f>N44-O44</f>
        <v/>
      </c>
      <c r="Q44" s="32" t="n"/>
      <c r="R44" s="32" t="n"/>
      <c r="S44" s="32" t="n"/>
      <c r="T44" s="33" t="n"/>
      <c r="U44" s="42">
        <f>'S33'!T44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'S33'!M45+L45</f>
        <v/>
      </c>
      <c r="N45" s="31">
        <f>IFERROR(M45/K45,0)</f>
        <v/>
      </c>
      <c r="O45" s="40">
        <f>'S33'!N45</f>
        <v/>
      </c>
      <c r="P45" s="31">
        <f>N45-O45</f>
        <v/>
      </c>
      <c r="Q45" s="32" t="n"/>
      <c r="R45" s="32" t="n"/>
      <c r="S45" s="32" t="n"/>
      <c r="T45" s="33" t="n"/>
      <c r="U45" s="40">
        <f>'S33'!T45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'S33'!M46+L46</f>
        <v/>
      </c>
      <c r="N46" s="36">
        <f>IFERROR(M46/K46,0)</f>
        <v/>
      </c>
      <c r="O46" s="42">
        <f>'S33'!N46</f>
        <v/>
      </c>
      <c r="P46" s="36">
        <f>N46-O46</f>
        <v/>
      </c>
      <c r="Q46" s="32" t="n"/>
      <c r="R46" s="32" t="n"/>
      <c r="S46" s="32" t="n"/>
      <c r="T46" s="33" t="n"/>
      <c r="U46" s="42">
        <f>'S33'!T46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'S33'!M47+L47</f>
        <v/>
      </c>
      <c r="N47" s="31">
        <f>IFERROR(M47/K47,0)</f>
        <v/>
      </c>
      <c r="O47" s="40">
        <f>'S33'!N47</f>
        <v/>
      </c>
      <c r="P47" s="31">
        <f>N47-O47</f>
        <v/>
      </c>
      <c r="Q47" s="32" t="n"/>
      <c r="R47" s="32" t="n"/>
      <c r="S47" s="32" t="n"/>
      <c r="T47" s="33" t="n"/>
      <c r="U47" s="40">
        <f>'S33'!T47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'S33'!M48+L48</f>
        <v/>
      </c>
      <c r="N48" s="36">
        <f>IFERROR(M48/K48,0)</f>
        <v/>
      </c>
      <c r="O48" s="42">
        <f>'S33'!N48</f>
        <v/>
      </c>
      <c r="P48" s="36">
        <f>N48-O48</f>
        <v/>
      </c>
      <c r="Q48" s="32" t="n"/>
      <c r="R48" s="32" t="n"/>
      <c r="S48" s="32" t="n"/>
      <c r="T48" s="33" t="n"/>
      <c r="U48" s="42">
        <f>'S33'!T48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'S33'!M49+L49</f>
        <v/>
      </c>
      <c r="N49" s="31">
        <f>IFERROR(M49/K49,0)</f>
        <v/>
      </c>
      <c r="O49" s="40">
        <f>'S33'!N49</f>
        <v/>
      </c>
      <c r="P49" s="31">
        <f>N49-O49</f>
        <v/>
      </c>
      <c r="Q49" s="32" t="n"/>
      <c r="R49" s="32" t="n"/>
      <c r="S49" s="32" t="n"/>
      <c r="T49" s="33" t="n"/>
      <c r="U49" s="40">
        <f>'S33'!T49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'S33'!M50+L50</f>
        <v/>
      </c>
      <c r="N50" s="36">
        <f>IFERROR(M50/K50,0)</f>
        <v/>
      </c>
      <c r="O50" s="42">
        <f>'S33'!N50</f>
        <v/>
      </c>
      <c r="P50" s="36">
        <f>N50-O50</f>
        <v/>
      </c>
      <c r="Q50" s="32" t="n"/>
      <c r="R50" s="32" t="n"/>
      <c r="S50" s="32" t="n"/>
      <c r="T50" s="33" t="n"/>
      <c r="U50" s="42">
        <f>'S33'!T50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'S33'!M51+L51</f>
        <v/>
      </c>
      <c r="N51" s="31">
        <f>IFERROR(M51/K51,0)</f>
        <v/>
      </c>
      <c r="O51" s="40">
        <f>'S33'!N51</f>
        <v/>
      </c>
      <c r="P51" s="31">
        <f>N51-O51</f>
        <v/>
      </c>
      <c r="Q51" s="32" t="n"/>
      <c r="R51" s="32" t="n"/>
      <c r="S51" s="32" t="n"/>
      <c r="T51" s="33" t="n"/>
      <c r="U51" s="40">
        <f>'S33'!T51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'S33'!M52+L52</f>
        <v/>
      </c>
      <c r="N52" s="36">
        <f>IFERROR(M52/K52,0)</f>
        <v/>
      </c>
      <c r="O52" s="42">
        <f>'S33'!N52</f>
        <v/>
      </c>
      <c r="P52" s="36">
        <f>N52-O52</f>
        <v/>
      </c>
      <c r="Q52" s="32" t="n"/>
      <c r="R52" s="32" t="n"/>
      <c r="S52" s="32" t="n"/>
      <c r="T52" s="33" t="n"/>
      <c r="U52" s="42">
        <f>'S33'!T52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'S33'!M53+L53</f>
        <v/>
      </c>
      <c r="N53" s="31">
        <f>IFERROR(M53/K53,0)</f>
        <v/>
      </c>
      <c r="O53" s="40">
        <f>'S33'!N53</f>
        <v/>
      </c>
      <c r="P53" s="31">
        <f>N53-O53</f>
        <v/>
      </c>
      <c r="Q53" s="32" t="n"/>
      <c r="R53" s="32" t="n"/>
      <c r="S53" s="32" t="n"/>
      <c r="T53" s="33" t="n"/>
      <c r="U53" s="40">
        <f>'S33'!T53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'S33'!M54+L54</f>
        <v/>
      </c>
      <c r="N54" s="36">
        <f>IFERROR(M54/K54,0)</f>
        <v/>
      </c>
      <c r="O54" s="42">
        <f>'S33'!N54</f>
        <v/>
      </c>
      <c r="P54" s="36">
        <f>N54-O54</f>
        <v/>
      </c>
      <c r="Q54" s="32" t="n"/>
      <c r="R54" s="32" t="n"/>
      <c r="S54" s="32" t="n"/>
      <c r="T54" s="33" t="n"/>
      <c r="U54" s="42">
        <f>'S33'!T54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'S33'!M55+L55</f>
        <v/>
      </c>
      <c r="N55" s="31">
        <f>IFERROR(M55/K55,0)</f>
        <v/>
      </c>
      <c r="O55" s="40">
        <f>'S33'!N55</f>
        <v/>
      </c>
      <c r="P55" s="31">
        <f>N55-O55</f>
        <v/>
      </c>
      <c r="Q55" s="32" t="n"/>
      <c r="R55" s="32" t="n"/>
      <c r="S55" s="32" t="n"/>
      <c r="T55" s="33" t="n"/>
      <c r="U55" s="40">
        <f>'S33'!T55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'S33'!M56+L56</f>
        <v/>
      </c>
      <c r="N56" s="36">
        <f>IFERROR(M56/K56,0)</f>
        <v/>
      </c>
      <c r="O56" s="42">
        <f>'S33'!N56</f>
        <v/>
      </c>
      <c r="P56" s="36">
        <f>N56-O56</f>
        <v/>
      </c>
      <c r="Q56" s="32" t="n"/>
      <c r="R56" s="32" t="n"/>
      <c r="S56" s="32" t="n"/>
      <c r="T56" s="33" t="n"/>
      <c r="U56" s="42">
        <f>'S33'!T56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'S33'!M57+L57</f>
        <v/>
      </c>
      <c r="N57" s="31">
        <f>IFERROR(M57/K57,0)</f>
        <v/>
      </c>
      <c r="O57" s="40">
        <f>'S33'!N57</f>
        <v/>
      </c>
      <c r="P57" s="31">
        <f>N57-O57</f>
        <v/>
      </c>
      <c r="Q57" s="32" t="n"/>
      <c r="R57" s="32" t="n"/>
      <c r="S57" s="32" t="n"/>
      <c r="T57" s="33" t="n"/>
      <c r="U57" s="40">
        <f>'S33'!T57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'S33'!M58+L58</f>
        <v/>
      </c>
      <c r="N58" s="36">
        <f>IFERROR(M58/K58,0)</f>
        <v/>
      </c>
      <c r="O58" s="42">
        <f>'S33'!N58</f>
        <v/>
      </c>
      <c r="P58" s="36">
        <f>N58-O58</f>
        <v/>
      </c>
      <c r="Q58" s="32" t="n"/>
      <c r="R58" s="32" t="n"/>
      <c r="S58" s="32" t="n"/>
      <c r="T58" s="33" t="n"/>
      <c r="U58" s="42">
        <f>'S33'!T58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'S33'!M59+L59</f>
        <v/>
      </c>
      <c r="N59" s="31">
        <f>IFERROR(M59/K59,0)</f>
        <v/>
      </c>
      <c r="O59" s="40">
        <f>'S33'!N59</f>
        <v/>
      </c>
      <c r="P59" s="31">
        <f>N59-O59</f>
        <v/>
      </c>
      <c r="Q59" s="32" t="n"/>
      <c r="R59" s="32" t="n"/>
      <c r="S59" s="32" t="n"/>
      <c r="T59" s="33" t="n"/>
      <c r="U59" s="40">
        <f>'S33'!T59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'S33'!M60+L60</f>
        <v/>
      </c>
      <c r="N60" s="36">
        <f>IFERROR(M60/K60,0)</f>
        <v/>
      </c>
      <c r="O60" s="42">
        <f>'S33'!N60</f>
        <v/>
      </c>
      <c r="P60" s="36">
        <f>N60-O60</f>
        <v/>
      </c>
      <c r="Q60" s="32" t="n"/>
      <c r="R60" s="32" t="n"/>
      <c r="S60" s="32" t="n"/>
      <c r="T60" s="33" t="n"/>
      <c r="U60" s="42">
        <f>'S33'!T60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'S33'!M61+L61</f>
        <v/>
      </c>
      <c r="N61" s="31">
        <f>IFERROR(M61/K61,0)</f>
        <v/>
      </c>
      <c r="O61" s="40">
        <f>'S33'!N61</f>
        <v/>
      </c>
      <c r="P61" s="31">
        <f>N61-O61</f>
        <v/>
      </c>
      <c r="Q61" s="32" t="n"/>
      <c r="R61" s="32" t="n"/>
      <c r="S61" s="32" t="n"/>
      <c r="T61" s="33" t="n"/>
      <c r="U61" s="40">
        <f>'S33'!T61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'S33'!M62+L62</f>
        <v/>
      </c>
      <c r="N62" s="36">
        <f>IFERROR(M62/K62,0)</f>
        <v/>
      </c>
      <c r="O62" s="42">
        <f>'S33'!N62</f>
        <v/>
      </c>
      <c r="P62" s="36">
        <f>N62-O62</f>
        <v/>
      </c>
      <c r="Q62" s="32" t="n"/>
      <c r="R62" s="32" t="n"/>
      <c r="S62" s="32" t="n"/>
      <c r="T62" s="33" t="n"/>
      <c r="U62" s="42">
        <f>'S33'!T62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'S33'!M63+L63</f>
        <v/>
      </c>
      <c r="N63" s="31">
        <f>IFERROR(M63/K63,0)</f>
        <v/>
      </c>
      <c r="O63" s="40">
        <f>'S33'!N63</f>
        <v/>
      </c>
      <c r="P63" s="31">
        <f>N63-O63</f>
        <v/>
      </c>
      <c r="Q63" s="32" t="n"/>
      <c r="R63" s="32" t="n"/>
      <c r="S63" s="32" t="n"/>
      <c r="T63" s="33" t="n"/>
      <c r="U63" s="40">
        <f>'S33'!T63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'S33'!M64+L64</f>
        <v/>
      </c>
      <c r="N64" s="36">
        <f>IFERROR(M64/K64,0)</f>
        <v/>
      </c>
      <c r="O64" s="42">
        <f>'S33'!N64</f>
        <v/>
      </c>
      <c r="P64" s="36">
        <f>N64-O64</f>
        <v/>
      </c>
      <c r="Q64" s="32" t="n"/>
      <c r="R64" s="32" t="n"/>
      <c r="S64" s="32" t="n"/>
      <c r="T64" s="33" t="n"/>
      <c r="U64" s="42">
        <f>'S33'!T64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'S33'!M65+L65</f>
        <v/>
      </c>
      <c r="N65" s="31">
        <f>IFERROR(M65/K65,0)</f>
        <v/>
      </c>
      <c r="O65" s="40">
        <f>'S33'!N65</f>
        <v/>
      </c>
      <c r="P65" s="31">
        <f>N65-O65</f>
        <v/>
      </c>
      <c r="Q65" s="32" t="n"/>
      <c r="R65" s="32" t="n"/>
      <c r="S65" s="32" t="n"/>
      <c r="T65" s="33" t="n"/>
      <c r="U65" s="40">
        <f>'S33'!T65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'S33'!M66+L66</f>
        <v/>
      </c>
      <c r="N66" s="36">
        <f>IFERROR(M66/K66,0)</f>
        <v/>
      </c>
      <c r="O66" s="42">
        <f>'S33'!N66</f>
        <v/>
      </c>
      <c r="P66" s="36">
        <f>N66-O66</f>
        <v/>
      </c>
      <c r="Q66" s="32" t="n"/>
      <c r="R66" s="32" t="n"/>
      <c r="S66" s="32" t="n"/>
      <c r="T66" s="33" t="n"/>
      <c r="U66" s="42">
        <f>'S33'!T66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'S33'!M67+L67</f>
        <v/>
      </c>
      <c r="N67" s="31">
        <f>IFERROR(M67/K67,0)</f>
        <v/>
      </c>
      <c r="O67" s="40">
        <f>'S33'!N67</f>
        <v/>
      </c>
      <c r="P67" s="31">
        <f>N67-O67</f>
        <v/>
      </c>
      <c r="Q67" s="32" t="n"/>
      <c r="R67" s="32" t="n"/>
      <c r="S67" s="32" t="n"/>
      <c r="T67" s="33" t="n"/>
      <c r="U67" s="40">
        <f>'S33'!T67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'S33'!M68+L68</f>
        <v/>
      </c>
      <c r="N68" s="36">
        <f>IFERROR(M68/K68,0)</f>
        <v/>
      </c>
      <c r="O68" s="42">
        <f>'S33'!N68</f>
        <v/>
      </c>
      <c r="P68" s="36">
        <f>N68-O68</f>
        <v/>
      </c>
      <c r="Q68" s="32" t="n"/>
      <c r="R68" s="32" t="n"/>
      <c r="S68" s="32" t="n"/>
      <c r="T68" s="33" t="n"/>
      <c r="U68" s="42">
        <f>'S33'!T68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'S33'!M69+L69</f>
        <v/>
      </c>
      <c r="N69" s="31">
        <f>IFERROR(M69/K69,0)</f>
        <v/>
      </c>
      <c r="O69" s="40">
        <f>'S33'!N69</f>
        <v/>
      </c>
      <c r="P69" s="31">
        <f>N69-O69</f>
        <v/>
      </c>
      <c r="Q69" s="32" t="n"/>
      <c r="R69" s="32" t="n"/>
      <c r="S69" s="32" t="n"/>
      <c r="T69" s="33" t="n"/>
      <c r="U69" s="40">
        <f>'S33'!T69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'S33'!M70+L70</f>
        <v/>
      </c>
      <c r="N70" s="36">
        <f>IFERROR(M70/K70,0)</f>
        <v/>
      </c>
      <c r="O70" s="42">
        <f>'S33'!N70</f>
        <v/>
      </c>
      <c r="P70" s="36">
        <f>N70-O70</f>
        <v/>
      </c>
      <c r="Q70" s="32" t="n"/>
      <c r="R70" s="32" t="n"/>
      <c r="S70" s="32" t="n"/>
      <c r="T70" s="33" t="n"/>
      <c r="U70" s="42">
        <f>'S33'!T70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'S33'!M71+L71</f>
        <v/>
      </c>
      <c r="N71" s="31">
        <f>IFERROR(M71/K71,0)</f>
        <v/>
      </c>
      <c r="O71" s="40">
        <f>'S33'!N71</f>
        <v/>
      </c>
      <c r="P71" s="31">
        <f>N71-O71</f>
        <v/>
      </c>
      <c r="Q71" s="32" t="n"/>
      <c r="R71" s="32" t="n"/>
      <c r="S71" s="32" t="n"/>
      <c r="T71" s="33" t="n"/>
      <c r="U71" s="40">
        <f>'S33'!T71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'S33'!M72+L72</f>
        <v/>
      </c>
      <c r="N72" s="36">
        <f>IFERROR(M72/K72,0)</f>
        <v/>
      </c>
      <c r="O72" s="42">
        <f>'S33'!N72</f>
        <v/>
      </c>
      <c r="P72" s="36">
        <f>N72-O72</f>
        <v/>
      </c>
      <c r="Q72" s="32" t="n"/>
      <c r="R72" s="32" t="n"/>
      <c r="S72" s="32" t="n"/>
      <c r="T72" s="33" t="n"/>
      <c r="U72" s="42">
        <f>'S33'!T72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'S33'!M73+L73</f>
        <v/>
      </c>
      <c r="N73" s="31">
        <f>IFERROR(M73/K73,0)</f>
        <v/>
      </c>
      <c r="O73" s="40">
        <f>'S33'!N73</f>
        <v/>
      </c>
      <c r="P73" s="31">
        <f>N73-O73</f>
        <v/>
      </c>
      <c r="Q73" s="32" t="n"/>
      <c r="R73" s="32" t="n"/>
      <c r="S73" s="32" t="n"/>
      <c r="T73" s="33" t="n"/>
      <c r="U73" s="40">
        <f>'S33'!T73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'S33'!M74+L74</f>
        <v/>
      </c>
      <c r="N74" s="36">
        <f>IFERROR(M74/K74,0)</f>
        <v/>
      </c>
      <c r="O74" s="42">
        <f>'S33'!N74</f>
        <v/>
      </c>
      <c r="P74" s="36">
        <f>N74-O74</f>
        <v/>
      </c>
      <c r="Q74" s="32" t="n"/>
      <c r="R74" s="32" t="n"/>
      <c r="S74" s="32" t="n"/>
      <c r="T74" s="33" t="n"/>
      <c r="U74" s="42">
        <f>'S33'!T74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'S33'!M75+L75</f>
        <v/>
      </c>
      <c r="N75" s="31">
        <f>IFERROR(M75/K75,0)</f>
        <v/>
      </c>
      <c r="O75" s="40">
        <f>'S33'!N75</f>
        <v/>
      </c>
      <c r="P75" s="31">
        <f>N75-O75</f>
        <v/>
      </c>
      <c r="Q75" s="32" t="n"/>
      <c r="R75" s="32" t="n"/>
      <c r="S75" s="32" t="n"/>
      <c r="T75" s="33" t="n"/>
      <c r="U75" s="40">
        <f>'S33'!T75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'S33'!M76+L76</f>
        <v/>
      </c>
      <c r="N76" s="36">
        <f>IFERROR(M76/K76,0)</f>
        <v/>
      </c>
      <c r="O76" s="42">
        <f>'S33'!N76</f>
        <v/>
      </c>
      <c r="P76" s="36">
        <f>N76-O76</f>
        <v/>
      </c>
      <c r="Q76" s="32" t="n"/>
      <c r="R76" s="32" t="n"/>
      <c r="S76" s="32" t="n"/>
      <c r="T76" s="33" t="n"/>
      <c r="U76" s="42">
        <f>'S33'!T76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37.xml><?xml version="1.0" encoding="utf-8"?>
<worksheet xmlns="http://schemas.openxmlformats.org/spreadsheetml/2006/main">
  <sheetPr>
    <tabColor rgb="00FF000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35 (24/08 - 30/08) — Août 2026 - Exécution Physique et Financière</t>
        </is>
      </c>
    </row>
    <row r="3" ht="22" customHeight="1">
      <c r="B3" s="20" t="inlineStr">
        <is>
          <t>Date :</t>
        </is>
      </c>
      <c r="C3" s="21" t="n">
        <v>46258</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'S34'!M5+L5</f>
        <v/>
      </c>
      <c r="N5" s="31">
        <f>IFERROR(M5/K5,0)</f>
        <v/>
      </c>
      <c r="O5" s="40">
        <f>'S34'!N5</f>
        <v/>
      </c>
      <c r="P5" s="31">
        <f>N5-O5</f>
        <v/>
      </c>
      <c r="Q5" s="32" t="n"/>
      <c r="R5" s="32" t="n"/>
      <c r="S5" s="32" t="n"/>
      <c r="T5" s="33" t="n"/>
      <c r="U5" s="40">
        <f>'S34'!T5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'S34'!M6+L6</f>
        <v/>
      </c>
      <c r="N6" s="36">
        <f>IFERROR(M6/K6,0)</f>
        <v/>
      </c>
      <c r="O6" s="42">
        <f>'S34'!N6</f>
        <v/>
      </c>
      <c r="P6" s="36">
        <f>N6-O6</f>
        <v/>
      </c>
      <c r="Q6" s="32" t="n"/>
      <c r="R6" s="32" t="n"/>
      <c r="S6" s="32" t="n"/>
      <c r="T6" s="33" t="n"/>
      <c r="U6" s="42">
        <f>'S34'!T6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'S34'!M7+L7</f>
        <v/>
      </c>
      <c r="N7" s="31">
        <f>IFERROR(M7/K7,0)</f>
        <v/>
      </c>
      <c r="O7" s="40">
        <f>'S34'!N7</f>
        <v/>
      </c>
      <c r="P7" s="31">
        <f>N7-O7</f>
        <v/>
      </c>
      <c r="Q7" s="32" t="n"/>
      <c r="R7" s="32" t="n"/>
      <c r="S7" s="32" t="n"/>
      <c r="T7" s="33" t="n"/>
      <c r="U7" s="40">
        <f>'S34'!T7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'S34'!M8+L8</f>
        <v/>
      </c>
      <c r="N8" s="36">
        <f>IFERROR(M8/K8,0)</f>
        <v/>
      </c>
      <c r="O8" s="42">
        <f>'S34'!N8</f>
        <v/>
      </c>
      <c r="P8" s="36">
        <f>N8-O8</f>
        <v/>
      </c>
      <c r="Q8" s="32" t="n"/>
      <c r="R8" s="32" t="n"/>
      <c r="S8" s="32" t="n"/>
      <c r="T8" s="33" t="n"/>
      <c r="U8" s="42">
        <f>'S34'!T8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'S34'!M9+L9</f>
        <v/>
      </c>
      <c r="N9" s="31">
        <f>IFERROR(M9/K9,0)</f>
        <v/>
      </c>
      <c r="O9" s="40">
        <f>'S34'!N9</f>
        <v/>
      </c>
      <c r="P9" s="31">
        <f>N9-O9</f>
        <v/>
      </c>
      <c r="Q9" s="32" t="n"/>
      <c r="R9" s="32" t="n"/>
      <c r="S9" s="32" t="n"/>
      <c r="T9" s="33" t="n"/>
      <c r="U9" s="40">
        <f>'S34'!T9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'S34'!M10+L10</f>
        <v/>
      </c>
      <c r="N10" s="36">
        <f>IFERROR(M10/K10,0)</f>
        <v/>
      </c>
      <c r="O10" s="42">
        <f>'S34'!N10</f>
        <v/>
      </c>
      <c r="P10" s="36">
        <f>N10-O10</f>
        <v/>
      </c>
      <c r="Q10" s="32" t="n"/>
      <c r="R10" s="32" t="n"/>
      <c r="S10" s="32" t="n"/>
      <c r="T10" s="33" t="n"/>
      <c r="U10" s="42">
        <f>'S34'!T10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'S34'!M11+L11</f>
        <v/>
      </c>
      <c r="N11" s="31">
        <f>IFERROR(M11/K11,0)</f>
        <v/>
      </c>
      <c r="O11" s="40">
        <f>'S34'!N11</f>
        <v/>
      </c>
      <c r="P11" s="31">
        <f>N11-O11</f>
        <v/>
      </c>
      <c r="Q11" s="32" t="n"/>
      <c r="R11" s="32" t="n"/>
      <c r="S11" s="32" t="n"/>
      <c r="T11" s="33" t="n"/>
      <c r="U11" s="40">
        <f>'S34'!T11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'S34'!M12+L12</f>
        <v/>
      </c>
      <c r="N12" s="36">
        <f>IFERROR(M12/K12,0)</f>
        <v/>
      </c>
      <c r="O12" s="42">
        <f>'S34'!N12</f>
        <v/>
      </c>
      <c r="P12" s="36">
        <f>N12-O12</f>
        <v/>
      </c>
      <c r="Q12" s="32" t="n"/>
      <c r="R12" s="32" t="n"/>
      <c r="S12" s="32" t="n"/>
      <c r="T12" s="33" t="n"/>
      <c r="U12" s="42">
        <f>'S34'!T12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'S34'!M13+L13</f>
        <v/>
      </c>
      <c r="N13" s="31">
        <f>IFERROR(M13/K13,0)</f>
        <v/>
      </c>
      <c r="O13" s="40">
        <f>'S34'!N13</f>
        <v/>
      </c>
      <c r="P13" s="31">
        <f>N13-O13</f>
        <v/>
      </c>
      <c r="Q13" s="32" t="n"/>
      <c r="R13" s="32" t="n"/>
      <c r="S13" s="32" t="n"/>
      <c r="T13" s="33" t="n"/>
      <c r="U13" s="40">
        <f>'S34'!T13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'S34'!M14+L14</f>
        <v/>
      </c>
      <c r="N14" s="36">
        <f>IFERROR(M14/K14,0)</f>
        <v/>
      </c>
      <c r="O14" s="42">
        <f>'S34'!N14</f>
        <v/>
      </c>
      <c r="P14" s="36">
        <f>N14-O14</f>
        <v/>
      </c>
      <c r="Q14" s="32" t="n"/>
      <c r="R14" s="32" t="n"/>
      <c r="S14" s="32" t="n"/>
      <c r="T14" s="33" t="n"/>
      <c r="U14" s="42">
        <f>'S34'!T14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'S34'!M15+L15</f>
        <v/>
      </c>
      <c r="N15" s="31">
        <f>IFERROR(M15/K15,0)</f>
        <v/>
      </c>
      <c r="O15" s="40">
        <f>'S34'!N15</f>
        <v/>
      </c>
      <c r="P15" s="31">
        <f>N15-O15</f>
        <v/>
      </c>
      <c r="Q15" s="32" t="n"/>
      <c r="R15" s="32" t="n"/>
      <c r="S15" s="32" t="n"/>
      <c r="T15" s="33" t="n"/>
      <c r="U15" s="40">
        <f>'S34'!T15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'S34'!M16+L16</f>
        <v/>
      </c>
      <c r="N16" s="36">
        <f>IFERROR(M16/K16,0)</f>
        <v/>
      </c>
      <c r="O16" s="42">
        <f>'S34'!N16</f>
        <v/>
      </c>
      <c r="P16" s="36">
        <f>N16-O16</f>
        <v/>
      </c>
      <c r="Q16" s="32" t="n"/>
      <c r="R16" s="32" t="n"/>
      <c r="S16" s="32" t="n"/>
      <c r="T16" s="33" t="n"/>
      <c r="U16" s="42">
        <f>'S34'!T16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'S34'!M17+L17</f>
        <v/>
      </c>
      <c r="N17" s="31">
        <f>IFERROR(M17/K17,0)</f>
        <v/>
      </c>
      <c r="O17" s="40">
        <f>'S34'!N17</f>
        <v/>
      </c>
      <c r="P17" s="31">
        <f>N17-O17</f>
        <v/>
      </c>
      <c r="Q17" s="32" t="n"/>
      <c r="R17" s="32" t="n"/>
      <c r="S17" s="32" t="n"/>
      <c r="T17" s="33" t="n"/>
      <c r="U17" s="40">
        <f>'S34'!T17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'S34'!M18+L18</f>
        <v/>
      </c>
      <c r="N18" s="36">
        <f>IFERROR(M18/K18,0)</f>
        <v/>
      </c>
      <c r="O18" s="42">
        <f>'S34'!N18</f>
        <v/>
      </c>
      <c r="P18" s="36">
        <f>N18-O18</f>
        <v/>
      </c>
      <c r="Q18" s="32" t="n"/>
      <c r="R18" s="32" t="n"/>
      <c r="S18" s="32" t="n"/>
      <c r="T18" s="33" t="n"/>
      <c r="U18" s="42">
        <f>'S34'!T18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'S34'!M19+L19</f>
        <v/>
      </c>
      <c r="N19" s="31">
        <f>IFERROR(M19/K19,0)</f>
        <v/>
      </c>
      <c r="O19" s="40">
        <f>'S34'!N19</f>
        <v/>
      </c>
      <c r="P19" s="31">
        <f>N19-O19</f>
        <v/>
      </c>
      <c r="Q19" s="32" t="n"/>
      <c r="R19" s="32" t="n"/>
      <c r="S19" s="32" t="n"/>
      <c r="T19" s="33" t="n"/>
      <c r="U19" s="40">
        <f>'S34'!T19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'S34'!M20+L20</f>
        <v/>
      </c>
      <c r="N20" s="36">
        <f>IFERROR(M20/K20,0)</f>
        <v/>
      </c>
      <c r="O20" s="42">
        <f>'S34'!N20</f>
        <v/>
      </c>
      <c r="P20" s="36">
        <f>N20-O20</f>
        <v/>
      </c>
      <c r="Q20" s="32" t="n"/>
      <c r="R20" s="32" t="n"/>
      <c r="S20" s="32" t="n"/>
      <c r="T20" s="33" t="n"/>
      <c r="U20" s="42">
        <f>'S34'!T20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'S34'!M21+L21</f>
        <v/>
      </c>
      <c r="N21" s="31">
        <f>IFERROR(M21/K21,0)</f>
        <v/>
      </c>
      <c r="O21" s="40">
        <f>'S34'!N21</f>
        <v/>
      </c>
      <c r="P21" s="31">
        <f>N21-O21</f>
        <v/>
      </c>
      <c r="Q21" s="32" t="n"/>
      <c r="R21" s="32" t="n"/>
      <c r="S21" s="32" t="n"/>
      <c r="T21" s="33" t="n"/>
      <c r="U21" s="40">
        <f>'S34'!T21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'S34'!M22+L22</f>
        <v/>
      </c>
      <c r="N22" s="36">
        <f>IFERROR(M22/K22,0)</f>
        <v/>
      </c>
      <c r="O22" s="42">
        <f>'S34'!N22</f>
        <v/>
      </c>
      <c r="P22" s="36">
        <f>N22-O22</f>
        <v/>
      </c>
      <c r="Q22" s="32" t="n"/>
      <c r="R22" s="32" t="n"/>
      <c r="S22" s="32" t="n"/>
      <c r="T22" s="33" t="n"/>
      <c r="U22" s="42">
        <f>'S34'!T22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'S34'!M23+L23</f>
        <v/>
      </c>
      <c r="N23" s="31">
        <f>IFERROR(M23/K23,0)</f>
        <v/>
      </c>
      <c r="O23" s="40">
        <f>'S34'!N23</f>
        <v/>
      </c>
      <c r="P23" s="31">
        <f>N23-O23</f>
        <v/>
      </c>
      <c r="Q23" s="32" t="n"/>
      <c r="R23" s="32" t="n"/>
      <c r="S23" s="32" t="n"/>
      <c r="T23" s="33" t="n"/>
      <c r="U23" s="40">
        <f>'S34'!T23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'S34'!M24+L24</f>
        <v/>
      </c>
      <c r="N24" s="36">
        <f>IFERROR(M24/K24,0)</f>
        <v/>
      </c>
      <c r="O24" s="42">
        <f>'S34'!N24</f>
        <v/>
      </c>
      <c r="P24" s="36">
        <f>N24-O24</f>
        <v/>
      </c>
      <c r="Q24" s="32" t="n"/>
      <c r="R24" s="32" t="n"/>
      <c r="S24" s="32" t="n"/>
      <c r="T24" s="33" t="n"/>
      <c r="U24" s="42">
        <f>'S34'!T24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'S34'!M25+L25</f>
        <v/>
      </c>
      <c r="N25" s="31">
        <f>IFERROR(M25/K25,0)</f>
        <v/>
      </c>
      <c r="O25" s="40">
        <f>'S34'!N25</f>
        <v/>
      </c>
      <c r="P25" s="31">
        <f>N25-O25</f>
        <v/>
      </c>
      <c r="Q25" s="32" t="n"/>
      <c r="R25" s="32" t="n"/>
      <c r="S25" s="32" t="n"/>
      <c r="T25" s="33" t="n"/>
      <c r="U25" s="40">
        <f>'S34'!T25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'S34'!M26+L26</f>
        <v/>
      </c>
      <c r="N26" s="36">
        <f>IFERROR(M26/K26,0)</f>
        <v/>
      </c>
      <c r="O26" s="42">
        <f>'S34'!N26</f>
        <v/>
      </c>
      <c r="P26" s="36">
        <f>N26-O26</f>
        <v/>
      </c>
      <c r="Q26" s="32" t="n"/>
      <c r="R26" s="32" t="n"/>
      <c r="S26" s="32" t="n"/>
      <c r="T26" s="33" t="n"/>
      <c r="U26" s="42">
        <f>'S34'!T26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'S34'!M27+L27</f>
        <v/>
      </c>
      <c r="N27" s="31">
        <f>IFERROR(M27/K27,0)</f>
        <v/>
      </c>
      <c r="O27" s="40">
        <f>'S34'!N27</f>
        <v/>
      </c>
      <c r="P27" s="31">
        <f>N27-O27</f>
        <v/>
      </c>
      <c r="Q27" s="32" t="n"/>
      <c r="R27" s="32" t="n"/>
      <c r="S27" s="32" t="n"/>
      <c r="T27" s="33" t="n"/>
      <c r="U27" s="40">
        <f>'S34'!T27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'S34'!M28+L28</f>
        <v/>
      </c>
      <c r="N28" s="36">
        <f>IFERROR(M28/K28,0)</f>
        <v/>
      </c>
      <c r="O28" s="42">
        <f>'S34'!N28</f>
        <v/>
      </c>
      <c r="P28" s="36">
        <f>N28-O28</f>
        <v/>
      </c>
      <c r="Q28" s="32" t="n"/>
      <c r="R28" s="32" t="n"/>
      <c r="S28" s="32" t="n"/>
      <c r="T28" s="33" t="n"/>
      <c r="U28" s="42">
        <f>'S34'!T28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'S34'!M29+L29</f>
        <v/>
      </c>
      <c r="N29" s="31">
        <f>IFERROR(M29/K29,0)</f>
        <v/>
      </c>
      <c r="O29" s="40">
        <f>'S34'!N29</f>
        <v/>
      </c>
      <c r="P29" s="31">
        <f>N29-O29</f>
        <v/>
      </c>
      <c r="Q29" s="32" t="n"/>
      <c r="R29" s="32" t="n"/>
      <c r="S29" s="32" t="n"/>
      <c r="T29" s="33" t="n"/>
      <c r="U29" s="40">
        <f>'S34'!T29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'S34'!M30+L30</f>
        <v/>
      </c>
      <c r="N30" s="36">
        <f>IFERROR(M30/K30,0)</f>
        <v/>
      </c>
      <c r="O30" s="42">
        <f>'S34'!N30</f>
        <v/>
      </c>
      <c r="P30" s="36">
        <f>N30-O30</f>
        <v/>
      </c>
      <c r="Q30" s="32" t="n"/>
      <c r="R30" s="32" t="n"/>
      <c r="S30" s="32" t="n"/>
      <c r="T30" s="33" t="n"/>
      <c r="U30" s="42">
        <f>'S34'!T30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'S34'!M31+L31</f>
        <v/>
      </c>
      <c r="N31" s="31">
        <f>IFERROR(M31/K31,0)</f>
        <v/>
      </c>
      <c r="O31" s="40">
        <f>'S34'!N31</f>
        <v/>
      </c>
      <c r="P31" s="31">
        <f>N31-O31</f>
        <v/>
      </c>
      <c r="Q31" s="32" t="n"/>
      <c r="R31" s="32" t="n"/>
      <c r="S31" s="32" t="n"/>
      <c r="T31" s="33" t="n"/>
      <c r="U31" s="40">
        <f>'S34'!T31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'S34'!M32+L32</f>
        <v/>
      </c>
      <c r="N32" s="36">
        <f>IFERROR(M32/K32,0)</f>
        <v/>
      </c>
      <c r="O32" s="42">
        <f>'S34'!N32</f>
        <v/>
      </c>
      <c r="P32" s="36">
        <f>N32-O32</f>
        <v/>
      </c>
      <c r="Q32" s="32" t="n"/>
      <c r="R32" s="32" t="n"/>
      <c r="S32" s="32" t="n"/>
      <c r="T32" s="33" t="n"/>
      <c r="U32" s="42">
        <f>'S34'!T32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'S34'!M33+L33</f>
        <v/>
      </c>
      <c r="N33" s="31">
        <f>IFERROR(M33/K33,0)</f>
        <v/>
      </c>
      <c r="O33" s="40">
        <f>'S34'!N33</f>
        <v/>
      </c>
      <c r="P33" s="31">
        <f>N33-O33</f>
        <v/>
      </c>
      <c r="Q33" s="32" t="n"/>
      <c r="R33" s="32" t="n"/>
      <c r="S33" s="32" t="n"/>
      <c r="T33" s="33" t="n"/>
      <c r="U33" s="40">
        <f>'S34'!T33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'S34'!M34+L34</f>
        <v/>
      </c>
      <c r="N34" s="36">
        <f>IFERROR(M34/K34,0)</f>
        <v/>
      </c>
      <c r="O34" s="42">
        <f>'S34'!N34</f>
        <v/>
      </c>
      <c r="P34" s="36">
        <f>N34-O34</f>
        <v/>
      </c>
      <c r="Q34" s="32" t="n"/>
      <c r="R34" s="32" t="n"/>
      <c r="S34" s="32" t="n"/>
      <c r="T34" s="33" t="n"/>
      <c r="U34" s="42">
        <f>'S34'!T34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'S34'!M35+L35</f>
        <v/>
      </c>
      <c r="N35" s="31">
        <f>IFERROR(M35/K35,0)</f>
        <v/>
      </c>
      <c r="O35" s="40">
        <f>'S34'!N35</f>
        <v/>
      </c>
      <c r="P35" s="31">
        <f>N35-O35</f>
        <v/>
      </c>
      <c r="Q35" s="32" t="n"/>
      <c r="R35" s="32" t="n"/>
      <c r="S35" s="32" t="n"/>
      <c r="T35" s="33" t="n"/>
      <c r="U35" s="40">
        <f>'S34'!T35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'S34'!M36+L36</f>
        <v/>
      </c>
      <c r="N36" s="36">
        <f>IFERROR(M36/K36,0)</f>
        <v/>
      </c>
      <c r="O36" s="42">
        <f>'S34'!N36</f>
        <v/>
      </c>
      <c r="P36" s="36">
        <f>N36-O36</f>
        <v/>
      </c>
      <c r="Q36" s="32" t="n"/>
      <c r="R36" s="32" t="n"/>
      <c r="S36" s="32" t="n"/>
      <c r="T36" s="33" t="n"/>
      <c r="U36" s="42">
        <f>'S34'!T36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'S34'!M37+L37</f>
        <v/>
      </c>
      <c r="N37" s="31">
        <f>IFERROR(M37/K37,0)</f>
        <v/>
      </c>
      <c r="O37" s="40">
        <f>'S34'!N37</f>
        <v/>
      </c>
      <c r="P37" s="31">
        <f>N37-O37</f>
        <v/>
      </c>
      <c r="Q37" s="32" t="n"/>
      <c r="R37" s="32" t="n"/>
      <c r="S37" s="32" t="n"/>
      <c r="T37" s="33" t="n"/>
      <c r="U37" s="40">
        <f>'S34'!T37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'S34'!M38+L38</f>
        <v/>
      </c>
      <c r="N38" s="36">
        <f>IFERROR(M38/K38,0)</f>
        <v/>
      </c>
      <c r="O38" s="42">
        <f>'S34'!N38</f>
        <v/>
      </c>
      <c r="P38" s="36">
        <f>N38-O38</f>
        <v/>
      </c>
      <c r="Q38" s="32" t="n"/>
      <c r="R38" s="32" t="n"/>
      <c r="S38" s="32" t="n"/>
      <c r="T38" s="33" t="n"/>
      <c r="U38" s="42">
        <f>'S34'!T38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'S34'!M39+L39</f>
        <v/>
      </c>
      <c r="N39" s="31">
        <f>IFERROR(M39/K39,0)</f>
        <v/>
      </c>
      <c r="O39" s="40">
        <f>'S34'!N39</f>
        <v/>
      </c>
      <c r="P39" s="31">
        <f>N39-O39</f>
        <v/>
      </c>
      <c r="Q39" s="32" t="n"/>
      <c r="R39" s="32" t="n"/>
      <c r="S39" s="32" t="n"/>
      <c r="T39" s="33" t="n"/>
      <c r="U39" s="40">
        <f>'S34'!T39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'S34'!M40+L40</f>
        <v/>
      </c>
      <c r="N40" s="36">
        <f>IFERROR(M40/K40,0)</f>
        <v/>
      </c>
      <c r="O40" s="42">
        <f>'S34'!N40</f>
        <v/>
      </c>
      <c r="P40" s="36">
        <f>N40-O40</f>
        <v/>
      </c>
      <c r="Q40" s="32" t="n"/>
      <c r="R40" s="32" t="n"/>
      <c r="S40" s="32" t="n"/>
      <c r="T40" s="33" t="n"/>
      <c r="U40" s="42">
        <f>'S34'!T40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'S34'!M41+L41</f>
        <v/>
      </c>
      <c r="N41" s="31">
        <f>IFERROR(M41/K41,0)</f>
        <v/>
      </c>
      <c r="O41" s="40">
        <f>'S34'!N41</f>
        <v/>
      </c>
      <c r="P41" s="31">
        <f>N41-O41</f>
        <v/>
      </c>
      <c r="Q41" s="32" t="n"/>
      <c r="R41" s="32" t="n"/>
      <c r="S41" s="32" t="n"/>
      <c r="T41" s="33" t="n"/>
      <c r="U41" s="40">
        <f>'S34'!T41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'S34'!M42+L42</f>
        <v/>
      </c>
      <c r="N42" s="36">
        <f>IFERROR(M42/K42,0)</f>
        <v/>
      </c>
      <c r="O42" s="42">
        <f>'S34'!N42</f>
        <v/>
      </c>
      <c r="P42" s="36">
        <f>N42-O42</f>
        <v/>
      </c>
      <c r="Q42" s="32" t="n"/>
      <c r="R42" s="32" t="n"/>
      <c r="S42" s="32" t="n"/>
      <c r="T42" s="33" t="n"/>
      <c r="U42" s="42">
        <f>'S34'!T42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'S34'!M43+L43</f>
        <v/>
      </c>
      <c r="N43" s="31">
        <f>IFERROR(M43/K43,0)</f>
        <v/>
      </c>
      <c r="O43" s="40">
        <f>'S34'!N43</f>
        <v/>
      </c>
      <c r="P43" s="31">
        <f>N43-O43</f>
        <v/>
      </c>
      <c r="Q43" s="32" t="n"/>
      <c r="R43" s="32" t="n"/>
      <c r="S43" s="32" t="n"/>
      <c r="T43" s="33" t="n"/>
      <c r="U43" s="40">
        <f>'S34'!T43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'S34'!M44+L44</f>
        <v/>
      </c>
      <c r="N44" s="36">
        <f>IFERROR(M44/K44,0)</f>
        <v/>
      </c>
      <c r="O44" s="42">
        <f>'S34'!N44</f>
        <v/>
      </c>
      <c r="P44" s="36">
        <f>N44-O44</f>
        <v/>
      </c>
      <c r="Q44" s="32" t="n"/>
      <c r="R44" s="32" t="n"/>
      <c r="S44" s="32" t="n"/>
      <c r="T44" s="33" t="n"/>
      <c r="U44" s="42">
        <f>'S34'!T44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'S34'!M45+L45</f>
        <v/>
      </c>
      <c r="N45" s="31">
        <f>IFERROR(M45/K45,0)</f>
        <v/>
      </c>
      <c r="O45" s="40">
        <f>'S34'!N45</f>
        <v/>
      </c>
      <c r="P45" s="31">
        <f>N45-O45</f>
        <v/>
      </c>
      <c r="Q45" s="32" t="n"/>
      <c r="R45" s="32" t="n"/>
      <c r="S45" s="32" t="n"/>
      <c r="T45" s="33" t="n"/>
      <c r="U45" s="40">
        <f>'S34'!T45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'S34'!M46+L46</f>
        <v/>
      </c>
      <c r="N46" s="36">
        <f>IFERROR(M46/K46,0)</f>
        <v/>
      </c>
      <c r="O46" s="42">
        <f>'S34'!N46</f>
        <v/>
      </c>
      <c r="P46" s="36">
        <f>N46-O46</f>
        <v/>
      </c>
      <c r="Q46" s="32" t="n"/>
      <c r="R46" s="32" t="n"/>
      <c r="S46" s="32" t="n"/>
      <c r="T46" s="33" t="n"/>
      <c r="U46" s="42">
        <f>'S34'!T46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'S34'!M47+L47</f>
        <v/>
      </c>
      <c r="N47" s="31">
        <f>IFERROR(M47/K47,0)</f>
        <v/>
      </c>
      <c r="O47" s="40">
        <f>'S34'!N47</f>
        <v/>
      </c>
      <c r="P47" s="31">
        <f>N47-O47</f>
        <v/>
      </c>
      <c r="Q47" s="32" t="n"/>
      <c r="R47" s="32" t="n"/>
      <c r="S47" s="32" t="n"/>
      <c r="T47" s="33" t="n"/>
      <c r="U47" s="40">
        <f>'S34'!T47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'S34'!M48+L48</f>
        <v/>
      </c>
      <c r="N48" s="36">
        <f>IFERROR(M48/K48,0)</f>
        <v/>
      </c>
      <c r="O48" s="42">
        <f>'S34'!N48</f>
        <v/>
      </c>
      <c r="P48" s="36">
        <f>N48-O48</f>
        <v/>
      </c>
      <c r="Q48" s="32" t="n"/>
      <c r="R48" s="32" t="n"/>
      <c r="S48" s="32" t="n"/>
      <c r="T48" s="33" t="n"/>
      <c r="U48" s="42">
        <f>'S34'!T48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'S34'!M49+L49</f>
        <v/>
      </c>
      <c r="N49" s="31">
        <f>IFERROR(M49/K49,0)</f>
        <v/>
      </c>
      <c r="O49" s="40">
        <f>'S34'!N49</f>
        <v/>
      </c>
      <c r="P49" s="31">
        <f>N49-O49</f>
        <v/>
      </c>
      <c r="Q49" s="32" t="n"/>
      <c r="R49" s="32" t="n"/>
      <c r="S49" s="32" t="n"/>
      <c r="T49" s="33" t="n"/>
      <c r="U49" s="40">
        <f>'S34'!T49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'S34'!M50+L50</f>
        <v/>
      </c>
      <c r="N50" s="36">
        <f>IFERROR(M50/K50,0)</f>
        <v/>
      </c>
      <c r="O50" s="42">
        <f>'S34'!N50</f>
        <v/>
      </c>
      <c r="P50" s="36">
        <f>N50-O50</f>
        <v/>
      </c>
      <c r="Q50" s="32" t="n"/>
      <c r="R50" s="32" t="n"/>
      <c r="S50" s="32" t="n"/>
      <c r="T50" s="33" t="n"/>
      <c r="U50" s="42">
        <f>'S34'!T50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'S34'!M51+L51</f>
        <v/>
      </c>
      <c r="N51" s="31">
        <f>IFERROR(M51/K51,0)</f>
        <v/>
      </c>
      <c r="O51" s="40">
        <f>'S34'!N51</f>
        <v/>
      </c>
      <c r="P51" s="31">
        <f>N51-O51</f>
        <v/>
      </c>
      <c r="Q51" s="32" t="n"/>
      <c r="R51" s="32" t="n"/>
      <c r="S51" s="32" t="n"/>
      <c r="T51" s="33" t="n"/>
      <c r="U51" s="40">
        <f>'S34'!T51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'S34'!M52+L52</f>
        <v/>
      </c>
      <c r="N52" s="36">
        <f>IFERROR(M52/K52,0)</f>
        <v/>
      </c>
      <c r="O52" s="42">
        <f>'S34'!N52</f>
        <v/>
      </c>
      <c r="P52" s="36">
        <f>N52-O52</f>
        <v/>
      </c>
      <c r="Q52" s="32" t="n"/>
      <c r="R52" s="32" t="n"/>
      <c r="S52" s="32" t="n"/>
      <c r="T52" s="33" t="n"/>
      <c r="U52" s="42">
        <f>'S34'!T52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'S34'!M53+L53</f>
        <v/>
      </c>
      <c r="N53" s="31">
        <f>IFERROR(M53/K53,0)</f>
        <v/>
      </c>
      <c r="O53" s="40">
        <f>'S34'!N53</f>
        <v/>
      </c>
      <c r="P53" s="31">
        <f>N53-O53</f>
        <v/>
      </c>
      <c r="Q53" s="32" t="n"/>
      <c r="R53" s="32" t="n"/>
      <c r="S53" s="32" t="n"/>
      <c r="T53" s="33" t="n"/>
      <c r="U53" s="40">
        <f>'S34'!T53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'S34'!M54+L54</f>
        <v/>
      </c>
      <c r="N54" s="36">
        <f>IFERROR(M54/K54,0)</f>
        <v/>
      </c>
      <c r="O54" s="42">
        <f>'S34'!N54</f>
        <v/>
      </c>
      <c r="P54" s="36">
        <f>N54-O54</f>
        <v/>
      </c>
      <c r="Q54" s="32" t="n"/>
      <c r="R54" s="32" t="n"/>
      <c r="S54" s="32" t="n"/>
      <c r="T54" s="33" t="n"/>
      <c r="U54" s="42">
        <f>'S34'!T54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'S34'!M55+L55</f>
        <v/>
      </c>
      <c r="N55" s="31">
        <f>IFERROR(M55/K55,0)</f>
        <v/>
      </c>
      <c r="O55" s="40">
        <f>'S34'!N55</f>
        <v/>
      </c>
      <c r="P55" s="31">
        <f>N55-O55</f>
        <v/>
      </c>
      <c r="Q55" s="32" t="n"/>
      <c r="R55" s="32" t="n"/>
      <c r="S55" s="32" t="n"/>
      <c r="T55" s="33" t="n"/>
      <c r="U55" s="40">
        <f>'S34'!T55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'S34'!M56+L56</f>
        <v/>
      </c>
      <c r="N56" s="36">
        <f>IFERROR(M56/K56,0)</f>
        <v/>
      </c>
      <c r="O56" s="42">
        <f>'S34'!N56</f>
        <v/>
      </c>
      <c r="P56" s="36">
        <f>N56-O56</f>
        <v/>
      </c>
      <c r="Q56" s="32" t="n"/>
      <c r="R56" s="32" t="n"/>
      <c r="S56" s="32" t="n"/>
      <c r="T56" s="33" t="n"/>
      <c r="U56" s="42">
        <f>'S34'!T56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'S34'!M57+L57</f>
        <v/>
      </c>
      <c r="N57" s="31">
        <f>IFERROR(M57/K57,0)</f>
        <v/>
      </c>
      <c r="O57" s="40">
        <f>'S34'!N57</f>
        <v/>
      </c>
      <c r="P57" s="31">
        <f>N57-O57</f>
        <v/>
      </c>
      <c r="Q57" s="32" t="n"/>
      <c r="R57" s="32" t="n"/>
      <c r="S57" s="32" t="n"/>
      <c r="T57" s="33" t="n"/>
      <c r="U57" s="40">
        <f>'S34'!T57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'S34'!M58+L58</f>
        <v/>
      </c>
      <c r="N58" s="36">
        <f>IFERROR(M58/K58,0)</f>
        <v/>
      </c>
      <c r="O58" s="42">
        <f>'S34'!N58</f>
        <v/>
      </c>
      <c r="P58" s="36">
        <f>N58-O58</f>
        <v/>
      </c>
      <c r="Q58" s="32" t="n"/>
      <c r="R58" s="32" t="n"/>
      <c r="S58" s="32" t="n"/>
      <c r="T58" s="33" t="n"/>
      <c r="U58" s="42">
        <f>'S34'!T58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'S34'!M59+L59</f>
        <v/>
      </c>
      <c r="N59" s="31">
        <f>IFERROR(M59/K59,0)</f>
        <v/>
      </c>
      <c r="O59" s="40">
        <f>'S34'!N59</f>
        <v/>
      </c>
      <c r="P59" s="31">
        <f>N59-O59</f>
        <v/>
      </c>
      <c r="Q59" s="32" t="n"/>
      <c r="R59" s="32" t="n"/>
      <c r="S59" s="32" t="n"/>
      <c r="T59" s="33" t="n"/>
      <c r="U59" s="40">
        <f>'S34'!T59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'S34'!M60+L60</f>
        <v/>
      </c>
      <c r="N60" s="36">
        <f>IFERROR(M60/K60,0)</f>
        <v/>
      </c>
      <c r="O60" s="42">
        <f>'S34'!N60</f>
        <v/>
      </c>
      <c r="P60" s="36">
        <f>N60-O60</f>
        <v/>
      </c>
      <c r="Q60" s="32" t="n"/>
      <c r="R60" s="32" t="n"/>
      <c r="S60" s="32" t="n"/>
      <c r="T60" s="33" t="n"/>
      <c r="U60" s="42">
        <f>'S34'!T60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'S34'!M61+L61</f>
        <v/>
      </c>
      <c r="N61" s="31">
        <f>IFERROR(M61/K61,0)</f>
        <v/>
      </c>
      <c r="O61" s="40">
        <f>'S34'!N61</f>
        <v/>
      </c>
      <c r="P61" s="31">
        <f>N61-O61</f>
        <v/>
      </c>
      <c r="Q61" s="32" t="n"/>
      <c r="R61" s="32" t="n"/>
      <c r="S61" s="32" t="n"/>
      <c r="T61" s="33" t="n"/>
      <c r="U61" s="40">
        <f>'S34'!T61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'S34'!M62+L62</f>
        <v/>
      </c>
      <c r="N62" s="36">
        <f>IFERROR(M62/K62,0)</f>
        <v/>
      </c>
      <c r="O62" s="42">
        <f>'S34'!N62</f>
        <v/>
      </c>
      <c r="P62" s="36">
        <f>N62-O62</f>
        <v/>
      </c>
      <c r="Q62" s="32" t="n"/>
      <c r="R62" s="32" t="n"/>
      <c r="S62" s="32" t="n"/>
      <c r="T62" s="33" t="n"/>
      <c r="U62" s="42">
        <f>'S34'!T62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'S34'!M63+L63</f>
        <v/>
      </c>
      <c r="N63" s="31">
        <f>IFERROR(M63/K63,0)</f>
        <v/>
      </c>
      <c r="O63" s="40">
        <f>'S34'!N63</f>
        <v/>
      </c>
      <c r="P63" s="31">
        <f>N63-O63</f>
        <v/>
      </c>
      <c r="Q63" s="32" t="n"/>
      <c r="R63" s="32" t="n"/>
      <c r="S63" s="32" t="n"/>
      <c r="T63" s="33" t="n"/>
      <c r="U63" s="40">
        <f>'S34'!T63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'S34'!M64+L64</f>
        <v/>
      </c>
      <c r="N64" s="36">
        <f>IFERROR(M64/K64,0)</f>
        <v/>
      </c>
      <c r="O64" s="42">
        <f>'S34'!N64</f>
        <v/>
      </c>
      <c r="P64" s="36">
        <f>N64-O64</f>
        <v/>
      </c>
      <c r="Q64" s="32" t="n"/>
      <c r="R64" s="32" t="n"/>
      <c r="S64" s="32" t="n"/>
      <c r="T64" s="33" t="n"/>
      <c r="U64" s="42">
        <f>'S34'!T64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'S34'!M65+L65</f>
        <v/>
      </c>
      <c r="N65" s="31">
        <f>IFERROR(M65/K65,0)</f>
        <v/>
      </c>
      <c r="O65" s="40">
        <f>'S34'!N65</f>
        <v/>
      </c>
      <c r="P65" s="31">
        <f>N65-O65</f>
        <v/>
      </c>
      <c r="Q65" s="32" t="n"/>
      <c r="R65" s="32" t="n"/>
      <c r="S65" s="32" t="n"/>
      <c r="T65" s="33" t="n"/>
      <c r="U65" s="40">
        <f>'S34'!T65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'S34'!M66+L66</f>
        <v/>
      </c>
      <c r="N66" s="36">
        <f>IFERROR(M66/K66,0)</f>
        <v/>
      </c>
      <c r="O66" s="42">
        <f>'S34'!N66</f>
        <v/>
      </c>
      <c r="P66" s="36">
        <f>N66-O66</f>
        <v/>
      </c>
      <c r="Q66" s="32" t="n"/>
      <c r="R66" s="32" t="n"/>
      <c r="S66" s="32" t="n"/>
      <c r="T66" s="33" t="n"/>
      <c r="U66" s="42">
        <f>'S34'!T66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'S34'!M67+L67</f>
        <v/>
      </c>
      <c r="N67" s="31">
        <f>IFERROR(M67/K67,0)</f>
        <v/>
      </c>
      <c r="O67" s="40">
        <f>'S34'!N67</f>
        <v/>
      </c>
      <c r="P67" s="31">
        <f>N67-O67</f>
        <v/>
      </c>
      <c r="Q67" s="32" t="n"/>
      <c r="R67" s="32" t="n"/>
      <c r="S67" s="32" t="n"/>
      <c r="T67" s="33" t="n"/>
      <c r="U67" s="40">
        <f>'S34'!T67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'S34'!M68+L68</f>
        <v/>
      </c>
      <c r="N68" s="36">
        <f>IFERROR(M68/K68,0)</f>
        <v/>
      </c>
      <c r="O68" s="42">
        <f>'S34'!N68</f>
        <v/>
      </c>
      <c r="P68" s="36">
        <f>N68-O68</f>
        <v/>
      </c>
      <c r="Q68" s="32" t="n"/>
      <c r="R68" s="32" t="n"/>
      <c r="S68" s="32" t="n"/>
      <c r="T68" s="33" t="n"/>
      <c r="U68" s="42">
        <f>'S34'!T68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'S34'!M69+L69</f>
        <v/>
      </c>
      <c r="N69" s="31">
        <f>IFERROR(M69/K69,0)</f>
        <v/>
      </c>
      <c r="O69" s="40">
        <f>'S34'!N69</f>
        <v/>
      </c>
      <c r="P69" s="31">
        <f>N69-O69</f>
        <v/>
      </c>
      <c r="Q69" s="32" t="n"/>
      <c r="R69" s="32" t="n"/>
      <c r="S69" s="32" t="n"/>
      <c r="T69" s="33" t="n"/>
      <c r="U69" s="40">
        <f>'S34'!T69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'S34'!M70+L70</f>
        <v/>
      </c>
      <c r="N70" s="36">
        <f>IFERROR(M70/K70,0)</f>
        <v/>
      </c>
      <c r="O70" s="42">
        <f>'S34'!N70</f>
        <v/>
      </c>
      <c r="P70" s="36">
        <f>N70-O70</f>
        <v/>
      </c>
      <c r="Q70" s="32" t="n"/>
      <c r="R70" s="32" t="n"/>
      <c r="S70" s="32" t="n"/>
      <c r="T70" s="33" t="n"/>
      <c r="U70" s="42">
        <f>'S34'!T70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'S34'!M71+L71</f>
        <v/>
      </c>
      <c r="N71" s="31">
        <f>IFERROR(M71/K71,0)</f>
        <v/>
      </c>
      <c r="O71" s="40">
        <f>'S34'!N71</f>
        <v/>
      </c>
      <c r="P71" s="31">
        <f>N71-O71</f>
        <v/>
      </c>
      <c r="Q71" s="32" t="n"/>
      <c r="R71" s="32" t="n"/>
      <c r="S71" s="32" t="n"/>
      <c r="T71" s="33" t="n"/>
      <c r="U71" s="40">
        <f>'S34'!T71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'S34'!M72+L72</f>
        <v/>
      </c>
      <c r="N72" s="36">
        <f>IFERROR(M72/K72,0)</f>
        <v/>
      </c>
      <c r="O72" s="42">
        <f>'S34'!N72</f>
        <v/>
      </c>
      <c r="P72" s="36">
        <f>N72-O72</f>
        <v/>
      </c>
      <c r="Q72" s="32" t="n"/>
      <c r="R72" s="32" t="n"/>
      <c r="S72" s="32" t="n"/>
      <c r="T72" s="33" t="n"/>
      <c r="U72" s="42">
        <f>'S34'!T72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'S34'!M73+L73</f>
        <v/>
      </c>
      <c r="N73" s="31">
        <f>IFERROR(M73/K73,0)</f>
        <v/>
      </c>
      <c r="O73" s="40">
        <f>'S34'!N73</f>
        <v/>
      </c>
      <c r="P73" s="31">
        <f>N73-O73</f>
        <v/>
      </c>
      <c r="Q73" s="32" t="n"/>
      <c r="R73" s="32" t="n"/>
      <c r="S73" s="32" t="n"/>
      <c r="T73" s="33" t="n"/>
      <c r="U73" s="40">
        <f>'S34'!T73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'S34'!M74+L74</f>
        <v/>
      </c>
      <c r="N74" s="36">
        <f>IFERROR(M74/K74,0)</f>
        <v/>
      </c>
      <c r="O74" s="42">
        <f>'S34'!N74</f>
        <v/>
      </c>
      <c r="P74" s="36">
        <f>N74-O74</f>
        <v/>
      </c>
      <c r="Q74" s="32" t="n"/>
      <c r="R74" s="32" t="n"/>
      <c r="S74" s="32" t="n"/>
      <c r="T74" s="33" t="n"/>
      <c r="U74" s="42">
        <f>'S34'!T74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'S34'!M75+L75</f>
        <v/>
      </c>
      <c r="N75" s="31">
        <f>IFERROR(M75/K75,0)</f>
        <v/>
      </c>
      <c r="O75" s="40">
        <f>'S34'!N75</f>
        <v/>
      </c>
      <c r="P75" s="31">
        <f>N75-O75</f>
        <v/>
      </c>
      <c r="Q75" s="32" t="n"/>
      <c r="R75" s="32" t="n"/>
      <c r="S75" s="32" t="n"/>
      <c r="T75" s="33" t="n"/>
      <c r="U75" s="40">
        <f>'S34'!T75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'S34'!M76+L76</f>
        <v/>
      </c>
      <c r="N76" s="36">
        <f>IFERROR(M76/K76,0)</f>
        <v/>
      </c>
      <c r="O76" s="42">
        <f>'S34'!N76</f>
        <v/>
      </c>
      <c r="P76" s="36">
        <f>N76-O76</f>
        <v/>
      </c>
      <c r="Q76" s="32" t="n"/>
      <c r="R76" s="32" t="n"/>
      <c r="S76" s="32" t="n"/>
      <c r="T76" s="33" t="n"/>
      <c r="U76" s="42">
        <f>'S34'!T76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38.xml><?xml version="1.0" encoding="utf-8"?>
<worksheet xmlns="http://schemas.openxmlformats.org/spreadsheetml/2006/main">
  <sheetPr>
    <tabColor rgb="00FF000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36 (31/08 - 06/09) — Août 2026 - Exécution Physique et Financière</t>
        </is>
      </c>
    </row>
    <row r="3" ht="22" customHeight="1">
      <c r="B3" s="20" t="inlineStr">
        <is>
          <t>Date :</t>
        </is>
      </c>
      <c r="C3" s="21" t="n">
        <v>46265</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'S35'!M5+L5</f>
        <v/>
      </c>
      <c r="N5" s="31">
        <f>IFERROR(M5/K5,0)</f>
        <v/>
      </c>
      <c r="O5" s="40">
        <f>'S35'!N5</f>
        <v/>
      </c>
      <c r="P5" s="31">
        <f>N5-O5</f>
        <v/>
      </c>
      <c r="Q5" s="32" t="n"/>
      <c r="R5" s="32" t="n"/>
      <c r="S5" s="32" t="n"/>
      <c r="T5" s="33" t="n"/>
      <c r="U5" s="40">
        <f>'S35'!T5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'S35'!M6+L6</f>
        <v/>
      </c>
      <c r="N6" s="36">
        <f>IFERROR(M6/K6,0)</f>
        <v/>
      </c>
      <c r="O6" s="42">
        <f>'S35'!N6</f>
        <v/>
      </c>
      <c r="P6" s="36">
        <f>N6-O6</f>
        <v/>
      </c>
      <c r="Q6" s="32" t="n"/>
      <c r="R6" s="32" t="n"/>
      <c r="S6" s="32" t="n"/>
      <c r="T6" s="33" t="n"/>
      <c r="U6" s="42">
        <f>'S35'!T6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'S35'!M7+L7</f>
        <v/>
      </c>
      <c r="N7" s="31">
        <f>IFERROR(M7/K7,0)</f>
        <v/>
      </c>
      <c r="O7" s="40">
        <f>'S35'!N7</f>
        <v/>
      </c>
      <c r="P7" s="31">
        <f>N7-O7</f>
        <v/>
      </c>
      <c r="Q7" s="32" t="n"/>
      <c r="R7" s="32" t="n"/>
      <c r="S7" s="32" t="n"/>
      <c r="T7" s="33" t="n"/>
      <c r="U7" s="40">
        <f>'S35'!T7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'S35'!M8+L8</f>
        <v/>
      </c>
      <c r="N8" s="36">
        <f>IFERROR(M8/K8,0)</f>
        <v/>
      </c>
      <c r="O8" s="42">
        <f>'S35'!N8</f>
        <v/>
      </c>
      <c r="P8" s="36">
        <f>N8-O8</f>
        <v/>
      </c>
      <c r="Q8" s="32" t="n"/>
      <c r="R8" s="32" t="n"/>
      <c r="S8" s="32" t="n"/>
      <c r="T8" s="33" t="n"/>
      <c r="U8" s="42">
        <f>'S35'!T8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'S35'!M9+L9</f>
        <v/>
      </c>
      <c r="N9" s="31">
        <f>IFERROR(M9/K9,0)</f>
        <v/>
      </c>
      <c r="O9" s="40">
        <f>'S35'!N9</f>
        <v/>
      </c>
      <c r="P9" s="31">
        <f>N9-O9</f>
        <v/>
      </c>
      <c r="Q9" s="32" t="n"/>
      <c r="R9" s="32" t="n"/>
      <c r="S9" s="32" t="n"/>
      <c r="T9" s="33" t="n"/>
      <c r="U9" s="40">
        <f>'S35'!T9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'S35'!M10+L10</f>
        <v/>
      </c>
      <c r="N10" s="36">
        <f>IFERROR(M10/K10,0)</f>
        <v/>
      </c>
      <c r="O10" s="42">
        <f>'S35'!N10</f>
        <v/>
      </c>
      <c r="P10" s="36">
        <f>N10-O10</f>
        <v/>
      </c>
      <c r="Q10" s="32" t="n"/>
      <c r="R10" s="32" t="n"/>
      <c r="S10" s="32" t="n"/>
      <c r="T10" s="33" t="n"/>
      <c r="U10" s="42">
        <f>'S35'!T10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'S35'!M11+L11</f>
        <v/>
      </c>
      <c r="N11" s="31">
        <f>IFERROR(M11/K11,0)</f>
        <v/>
      </c>
      <c r="O11" s="40">
        <f>'S35'!N11</f>
        <v/>
      </c>
      <c r="P11" s="31">
        <f>N11-O11</f>
        <v/>
      </c>
      <c r="Q11" s="32" t="n"/>
      <c r="R11" s="32" t="n"/>
      <c r="S11" s="32" t="n"/>
      <c r="T11" s="33" t="n"/>
      <c r="U11" s="40">
        <f>'S35'!T11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'S35'!M12+L12</f>
        <v/>
      </c>
      <c r="N12" s="36">
        <f>IFERROR(M12/K12,0)</f>
        <v/>
      </c>
      <c r="O12" s="42">
        <f>'S35'!N12</f>
        <v/>
      </c>
      <c r="P12" s="36">
        <f>N12-O12</f>
        <v/>
      </c>
      <c r="Q12" s="32" t="n"/>
      <c r="R12" s="32" t="n"/>
      <c r="S12" s="32" t="n"/>
      <c r="T12" s="33" t="n"/>
      <c r="U12" s="42">
        <f>'S35'!T12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'S35'!M13+L13</f>
        <v/>
      </c>
      <c r="N13" s="31">
        <f>IFERROR(M13/K13,0)</f>
        <v/>
      </c>
      <c r="O13" s="40">
        <f>'S35'!N13</f>
        <v/>
      </c>
      <c r="P13" s="31">
        <f>N13-O13</f>
        <v/>
      </c>
      <c r="Q13" s="32" t="n"/>
      <c r="R13" s="32" t="n"/>
      <c r="S13" s="32" t="n"/>
      <c r="T13" s="33" t="n"/>
      <c r="U13" s="40">
        <f>'S35'!T13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'S35'!M14+L14</f>
        <v/>
      </c>
      <c r="N14" s="36">
        <f>IFERROR(M14/K14,0)</f>
        <v/>
      </c>
      <c r="O14" s="42">
        <f>'S35'!N14</f>
        <v/>
      </c>
      <c r="P14" s="36">
        <f>N14-O14</f>
        <v/>
      </c>
      <c r="Q14" s="32" t="n"/>
      <c r="R14" s="32" t="n"/>
      <c r="S14" s="32" t="n"/>
      <c r="T14" s="33" t="n"/>
      <c r="U14" s="42">
        <f>'S35'!T14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'S35'!M15+L15</f>
        <v/>
      </c>
      <c r="N15" s="31">
        <f>IFERROR(M15/K15,0)</f>
        <v/>
      </c>
      <c r="O15" s="40">
        <f>'S35'!N15</f>
        <v/>
      </c>
      <c r="P15" s="31">
        <f>N15-O15</f>
        <v/>
      </c>
      <c r="Q15" s="32" t="n"/>
      <c r="R15" s="32" t="n"/>
      <c r="S15" s="32" t="n"/>
      <c r="T15" s="33" t="n"/>
      <c r="U15" s="40">
        <f>'S35'!T15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'S35'!M16+L16</f>
        <v/>
      </c>
      <c r="N16" s="36">
        <f>IFERROR(M16/K16,0)</f>
        <v/>
      </c>
      <c r="O16" s="42">
        <f>'S35'!N16</f>
        <v/>
      </c>
      <c r="P16" s="36">
        <f>N16-O16</f>
        <v/>
      </c>
      <c r="Q16" s="32" t="n"/>
      <c r="R16" s="32" t="n"/>
      <c r="S16" s="32" t="n"/>
      <c r="T16" s="33" t="n"/>
      <c r="U16" s="42">
        <f>'S35'!T16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'S35'!M17+L17</f>
        <v/>
      </c>
      <c r="N17" s="31">
        <f>IFERROR(M17/K17,0)</f>
        <v/>
      </c>
      <c r="O17" s="40">
        <f>'S35'!N17</f>
        <v/>
      </c>
      <c r="P17" s="31">
        <f>N17-O17</f>
        <v/>
      </c>
      <c r="Q17" s="32" t="n"/>
      <c r="R17" s="32" t="n"/>
      <c r="S17" s="32" t="n"/>
      <c r="T17" s="33" t="n"/>
      <c r="U17" s="40">
        <f>'S35'!T17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'S35'!M18+L18</f>
        <v/>
      </c>
      <c r="N18" s="36">
        <f>IFERROR(M18/K18,0)</f>
        <v/>
      </c>
      <c r="O18" s="42">
        <f>'S35'!N18</f>
        <v/>
      </c>
      <c r="P18" s="36">
        <f>N18-O18</f>
        <v/>
      </c>
      <c r="Q18" s="32" t="n"/>
      <c r="R18" s="32" t="n"/>
      <c r="S18" s="32" t="n"/>
      <c r="T18" s="33" t="n"/>
      <c r="U18" s="42">
        <f>'S35'!T18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'S35'!M19+L19</f>
        <v/>
      </c>
      <c r="N19" s="31">
        <f>IFERROR(M19/K19,0)</f>
        <v/>
      </c>
      <c r="O19" s="40">
        <f>'S35'!N19</f>
        <v/>
      </c>
      <c r="P19" s="31">
        <f>N19-O19</f>
        <v/>
      </c>
      <c r="Q19" s="32" t="n"/>
      <c r="R19" s="32" t="n"/>
      <c r="S19" s="32" t="n"/>
      <c r="T19" s="33" t="n"/>
      <c r="U19" s="40">
        <f>'S35'!T19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'S35'!M20+L20</f>
        <v/>
      </c>
      <c r="N20" s="36">
        <f>IFERROR(M20/K20,0)</f>
        <v/>
      </c>
      <c r="O20" s="42">
        <f>'S35'!N20</f>
        <v/>
      </c>
      <c r="P20" s="36">
        <f>N20-O20</f>
        <v/>
      </c>
      <c r="Q20" s="32" t="n"/>
      <c r="R20" s="32" t="n"/>
      <c r="S20" s="32" t="n"/>
      <c r="T20" s="33" t="n"/>
      <c r="U20" s="42">
        <f>'S35'!T20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'S35'!M21+L21</f>
        <v/>
      </c>
      <c r="N21" s="31">
        <f>IFERROR(M21/K21,0)</f>
        <v/>
      </c>
      <c r="O21" s="40">
        <f>'S35'!N21</f>
        <v/>
      </c>
      <c r="P21" s="31">
        <f>N21-O21</f>
        <v/>
      </c>
      <c r="Q21" s="32" t="n"/>
      <c r="R21" s="32" t="n"/>
      <c r="S21" s="32" t="n"/>
      <c r="T21" s="33" t="n"/>
      <c r="U21" s="40">
        <f>'S35'!T21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'S35'!M22+L22</f>
        <v/>
      </c>
      <c r="N22" s="36">
        <f>IFERROR(M22/K22,0)</f>
        <v/>
      </c>
      <c r="O22" s="42">
        <f>'S35'!N22</f>
        <v/>
      </c>
      <c r="P22" s="36">
        <f>N22-O22</f>
        <v/>
      </c>
      <c r="Q22" s="32" t="n"/>
      <c r="R22" s="32" t="n"/>
      <c r="S22" s="32" t="n"/>
      <c r="T22" s="33" t="n"/>
      <c r="U22" s="42">
        <f>'S35'!T22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'S35'!M23+L23</f>
        <v/>
      </c>
      <c r="N23" s="31">
        <f>IFERROR(M23/K23,0)</f>
        <v/>
      </c>
      <c r="O23" s="40">
        <f>'S35'!N23</f>
        <v/>
      </c>
      <c r="P23" s="31">
        <f>N23-O23</f>
        <v/>
      </c>
      <c r="Q23" s="32" t="n"/>
      <c r="R23" s="32" t="n"/>
      <c r="S23" s="32" t="n"/>
      <c r="T23" s="33" t="n"/>
      <c r="U23" s="40">
        <f>'S35'!T23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'S35'!M24+L24</f>
        <v/>
      </c>
      <c r="N24" s="36">
        <f>IFERROR(M24/K24,0)</f>
        <v/>
      </c>
      <c r="O24" s="42">
        <f>'S35'!N24</f>
        <v/>
      </c>
      <c r="P24" s="36">
        <f>N24-O24</f>
        <v/>
      </c>
      <c r="Q24" s="32" t="n"/>
      <c r="R24" s="32" t="n"/>
      <c r="S24" s="32" t="n"/>
      <c r="T24" s="33" t="n"/>
      <c r="U24" s="42">
        <f>'S35'!T24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'S35'!M25+L25</f>
        <v/>
      </c>
      <c r="N25" s="31">
        <f>IFERROR(M25/K25,0)</f>
        <v/>
      </c>
      <c r="O25" s="40">
        <f>'S35'!N25</f>
        <v/>
      </c>
      <c r="P25" s="31">
        <f>N25-O25</f>
        <v/>
      </c>
      <c r="Q25" s="32" t="n"/>
      <c r="R25" s="32" t="n"/>
      <c r="S25" s="32" t="n"/>
      <c r="T25" s="33" t="n"/>
      <c r="U25" s="40">
        <f>'S35'!T25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'S35'!M26+L26</f>
        <v/>
      </c>
      <c r="N26" s="36">
        <f>IFERROR(M26/K26,0)</f>
        <v/>
      </c>
      <c r="O26" s="42">
        <f>'S35'!N26</f>
        <v/>
      </c>
      <c r="P26" s="36">
        <f>N26-O26</f>
        <v/>
      </c>
      <c r="Q26" s="32" t="n"/>
      <c r="R26" s="32" t="n"/>
      <c r="S26" s="32" t="n"/>
      <c r="T26" s="33" t="n"/>
      <c r="U26" s="42">
        <f>'S35'!T26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'S35'!M27+L27</f>
        <v/>
      </c>
      <c r="N27" s="31">
        <f>IFERROR(M27/K27,0)</f>
        <v/>
      </c>
      <c r="O27" s="40">
        <f>'S35'!N27</f>
        <v/>
      </c>
      <c r="P27" s="31">
        <f>N27-O27</f>
        <v/>
      </c>
      <c r="Q27" s="32" t="n"/>
      <c r="R27" s="32" t="n"/>
      <c r="S27" s="32" t="n"/>
      <c r="T27" s="33" t="n"/>
      <c r="U27" s="40">
        <f>'S35'!T27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'S35'!M28+L28</f>
        <v/>
      </c>
      <c r="N28" s="36">
        <f>IFERROR(M28/K28,0)</f>
        <v/>
      </c>
      <c r="O28" s="42">
        <f>'S35'!N28</f>
        <v/>
      </c>
      <c r="P28" s="36">
        <f>N28-O28</f>
        <v/>
      </c>
      <c r="Q28" s="32" t="n"/>
      <c r="R28" s="32" t="n"/>
      <c r="S28" s="32" t="n"/>
      <c r="T28" s="33" t="n"/>
      <c r="U28" s="42">
        <f>'S35'!T28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'S35'!M29+L29</f>
        <v/>
      </c>
      <c r="N29" s="31">
        <f>IFERROR(M29/K29,0)</f>
        <v/>
      </c>
      <c r="O29" s="40">
        <f>'S35'!N29</f>
        <v/>
      </c>
      <c r="P29" s="31">
        <f>N29-O29</f>
        <v/>
      </c>
      <c r="Q29" s="32" t="n"/>
      <c r="R29" s="32" t="n"/>
      <c r="S29" s="32" t="n"/>
      <c r="T29" s="33" t="n"/>
      <c r="U29" s="40">
        <f>'S35'!T29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'S35'!M30+L30</f>
        <v/>
      </c>
      <c r="N30" s="36">
        <f>IFERROR(M30/K30,0)</f>
        <v/>
      </c>
      <c r="O30" s="42">
        <f>'S35'!N30</f>
        <v/>
      </c>
      <c r="P30" s="36">
        <f>N30-O30</f>
        <v/>
      </c>
      <c r="Q30" s="32" t="n"/>
      <c r="R30" s="32" t="n"/>
      <c r="S30" s="32" t="n"/>
      <c r="T30" s="33" t="n"/>
      <c r="U30" s="42">
        <f>'S35'!T30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'S35'!M31+L31</f>
        <v/>
      </c>
      <c r="N31" s="31">
        <f>IFERROR(M31/K31,0)</f>
        <v/>
      </c>
      <c r="O31" s="40">
        <f>'S35'!N31</f>
        <v/>
      </c>
      <c r="P31" s="31">
        <f>N31-O31</f>
        <v/>
      </c>
      <c r="Q31" s="32" t="n"/>
      <c r="R31" s="32" t="n"/>
      <c r="S31" s="32" t="n"/>
      <c r="T31" s="33" t="n"/>
      <c r="U31" s="40">
        <f>'S35'!T31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'S35'!M32+L32</f>
        <v/>
      </c>
      <c r="N32" s="36">
        <f>IFERROR(M32/K32,0)</f>
        <v/>
      </c>
      <c r="O32" s="42">
        <f>'S35'!N32</f>
        <v/>
      </c>
      <c r="P32" s="36">
        <f>N32-O32</f>
        <v/>
      </c>
      <c r="Q32" s="32" t="n"/>
      <c r="R32" s="32" t="n"/>
      <c r="S32" s="32" t="n"/>
      <c r="T32" s="33" t="n"/>
      <c r="U32" s="42">
        <f>'S35'!T32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'S35'!M33+L33</f>
        <v/>
      </c>
      <c r="N33" s="31">
        <f>IFERROR(M33/K33,0)</f>
        <v/>
      </c>
      <c r="O33" s="40">
        <f>'S35'!N33</f>
        <v/>
      </c>
      <c r="P33" s="31">
        <f>N33-O33</f>
        <v/>
      </c>
      <c r="Q33" s="32" t="n"/>
      <c r="R33" s="32" t="n"/>
      <c r="S33" s="32" t="n"/>
      <c r="T33" s="33" t="n"/>
      <c r="U33" s="40">
        <f>'S35'!T33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'S35'!M34+L34</f>
        <v/>
      </c>
      <c r="N34" s="36">
        <f>IFERROR(M34/K34,0)</f>
        <v/>
      </c>
      <c r="O34" s="42">
        <f>'S35'!N34</f>
        <v/>
      </c>
      <c r="P34" s="36">
        <f>N34-O34</f>
        <v/>
      </c>
      <c r="Q34" s="32" t="n"/>
      <c r="R34" s="32" t="n"/>
      <c r="S34" s="32" t="n"/>
      <c r="T34" s="33" t="n"/>
      <c r="U34" s="42">
        <f>'S35'!T34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'S35'!M35+L35</f>
        <v/>
      </c>
      <c r="N35" s="31">
        <f>IFERROR(M35/K35,0)</f>
        <v/>
      </c>
      <c r="O35" s="40">
        <f>'S35'!N35</f>
        <v/>
      </c>
      <c r="P35" s="31">
        <f>N35-O35</f>
        <v/>
      </c>
      <c r="Q35" s="32" t="n"/>
      <c r="R35" s="32" t="n"/>
      <c r="S35" s="32" t="n"/>
      <c r="T35" s="33" t="n"/>
      <c r="U35" s="40">
        <f>'S35'!T35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'S35'!M36+L36</f>
        <v/>
      </c>
      <c r="N36" s="36">
        <f>IFERROR(M36/K36,0)</f>
        <v/>
      </c>
      <c r="O36" s="42">
        <f>'S35'!N36</f>
        <v/>
      </c>
      <c r="P36" s="36">
        <f>N36-O36</f>
        <v/>
      </c>
      <c r="Q36" s="32" t="n"/>
      <c r="R36" s="32" t="n"/>
      <c r="S36" s="32" t="n"/>
      <c r="T36" s="33" t="n"/>
      <c r="U36" s="42">
        <f>'S35'!T36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'S35'!M37+L37</f>
        <v/>
      </c>
      <c r="N37" s="31">
        <f>IFERROR(M37/K37,0)</f>
        <v/>
      </c>
      <c r="O37" s="40">
        <f>'S35'!N37</f>
        <v/>
      </c>
      <c r="P37" s="31">
        <f>N37-O37</f>
        <v/>
      </c>
      <c r="Q37" s="32" t="n"/>
      <c r="R37" s="32" t="n"/>
      <c r="S37" s="32" t="n"/>
      <c r="T37" s="33" t="n"/>
      <c r="U37" s="40">
        <f>'S35'!T37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'S35'!M38+L38</f>
        <v/>
      </c>
      <c r="N38" s="36">
        <f>IFERROR(M38/K38,0)</f>
        <v/>
      </c>
      <c r="O38" s="42">
        <f>'S35'!N38</f>
        <v/>
      </c>
      <c r="P38" s="36">
        <f>N38-O38</f>
        <v/>
      </c>
      <c r="Q38" s="32" t="n"/>
      <c r="R38" s="32" t="n"/>
      <c r="S38" s="32" t="n"/>
      <c r="T38" s="33" t="n"/>
      <c r="U38" s="42">
        <f>'S35'!T38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'S35'!M39+L39</f>
        <v/>
      </c>
      <c r="N39" s="31">
        <f>IFERROR(M39/K39,0)</f>
        <v/>
      </c>
      <c r="O39" s="40">
        <f>'S35'!N39</f>
        <v/>
      </c>
      <c r="P39" s="31">
        <f>N39-O39</f>
        <v/>
      </c>
      <c r="Q39" s="32" t="n"/>
      <c r="R39" s="32" t="n"/>
      <c r="S39" s="32" t="n"/>
      <c r="T39" s="33" t="n"/>
      <c r="U39" s="40">
        <f>'S35'!T39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'S35'!M40+L40</f>
        <v/>
      </c>
      <c r="N40" s="36">
        <f>IFERROR(M40/K40,0)</f>
        <v/>
      </c>
      <c r="O40" s="42">
        <f>'S35'!N40</f>
        <v/>
      </c>
      <c r="P40" s="36">
        <f>N40-O40</f>
        <v/>
      </c>
      <c r="Q40" s="32" t="n"/>
      <c r="R40" s="32" t="n"/>
      <c r="S40" s="32" t="n"/>
      <c r="T40" s="33" t="n"/>
      <c r="U40" s="42">
        <f>'S35'!T40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'S35'!M41+L41</f>
        <v/>
      </c>
      <c r="N41" s="31">
        <f>IFERROR(M41/K41,0)</f>
        <v/>
      </c>
      <c r="O41" s="40">
        <f>'S35'!N41</f>
        <v/>
      </c>
      <c r="P41" s="31">
        <f>N41-O41</f>
        <v/>
      </c>
      <c r="Q41" s="32" t="n"/>
      <c r="R41" s="32" t="n"/>
      <c r="S41" s="32" t="n"/>
      <c r="T41" s="33" t="n"/>
      <c r="U41" s="40">
        <f>'S35'!T41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'S35'!M42+L42</f>
        <v/>
      </c>
      <c r="N42" s="36">
        <f>IFERROR(M42/K42,0)</f>
        <v/>
      </c>
      <c r="O42" s="42">
        <f>'S35'!N42</f>
        <v/>
      </c>
      <c r="P42" s="36">
        <f>N42-O42</f>
        <v/>
      </c>
      <c r="Q42" s="32" t="n"/>
      <c r="R42" s="32" t="n"/>
      <c r="S42" s="32" t="n"/>
      <c r="T42" s="33" t="n"/>
      <c r="U42" s="42">
        <f>'S35'!T42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'S35'!M43+L43</f>
        <v/>
      </c>
      <c r="N43" s="31">
        <f>IFERROR(M43/K43,0)</f>
        <v/>
      </c>
      <c r="O43" s="40">
        <f>'S35'!N43</f>
        <v/>
      </c>
      <c r="P43" s="31">
        <f>N43-O43</f>
        <v/>
      </c>
      <c r="Q43" s="32" t="n"/>
      <c r="R43" s="32" t="n"/>
      <c r="S43" s="32" t="n"/>
      <c r="T43" s="33" t="n"/>
      <c r="U43" s="40">
        <f>'S35'!T43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'S35'!M44+L44</f>
        <v/>
      </c>
      <c r="N44" s="36">
        <f>IFERROR(M44/K44,0)</f>
        <v/>
      </c>
      <c r="O44" s="42">
        <f>'S35'!N44</f>
        <v/>
      </c>
      <c r="P44" s="36">
        <f>N44-O44</f>
        <v/>
      </c>
      <c r="Q44" s="32" t="n"/>
      <c r="R44" s="32" t="n"/>
      <c r="S44" s="32" t="n"/>
      <c r="T44" s="33" t="n"/>
      <c r="U44" s="42">
        <f>'S35'!T44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'S35'!M45+L45</f>
        <v/>
      </c>
      <c r="N45" s="31">
        <f>IFERROR(M45/K45,0)</f>
        <v/>
      </c>
      <c r="O45" s="40">
        <f>'S35'!N45</f>
        <v/>
      </c>
      <c r="P45" s="31">
        <f>N45-O45</f>
        <v/>
      </c>
      <c r="Q45" s="32" t="n"/>
      <c r="R45" s="32" t="n"/>
      <c r="S45" s="32" t="n"/>
      <c r="T45" s="33" t="n"/>
      <c r="U45" s="40">
        <f>'S35'!T45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'S35'!M46+L46</f>
        <v/>
      </c>
      <c r="N46" s="36">
        <f>IFERROR(M46/K46,0)</f>
        <v/>
      </c>
      <c r="O46" s="42">
        <f>'S35'!N46</f>
        <v/>
      </c>
      <c r="P46" s="36">
        <f>N46-O46</f>
        <v/>
      </c>
      <c r="Q46" s="32" t="n"/>
      <c r="R46" s="32" t="n"/>
      <c r="S46" s="32" t="n"/>
      <c r="T46" s="33" t="n"/>
      <c r="U46" s="42">
        <f>'S35'!T46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'S35'!M47+L47</f>
        <v/>
      </c>
      <c r="N47" s="31">
        <f>IFERROR(M47/K47,0)</f>
        <v/>
      </c>
      <c r="O47" s="40">
        <f>'S35'!N47</f>
        <v/>
      </c>
      <c r="P47" s="31">
        <f>N47-O47</f>
        <v/>
      </c>
      <c r="Q47" s="32" t="n"/>
      <c r="R47" s="32" t="n"/>
      <c r="S47" s="32" t="n"/>
      <c r="T47" s="33" t="n"/>
      <c r="U47" s="40">
        <f>'S35'!T47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'S35'!M48+L48</f>
        <v/>
      </c>
      <c r="N48" s="36">
        <f>IFERROR(M48/K48,0)</f>
        <v/>
      </c>
      <c r="O48" s="42">
        <f>'S35'!N48</f>
        <v/>
      </c>
      <c r="P48" s="36">
        <f>N48-O48</f>
        <v/>
      </c>
      <c r="Q48" s="32" t="n"/>
      <c r="R48" s="32" t="n"/>
      <c r="S48" s="32" t="n"/>
      <c r="T48" s="33" t="n"/>
      <c r="U48" s="42">
        <f>'S35'!T48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'S35'!M49+L49</f>
        <v/>
      </c>
      <c r="N49" s="31">
        <f>IFERROR(M49/K49,0)</f>
        <v/>
      </c>
      <c r="O49" s="40">
        <f>'S35'!N49</f>
        <v/>
      </c>
      <c r="P49" s="31">
        <f>N49-O49</f>
        <v/>
      </c>
      <c r="Q49" s="32" t="n"/>
      <c r="R49" s="32" t="n"/>
      <c r="S49" s="32" t="n"/>
      <c r="T49" s="33" t="n"/>
      <c r="U49" s="40">
        <f>'S35'!T49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'S35'!M50+L50</f>
        <v/>
      </c>
      <c r="N50" s="36">
        <f>IFERROR(M50/K50,0)</f>
        <v/>
      </c>
      <c r="O50" s="42">
        <f>'S35'!N50</f>
        <v/>
      </c>
      <c r="P50" s="36">
        <f>N50-O50</f>
        <v/>
      </c>
      <c r="Q50" s="32" t="n"/>
      <c r="R50" s="32" t="n"/>
      <c r="S50" s="32" t="n"/>
      <c r="T50" s="33" t="n"/>
      <c r="U50" s="42">
        <f>'S35'!T50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'S35'!M51+L51</f>
        <v/>
      </c>
      <c r="N51" s="31">
        <f>IFERROR(M51/K51,0)</f>
        <v/>
      </c>
      <c r="O51" s="40">
        <f>'S35'!N51</f>
        <v/>
      </c>
      <c r="P51" s="31">
        <f>N51-O51</f>
        <v/>
      </c>
      <c r="Q51" s="32" t="n"/>
      <c r="R51" s="32" t="n"/>
      <c r="S51" s="32" t="n"/>
      <c r="T51" s="33" t="n"/>
      <c r="U51" s="40">
        <f>'S35'!T51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'S35'!M52+L52</f>
        <v/>
      </c>
      <c r="N52" s="36">
        <f>IFERROR(M52/K52,0)</f>
        <v/>
      </c>
      <c r="O52" s="42">
        <f>'S35'!N52</f>
        <v/>
      </c>
      <c r="P52" s="36">
        <f>N52-O52</f>
        <v/>
      </c>
      <c r="Q52" s="32" t="n"/>
      <c r="R52" s="32" t="n"/>
      <c r="S52" s="32" t="n"/>
      <c r="T52" s="33" t="n"/>
      <c r="U52" s="42">
        <f>'S35'!T52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'S35'!M53+L53</f>
        <v/>
      </c>
      <c r="N53" s="31">
        <f>IFERROR(M53/K53,0)</f>
        <v/>
      </c>
      <c r="O53" s="40">
        <f>'S35'!N53</f>
        <v/>
      </c>
      <c r="P53" s="31">
        <f>N53-O53</f>
        <v/>
      </c>
      <c r="Q53" s="32" t="n"/>
      <c r="R53" s="32" t="n"/>
      <c r="S53" s="32" t="n"/>
      <c r="T53" s="33" t="n"/>
      <c r="U53" s="40">
        <f>'S35'!T53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'S35'!M54+L54</f>
        <v/>
      </c>
      <c r="N54" s="36">
        <f>IFERROR(M54/K54,0)</f>
        <v/>
      </c>
      <c r="O54" s="42">
        <f>'S35'!N54</f>
        <v/>
      </c>
      <c r="P54" s="36">
        <f>N54-O54</f>
        <v/>
      </c>
      <c r="Q54" s="32" t="n"/>
      <c r="R54" s="32" t="n"/>
      <c r="S54" s="32" t="n"/>
      <c r="T54" s="33" t="n"/>
      <c r="U54" s="42">
        <f>'S35'!T54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'S35'!M55+L55</f>
        <v/>
      </c>
      <c r="N55" s="31">
        <f>IFERROR(M55/K55,0)</f>
        <v/>
      </c>
      <c r="O55" s="40">
        <f>'S35'!N55</f>
        <v/>
      </c>
      <c r="P55" s="31">
        <f>N55-O55</f>
        <v/>
      </c>
      <c r="Q55" s="32" t="n"/>
      <c r="R55" s="32" t="n"/>
      <c r="S55" s="32" t="n"/>
      <c r="T55" s="33" t="n"/>
      <c r="U55" s="40">
        <f>'S35'!T55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'S35'!M56+L56</f>
        <v/>
      </c>
      <c r="N56" s="36">
        <f>IFERROR(M56/K56,0)</f>
        <v/>
      </c>
      <c r="O56" s="42">
        <f>'S35'!N56</f>
        <v/>
      </c>
      <c r="P56" s="36">
        <f>N56-O56</f>
        <v/>
      </c>
      <c r="Q56" s="32" t="n"/>
      <c r="R56" s="32" t="n"/>
      <c r="S56" s="32" t="n"/>
      <c r="T56" s="33" t="n"/>
      <c r="U56" s="42">
        <f>'S35'!T56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'S35'!M57+L57</f>
        <v/>
      </c>
      <c r="N57" s="31">
        <f>IFERROR(M57/K57,0)</f>
        <v/>
      </c>
      <c r="O57" s="40">
        <f>'S35'!N57</f>
        <v/>
      </c>
      <c r="P57" s="31">
        <f>N57-O57</f>
        <v/>
      </c>
      <c r="Q57" s="32" t="n"/>
      <c r="R57" s="32" t="n"/>
      <c r="S57" s="32" t="n"/>
      <c r="T57" s="33" t="n"/>
      <c r="U57" s="40">
        <f>'S35'!T57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'S35'!M58+L58</f>
        <v/>
      </c>
      <c r="N58" s="36">
        <f>IFERROR(M58/K58,0)</f>
        <v/>
      </c>
      <c r="O58" s="42">
        <f>'S35'!N58</f>
        <v/>
      </c>
      <c r="P58" s="36">
        <f>N58-O58</f>
        <v/>
      </c>
      <c r="Q58" s="32" t="n"/>
      <c r="R58" s="32" t="n"/>
      <c r="S58" s="32" t="n"/>
      <c r="T58" s="33" t="n"/>
      <c r="U58" s="42">
        <f>'S35'!T58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'S35'!M59+L59</f>
        <v/>
      </c>
      <c r="N59" s="31">
        <f>IFERROR(M59/K59,0)</f>
        <v/>
      </c>
      <c r="O59" s="40">
        <f>'S35'!N59</f>
        <v/>
      </c>
      <c r="P59" s="31">
        <f>N59-O59</f>
        <v/>
      </c>
      <c r="Q59" s="32" t="n"/>
      <c r="R59" s="32" t="n"/>
      <c r="S59" s="32" t="n"/>
      <c r="T59" s="33" t="n"/>
      <c r="U59" s="40">
        <f>'S35'!T59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'S35'!M60+L60</f>
        <v/>
      </c>
      <c r="N60" s="36">
        <f>IFERROR(M60/K60,0)</f>
        <v/>
      </c>
      <c r="O60" s="42">
        <f>'S35'!N60</f>
        <v/>
      </c>
      <c r="P60" s="36">
        <f>N60-O60</f>
        <v/>
      </c>
      <c r="Q60" s="32" t="n"/>
      <c r="R60" s="32" t="n"/>
      <c r="S60" s="32" t="n"/>
      <c r="T60" s="33" t="n"/>
      <c r="U60" s="42">
        <f>'S35'!T60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'S35'!M61+L61</f>
        <v/>
      </c>
      <c r="N61" s="31">
        <f>IFERROR(M61/K61,0)</f>
        <v/>
      </c>
      <c r="O61" s="40">
        <f>'S35'!N61</f>
        <v/>
      </c>
      <c r="P61" s="31">
        <f>N61-O61</f>
        <v/>
      </c>
      <c r="Q61" s="32" t="n"/>
      <c r="R61" s="32" t="n"/>
      <c r="S61" s="32" t="n"/>
      <c r="T61" s="33" t="n"/>
      <c r="U61" s="40">
        <f>'S35'!T61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'S35'!M62+L62</f>
        <v/>
      </c>
      <c r="N62" s="36">
        <f>IFERROR(M62/K62,0)</f>
        <v/>
      </c>
      <c r="O62" s="42">
        <f>'S35'!N62</f>
        <v/>
      </c>
      <c r="P62" s="36">
        <f>N62-O62</f>
        <v/>
      </c>
      <c r="Q62" s="32" t="n"/>
      <c r="R62" s="32" t="n"/>
      <c r="S62" s="32" t="n"/>
      <c r="T62" s="33" t="n"/>
      <c r="U62" s="42">
        <f>'S35'!T62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'S35'!M63+L63</f>
        <v/>
      </c>
      <c r="N63" s="31">
        <f>IFERROR(M63/K63,0)</f>
        <v/>
      </c>
      <c r="O63" s="40">
        <f>'S35'!N63</f>
        <v/>
      </c>
      <c r="P63" s="31">
        <f>N63-O63</f>
        <v/>
      </c>
      <c r="Q63" s="32" t="n"/>
      <c r="R63" s="32" t="n"/>
      <c r="S63" s="32" t="n"/>
      <c r="T63" s="33" t="n"/>
      <c r="U63" s="40">
        <f>'S35'!T63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'S35'!M64+L64</f>
        <v/>
      </c>
      <c r="N64" s="36">
        <f>IFERROR(M64/K64,0)</f>
        <v/>
      </c>
      <c r="O64" s="42">
        <f>'S35'!N64</f>
        <v/>
      </c>
      <c r="P64" s="36">
        <f>N64-O64</f>
        <v/>
      </c>
      <c r="Q64" s="32" t="n"/>
      <c r="R64" s="32" t="n"/>
      <c r="S64" s="32" t="n"/>
      <c r="T64" s="33" t="n"/>
      <c r="U64" s="42">
        <f>'S35'!T64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'S35'!M65+L65</f>
        <v/>
      </c>
      <c r="N65" s="31">
        <f>IFERROR(M65/K65,0)</f>
        <v/>
      </c>
      <c r="O65" s="40">
        <f>'S35'!N65</f>
        <v/>
      </c>
      <c r="P65" s="31">
        <f>N65-O65</f>
        <v/>
      </c>
      <c r="Q65" s="32" t="n"/>
      <c r="R65" s="32" t="n"/>
      <c r="S65" s="32" t="n"/>
      <c r="T65" s="33" t="n"/>
      <c r="U65" s="40">
        <f>'S35'!T65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'S35'!M66+L66</f>
        <v/>
      </c>
      <c r="N66" s="36">
        <f>IFERROR(M66/K66,0)</f>
        <v/>
      </c>
      <c r="O66" s="42">
        <f>'S35'!N66</f>
        <v/>
      </c>
      <c r="P66" s="36">
        <f>N66-O66</f>
        <v/>
      </c>
      <c r="Q66" s="32" t="n"/>
      <c r="R66" s="32" t="n"/>
      <c r="S66" s="32" t="n"/>
      <c r="T66" s="33" t="n"/>
      <c r="U66" s="42">
        <f>'S35'!T66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'S35'!M67+L67</f>
        <v/>
      </c>
      <c r="N67" s="31">
        <f>IFERROR(M67/K67,0)</f>
        <v/>
      </c>
      <c r="O67" s="40">
        <f>'S35'!N67</f>
        <v/>
      </c>
      <c r="P67" s="31">
        <f>N67-O67</f>
        <v/>
      </c>
      <c r="Q67" s="32" t="n"/>
      <c r="R67" s="32" t="n"/>
      <c r="S67" s="32" t="n"/>
      <c r="T67" s="33" t="n"/>
      <c r="U67" s="40">
        <f>'S35'!T67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'S35'!M68+L68</f>
        <v/>
      </c>
      <c r="N68" s="36">
        <f>IFERROR(M68/K68,0)</f>
        <v/>
      </c>
      <c r="O68" s="42">
        <f>'S35'!N68</f>
        <v/>
      </c>
      <c r="P68" s="36">
        <f>N68-O68</f>
        <v/>
      </c>
      <c r="Q68" s="32" t="n"/>
      <c r="R68" s="32" t="n"/>
      <c r="S68" s="32" t="n"/>
      <c r="T68" s="33" t="n"/>
      <c r="U68" s="42">
        <f>'S35'!T68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'S35'!M69+L69</f>
        <v/>
      </c>
      <c r="N69" s="31">
        <f>IFERROR(M69/K69,0)</f>
        <v/>
      </c>
      <c r="O69" s="40">
        <f>'S35'!N69</f>
        <v/>
      </c>
      <c r="P69" s="31">
        <f>N69-O69</f>
        <v/>
      </c>
      <c r="Q69" s="32" t="n"/>
      <c r="R69" s="32" t="n"/>
      <c r="S69" s="32" t="n"/>
      <c r="T69" s="33" t="n"/>
      <c r="U69" s="40">
        <f>'S35'!T69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'S35'!M70+L70</f>
        <v/>
      </c>
      <c r="N70" s="36">
        <f>IFERROR(M70/K70,0)</f>
        <v/>
      </c>
      <c r="O70" s="42">
        <f>'S35'!N70</f>
        <v/>
      </c>
      <c r="P70" s="36">
        <f>N70-O70</f>
        <v/>
      </c>
      <c r="Q70" s="32" t="n"/>
      <c r="R70" s="32" t="n"/>
      <c r="S70" s="32" t="n"/>
      <c r="T70" s="33" t="n"/>
      <c r="U70" s="42">
        <f>'S35'!T70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'S35'!M71+L71</f>
        <v/>
      </c>
      <c r="N71" s="31">
        <f>IFERROR(M71/K71,0)</f>
        <v/>
      </c>
      <c r="O71" s="40">
        <f>'S35'!N71</f>
        <v/>
      </c>
      <c r="P71" s="31">
        <f>N71-O71</f>
        <v/>
      </c>
      <c r="Q71" s="32" t="n"/>
      <c r="R71" s="32" t="n"/>
      <c r="S71" s="32" t="n"/>
      <c r="T71" s="33" t="n"/>
      <c r="U71" s="40">
        <f>'S35'!T71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'S35'!M72+L72</f>
        <v/>
      </c>
      <c r="N72" s="36">
        <f>IFERROR(M72/K72,0)</f>
        <v/>
      </c>
      <c r="O72" s="42">
        <f>'S35'!N72</f>
        <v/>
      </c>
      <c r="P72" s="36">
        <f>N72-O72</f>
        <v/>
      </c>
      <c r="Q72" s="32" t="n"/>
      <c r="R72" s="32" t="n"/>
      <c r="S72" s="32" t="n"/>
      <c r="T72" s="33" t="n"/>
      <c r="U72" s="42">
        <f>'S35'!T72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'S35'!M73+L73</f>
        <v/>
      </c>
      <c r="N73" s="31">
        <f>IFERROR(M73/K73,0)</f>
        <v/>
      </c>
      <c r="O73" s="40">
        <f>'S35'!N73</f>
        <v/>
      </c>
      <c r="P73" s="31">
        <f>N73-O73</f>
        <v/>
      </c>
      <c r="Q73" s="32" t="n"/>
      <c r="R73" s="32" t="n"/>
      <c r="S73" s="32" t="n"/>
      <c r="T73" s="33" t="n"/>
      <c r="U73" s="40">
        <f>'S35'!T73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'S35'!M74+L74</f>
        <v/>
      </c>
      <c r="N74" s="36">
        <f>IFERROR(M74/K74,0)</f>
        <v/>
      </c>
      <c r="O74" s="42">
        <f>'S35'!N74</f>
        <v/>
      </c>
      <c r="P74" s="36">
        <f>N74-O74</f>
        <v/>
      </c>
      <c r="Q74" s="32" t="n"/>
      <c r="R74" s="32" t="n"/>
      <c r="S74" s="32" t="n"/>
      <c r="T74" s="33" t="n"/>
      <c r="U74" s="42">
        <f>'S35'!T74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'S35'!M75+L75</f>
        <v/>
      </c>
      <c r="N75" s="31">
        <f>IFERROR(M75/K75,0)</f>
        <v/>
      </c>
      <c r="O75" s="40">
        <f>'S35'!N75</f>
        <v/>
      </c>
      <c r="P75" s="31">
        <f>N75-O75</f>
        <v/>
      </c>
      <c r="Q75" s="32" t="n"/>
      <c r="R75" s="32" t="n"/>
      <c r="S75" s="32" t="n"/>
      <c r="T75" s="33" t="n"/>
      <c r="U75" s="40">
        <f>'S35'!T75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'S35'!M76+L76</f>
        <v/>
      </c>
      <c r="N76" s="36">
        <f>IFERROR(M76/K76,0)</f>
        <v/>
      </c>
      <c r="O76" s="42">
        <f>'S35'!N76</f>
        <v/>
      </c>
      <c r="P76" s="36">
        <f>N76-O76</f>
        <v/>
      </c>
      <c r="Q76" s="32" t="n"/>
      <c r="R76" s="32" t="n"/>
      <c r="S76" s="32" t="n"/>
      <c r="T76" s="33" t="n"/>
      <c r="U76" s="42">
        <f>'S35'!T76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39.xml><?xml version="1.0" encoding="utf-8"?>
<worksheet xmlns="http://schemas.openxmlformats.org/spreadsheetml/2006/main">
  <sheetPr>
    <tabColor rgb="00C0000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37 (07/09 - 13/09) — Septembre 2026 - Exécution Physique et Financière</t>
        </is>
      </c>
    </row>
    <row r="3" ht="22" customHeight="1">
      <c r="B3" s="20" t="inlineStr">
        <is>
          <t>Date :</t>
        </is>
      </c>
      <c r="C3" s="21" t="n">
        <v>46272</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'S36'!M5+L5</f>
        <v/>
      </c>
      <c r="N5" s="31">
        <f>IFERROR(M5/K5,0)</f>
        <v/>
      </c>
      <c r="O5" s="40">
        <f>'S36'!N5</f>
        <v/>
      </c>
      <c r="P5" s="31">
        <f>N5-O5</f>
        <v/>
      </c>
      <c r="Q5" s="32" t="n"/>
      <c r="R5" s="32" t="n"/>
      <c r="S5" s="32" t="n"/>
      <c r="T5" s="33" t="n"/>
      <c r="U5" s="40">
        <f>'S36'!T5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'S36'!M6+L6</f>
        <v/>
      </c>
      <c r="N6" s="36">
        <f>IFERROR(M6/K6,0)</f>
        <v/>
      </c>
      <c r="O6" s="42">
        <f>'S36'!N6</f>
        <v/>
      </c>
      <c r="P6" s="36">
        <f>N6-O6</f>
        <v/>
      </c>
      <c r="Q6" s="32" t="n"/>
      <c r="R6" s="32" t="n"/>
      <c r="S6" s="32" t="n"/>
      <c r="T6" s="33" t="n"/>
      <c r="U6" s="42">
        <f>'S36'!T6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'S36'!M7+L7</f>
        <v/>
      </c>
      <c r="N7" s="31">
        <f>IFERROR(M7/K7,0)</f>
        <v/>
      </c>
      <c r="O7" s="40">
        <f>'S36'!N7</f>
        <v/>
      </c>
      <c r="P7" s="31">
        <f>N7-O7</f>
        <v/>
      </c>
      <c r="Q7" s="32" t="n"/>
      <c r="R7" s="32" t="n"/>
      <c r="S7" s="32" t="n"/>
      <c r="T7" s="33" t="n"/>
      <c r="U7" s="40">
        <f>'S36'!T7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'S36'!M8+L8</f>
        <v/>
      </c>
      <c r="N8" s="36">
        <f>IFERROR(M8/K8,0)</f>
        <v/>
      </c>
      <c r="O8" s="42">
        <f>'S36'!N8</f>
        <v/>
      </c>
      <c r="P8" s="36">
        <f>N8-O8</f>
        <v/>
      </c>
      <c r="Q8" s="32" t="n"/>
      <c r="R8" s="32" t="n"/>
      <c r="S8" s="32" t="n"/>
      <c r="T8" s="33" t="n"/>
      <c r="U8" s="42">
        <f>'S36'!T8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'S36'!M9+L9</f>
        <v/>
      </c>
      <c r="N9" s="31">
        <f>IFERROR(M9/K9,0)</f>
        <v/>
      </c>
      <c r="O9" s="40">
        <f>'S36'!N9</f>
        <v/>
      </c>
      <c r="P9" s="31">
        <f>N9-O9</f>
        <v/>
      </c>
      <c r="Q9" s="32" t="n"/>
      <c r="R9" s="32" t="n"/>
      <c r="S9" s="32" t="n"/>
      <c r="T9" s="33" t="n"/>
      <c r="U9" s="40">
        <f>'S36'!T9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'S36'!M10+L10</f>
        <v/>
      </c>
      <c r="N10" s="36">
        <f>IFERROR(M10/K10,0)</f>
        <v/>
      </c>
      <c r="O10" s="42">
        <f>'S36'!N10</f>
        <v/>
      </c>
      <c r="P10" s="36">
        <f>N10-O10</f>
        <v/>
      </c>
      <c r="Q10" s="32" t="n"/>
      <c r="R10" s="32" t="n"/>
      <c r="S10" s="32" t="n"/>
      <c r="T10" s="33" t="n"/>
      <c r="U10" s="42">
        <f>'S36'!T10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'S36'!M11+L11</f>
        <v/>
      </c>
      <c r="N11" s="31">
        <f>IFERROR(M11/K11,0)</f>
        <v/>
      </c>
      <c r="O11" s="40">
        <f>'S36'!N11</f>
        <v/>
      </c>
      <c r="P11" s="31">
        <f>N11-O11</f>
        <v/>
      </c>
      <c r="Q11" s="32" t="n"/>
      <c r="R11" s="32" t="n"/>
      <c r="S11" s="32" t="n"/>
      <c r="T11" s="33" t="n"/>
      <c r="U11" s="40">
        <f>'S36'!T11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'S36'!M12+L12</f>
        <v/>
      </c>
      <c r="N12" s="36">
        <f>IFERROR(M12/K12,0)</f>
        <v/>
      </c>
      <c r="O12" s="42">
        <f>'S36'!N12</f>
        <v/>
      </c>
      <c r="P12" s="36">
        <f>N12-O12</f>
        <v/>
      </c>
      <c r="Q12" s="32" t="n"/>
      <c r="R12" s="32" t="n"/>
      <c r="S12" s="32" t="n"/>
      <c r="T12" s="33" t="n"/>
      <c r="U12" s="42">
        <f>'S36'!T12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'S36'!M13+L13</f>
        <v/>
      </c>
      <c r="N13" s="31">
        <f>IFERROR(M13/K13,0)</f>
        <v/>
      </c>
      <c r="O13" s="40">
        <f>'S36'!N13</f>
        <v/>
      </c>
      <c r="P13" s="31">
        <f>N13-O13</f>
        <v/>
      </c>
      <c r="Q13" s="32" t="n"/>
      <c r="R13" s="32" t="n"/>
      <c r="S13" s="32" t="n"/>
      <c r="T13" s="33" t="n"/>
      <c r="U13" s="40">
        <f>'S36'!T13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'S36'!M14+L14</f>
        <v/>
      </c>
      <c r="N14" s="36">
        <f>IFERROR(M14/K14,0)</f>
        <v/>
      </c>
      <c r="O14" s="42">
        <f>'S36'!N14</f>
        <v/>
      </c>
      <c r="P14" s="36">
        <f>N14-O14</f>
        <v/>
      </c>
      <c r="Q14" s="32" t="n"/>
      <c r="R14" s="32" t="n"/>
      <c r="S14" s="32" t="n"/>
      <c r="T14" s="33" t="n"/>
      <c r="U14" s="42">
        <f>'S36'!T14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'S36'!M15+L15</f>
        <v/>
      </c>
      <c r="N15" s="31">
        <f>IFERROR(M15/K15,0)</f>
        <v/>
      </c>
      <c r="O15" s="40">
        <f>'S36'!N15</f>
        <v/>
      </c>
      <c r="P15" s="31">
        <f>N15-O15</f>
        <v/>
      </c>
      <c r="Q15" s="32" t="n"/>
      <c r="R15" s="32" t="n"/>
      <c r="S15" s="32" t="n"/>
      <c r="T15" s="33" t="n"/>
      <c r="U15" s="40">
        <f>'S36'!T15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'S36'!M16+L16</f>
        <v/>
      </c>
      <c r="N16" s="36">
        <f>IFERROR(M16/K16,0)</f>
        <v/>
      </c>
      <c r="O16" s="42">
        <f>'S36'!N16</f>
        <v/>
      </c>
      <c r="P16" s="36">
        <f>N16-O16</f>
        <v/>
      </c>
      <c r="Q16" s="32" t="n"/>
      <c r="R16" s="32" t="n"/>
      <c r="S16" s="32" t="n"/>
      <c r="T16" s="33" t="n"/>
      <c r="U16" s="42">
        <f>'S36'!T16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'S36'!M17+L17</f>
        <v/>
      </c>
      <c r="N17" s="31">
        <f>IFERROR(M17/K17,0)</f>
        <v/>
      </c>
      <c r="O17" s="40">
        <f>'S36'!N17</f>
        <v/>
      </c>
      <c r="P17" s="31">
        <f>N17-O17</f>
        <v/>
      </c>
      <c r="Q17" s="32" t="n"/>
      <c r="R17" s="32" t="n"/>
      <c r="S17" s="32" t="n"/>
      <c r="T17" s="33" t="n"/>
      <c r="U17" s="40">
        <f>'S36'!T17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'S36'!M18+L18</f>
        <v/>
      </c>
      <c r="N18" s="36">
        <f>IFERROR(M18/K18,0)</f>
        <v/>
      </c>
      <c r="O18" s="42">
        <f>'S36'!N18</f>
        <v/>
      </c>
      <c r="P18" s="36">
        <f>N18-O18</f>
        <v/>
      </c>
      <c r="Q18" s="32" t="n"/>
      <c r="R18" s="32" t="n"/>
      <c r="S18" s="32" t="n"/>
      <c r="T18" s="33" t="n"/>
      <c r="U18" s="42">
        <f>'S36'!T18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'S36'!M19+L19</f>
        <v/>
      </c>
      <c r="N19" s="31">
        <f>IFERROR(M19/K19,0)</f>
        <v/>
      </c>
      <c r="O19" s="40">
        <f>'S36'!N19</f>
        <v/>
      </c>
      <c r="P19" s="31">
        <f>N19-O19</f>
        <v/>
      </c>
      <c r="Q19" s="32" t="n"/>
      <c r="R19" s="32" t="n"/>
      <c r="S19" s="32" t="n"/>
      <c r="T19" s="33" t="n"/>
      <c r="U19" s="40">
        <f>'S36'!T19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'S36'!M20+L20</f>
        <v/>
      </c>
      <c r="N20" s="36">
        <f>IFERROR(M20/K20,0)</f>
        <v/>
      </c>
      <c r="O20" s="42">
        <f>'S36'!N20</f>
        <v/>
      </c>
      <c r="P20" s="36">
        <f>N20-O20</f>
        <v/>
      </c>
      <c r="Q20" s="32" t="n"/>
      <c r="R20" s="32" t="n"/>
      <c r="S20" s="32" t="n"/>
      <c r="T20" s="33" t="n"/>
      <c r="U20" s="42">
        <f>'S36'!T20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'S36'!M21+L21</f>
        <v/>
      </c>
      <c r="N21" s="31">
        <f>IFERROR(M21/K21,0)</f>
        <v/>
      </c>
      <c r="O21" s="40">
        <f>'S36'!N21</f>
        <v/>
      </c>
      <c r="P21" s="31">
        <f>N21-O21</f>
        <v/>
      </c>
      <c r="Q21" s="32" t="n"/>
      <c r="R21" s="32" t="n"/>
      <c r="S21" s="32" t="n"/>
      <c r="T21" s="33" t="n"/>
      <c r="U21" s="40">
        <f>'S36'!T21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'S36'!M22+L22</f>
        <v/>
      </c>
      <c r="N22" s="36">
        <f>IFERROR(M22/K22,0)</f>
        <v/>
      </c>
      <c r="O22" s="42">
        <f>'S36'!N22</f>
        <v/>
      </c>
      <c r="P22" s="36">
        <f>N22-O22</f>
        <v/>
      </c>
      <c r="Q22" s="32" t="n"/>
      <c r="R22" s="32" t="n"/>
      <c r="S22" s="32" t="n"/>
      <c r="T22" s="33" t="n"/>
      <c r="U22" s="42">
        <f>'S36'!T22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'S36'!M23+L23</f>
        <v/>
      </c>
      <c r="N23" s="31">
        <f>IFERROR(M23/K23,0)</f>
        <v/>
      </c>
      <c r="O23" s="40">
        <f>'S36'!N23</f>
        <v/>
      </c>
      <c r="P23" s="31">
        <f>N23-O23</f>
        <v/>
      </c>
      <c r="Q23" s="32" t="n"/>
      <c r="R23" s="32" t="n"/>
      <c r="S23" s="32" t="n"/>
      <c r="T23" s="33" t="n"/>
      <c r="U23" s="40">
        <f>'S36'!T23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'S36'!M24+L24</f>
        <v/>
      </c>
      <c r="N24" s="36">
        <f>IFERROR(M24/K24,0)</f>
        <v/>
      </c>
      <c r="O24" s="42">
        <f>'S36'!N24</f>
        <v/>
      </c>
      <c r="P24" s="36">
        <f>N24-O24</f>
        <v/>
      </c>
      <c r="Q24" s="32" t="n"/>
      <c r="R24" s="32" t="n"/>
      <c r="S24" s="32" t="n"/>
      <c r="T24" s="33" t="n"/>
      <c r="U24" s="42">
        <f>'S36'!T24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'S36'!M25+L25</f>
        <v/>
      </c>
      <c r="N25" s="31">
        <f>IFERROR(M25/K25,0)</f>
        <v/>
      </c>
      <c r="O25" s="40">
        <f>'S36'!N25</f>
        <v/>
      </c>
      <c r="P25" s="31">
        <f>N25-O25</f>
        <v/>
      </c>
      <c r="Q25" s="32" t="n"/>
      <c r="R25" s="32" t="n"/>
      <c r="S25" s="32" t="n"/>
      <c r="T25" s="33" t="n"/>
      <c r="U25" s="40">
        <f>'S36'!T25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'S36'!M26+L26</f>
        <v/>
      </c>
      <c r="N26" s="36">
        <f>IFERROR(M26/K26,0)</f>
        <v/>
      </c>
      <c r="O26" s="42">
        <f>'S36'!N26</f>
        <v/>
      </c>
      <c r="P26" s="36">
        <f>N26-O26</f>
        <v/>
      </c>
      <c r="Q26" s="32" t="n"/>
      <c r="R26" s="32" t="n"/>
      <c r="S26" s="32" t="n"/>
      <c r="T26" s="33" t="n"/>
      <c r="U26" s="42">
        <f>'S36'!T26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'S36'!M27+L27</f>
        <v/>
      </c>
      <c r="N27" s="31">
        <f>IFERROR(M27/K27,0)</f>
        <v/>
      </c>
      <c r="O27" s="40">
        <f>'S36'!N27</f>
        <v/>
      </c>
      <c r="P27" s="31">
        <f>N27-O27</f>
        <v/>
      </c>
      <c r="Q27" s="32" t="n"/>
      <c r="R27" s="32" t="n"/>
      <c r="S27" s="32" t="n"/>
      <c r="T27" s="33" t="n"/>
      <c r="U27" s="40">
        <f>'S36'!T27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'S36'!M28+L28</f>
        <v/>
      </c>
      <c r="N28" s="36">
        <f>IFERROR(M28/K28,0)</f>
        <v/>
      </c>
      <c r="O28" s="42">
        <f>'S36'!N28</f>
        <v/>
      </c>
      <c r="P28" s="36">
        <f>N28-O28</f>
        <v/>
      </c>
      <c r="Q28" s="32" t="n"/>
      <c r="R28" s="32" t="n"/>
      <c r="S28" s="32" t="n"/>
      <c r="T28" s="33" t="n"/>
      <c r="U28" s="42">
        <f>'S36'!T28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'S36'!M29+L29</f>
        <v/>
      </c>
      <c r="N29" s="31">
        <f>IFERROR(M29/K29,0)</f>
        <v/>
      </c>
      <c r="O29" s="40">
        <f>'S36'!N29</f>
        <v/>
      </c>
      <c r="P29" s="31">
        <f>N29-O29</f>
        <v/>
      </c>
      <c r="Q29" s="32" t="n"/>
      <c r="R29" s="32" t="n"/>
      <c r="S29" s="32" t="n"/>
      <c r="T29" s="33" t="n"/>
      <c r="U29" s="40">
        <f>'S36'!T29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'S36'!M30+L30</f>
        <v/>
      </c>
      <c r="N30" s="36">
        <f>IFERROR(M30/K30,0)</f>
        <v/>
      </c>
      <c r="O30" s="42">
        <f>'S36'!N30</f>
        <v/>
      </c>
      <c r="P30" s="36">
        <f>N30-O30</f>
        <v/>
      </c>
      <c r="Q30" s="32" t="n"/>
      <c r="R30" s="32" t="n"/>
      <c r="S30" s="32" t="n"/>
      <c r="T30" s="33" t="n"/>
      <c r="U30" s="42">
        <f>'S36'!T30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'S36'!M31+L31</f>
        <v/>
      </c>
      <c r="N31" s="31">
        <f>IFERROR(M31/K31,0)</f>
        <v/>
      </c>
      <c r="O31" s="40">
        <f>'S36'!N31</f>
        <v/>
      </c>
      <c r="P31" s="31">
        <f>N31-O31</f>
        <v/>
      </c>
      <c r="Q31" s="32" t="n"/>
      <c r="R31" s="32" t="n"/>
      <c r="S31" s="32" t="n"/>
      <c r="T31" s="33" t="n"/>
      <c r="U31" s="40">
        <f>'S36'!T31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'S36'!M32+L32</f>
        <v/>
      </c>
      <c r="N32" s="36">
        <f>IFERROR(M32/K32,0)</f>
        <v/>
      </c>
      <c r="O32" s="42">
        <f>'S36'!N32</f>
        <v/>
      </c>
      <c r="P32" s="36">
        <f>N32-O32</f>
        <v/>
      </c>
      <c r="Q32" s="32" t="n"/>
      <c r="R32" s="32" t="n"/>
      <c r="S32" s="32" t="n"/>
      <c r="T32" s="33" t="n"/>
      <c r="U32" s="42">
        <f>'S36'!T32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'S36'!M33+L33</f>
        <v/>
      </c>
      <c r="N33" s="31">
        <f>IFERROR(M33/K33,0)</f>
        <v/>
      </c>
      <c r="O33" s="40">
        <f>'S36'!N33</f>
        <v/>
      </c>
      <c r="P33" s="31">
        <f>N33-O33</f>
        <v/>
      </c>
      <c r="Q33" s="32" t="n"/>
      <c r="R33" s="32" t="n"/>
      <c r="S33" s="32" t="n"/>
      <c r="T33" s="33" t="n"/>
      <c r="U33" s="40">
        <f>'S36'!T33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'S36'!M34+L34</f>
        <v/>
      </c>
      <c r="N34" s="36">
        <f>IFERROR(M34/K34,0)</f>
        <v/>
      </c>
      <c r="O34" s="42">
        <f>'S36'!N34</f>
        <v/>
      </c>
      <c r="P34" s="36">
        <f>N34-O34</f>
        <v/>
      </c>
      <c r="Q34" s="32" t="n"/>
      <c r="R34" s="32" t="n"/>
      <c r="S34" s="32" t="n"/>
      <c r="T34" s="33" t="n"/>
      <c r="U34" s="42">
        <f>'S36'!T34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'S36'!M35+L35</f>
        <v/>
      </c>
      <c r="N35" s="31">
        <f>IFERROR(M35/K35,0)</f>
        <v/>
      </c>
      <c r="O35" s="40">
        <f>'S36'!N35</f>
        <v/>
      </c>
      <c r="P35" s="31">
        <f>N35-O35</f>
        <v/>
      </c>
      <c r="Q35" s="32" t="n"/>
      <c r="R35" s="32" t="n"/>
      <c r="S35" s="32" t="n"/>
      <c r="T35" s="33" t="n"/>
      <c r="U35" s="40">
        <f>'S36'!T35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'S36'!M36+L36</f>
        <v/>
      </c>
      <c r="N36" s="36">
        <f>IFERROR(M36/K36,0)</f>
        <v/>
      </c>
      <c r="O36" s="42">
        <f>'S36'!N36</f>
        <v/>
      </c>
      <c r="P36" s="36">
        <f>N36-O36</f>
        <v/>
      </c>
      <c r="Q36" s="32" t="n"/>
      <c r="R36" s="32" t="n"/>
      <c r="S36" s="32" t="n"/>
      <c r="T36" s="33" t="n"/>
      <c r="U36" s="42">
        <f>'S36'!T36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'S36'!M37+L37</f>
        <v/>
      </c>
      <c r="N37" s="31">
        <f>IFERROR(M37/K37,0)</f>
        <v/>
      </c>
      <c r="O37" s="40">
        <f>'S36'!N37</f>
        <v/>
      </c>
      <c r="P37" s="31">
        <f>N37-O37</f>
        <v/>
      </c>
      <c r="Q37" s="32" t="n"/>
      <c r="R37" s="32" t="n"/>
      <c r="S37" s="32" t="n"/>
      <c r="T37" s="33" t="n"/>
      <c r="U37" s="40">
        <f>'S36'!T37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'S36'!M38+L38</f>
        <v/>
      </c>
      <c r="N38" s="36">
        <f>IFERROR(M38/K38,0)</f>
        <v/>
      </c>
      <c r="O38" s="42">
        <f>'S36'!N38</f>
        <v/>
      </c>
      <c r="P38" s="36">
        <f>N38-O38</f>
        <v/>
      </c>
      <c r="Q38" s="32" t="n"/>
      <c r="R38" s="32" t="n"/>
      <c r="S38" s="32" t="n"/>
      <c r="T38" s="33" t="n"/>
      <c r="U38" s="42">
        <f>'S36'!T38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'S36'!M39+L39</f>
        <v/>
      </c>
      <c r="N39" s="31">
        <f>IFERROR(M39/K39,0)</f>
        <v/>
      </c>
      <c r="O39" s="40">
        <f>'S36'!N39</f>
        <v/>
      </c>
      <c r="P39" s="31">
        <f>N39-O39</f>
        <v/>
      </c>
      <c r="Q39" s="32" t="n"/>
      <c r="R39" s="32" t="n"/>
      <c r="S39" s="32" t="n"/>
      <c r="T39" s="33" t="n"/>
      <c r="U39" s="40">
        <f>'S36'!T39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'S36'!M40+L40</f>
        <v/>
      </c>
      <c r="N40" s="36">
        <f>IFERROR(M40/K40,0)</f>
        <v/>
      </c>
      <c r="O40" s="42">
        <f>'S36'!N40</f>
        <v/>
      </c>
      <c r="P40" s="36">
        <f>N40-O40</f>
        <v/>
      </c>
      <c r="Q40" s="32" t="n"/>
      <c r="R40" s="32" t="n"/>
      <c r="S40" s="32" t="n"/>
      <c r="T40" s="33" t="n"/>
      <c r="U40" s="42">
        <f>'S36'!T40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'S36'!M41+L41</f>
        <v/>
      </c>
      <c r="N41" s="31">
        <f>IFERROR(M41/K41,0)</f>
        <v/>
      </c>
      <c r="O41" s="40">
        <f>'S36'!N41</f>
        <v/>
      </c>
      <c r="P41" s="31">
        <f>N41-O41</f>
        <v/>
      </c>
      <c r="Q41" s="32" t="n"/>
      <c r="R41" s="32" t="n"/>
      <c r="S41" s="32" t="n"/>
      <c r="T41" s="33" t="n"/>
      <c r="U41" s="40">
        <f>'S36'!T41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'S36'!M42+L42</f>
        <v/>
      </c>
      <c r="N42" s="36">
        <f>IFERROR(M42/K42,0)</f>
        <v/>
      </c>
      <c r="O42" s="42">
        <f>'S36'!N42</f>
        <v/>
      </c>
      <c r="P42" s="36">
        <f>N42-O42</f>
        <v/>
      </c>
      <c r="Q42" s="32" t="n"/>
      <c r="R42" s="32" t="n"/>
      <c r="S42" s="32" t="n"/>
      <c r="T42" s="33" t="n"/>
      <c r="U42" s="42">
        <f>'S36'!T42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'S36'!M43+L43</f>
        <v/>
      </c>
      <c r="N43" s="31">
        <f>IFERROR(M43/K43,0)</f>
        <v/>
      </c>
      <c r="O43" s="40">
        <f>'S36'!N43</f>
        <v/>
      </c>
      <c r="P43" s="31">
        <f>N43-O43</f>
        <v/>
      </c>
      <c r="Q43" s="32" t="n"/>
      <c r="R43" s="32" t="n"/>
      <c r="S43" s="32" t="n"/>
      <c r="T43" s="33" t="n"/>
      <c r="U43" s="40">
        <f>'S36'!T43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'S36'!M44+L44</f>
        <v/>
      </c>
      <c r="N44" s="36">
        <f>IFERROR(M44/K44,0)</f>
        <v/>
      </c>
      <c r="O44" s="42">
        <f>'S36'!N44</f>
        <v/>
      </c>
      <c r="P44" s="36">
        <f>N44-O44</f>
        <v/>
      </c>
      <c r="Q44" s="32" t="n"/>
      <c r="R44" s="32" t="n"/>
      <c r="S44" s="32" t="n"/>
      <c r="T44" s="33" t="n"/>
      <c r="U44" s="42">
        <f>'S36'!T44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'S36'!M45+L45</f>
        <v/>
      </c>
      <c r="N45" s="31">
        <f>IFERROR(M45/K45,0)</f>
        <v/>
      </c>
      <c r="O45" s="40">
        <f>'S36'!N45</f>
        <v/>
      </c>
      <c r="P45" s="31">
        <f>N45-O45</f>
        <v/>
      </c>
      <c r="Q45" s="32" t="n"/>
      <c r="R45" s="32" t="n"/>
      <c r="S45" s="32" t="n"/>
      <c r="T45" s="33" t="n"/>
      <c r="U45" s="40">
        <f>'S36'!T45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'S36'!M46+L46</f>
        <v/>
      </c>
      <c r="N46" s="36">
        <f>IFERROR(M46/K46,0)</f>
        <v/>
      </c>
      <c r="O46" s="42">
        <f>'S36'!N46</f>
        <v/>
      </c>
      <c r="P46" s="36">
        <f>N46-O46</f>
        <v/>
      </c>
      <c r="Q46" s="32" t="n"/>
      <c r="R46" s="32" t="n"/>
      <c r="S46" s="32" t="n"/>
      <c r="T46" s="33" t="n"/>
      <c r="U46" s="42">
        <f>'S36'!T46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'S36'!M47+L47</f>
        <v/>
      </c>
      <c r="N47" s="31">
        <f>IFERROR(M47/K47,0)</f>
        <v/>
      </c>
      <c r="O47" s="40">
        <f>'S36'!N47</f>
        <v/>
      </c>
      <c r="P47" s="31">
        <f>N47-O47</f>
        <v/>
      </c>
      <c r="Q47" s="32" t="n"/>
      <c r="R47" s="32" t="n"/>
      <c r="S47" s="32" t="n"/>
      <c r="T47" s="33" t="n"/>
      <c r="U47" s="40">
        <f>'S36'!T47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'S36'!M48+L48</f>
        <v/>
      </c>
      <c r="N48" s="36">
        <f>IFERROR(M48/K48,0)</f>
        <v/>
      </c>
      <c r="O48" s="42">
        <f>'S36'!N48</f>
        <v/>
      </c>
      <c r="P48" s="36">
        <f>N48-O48</f>
        <v/>
      </c>
      <c r="Q48" s="32" t="n"/>
      <c r="R48" s="32" t="n"/>
      <c r="S48" s="32" t="n"/>
      <c r="T48" s="33" t="n"/>
      <c r="U48" s="42">
        <f>'S36'!T48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'S36'!M49+L49</f>
        <v/>
      </c>
      <c r="N49" s="31">
        <f>IFERROR(M49/K49,0)</f>
        <v/>
      </c>
      <c r="O49" s="40">
        <f>'S36'!N49</f>
        <v/>
      </c>
      <c r="P49" s="31">
        <f>N49-O49</f>
        <v/>
      </c>
      <c r="Q49" s="32" t="n"/>
      <c r="R49" s="32" t="n"/>
      <c r="S49" s="32" t="n"/>
      <c r="T49" s="33" t="n"/>
      <c r="U49" s="40">
        <f>'S36'!T49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'S36'!M50+L50</f>
        <v/>
      </c>
      <c r="N50" s="36">
        <f>IFERROR(M50/K50,0)</f>
        <v/>
      </c>
      <c r="O50" s="42">
        <f>'S36'!N50</f>
        <v/>
      </c>
      <c r="P50" s="36">
        <f>N50-O50</f>
        <v/>
      </c>
      <c r="Q50" s="32" t="n"/>
      <c r="R50" s="32" t="n"/>
      <c r="S50" s="32" t="n"/>
      <c r="T50" s="33" t="n"/>
      <c r="U50" s="42">
        <f>'S36'!T50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'S36'!M51+L51</f>
        <v/>
      </c>
      <c r="N51" s="31">
        <f>IFERROR(M51/K51,0)</f>
        <v/>
      </c>
      <c r="O51" s="40">
        <f>'S36'!N51</f>
        <v/>
      </c>
      <c r="P51" s="31">
        <f>N51-O51</f>
        <v/>
      </c>
      <c r="Q51" s="32" t="n"/>
      <c r="R51" s="32" t="n"/>
      <c r="S51" s="32" t="n"/>
      <c r="T51" s="33" t="n"/>
      <c r="U51" s="40">
        <f>'S36'!T51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'S36'!M52+L52</f>
        <v/>
      </c>
      <c r="N52" s="36">
        <f>IFERROR(M52/K52,0)</f>
        <v/>
      </c>
      <c r="O52" s="42">
        <f>'S36'!N52</f>
        <v/>
      </c>
      <c r="P52" s="36">
        <f>N52-O52</f>
        <v/>
      </c>
      <c r="Q52" s="32" t="n"/>
      <c r="R52" s="32" t="n"/>
      <c r="S52" s="32" t="n"/>
      <c r="T52" s="33" t="n"/>
      <c r="U52" s="42">
        <f>'S36'!T52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'S36'!M53+L53</f>
        <v/>
      </c>
      <c r="N53" s="31">
        <f>IFERROR(M53/K53,0)</f>
        <v/>
      </c>
      <c r="O53" s="40">
        <f>'S36'!N53</f>
        <v/>
      </c>
      <c r="P53" s="31">
        <f>N53-O53</f>
        <v/>
      </c>
      <c r="Q53" s="32" t="n"/>
      <c r="R53" s="32" t="n"/>
      <c r="S53" s="32" t="n"/>
      <c r="T53" s="33" t="n"/>
      <c r="U53" s="40">
        <f>'S36'!T53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'S36'!M54+L54</f>
        <v/>
      </c>
      <c r="N54" s="36">
        <f>IFERROR(M54/K54,0)</f>
        <v/>
      </c>
      <c r="O54" s="42">
        <f>'S36'!N54</f>
        <v/>
      </c>
      <c r="P54" s="36">
        <f>N54-O54</f>
        <v/>
      </c>
      <c r="Q54" s="32" t="n"/>
      <c r="R54" s="32" t="n"/>
      <c r="S54" s="32" t="n"/>
      <c r="T54" s="33" t="n"/>
      <c r="U54" s="42">
        <f>'S36'!T54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'S36'!M55+L55</f>
        <v/>
      </c>
      <c r="N55" s="31">
        <f>IFERROR(M55/K55,0)</f>
        <v/>
      </c>
      <c r="O55" s="40">
        <f>'S36'!N55</f>
        <v/>
      </c>
      <c r="P55" s="31">
        <f>N55-O55</f>
        <v/>
      </c>
      <c r="Q55" s="32" t="n"/>
      <c r="R55" s="32" t="n"/>
      <c r="S55" s="32" t="n"/>
      <c r="T55" s="33" t="n"/>
      <c r="U55" s="40">
        <f>'S36'!T55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'S36'!M56+L56</f>
        <v/>
      </c>
      <c r="N56" s="36">
        <f>IFERROR(M56/K56,0)</f>
        <v/>
      </c>
      <c r="O56" s="42">
        <f>'S36'!N56</f>
        <v/>
      </c>
      <c r="P56" s="36">
        <f>N56-O56</f>
        <v/>
      </c>
      <c r="Q56" s="32" t="n"/>
      <c r="R56" s="32" t="n"/>
      <c r="S56" s="32" t="n"/>
      <c r="T56" s="33" t="n"/>
      <c r="U56" s="42">
        <f>'S36'!T56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'S36'!M57+L57</f>
        <v/>
      </c>
      <c r="N57" s="31">
        <f>IFERROR(M57/K57,0)</f>
        <v/>
      </c>
      <c r="O57" s="40">
        <f>'S36'!N57</f>
        <v/>
      </c>
      <c r="P57" s="31">
        <f>N57-O57</f>
        <v/>
      </c>
      <c r="Q57" s="32" t="n"/>
      <c r="R57" s="32" t="n"/>
      <c r="S57" s="32" t="n"/>
      <c r="T57" s="33" t="n"/>
      <c r="U57" s="40">
        <f>'S36'!T57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'S36'!M58+L58</f>
        <v/>
      </c>
      <c r="N58" s="36">
        <f>IFERROR(M58/K58,0)</f>
        <v/>
      </c>
      <c r="O58" s="42">
        <f>'S36'!N58</f>
        <v/>
      </c>
      <c r="P58" s="36">
        <f>N58-O58</f>
        <v/>
      </c>
      <c r="Q58" s="32" t="n"/>
      <c r="R58" s="32" t="n"/>
      <c r="S58" s="32" t="n"/>
      <c r="T58" s="33" t="n"/>
      <c r="U58" s="42">
        <f>'S36'!T58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'S36'!M59+L59</f>
        <v/>
      </c>
      <c r="N59" s="31">
        <f>IFERROR(M59/K59,0)</f>
        <v/>
      </c>
      <c r="O59" s="40">
        <f>'S36'!N59</f>
        <v/>
      </c>
      <c r="P59" s="31">
        <f>N59-O59</f>
        <v/>
      </c>
      <c r="Q59" s="32" t="n"/>
      <c r="R59" s="32" t="n"/>
      <c r="S59" s="32" t="n"/>
      <c r="T59" s="33" t="n"/>
      <c r="U59" s="40">
        <f>'S36'!T59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'S36'!M60+L60</f>
        <v/>
      </c>
      <c r="N60" s="36">
        <f>IFERROR(M60/K60,0)</f>
        <v/>
      </c>
      <c r="O60" s="42">
        <f>'S36'!N60</f>
        <v/>
      </c>
      <c r="P60" s="36">
        <f>N60-O60</f>
        <v/>
      </c>
      <c r="Q60" s="32" t="n"/>
      <c r="R60" s="32" t="n"/>
      <c r="S60" s="32" t="n"/>
      <c r="T60" s="33" t="n"/>
      <c r="U60" s="42">
        <f>'S36'!T60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'S36'!M61+L61</f>
        <v/>
      </c>
      <c r="N61" s="31">
        <f>IFERROR(M61/K61,0)</f>
        <v/>
      </c>
      <c r="O61" s="40">
        <f>'S36'!N61</f>
        <v/>
      </c>
      <c r="P61" s="31">
        <f>N61-O61</f>
        <v/>
      </c>
      <c r="Q61" s="32" t="n"/>
      <c r="R61" s="32" t="n"/>
      <c r="S61" s="32" t="n"/>
      <c r="T61" s="33" t="n"/>
      <c r="U61" s="40">
        <f>'S36'!T61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'S36'!M62+L62</f>
        <v/>
      </c>
      <c r="N62" s="36">
        <f>IFERROR(M62/K62,0)</f>
        <v/>
      </c>
      <c r="O62" s="42">
        <f>'S36'!N62</f>
        <v/>
      </c>
      <c r="P62" s="36">
        <f>N62-O62</f>
        <v/>
      </c>
      <c r="Q62" s="32" t="n"/>
      <c r="R62" s="32" t="n"/>
      <c r="S62" s="32" t="n"/>
      <c r="T62" s="33" t="n"/>
      <c r="U62" s="42">
        <f>'S36'!T62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'S36'!M63+L63</f>
        <v/>
      </c>
      <c r="N63" s="31">
        <f>IFERROR(M63/K63,0)</f>
        <v/>
      </c>
      <c r="O63" s="40">
        <f>'S36'!N63</f>
        <v/>
      </c>
      <c r="P63" s="31">
        <f>N63-O63</f>
        <v/>
      </c>
      <c r="Q63" s="32" t="n"/>
      <c r="R63" s="32" t="n"/>
      <c r="S63" s="32" t="n"/>
      <c r="T63" s="33" t="n"/>
      <c r="U63" s="40">
        <f>'S36'!T63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'S36'!M64+L64</f>
        <v/>
      </c>
      <c r="N64" s="36">
        <f>IFERROR(M64/K64,0)</f>
        <v/>
      </c>
      <c r="O64" s="42">
        <f>'S36'!N64</f>
        <v/>
      </c>
      <c r="P64" s="36">
        <f>N64-O64</f>
        <v/>
      </c>
      <c r="Q64" s="32" t="n"/>
      <c r="R64" s="32" t="n"/>
      <c r="S64" s="32" t="n"/>
      <c r="T64" s="33" t="n"/>
      <c r="U64" s="42">
        <f>'S36'!T64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'S36'!M65+L65</f>
        <v/>
      </c>
      <c r="N65" s="31">
        <f>IFERROR(M65/K65,0)</f>
        <v/>
      </c>
      <c r="O65" s="40">
        <f>'S36'!N65</f>
        <v/>
      </c>
      <c r="P65" s="31">
        <f>N65-O65</f>
        <v/>
      </c>
      <c r="Q65" s="32" t="n"/>
      <c r="R65" s="32" t="n"/>
      <c r="S65" s="32" t="n"/>
      <c r="T65" s="33" t="n"/>
      <c r="U65" s="40">
        <f>'S36'!T65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'S36'!M66+L66</f>
        <v/>
      </c>
      <c r="N66" s="36">
        <f>IFERROR(M66/K66,0)</f>
        <v/>
      </c>
      <c r="O66" s="42">
        <f>'S36'!N66</f>
        <v/>
      </c>
      <c r="P66" s="36">
        <f>N66-O66</f>
        <v/>
      </c>
      <c r="Q66" s="32" t="n"/>
      <c r="R66" s="32" t="n"/>
      <c r="S66" s="32" t="n"/>
      <c r="T66" s="33" t="n"/>
      <c r="U66" s="42">
        <f>'S36'!T66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'S36'!M67+L67</f>
        <v/>
      </c>
      <c r="N67" s="31">
        <f>IFERROR(M67/K67,0)</f>
        <v/>
      </c>
      <c r="O67" s="40">
        <f>'S36'!N67</f>
        <v/>
      </c>
      <c r="P67" s="31">
        <f>N67-O67</f>
        <v/>
      </c>
      <c r="Q67" s="32" t="n"/>
      <c r="R67" s="32" t="n"/>
      <c r="S67" s="32" t="n"/>
      <c r="T67" s="33" t="n"/>
      <c r="U67" s="40">
        <f>'S36'!T67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'S36'!M68+L68</f>
        <v/>
      </c>
      <c r="N68" s="36">
        <f>IFERROR(M68/K68,0)</f>
        <v/>
      </c>
      <c r="O68" s="42">
        <f>'S36'!N68</f>
        <v/>
      </c>
      <c r="P68" s="36">
        <f>N68-O68</f>
        <v/>
      </c>
      <c r="Q68" s="32" t="n"/>
      <c r="R68" s="32" t="n"/>
      <c r="S68" s="32" t="n"/>
      <c r="T68" s="33" t="n"/>
      <c r="U68" s="42">
        <f>'S36'!T68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'S36'!M69+L69</f>
        <v/>
      </c>
      <c r="N69" s="31">
        <f>IFERROR(M69/K69,0)</f>
        <v/>
      </c>
      <c r="O69" s="40">
        <f>'S36'!N69</f>
        <v/>
      </c>
      <c r="P69" s="31">
        <f>N69-O69</f>
        <v/>
      </c>
      <c r="Q69" s="32" t="n"/>
      <c r="R69" s="32" t="n"/>
      <c r="S69" s="32" t="n"/>
      <c r="T69" s="33" t="n"/>
      <c r="U69" s="40">
        <f>'S36'!T69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'S36'!M70+L70</f>
        <v/>
      </c>
      <c r="N70" s="36">
        <f>IFERROR(M70/K70,0)</f>
        <v/>
      </c>
      <c r="O70" s="42">
        <f>'S36'!N70</f>
        <v/>
      </c>
      <c r="P70" s="36">
        <f>N70-O70</f>
        <v/>
      </c>
      <c r="Q70" s="32" t="n"/>
      <c r="R70" s="32" t="n"/>
      <c r="S70" s="32" t="n"/>
      <c r="T70" s="33" t="n"/>
      <c r="U70" s="42">
        <f>'S36'!T70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'S36'!M71+L71</f>
        <v/>
      </c>
      <c r="N71" s="31">
        <f>IFERROR(M71/K71,0)</f>
        <v/>
      </c>
      <c r="O71" s="40">
        <f>'S36'!N71</f>
        <v/>
      </c>
      <c r="P71" s="31">
        <f>N71-O71</f>
        <v/>
      </c>
      <c r="Q71" s="32" t="n"/>
      <c r="R71" s="32" t="n"/>
      <c r="S71" s="32" t="n"/>
      <c r="T71" s="33" t="n"/>
      <c r="U71" s="40">
        <f>'S36'!T71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'S36'!M72+L72</f>
        <v/>
      </c>
      <c r="N72" s="36">
        <f>IFERROR(M72/K72,0)</f>
        <v/>
      </c>
      <c r="O72" s="42">
        <f>'S36'!N72</f>
        <v/>
      </c>
      <c r="P72" s="36">
        <f>N72-O72</f>
        <v/>
      </c>
      <c r="Q72" s="32" t="n"/>
      <c r="R72" s="32" t="n"/>
      <c r="S72" s="32" t="n"/>
      <c r="T72" s="33" t="n"/>
      <c r="U72" s="42">
        <f>'S36'!T72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'S36'!M73+L73</f>
        <v/>
      </c>
      <c r="N73" s="31">
        <f>IFERROR(M73/K73,0)</f>
        <v/>
      </c>
      <c r="O73" s="40">
        <f>'S36'!N73</f>
        <v/>
      </c>
      <c r="P73" s="31">
        <f>N73-O73</f>
        <v/>
      </c>
      <c r="Q73" s="32" t="n"/>
      <c r="R73" s="32" t="n"/>
      <c r="S73" s="32" t="n"/>
      <c r="T73" s="33" t="n"/>
      <c r="U73" s="40">
        <f>'S36'!T73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'S36'!M74+L74</f>
        <v/>
      </c>
      <c r="N74" s="36">
        <f>IFERROR(M74/K74,0)</f>
        <v/>
      </c>
      <c r="O74" s="42">
        <f>'S36'!N74</f>
        <v/>
      </c>
      <c r="P74" s="36">
        <f>N74-O74</f>
        <v/>
      </c>
      <c r="Q74" s="32" t="n"/>
      <c r="R74" s="32" t="n"/>
      <c r="S74" s="32" t="n"/>
      <c r="T74" s="33" t="n"/>
      <c r="U74" s="42">
        <f>'S36'!T74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'S36'!M75+L75</f>
        <v/>
      </c>
      <c r="N75" s="31">
        <f>IFERROR(M75/K75,0)</f>
        <v/>
      </c>
      <c r="O75" s="40">
        <f>'S36'!N75</f>
        <v/>
      </c>
      <c r="P75" s="31">
        <f>N75-O75</f>
        <v/>
      </c>
      <c r="Q75" s="32" t="n"/>
      <c r="R75" s="32" t="n"/>
      <c r="S75" s="32" t="n"/>
      <c r="T75" s="33" t="n"/>
      <c r="U75" s="40">
        <f>'S36'!T75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'S36'!M76+L76</f>
        <v/>
      </c>
      <c r="N76" s="36">
        <f>IFERROR(M76/K76,0)</f>
        <v/>
      </c>
      <c r="O76" s="42">
        <f>'S36'!N76</f>
        <v/>
      </c>
      <c r="P76" s="36">
        <f>N76-O76</f>
        <v/>
      </c>
      <c r="Q76" s="32" t="n"/>
      <c r="R76" s="32" t="n"/>
      <c r="S76" s="32" t="n"/>
      <c r="T76" s="33" t="n"/>
      <c r="U76" s="42">
        <f>'S36'!T76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40.xml><?xml version="1.0" encoding="utf-8"?>
<worksheet xmlns="http://schemas.openxmlformats.org/spreadsheetml/2006/main">
  <sheetPr>
    <tabColor rgb="00C0000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38 (14/09 - 20/09) — Septembre 2026 - Exécution Physique et Financière</t>
        </is>
      </c>
    </row>
    <row r="3" ht="22" customHeight="1">
      <c r="B3" s="20" t="inlineStr">
        <is>
          <t>Date :</t>
        </is>
      </c>
      <c r="C3" s="21" t="n">
        <v>46279</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'S37'!M5+L5</f>
        <v/>
      </c>
      <c r="N5" s="31">
        <f>IFERROR(M5/K5,0)</f>
        <v/>
      </c>
      <c r="O5" s="40">
        <f>'S37'!N5</f>
        <v/>
      </c>
      <c r="P5" s="31">
        <f>N5-O5</f>
        <v/>
      </c>
      <c r="Q5" s="32" t="n"/>
      <c r="R5" s="32" t="n"/>
      <c r="S5" s="32" t="n"/>
      <c r="T5" s="33" t="n"/>
      <c r="U5" s="40">
        <f>'S37'!T5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'S37'!M6+L6</f>
        <v/>
      </c>
      <c r="N6" s="36">
        <f>IFERROR(M6/K6,0)</f>
        <v/>
      </c>
      <c r="O6" s="42">
        <f>'S37'!N6</f>
        <v/>
      </c>
      <c r="P6" s="36">
        <f>N6-O6</f>
        <v/>
      </c>
      <c r="Q6" s="32" t="n"/>
      <c r="R6" s="32" t="n"/>
      <c r="S6" s="32" t="n"/>
      <c r="T6" s="33" t="n"/>
      <c r="U6" s="42">
        <f>'S37'!T6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'S37'!M7+L7</f>
        <v/>
      </c>
      <c r="N7" s="31">
        <f>IFERROR(M7/K7,0)</f>
        <v/>
      </c>
      <c r="O7" s="40">
        <f>'S37'!N7</f>
        <v/>
      </c>
      <c r="P7" s="31">
        <f>N7-O7</f>
        <v/>
      </c>
      <c r="Q7" s="32" t="n"/>
      <c r="R7" s="32" t="n"/>
      <c r="S7" s="32" t="n"/>
      <c r="T7" s="33" t="n"/>
      <c r="U7" s="40">
        <f>'S37'!T7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'S37'!M8+L8</f>
        <v/>
      </c>
      <c r="N8" s="36">
        <f>IFERROR(M8/K8,0)</f>
        <v/>
      </c>
      <c r="O8" s="42">
        <f>'S37'!N8</f>
        <v/>
      </c>
      <c r="P8" s="36">
        <f>N8-O8</f>
        <v/>
      </c>
      <c r="Q8" s="32" t="n"/>
      <c r="R8" s="32" t="n"/>
      <c r="S8" s="32" t="n"/>
      <c r="T8" s="33" t="n"/>
      <c r="U8" s="42">
        <f>'S37'!T8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'S37'!M9+L9</f>
        <v/>
      </c>
      <c r="N9" s="31">
        <f>IFERROR(M9/K9,0)</f>
        <v/>
      </c>
      <c r="O9" s="40">
        <f>'S37'!N9</f>
        <v/>
      </c>
      <c r="P9" s="31">
        <f>N9-O9</f>
        <v/>
      </c>
      <c r="Q9" s="32" t="n"/>
      <c r="R9" s="32" t="n"/>
      <c r="S9" s="32" t="n"/>
      <c r="T9" s="33" t="n"/>
      <c r="U9" s="40">
        <f>'S37'!T9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'S37'!M10+L10</f>
        <v/>
      </c>
      <c r="N10" s="36">
        <f>IFERROR(M10/K10,0)</f>
        <v/>
      </c>
      <c r="O10" s="42">
        <f>'S37'!N10</f>
        <v/>
      </c>
      <c r="P10" s="36">
        <f>N10-O10</f>
        <v/>
      </c>
      <c r="Q10" s="32" t="n"/>
      <c r="R10" s="32" t="n"/>
      <c r="S10" s="32" t="n"/>
      <c r="T10" s="33" t="n"/>
      <c r="U10" s="42">
        <f>'S37'!T10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'S37'!M11+L11</f>
        <v/>
      </c>
      <c r="N11" s="31">
        <f>IFERROR(M11/K11,0)</f>
        <v/>
      </c>
      <c r="O11" s="40">
        <f>'S37'!N11</f>
        <v/>
      </c>
      <c r="P11" s="31">
        <f>N11-O11</f>
        <v/>
      </c>
      <c r="Q11" s="32" t="n"/>
      <c r="R11" s="32" t="n"/>
      <c r="S11" s="32" t="n"/>
      <c r="T11" s="33" t="n"/>
      <c r="U11" s="40">
        <f>'S37'!T11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'S37'!M12+L12</f>
        <v/>
      </c>
      <c r="N12" s="36">
        <f>IFERROR(M12/K12,0)</f>
        <v/>
      </c>
      <c r="O12" s="42">
        <f>'S37'!N12</f>
        <v/>
      </c>
      <c r="P12" s="36">
        <f>N12-O12</f>
        <v/>
      </c>
      <c r="Q12" s="32" t="n"/>
      <c r="R12" s="32" t="n"/>
      <c r="S12" s="32" t="n"/>
      <c r="T12" s="33" t="n"/>
      <c r="U12" s="42">
        <f>'S37'!T12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'S37'!M13+L13</f>
        <v/>
      </c>
      <c r="N13" s="31">
        <f>IFERROR(M13/K13,0)</f>
        <v/>
      </c>
      <c r="O13" s="40">
        <f>'S37'!N13</f>
        <v/>
      </c>
      <c r="P13" s="31">
        <f>N13-O13</f>
        <v/>
      </c>
      <c r="Q13" s="32" t="n"/>
      <c r="R13" s="32" t="n"/>
      <c r="S13" s="32" t="n"/>
      <c r="T13" s="33" t="n"/>
      <c r="U13" s="40">
        <f>'S37'!T13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'S37'!M14+L14</f>
        <v/>
      </c>
      <c r="N14" s="36">
        <f>IFERROR(M14/K14,0)</f>
        <v/>
      </c>
      <c r="O14" s="42">
        <f>'S37'!N14</f>
        <v/>
      </c>
      <c r="P14" s="36">
        <f>N14-O14</f>
        <v/>
      </c>
      <c r="Q14" s="32" t="n"/>
      <c r="R14" s="32" t="n"/>
      <c r="S14" s="32" t="n"/>
      <c r="T14" s="33" t="n"/>
      <c r="U14" s="42">
        <f>'S37'!T14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'S37'!M15+L15</f>
        <v/>
      </c>
      <c r="N15" s="31">
        <f>IFERROR(M15/K15,0)</f>
        <v/>
      </c>
      <c r="O15" s="40">
        <f>'S37'!N15</f>
        <v/>
      </c>
      <c r="P15" s="31">
        <f>N15-O15</f>
        <v/>
      </c>
      <c r="Q15" s="32" t="n"/>
      <c r="R15" s="32" t="n"/>
      <c r="S15" s="32" t="n"/>
      <c r="T15" s="33" t="n"/>
      <c r="U15" s="40">
        <f>'S37'!T15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'S37'!M16+L16</f>
        <v/>
      </c>
      <c r="N16" s="36">
        <f>IFERROR(M16/K16,0)</f>
        <v/>
      </c>
      <c r="O16" s="42">
        <f>'S37'!N16</f>
        <v/>
      </c>
      <c r="P16" s="36">
        <f>N16-O16</f>
        <v/>
      </c>
      <c r="Q16" s="32" t="n"/>
      <c r="R16" s="32" t="n"/>
      <c r="S16" s="32" t="n"/>
      <c r="T16" s="33" t="n"/>
      <c r="U16" s="42">
        <f>'S37'!T16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'S37'!M17+L17</f>
        <v/>
      </c>
      <c r="N17" s="31">
        <f>IFERROR(M17/K17,0)</f>
        <v/>
      </c>
      <c r="O17" s="40">
        <f>'S37'!N17</f>
        <v/>
      </c>
      <c r="P17" s="31">
        <f>N17-O17</f>
        <v/>
      </c>
      <c r="Q17" s="32" t="n"/>
      <c r="R17" s="32" t="n"/>
      <c r="S17" s="32" t="n"/>
      <c r="T17" s="33" t="n"/>
      <c r="U17" s="40">
        <f>'S37'!T17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'S37'!M18+L18</f>
        <v/>
      </c>
      <c r="N18" s="36">
        <f>IFERROR(M18/K18,0)</f>
        <v/>
      </c>
      <c r="O18" s="42">
        <f>'S37'!N18</f>
        <v/>
      </c>
      <c r="P18" s="36">
        <f>N18-O18</f>
        <v/>
      </c>
      <c r="Q18" s="32" t="n"/>
      <c r="R18" s="32" t="n"/>
      <c r="S18" s="32" t="n"/>
      <c r="T18" s="33" t="n"/>
      <c r="U18" s="42">
        <f>'S37'!T18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'S37'!M19+L19</f>
        <v/>
      </c>
      <c r="N19" s="31">
        <f>IFERROR(M19/K19,0)</f>
        <v/>
      </c>
      <c r="O19" s="40">
        <f>'S37'!N19</f>
        <v/>
      </c>
      <c r="P19" s="31">
        <f>N19-O19</f>
        <v/>
      </c>
      <c r="Q19" s="32" t="n"/>
      <c r="R19" s="32" t="n"/>
      <c r="S19" s="32" t="n"/>
      <c r="T19" s="33" t="n"/>
      <c r="U19" s="40">
        <f>'S37'!T19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'S37'!M20+L20</f>
        <v/>
      </c>
      <c r="N20" s="36">
        <f>IFERROR(M20/K20,0)</f>
        <v/>
      </c>
      <c r="O20" s="42">
        <f>'S37'!N20</f>
        <v/>
      </c>
      <c r="P20" s="36">
        <f>N20-O20</f>
        <v/>
      </c>
      <c r="Q20" s="32" t="n"/>
      <c r="R20" s="32" t="n"/>
      <c r="S20" s="32" t="n"/>
      <c r="T20" s="33" t="n"/>
      <c r="U20" s="42">
        <f>'S37'!T20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'S37'!M21+L21</f>
        <v/>
      </c>
      <c r="N21" s="31">
        <f>IFERROR(M21/K21,0)</f>
        <v/>
      </c>
      <c r="O21" s="40">
        <f>'S37'!N21</f>
        <v/>
      </c>
      <c r="P21" s="31">
        <f>N21-O21</f>
        <v/>
      </c>
      <c r="Q21" s="32" t="n"/>
      <c r="R21" s="32" t="n"/>
      <c r="S21" s="32" t="n"/>
      <c r="T21" s="33" t="n"/>
      <c r="U21" s="40">
        <f>'S37'!T21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'S37'!M22+L22</f>
        <v/>
      </c>
      <c r="N22" s="36">
        <f>IFERROR(M22/K22,0)</f>
        <v/>
      </c>
      <c r="O22" s="42">
        <f>'S37'!N22</f>
        <v/>
      </c>
      <c r="P22" s="36">
        <f>N22-O22</f>
        <v/>
      </c>
      <c r="Q22" s="32" t="n"/>
      <c r="R22" s="32" t="n"/>
      <c r="S22" s="32" t="n"/>
      <c r="T22" s="33" t="n"/>
      <c r="U22" s="42">
        <f>'S37'!T22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'S37'!M23+L23</f>
        <v/>
      </c>
      <c r="N23" s="31">
        <f>IFERROR(M23/K23,0)</f>
        <v/>
      </c>
      <c r="O23" s="40">
        <f>'S37'!N23</f>
        <v/>
      </c>
      <c r="P23" s="31">
        <f>N23-O23</f>
        <v/>
      </c>
      <c r="Q23" s="32" t="n"/>
      <c r="R23" s="32" t="n"/>
      <c r="S23" s="32" t="n"/>
      <c r="T23" s="33" t="n"/>
      <c r="U23" s="40">
        <f>'S37'!T23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'S37'!M24+L24</f>
        <v/>
      </c>
      <c r="N24" s="36">
        <f>IFERROR(M24/K24,0)</f>
        <v/>
      </c>
      <c r="O24" s="42">
        <f>'S37'!N24</f>
        <v/>
      </c>
      <c r="P24" s="36">
        <f>N24-O24</f>
        <v/>
      </c>
      <c r="Q24" s="32" t="n"/>
      <c r="R24" s="32" t="n"/>
      <c r="S24" s="32" t="n"/>
      <c r="T24" s="33" t="n"/>
      <c r="U24" s="42">
        <f>'S37'!T24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'S37'!M25+L25</f>
        <v/>
      </c>
      <c r="N25" s="31">
        <f>IFERROR(M25/K25,0)</f>
        <v/>
      </c>
      <c r="O25" s="40">
        <f>'S37'!N25</f>
        <v/>
      </c>
      <c r="P25" s="31">
        <f>N25-O25</f>
        <v/>
      </c>
      <c r="Q25" s="32" t="n"/>
      <c r="R25" s="32" t="n"/>
      <c r="S25" s="32" t="n"/>
      <c r="T25" s="33" t="n"/>
      <c r="U25" s="40">
        <f>'S37'!T25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'S37'!M26+L26</f>
        <v/>
      </c>
      <c r="N26" s="36">
        <f>IFERROR(M26/K26,0)</f>
        <v/>
      </c>
      <c r="O26" s="42">
        <f>'S37'!N26</f>
        <v/>
      </c>
      <c r="P26" s="36">
        <f>N26-O26</f>
        <v/>
      </c>
      <c r="Q26" s="32" t="n"/>
      <c r="R26" s="32" t="n"/>
      <c r="S26" s="32" t="n"/>
      <c r="T26" s="33" t="n"/>
      <c r="U26" s="42">
        <f>'S37'!T26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'S37'!M27+L27</f>
        <v/>
      </c>
      <c r="N27" s="31">
        <f>IFERROR(M27/K27,0)</f>
        <v/>
      </c>
      <c r="O27" s="40">
        <f>'S37'!N27</f>
        <v/>
      </c>
      <c r="P27" s="31">
        <f>N27-O27</f>
        <v/>
      </c>
      <c r="Q27" s="32" t="n"/>
      <c r="R27" s="32" t="n"/>
      <c r="S27" s="32" t="n"/>
      <c r="T27" s="33" t="n"/>
      <c r="U27" s="40">
        <f>'S37'!T27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'S37'!M28+L28</f>
        <v/>
      </c>
      <c r="N28" s="36">
        <f>IFERROR(M28/K28,0)</f>
        <v/>
      </c>
      <c r="O28" s="42">
        <f>'S37'!N28</f>
        <v/>
      </c>
      <c r="P28" s="36">
        <f>N28-O28</f>
        <v/>
      </c>
      <c r="Q28" s="32" t="n"/>
      <c r="R28" s="32" t="n"/>
      <c r="S28" s="32" t="n"/>
      <c r="T28" s="33" t="n"/>
      <c r="U28" s="42">
        <f>'S37'!T28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'S37'!M29+L29</f>
        <v/>
      </c>
      <c r="N29" s="31">
        <f>IFERROR(M29/K29,0)</f>
        <v/>
      </c>
      <c r="O29" s="40">
        <f>'S37'!N29</f>
        <v/>
      </c>
      <c r="P29" s="31">
        <f>N29-O29</f>
        <v/>
      </c>
      <c r="Q29" s="32" t="n"/>
      <c r="R29" s="32" t="n"/>
      <c r="S29" s="32" t="n"/>
      <c r="T29" s="33" t="n"/>
      <c r="U29" s="40">
        <f>'S37'!T29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'S37'!M30+L30</f>
        <v/>
      </c>
      <c r="N30" s="36">
        <f>IFERROR(M30/K30,0)</f>
        <v/>
      </c>
      <c r="O30" s="42">
        <f>'S37'!N30</f>
        <v/>
      </c>
      <c r="P30" s="36">
        <f>N30-O30</f>
        <v/>
      </c>
      <c r="Q30" s="32" t="n"/>
      <c r="R30" s="32" t="n"/>
      <c r="S30" s="32" t="n"/>
      <c r="T30" s="33" t="n"/>
      <c r="U30" s="42">
        <f>'S37'!T30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'S37'!M31+L31</f>
        <v/>
      </c>
      <c r="N31" s="31">
        <f>IFERROR(M31/K31,0)</f>
        <v/>
      </c>
      <c r="O31" s="40">
        <f>'S37'!N31</f>
        <v/>
      </c>
      <c r="P31" s="31">
        <f>N31-O31</f>
        <v/>
      </c>
      <c r="Q31" s="32" t="n"/>
      <c r="R31" s="32" t="n"/>
      <c r="S31" s="32" t="n"/>
      <c r="T31" s="33" t="n"/>
      <c r="U31" s="40">
        <f>'S37'!T31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'S37'!M32+L32</f>
        <v/>
      </c>
      <c r="N32" s="36">
        <f>IFERROR(M32/K32,0)</f>
        <v/>
      </c>
      <c r="O32" s="42">
        <f>'S37'!N32</f>
        <v/>
      </c>
      <c r="P32" s="36">
        <f>N32-O32</f>
        <v/>
      </c>
      <c r="Q32" s="32" t="n"/>
      <c r="R32" s="32" t="n"/>
      <c r="S32" s="32" t="n"/>
      <c r="T32" s="33" t="n"/>
      <c r="U32" s="42">
        <f>'S37'!T32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'S37'!M33+L33</f>
        <v/>
      </c>
      <c r="N33" s="31">
        <f>IFERROR(M33/K33,0)</f>
        <v/>
      </c>
      <c r="O33" s="40">
        <f>'S37'!N33</f>
        <v/>
      </c>
      <c r="P33" s="31">
        <f>N33-O33</f>
        <v/>
      </c>
      <c r="Q33" s="32" t="n"/>
      <c r="R33" s="32" t="n"/>
      <c r="S33" s="32" t="n"/>
      <c r="T33" s="33" t="n"/>
      <c r="U33" s="40">
        <f>'S37'!T33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'S37'!M34+L34</f>
        <v/>
      </c>
      <c r="N34" s="36">
        <f>IFERROR(M34/K34,0)</f>
        <v/>
      </c>
      <c r="O34" s="42">
        <f>'S37'!N34</f>
        <v/>
      </c>
      <c r="P34" s="36">
        <f>N34-O34</f>
        <v/>
      </c>
      <c r="Q34" s="32" t="n"/>
      <c r="R34" s="32" t="n"/>
      <c r="S34" s="32" t="n"/>
      <c r="T34" s="33" t="n"/>
      <c r="U34" s="42">
        <f>'S37'!T34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'S37'!M35+L35</f>
        <v/>
      </c>
      <c r="N35" s="31">
        <f>IFERROR(M35/K35,0)</f>
        <v/>
      </c>
      <c r="O35" s="40">
        <f>'S37'!N35</f>
        <v/>
      </c>
      <c r="P35" s="31">
        <f>N35-O35</f>
        <v/>
      </c>
      <c r="Q35" s="32" t="n"/>
      <c r="R35" s="32" t="n"/>
      <c r="S35" s="32" t="n"/>
      <c r="T35" s="33" t="n"/>
      <c r="U35" s="40">
        <f>'S37'!T35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'S37'!M36+L36</f>
        <v/>
      </c>
      <c r="N36" s="36">
        <f>IFERROR(M36/K36,0)</f>
        <v/>
      </c>
      <c r="O36" s="42">
        <f>'S37'!N36</f>
        <v/>
      </c>
      <c r="P36" s="36">
        <f>N36-O36</f>
        <v/>
      </c>
      <c r="Q36" s="32" t="n"/>
      <c r="R36" s="32" t="n"/>
      <c r="S36" s="32" t="n"/>
      <c r="T36" s="33" t="n"/>
      <c r="U36" s="42">
        <f>'S37'!T36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'S37'!M37+L37</f>
        <v/>
      </c>
      <c r="N37" s="31">
        <f>IFERROR(M37/K37,0)</f>
        <v/>
      </c>
      <c r="O37" s="40">
        <f>'S37'!N37</f>
        <v/>
      </c>
      <c r="P37" s="31">
        <f>N37-O37</f>
        <v/>
      </c>
      <c r="Q37" s="32" t="n"/>
      <c r="R37" s="32" t="n"/>
      <c r="S37" s="32" t="n"/>
      <c r="T37" s="33" t="n"/>
      <c r="U37" s="40">
        <f>'S37'!T37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'S37'!M38+L38</f>
        <v/>
      </c>
      <c r="N38" s="36">
        <f>IFERROR(M38/K38,0)</f>
        <v/>
      </c>
      <c r="O38" s="42">
        <f>'S37'!N38</f>
        <v/>
      </c>
      <c r="P38" s="36">
        <f>N38-O38</f>
        <v/>
      </c>
      <c r="Q38" s="32" t="n"/>
      <c r="R38" s="32" t="n"/>
      <c r="S38" s="32" t="n"/>
      <c r="T38" s="33" t="n"/>
      <c r="U38" s="42">
        <f>'S37'!T38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'S37'!M39+L39</f>
        <v/>
      </c>
      <c r="N39" s="31">
        <f>IFERROR(M39/K39,0)</f>
        <v/>
      </c>
      <c r="O39" s="40">
        <f>'S37'!N39</f>
        <v/>
      </c>
      <c r="P39" s="31">
        <f>N39-O39</f>
        <v/>
      </c>
      <c r="Q39" s="32" t="n"/>
      <c r="R39" s="32" t="n"/>
      <c r="S39" s="32" t="n"/>
      <c r="T39" s="33" t="n"/>
      <c r="U39" s="40">
        <f>'S37'!T39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'S37'!M40+L40</f>
        <v/>
      </c>
      <c r="N40" s="36">
        <f>IFERROR(M40/K40,0)</f>
        <v/>
      </c>
      <c r="O40" s="42">
        <f>'S37'!N40</f>
        <v/>
      </c>
      <c r="P40" s="36">
        <f>N40-O40</f>
        <v/>
      </c>
      <c r="Q40" s="32" t="n"/>
      <c r="R40" s="32" t="n"/>
      <c r="S40" s="32" t="n"/>
      <c r="T40" s="33" t="n"/>
      <c r="U40" s="42">
        <f>'S37'!T40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'S37'!M41+L41</f>
        <v/>
      </c>
      <c r="N41" s="31">
        <f>IFERROR(M41/K41,0)</f>
        <v/>
      </c>
      <c r="O41" s="40">
        <f>'S37'!N41</f>
        <v/>
      </c>
      <c r="P41" s="31">
        <f>N41-O41</f>
        <v/>
      </c>
      <c r="Q41" s="32" t="n"/>
      <c r="R41" s="32" t="n"/>
      <c r="S41" s="32" t="n"/>
      <c r="T41" s="33" t="n"/>
      <c r="U41" s="40">
        <f>'S37'!T41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'S37'!M42+L42</f>
        <v/>
      </c>
      <c r="N42" s="36">
        <f>IFERROR(M42/K42,0)</f>
        <v/>
      </c>
      <c r="O42" s="42">
        <f>'S37'!N42</f>
        <v/>
      </c>
      <c r="P42" s="36">
        <f>N42-O42</f>
        <v/>
      </c>
      <c r="Q42" s="32" t="n"/>
      <c r="R42" s="32" t="n"/>
      <c r="S42" s="32" t="n"/>
      <c r="T42" s="33" t="n"/>
      <c r="U42" s="42">
        <f>'S37'!T42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'S37'!M43+L43</f>
        <v/>
      </c>
      <c r="N43" s="31">
        <f>IFERROR(M43/K43,0)</f>
        <v/>
      </c>
      <c r="O43" s="40">
        <f>'S37'!N43</f>
        <v/>
      </c>
      <c r="P43" s="31">
        <f>N43-O43</f>
        <v/>
      </c>
      <c r="Q43" s="32" t="n"/>
      <c r="R43" s="32" t="n"/>
      <c r="S43" s="32" t="n"/>
      <c r="T43" s="33" t="n"/>
      <c r="U43" s="40">
        <f>'S37'!T43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'S37'!M44+L44</f>
        <v/>
      </c>
      <c r="N44" s="36">
        <f>IFERROR(M44/K44,0)</f>
        <v/>
      </c>
      <c r="O44" s="42">
        <f>'S37'!N44</f>
        <v/>
      </c>
      <c r="P44" s="36">
        <f>N44-O44</f>
        <v/>
      </c>
      <c r="Q44" s="32" t="n"/>
      <c r="R44" s="32" t="n"/>
      <c r="S44" s="32" t="n"/>
      <c r="T44" s="33" t="n"/>
      <c r="U44" s="42">
        <f>'S37'!T44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'S37'!M45+L45</f>
        <v/>
      </c>
      <c r="N45" s="31">
        <f>IFERROR(M45/K45,0)</f>
        <v/>
      </c>
      <c r="O45" s="40">
        <f>'S37'!N45</f>
        <v/>
      </c>
      <c r="P45" s="31">
        <f>N45-O45</f>
        <v/>
      </c>
      <c r="Q45" s="32" t="n"/>
      <c r="R45" s="32" t="n"/>
      <c r="S45" s="32" t="n"/>
      <c r="T45" s="33" t="n"/>
      <c r="U45" s="40">
        <f>'S37'!T45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'S37'!M46+L46</f>
        <v/>
      </c>
      <c r="N46" s="36">
        <f>IFERROR(M46/K46,0)</f>
        <v/>
      </c>
      <c r="O46" s="42">
        <f>'S37'!N46</f>
        <v/>
      </c>
      <c r="P46" s="36">
        <f>N46-O46</f>
        <v/>
      </c>
      <c r="Q46" s="32" t="n"/>
      <c r="R46" s="32" t="n"/>
      <c r="S46" s="32" t="n"/>
      <c r="T46" s="33" t="n"/>
      <c r="U46" s="42">
        <f>'S37'!T46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'S37'!M47+L47</f>
        <v/>
      </c>
      <c r="N47" s="31">
        <f>IFERROR(M47/K47,0)</f>
        <v/>
      </c>
      <c r="O47" s="40">
        <f>'S37'!N47</f>
        <v/>
      </c>
      <c r="P47" s="31">
        <f>N47-O47</f>
        <v/>
      </c>
      <c r="Q47" s="32" t="n"/>
      <c r="R47" s="32" t="n"/>
      <c r="S47" s="32" t="n"/>
      <c r="T47" s="33" t="n"/>
      <c r="U47" s="40">
        <f>'S37'!T47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'S37'!M48+L48</f>
        <v/>
      </c>
      <c r="N48" s="36">
        <f>IFERROR(M48/K48,0)</f>
        <v/>
      </c>
      <c r="O48" s="42">
        <f>'S37'!N48</f>
        <v/>
      </c>
      <c r="P48" s="36">
        <f>N48-O48</f>
        <v/>
      </c>
      <c r="Q48" s="32" t="n"/>
      <c r="R48" s="32" t="n"/>
      <c r="S48" s="32" t="n"/>
      <c r="T48" s="33" t="n"/>
      <c r="U48" s="42">
        <f>'S37'!T48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'S37'!M49+L49</f>
        <v/>
      </c>
      <c r="N49" s="31">
        <f>IFERROR(M49/K49,0)</f>
        <v/>
      </c>
      <c r="O49" s="40">
        <f>'S37'!N49</f>
        <v/>
      </c>
      <c r="P49" s="31">
        <f>N49-O49</f>
        <v/>
      </c>
      <c r="Q49" s="32" t="n"/>
      <c r="R49" s="32" t="n"/>
      <c r="S49" s="32" t="n"/>
      <c r="T49" s="33" t="n"/>
      <c r="U49" s="40">
        <f>'S37'!T49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'S37'!M50+L50</f>
        <v/>
      </c>
      <c r="N50" s="36">
        <f>IFERROR(M50/K50,0)</f>
        <v/>
      </c>
      <c r="O50" s="42">
        <f>'S37'!N50</f>
        <v/>
      </c>
      <c r="P50" s="36">
        <f>N50-O50</f>
        <v/>
      </c>
      <c r="Q50" s="32" t="n"/>
      <c r="R50" s="32" t="n"/>
      <c r="S50" s="32" t="n"/>
      <c r="T50" s="33" t="n"/>
      <c r="U50" s="42">
        <f>'S37'!T50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'S37'!M51+L51</f>
        <v/>
      </c>
      <c r="N51" s="31">
        <f>IFERROR(M51/K51,0)</f>
        <v/>
      </c>
      <c r="O51" s="40">
        <f>'S37'!N51</f>
        <v/>
      </c>
      <c r="P51" s="31">
        <f>N51-O51</f>
        <v/>
      </c>
      <c r="Q51" s="32" t="n"/>
      <c r="R51" s="32" t="n"/>
      <c r="S51" s="32" t="n"/>
      <c r="T51" s="33" t="n"/>
      <c r="U51" s="40">
        <f>'S37'!T51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'S37'!M52+L52</f>
        <v/>
      </c>
      <c r="N52" s="36">
        <f>IFERROR(M52/K52,0)</f>
        <v/>
      </c>
      <c r="O52" s="42">
        <f>'S37'!N52</f>
        <v/>
      </c>
      <c r="P52" s="36">
        <f>N52-O52</f>
        <v/>
      </c>
      <c r="Q52" s="32" t="n"/>
      <c r="R52" s="32" t="n"/>
      <c r="S52" s="32" t="n"/>
      <c r="T52" s="33" t="n"/>
      <c r="U52" s="42">
        <f>'S37'!T52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'S37'!M53+L53</f>
        <v/>
      </c>
      <c r="N53" s="31">
        <f>IFERROR(M53/K53,0)</f>
        <v/>
      </c>
      <c r="O53" s="40">
        <f>'S37'!N53</f>
        <v/>
      </c>
      <c r="P53" s="31">
        <f>N53-O53</f>
        <v/>
      </c>
      <c r="Q53" s="32" t="n"/>
      <c r="R53" s="32" t="n"/>
      <c r="S53" s="32" t="n"/>
      <c r="T53" s="33" t="n"/>
      <c r="U53" s="40">
        <f>'S37'!T53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'S37'!M54+L54</f>
        <v/>
      </c>
      <c r="N54" s="36">
        <f>IFERROR(M54/K54,0)</f>
        <v/>
      </c>
      <c r="O54" s="42">
        <f>'S37'!N54</f>
        <v/>
      </c>
      <c r="P54" s="36">
        <f>N54-O54</f>
        <v/>
      </c>
      <c r="Q54" s="32" t="n"/>
      <c r="R54" s="32" t="n"/>
      <c r="S54" s="32" t="n"/>
      <c r="T54" s="33" t="n"/>
      <c r="U54" s="42">
        <f>'S37'!T54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'S37'!M55+L55</f>
        <v/>
      </c>
      <c r="N55" s="31">
        <f>IFERROR(M55/K55,0)</f>
        <v/>
      </c>
      <c r="O55" s="40">
        <f>'S37'!N55</f>
        <v/>
      </c>
      <c r="P55" s="31">
        <f>N55-O55</f>
        <v/>
      </c>
      <c r="Q55" s="32" t="n"/>
      <c r="R55" s="32" t="n"/>
      <c r="S55" s="32" t="n"/>
      <c r="T55" s="33" t="n"/>
      <c r="U55" s="40">
        <f>'S37'!T55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'S37'!M56+L56</f>
        <v/>
      </c>
      <c r="N56" s="36">
        <f>IFERROR(M56/K56,0)</f>
        <v/>
      </c>
      <c r="O56" s="42">
        <f>'S37'!N56</f>
        <v/>
      </c>
      <c r="P56" s="36">
        <f>N56-O56</f>
        <v/>
      </c>
      <c r="Q56" s="32" t="n"/>
      <c r="R56" s="32" t="n"/>
      <c r="S56" s="32" t="n"/>
      <c r="T56" s="33" t="n"/>
      <c r="U56" s="42">
        <f>'S37'!T56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'S37'!M57+L57</f>
        <v/>
      </c>
      <c r="N57" s="31">
        <f>IFERROR(M57/K57,0)</f>
        <v/>
      </c>
      <c r="O57" s="40">
        <f>'S37'!N57</f>
        <v/>
      </c>
      <c r="P57" s="31">
        <f>N57-O57</f>
        <v/>
      </c>
      <c r="Q57" s="32" t="n"/>
      <c r="R57" s="32" t="n"/>
      <c r="S57" s="32" t="n"/>
      <c r="T57" s="33" t="n"/>
      <c r="U57" s="40">
        <f>'S37'!T57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'S37'!M58+L58</f>
        <v/>
      </c>
      <c r="N58" s="36">
        <f>IFERROR(M58/K58,0)</f>
        <v/>
      </c>
      <c r="O58" s="42">
        <f>'S37'!N58</f>
        <v/>
      </c>
      <c r="P58" s="36">
        <f>N58-O58</f>
        <v/>
      </c>
      <c r="Q58" s="32" t="n"/>
      <c r="R58" s="32" t="n"/>
      <c r="S58" s="32" t="n"/>
      <c r="T58" s="33" t="n"/>
      <c r="U58" s="42">
        <f>'S37'!T58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'S37'!M59+L59</f>
        <v/>
      </c>
      <c r="N59" s="31">
        <f>IFERROR(M59/K59,0)</f>
        <v/>
      </c>
      <c r="O59" s="40">
        <f>'S37'!N59</f>
        <v/>
      </c>
      <c r="P59" s="31">
        <f>N59-O59</f>
        <v/>
      </c>
      <c r="Q59" s="32" t="n"/>
      <c r="R59" s="32" t="n"/>
      <c r="S59" s="32" t="n"/>
      <c r="T59" s="33" t="n"/>
      <c r="U59" s="40">
        <f>'S37'!T59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'S37'!M60+L60</f>
        <v/>
      </c>
      <c r="N60" s="36">
        <f>IFERROR(M60/K60,0)</f>
        <v/>
      </c>
      <c r="O60" s="42">
        <f>'S37'!N60</f>
        <v/>
      </c>
      <c r="P60" s="36">
        <f>N60-O60</f>
        <v/>
      </c>
      <c r="Q60" s="32" t="n"/>
      <c r="R60" s="32" t="n"/>
      <c r="S60" s="32" t="n"/>
      <c r="T60" s="33" t="n"/>
      <c r="U60" s="42">
        <f>'S37'!T60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'S37'!M61+L61</f>
        <v/>
      </c>
      <c r="N61" s="31">
        <f>IFERROR(M61/K61,0)</f>
        <v/>
      </c>
      <c r="O61" s="40">
        <f>'S37'!N61</f>
        <v/>
      </c>
      <c r="P61" s="31">
        <f>N61-O61</f>
        <v/>
      </c>
      <c r="Q61" s="32" t="n"/>
      <c r="R61" s="32" t="n"/>
      <c r="S61" s="32" t="n"/>
      <c r="T61" s="33" t="n"/>
      <c r="U61" s="40">
        <f>'S37'!T61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'S37'!M62+L62</f>
        <v/>
      </c>
      <c r="N62" s="36">
        <f>IFERROR(M62/K62,0)</f>
        <v/>
      </c>
      <c r="O62" s="42">
        <f>'S37'!N62</f>
        <v/>
      </c>
      <c r="P62" s="36">
        <f>N62-O62</f>
        <v/>
      </c>
      <c r="Q62" s="32" t="n"/>
      <c r="R62" s="32" t="n"/>
      <c r="S62" s="32" t="n"/>
      <c r="T62" s="33" t="n"/>
      <c r="U62" s="42">
        <f>'S37'!T62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'S37'!M63+L63</f>
        <v/>
      </c>
      <c r="N63" s="31">
        <f>IFERROR(M63/K63,0)</f>
        <v/>
      </c>
      <c r="O63" s="40">
        <f>'S37'!N63</f>
        <v/>
      </c>
      <c r="P63" s="31">
        <f>N63-O63</f>
        <v/>
      </c>
      <c r="Q63" s="32" t="n"/>
      <c r="R63" s="32" t="n"/>
      <c r="S63" s="32" t="n"/>
      <c r="T63" s="33" t="n"/>
      <c r="U63" s="40">
        <f>'S37'!T63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'S37'!M64+L64</f>
        <v/>
      </c>
      <c r="N64" s="36">
        <f>IFERROR(M64/K64,0)</f>
        <v/>
      </c>
      <c r="O64" s="42">
        <f>'S37'!N64</f>
        <v/>
      </c>
      <c r="P64" s="36">
        <f>N64-O64</f>
        <v/>
      </c>
      <c r="Q64" s="32" t="n"/>
      <c r="R64" s="32" t="n"/>
      <c r="S64" s="32" t="n"/>
      <c r="T64" s="33" t="n"/>
      <c r="U64" s="42">
        <f>'S37'!T64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'S37'!M65+L65</f>
        <v/>
      </c>
      <c r="N65" s="31">
        <f>IFERROR(M65/K65,0)</f>
        <v/>
      </c>
      <c r="O65" s="40">
        <f>'S37'!N65</f>
        <v/>
      </c>
      <c r="P65" s="31">
        <f>N65-O65</f>
        <v/>
      </c>
      <c r="Q65" s="32" t="n"/>
      <c r="R65" s="32" t="n"/>
      <c r="S65" s="32" t="n"/>
      <c r="T65" s="33" t="n"/>
      <c r="U65" s="40">
        <f>'S37'!T65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'S37'!M66+L66</f>
        <v/>
      </c>
      <c r="N66" s="36">
        <f>IFERROR(M66/K66,0)</f>
        <v/>
      </c>
      <c r="O66" s="42">
        <f>'S37'!N66</f>
        <v/>
      </c>
      <c r="P66" s="36">
        <f>N66-O66</f>
        <v/>
      </c>
      <c r="Q66" s="32" t="n"/>
      <c r="R66" s="32" t="n"/>
      <c r="S66" s="32" t="n"/>
      <c r="T66" s="33" t="n"/>
      <c r="U66" s="42">
        <f>'S37'!T66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'S37'!M67+L67</f>
        <v/>
      </c>
      <c r="N67" s="31">
        <f>IFERROR(M67/K67,0)</f>
        <v/>
      </c>
      <c r="O67" s="40">
        <f>'S37'!N67</f>
        <v/>
      </c>
      <c r="P67" s="31">
        <f>N67-O67</f>
        <v/>
      </c>
      <c r="Q67" s="32" t="n"/>
      <c r="R67" s="32" t="n"/>
      <c r="S67" s="32" t="n"/>
      <c r="T67" s="33" t="n"/>
      <c r="U67" s="40">
        <f>'S37'!T67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'S37'!M68+L68</f>
        <v/>
      </c>
      <c r="N68" s="36">
        <f>IFERROR(M68/K68,0)</f>
        <v/>
      </c>
      <c r="O68" s="42">
        <f>'S37'!N68</f>
        <v/>
      </c>
      <c r="P68" s="36">
        <f>N68-O68</f>
        <v/>
      </c>
      <c r="Q68" s="32" t="n"/>
      <c r="R68" s="32" t="n"/>
      <c r="S68" s="32" t="n"/>
      <c r="T68" s="33" t="n"/>
      <c r="U68" s="42">
        <f>'S37'!T68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'S37'!M69+L69</f>
        <v/>
      </c>
      <c r="N69" s="31">
        <f>IFERROR(M69/K69,0)</f>
        <v/>
      </c>
      <c r="O69" s="40">
        <f>'S37'!N69</f>
        <v/>
      </c>
      <c r="P69" s="31">
        <f>N69-O69</f>
        <v/>
      </c>
      <c r="Q69" s="32" t="n"/>
      <c r="R69" s="32" t="n"/>
      <c r="S69" s="32" t="n"/>
      <c r="T69" s="33" t="n"/>
      <c r="U69" s="40">
        <f>'S37'!T69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'S37'!M70+L70</f>
        <v/>
      </c>
      <c r="N70" s="36">
        <f>IFERROR(M70/K70,0)</f>
        <v/>
      </c>
      <c r="O70" s="42">
        <f>'S37'!N70</f>
        <v/>
      </c>
      <c r="P70" s="36">
        <f>N70-O70</f>
        <v/>
      </c>
      <c r="Q70" s="32" t="n"/>
      <c r="R70" s="32" t="n"/>
      <c r="S70" s="32" t="n"/>
      <c r="T70" s="33" t="n"/>
      <c r="U70" s="42">
        <f>'S37'!T70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'S37'!M71+L71</f>
        <v/>
      </c>
      <c r="N71" s="31">
        <f>IFERROR(M71/K71,0)</f>
        <v/>
      </c>
      <c r="O71" s="40">
        <f>'S37'!N71</f>
        <v/>
      </c>
      <c r="P71" s="31">
        <f>N71-O71</f>
        <v/>
      </c>
      <c r="Q71" s="32" t="n"/>
      <c r="R71" s="32" t="n"/>
      <c r="S71" s="32" t="n"/>
      <c r="T71" s="33" t="n"/>
      <c r="U71" s="40">
        <f>'S37'!T71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'S37'!M72+L72</f>
        <v/>
      </c>
      <c r="N72" s="36">
        <f>IFERROR(M72/K72,0)</f>
        <v/>
      </c>
      <c r="O72" s="42">
        <f>'S37'!N72</f>
        <v/>
      </c>
      <c r="P72" s="36">
        <f>N72-O72</f>
        <v/>
      </c>
      <c r="Q72" s="32" t="n"/>
      <c r="R72" s="32" t="n"/>
      <c r="S72" s="32" t="n"/>
      <c r="T72" s="33" t="n"/>
      <c r="U72" s="42">
        <f>'S37'!T72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'S37'!M73+L73</f>
        <v/>
      </c>
      <c r="N73" s="31">
        <f>IFERROR(M73/K73,0)</f>
        <v/>
      </c>
      <c r="O73" s="40">
        <f>'S37'!N73</f>
        <v/>
      </c>
      <c r="P73" s="31">
        <f>N73-O73</f>
        <v/>
      </c>
      <c r="Q73" s="32" t="n"/>
      <c r="R73" s="32" t="n"/>
      <c r="S73" s="32" t="n"/>
      <c r="T73" s="33" t="n"/>
      <c r="U73" s="40">
        <f>'S37'!T73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'S37'!M74+L74</f>
        <v/>
      </c>
      <c r="N74" s="36">
        <f>IFERROR(M74/K74,0)</f>
        <v/>
      </c>
      <c r="O74" s="42">
        <f>'S37'!N74</f>
        <v/>
      </c>
      <c r="P74" s="36">
        <f>N74-O74</f>
        <v/>
      </c>
      <c r="Q74" s="32" t="n"/>
      <c r="R74" s="32" t="n"/>
      <c r="S74" s="32" t="n"/>
      <c r="T74" s="33" t="n"/>
      <c r="U74" s="42">
        <f>'S37'!T74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'S37'!M75+L75</f>
        <v/>
      </c>
      <c r="N75" s="31">
        <f>IFERROR(M75/K75,0)</f>
        <v/>
      </c>
      <c r="O75" s="40">
        <f>'S37'!N75</f>
        <v/>
      </c>
      <c r="P75" s="31">
        <f>N75-O75</f>
        <v/>
      </c>
      <c r="Q75" s="32" t="n"/>
      <c r="R75" s="32" t="n"/>
      <c r="S75" s="32" t="n"/>
      <c r="T75" s="33" t="n"/>
      <c r="U75" s="40">
        <f>'S37'!T75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'S37'!M76+L76</f>
        <v/>
      </c>
      <c r="N76" s="36">
        <f>IFERROR(M76/K76,0)</f>
        <v/>
      </c>
      <c r="O76" s="42">
        <f>'S37'!N76</f>
        <v/>
      </c>
      <c r="P76" s="36">
        <f>N76-O76</f>
        <v/>
      </c>
      <c r="Q76" s="32" t="n"/>
      <c r="R76" s="32" t="n"/>
      <c r="S76" s="32" t="n"/>
      <c r="T76" s="33" t="n"/>
      <c r="U76" s="42">
        <f>'S37'!T76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41.xml><?xml version="1.0" encoding="utf-8"?>
<worksheet xmlns="http://schemas.openxmlformats.org/spreadsheetml/2006/main">
  <sheetPr>
    <tabColor rgb="00C0000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39 (21/09 - 27/09) — Septembre 2026 - Exécution Physique et Financière</t>
        </is>
      </c>
    </row>
    <row r="3" ht="22" customHeight="1">
      <c r="B3" s="20" t="inlineStr">
        <is>
          <t>Date :</t>
        </is>
      </c>
      <c r="C3" s="21" t="n">
        <v>46286</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'S38'!M5+L5</f>
        <v/>
      </c>
      <c r="N5" s="31">
        <f>IFERROR(M5/K5,0)</f>
        <v/>
      </c>
      <c r="O5" s="40">
        <f>'S38'!N5</f>
        <v/>
      </c>
      <c r="P5" s="31">
        <f>N5-O5</f>
        <v/>
      </c>
      <c r="Q5" s="32" t="n"/>
      <c r="R5" s="32" t="n"/>
      <c r="S5" s="32" t="n"/>
      <c r="T5" s="33" t="n"/>
      <c r="U5" s="40">
        <f>'S38'!T5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'S38'!M6+L6</f>
        <v/>
      </c>
      <c r="N6" s="36">
        <f>IFERROR(M6/K6,0)</f>
        <v/>
      </c>
      <c r="O6" s="42">
        <f>'S38'!N6</f>
        <v/>
      </c>
      <c r="P6" s="36">
        <f>N6-O6</f>
        <v/>
      </c>
      <c r="Q6" s="32" t="n"/>
      <c r="R6" s="32" t="n"/>
      <c r="S6" s="32" t="n"/>
      <c r="T6" s="33" t="n"/>
      <c r="U6" s="42">
        <f>'S38'!T6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'S38'!M7+L7</f>
        <v/>
      </c>
      <c r="N7" s="31">
        <f>IFERROR(M7/K7,0)</f>
        <v/>
      </c>
      <c r="O7" s="40">
        <f>'S38'!N7</f>
        <v/>
      </c>
      <c r="P7" s="31">
        <f>N7-O7</f>
        <v/>
      </c>
      <c r="Q7" s="32" t="n"/>
      <c r="R7" s="32" t="n"/>
      <c r="S7" s="32" t="n"/>
      <c r="T7" s="33" t="n"/>
      <c r="U7" s="40">
        <f>'S38'!T7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'S38'!M8+L8</f>
        <v/>
      </c>
      <c r="N8" s="36">
        <f>IFERROR(M8/K8,0)</f>
        <v/>
      </c>
      <c r="O8" s="42">
        <f>'S38'!N8</f>
        <v/>
      </c>
      <c r="P8" s="36">
        <f>N8-O8</f>
        <v/>
      </c>
      <c r="Q8" s="32" t="n"/>
      <c r="R8" s="32" t="n"/>
      <c r="S8" s="32" t="n"/>
      <c r="T8" s="33" t="n"/>
      <c r="U8" s="42">
        <f>'S38'!T8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'S38'!M9+L9</f>
        <v/>
      </c>
      <c r="N9" s="31">
        <f>IFERROR(M9/K9,0)</f>
        <v/>
      </c>
      <c r="O9" s="40">
        <f>'S38'!N9</f>
        <v/>
      </c>
      <c r="P9" s="31">
        <f>N9-O9</f>
        <v/>
      </c>
      <c r="Q9" s="32" t="n"/>
      <c r="R9" s="32" t="n"/>
      <c r="S9" s="32" t="n"/>
      <c r="T9" s="33" t="n"/>
      <c r="U9" s="40">
        <f>'S38'!T9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'S38'!M10+L10</f>
        <v/>
      </c>
      <c r="N10" s="36">
        <f>IFERROR(M10/K10,0)</f>
        <v/>
      </c>
      <c r="O10" s="42">
        <f>'S38'!N10</f>
        <v/>
      </c>
      <c r="P10" s="36">
        <f>N10-O10</f>
        <v/>
      </c>
      <c r="Q10" s="32" t="n"/>
      <c r="R10" s="32" t="n"/>
      <c r="S10" s="32" t="n"/>
      <c r="T10" s="33" t="n"/>
      <c r="U10" s="42">
        <f>'S38'!T10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'S38'!M11+L11</f>
        <v/>
      </c>
      <c r="N11" s="31">
        <f>IFERROR(M11/K11,0)</f>
        <v/>
      </c>
      <c r="O11" s="40">
        <f>'S38'!N11</f>
        <v/>
      </c>
      <c r="P11" s="31">
        <f>N11-O11</f>
        <v/>
      </c>
      <c r="Q11" s="32" t="n"/>
      <c r="R11" s="32" t="n"/>
      <c r="S11" s="32" t="n"/>
      <c r="T11" s="33" t="n"/>
      <c r="U11" s="40">
        <f>'S38'!T11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'S38'!M12+L12</f>
        <v/>
      </c>
      <c r="N12" s="36">
        <f>IFERROR(M12/K12,0)</f>
        <v/>
      </c>
      <c r="O12" s="42">
        <f>'S38'!N12</f>
        <v/>
      </c>
      <c r="P12" s="36">
        <f>N12-O12</f>
        <v/>
      </c>
      <c r="Q12" s="32" t="n"/>
      <c r="R12" s="32" t="n"/>
      <c r="S12" s="32" t="n"/>
      <c r="T12" s="33" t="n"/>
      <c r="U12" s="42">
        <f>'S38'!T12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'S38'!M13+L13</f>
        <v/>
      </c>
      <c r="N13" s="31">
        <f>IFERROR(M13/K13,0)</f>
        <v/>
      </c>
      <c r="O13" s="40">
        <f>'S38'!N13</f>
        <v/>
      </c>
      <c r="P13" s="31">
        <f>N13-O13</f>
        <v/>
      </c>
      <c r="Q13" s="32" t="n"/>
      <c r="R13" s="32" t="n"/>
      <c r="S13" s="32" t="n"/>
      <c r="T13" s="33" t="n"/>
      <c r="U13" s="40">
        <f>'S38'!T13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'S38'!M14+L14</f>
        <v/>
      </c>
      <c r="N14" s="36">
        <f>IFERROR(M14/K14,0)</f>
        <v/>
      </c>
      <c r="O14" s="42">
        <f>'S38'!N14</f>
        <v/>
      </c>
      <c r="P14" s="36">
        <f>N14-O14</f>
        <v/>
      </c>
      <c r="Q14" s="32" t="n"/>
      <c r="R14" s="32" t="n"/>
      <c r="S14" s="32" t="n"/>
      <c r="T14" s="33" t="n"/>
      <c r="U14" s="42">
        <f>'S38'!T14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'S38'!M15+L15</f>
        <v/>
      </c>
      <c r="N15" s="31">
        <f>IFERROR(M15/K15,0)</f>
        <v/>
      </c>
      <c r="O15" s="40">
        <f>'S38'!N15</f>
        <v/>
      </c>
      <c r="P15" s="31">
        <f>N15-O15</f>
        <v/>
      </c>
      <c r="Q15" s="32" t="n"/>
      <c r="R15" s="32" t="n"/>
      <c r="S15" s="32" t="n"/>
      <c r="T15" s="33" t="n"/>
      <c r="U15" s="40">
        <f>'S38'!T15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'S38'!M16+L16</f>
        <v/>
      </c>
      <c r="N16" s="36">
        <f>IFERROR(M16/K16,0)</f>
        <v/>
      </c>
      <c r="O16" s="42">
        <f>'S38'!N16</f>
        <v/>
      </c>
      <c r="P16" s="36">
        <f>N16-O16</f>
        <v/>
      </c>
      <c r="Q16" s="32" t="n"/>
      <c r="R16" s="32" t="n"/>
      <c r="S16" s="32" t="n"/>
      <c r="T16" s="33" t="n"/>
      <c r="U16" s="42">
        <f>'S38'!T16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'S38'!M17+L17</f>
        <v/>
      </c>
      <c r="N17" s="31">
        <f>IFERROR(M17/K17,0)</f>
        <v/>
      </c>
      <c r="O17" s="40">
        <f>'S38'!N17</f>
        <v/>
      </c>
      <c r="P17" s="31">
        <f>N17-O17</f>
        <v/>
      </c>
      <c r="Q17" s="32" t="n"/>
      <c r="R17" s="32" t="n"/>
      <c r="S17" s="32" t="n"/>
      <c r="T17" s="33" t="n"/>
      <c r="U17" s="40">
        <f>'S38'!T17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'S38'!M18+L18</f>
        <v/>
      </c>
      <c r="N18" s="36">
        <f>IFERROR(M18/K18,0)</f>
        <v/>
      </c>
      <c r="O18" s="42">
        <f>'S38'!N18</f>
        <v/>
      </c>
      <c r="P18" s="36">
        <f>N18-O18</f>
        <v/>
      </c>
      <c r="Q18" s="32" t="n"/>
      <c r="R18" s="32" t="n"/>
      <c r="S18" s="32" t="n"/>
      <c r="T18" s="33" t="n"/>
      <c r="U18" s="42">
        <f>'S38'!T18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'S38'!M19+L19</f>
        <v/>
      </c>
      <c r="N19" s="31">
        <f>IFERROR(M19/K19,0)</f>
        <v/>
      </c>
      <c r="O19" s="40">
        <f>'S38'!N19</f>
        <v/>
      </c>
      <c r="P19" s="31">
        <f>N19-O19</f>
        <v/>
      </c>
      <c r="Q19" s="32" t="n"/>
      <c r="R19" s="32" t="n"/>
      <c r="S19" s="32" t="n"/>
      <c r="T19" s="33" t="n"/>
      <c r="U19" s="40">
        <f>'S38'!T19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'S38'!M20+L20</f>
        <v/>
      </c>
      <c r="N20" s="36">
        <f>IFERROR(M20/K20,0)</f>
        <v/>
      </c>
      <c r="O20" s="42">
        <f>'S38'!N20</f>
        <v/>
      </c>
      <c r="P20" s="36">
        <f>N20-O20</f>
        <v/>
      </c>
      <c r="Q20" s="32" t="n"/>
      <c r="R20" s="32" t="n"/>
      <c r="S20" s="32" t="n"/>
      <c r="T20" s="33" t="n"/>
      <c r="U20" s="42">
        <f>'S38'!T20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'S38'!M21+L21</f>
        <v/>
      </c>
      <c r="N21" s="31">
        <f>IFERROR(M21/K21,0)</f>
        <v/>
      </c>
      <c r="O21" s="40">
        <f>'S38'!N21</f>
        <v/>
      </c>
      <c r="P21" s="31">
        <f>N21-O21</f>
        <v/>
      </c>
      <c r="Q21" s="32" t="n"/>
      <c r="R21" s="32" t="n"/>
      <c r="S21" s="32" t="n"/>
      <c r="T21" s="33" t="n"/>
      <c r="U21" s="40">
        <f>'S38'!T21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'S38'!M22+L22</f>
        <v/>
      </c>
      <c r="N22" s="36">
        <f>IFERROR(M22/K22,0)</f>
        <v/>
      </c>
      <c r="O22" s="42">
        <f>'S38'!N22</f>
        <v/>
      </c>
      <c r="P22" s="36">
        <f>N22-O22</f>
        <v/>
      </c>
      <c r="Q22" s="32" t="n"/>
      <c r="R22" s="32" t="n"/>
      <c r="S22" s="32" t="n"/>
      <c r="T22" s="33" t="n"/>
      <c r="U22" s="42">
        <f>'S38'!T22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'S38'!M23+L23</f>
        <v/>
      </c>
      <c r="N23" s="31">
        <f>IFERROR(M23/K23,0)</f>
        <v/>
      </c>
      <c r="O23" s="40">
        <f>'S38'!N23</f>
        <v/>
      </c>
      <c r="P23" s="31">
        <f>N23-O23</f>
        <v/>
      </c>
      <c r="Q23" s="32" t="n"/>
      <c r="R23" s="32" t="n"/>
      <c r="S23" s="32" t="n"/>
      <c r="T23" s="33" t="n"/>
      <c r="U23" s="40">
        <f>'S38'!T23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'S38'!M24+L24</f>
        <v/>
      </c>
      <c r="N24" s="36">
        <f>IFERROR(M24/K24,0)</f>
        <v/>
      </c>
      <c r="O24" s="42">
        <f>'S38'!N24</f>
        <v/>
      </c>
      <c r="P24" s="36">
        <f>N24-O24</f>
        <v/>
      </c>
      <c r="Q24" s="32" t="n"/>
      <c r="R24" s="32" t="n"/>
      <c r="S24" s="32" t="n"/>
      <c r="T24" s="33" t="n"/>
      <c r="U24" s="42">
        <f>'S38'!T24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'S38'!M25+L25</f>
        <v/>
      </c>
      <c r="N25" s="31">
        <f>IFERROR(M25/K25,0)</f>
        <v/>
      </c>
      <c r="O25" s="40">
        <f>'S38'!N25</f>
        <v/>
      </c>
      <c r="P25" s="31">
        <f>N25-O25</f>
        <v/>
      </c>
      <c r="Q25" s="32" t="n"/>
      <c r="R25" s="32" t="n"/>
      <c r="S25" s="32" t="n"/>
      <c r="T25" s="33" t="n"/>
      <c r="U25" s="40">
        <f>'S38'!T25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'S38'!M26+L26</f>
        <v/>
      </c>
      <c r="N26" s="36">
        <f>IFERROR(M26/K26,0)</f>
        <v/>
      </c>
      <c r="O26" s="42">
        <f>'S38'!N26</f>
        <v/>
      </c>
      <c r="P26" s="36">
        <f>N26-O26</f>
        <v/>
      </c>
      <c r="Q26" s="32" t="n"/>
      <c r="R26" s="32" t="n"/>
      <c r="S26" s="32" t="n"/>
      <c r="T26" s="33" t="n"/>
      <c r="U26" s="42">
        <f>'S38'!T26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'S38'!M27+L27</f>
        <v/>
      </c>
      <c r="N27" s="31">
        <f>IFERROR(M27/K27,0)</f>
        <v/>
      </c>
      <c r="O27" s="40">
        <f>'S38'!N27</f>
        <v/>
      </c>
      <c r="P27" s="31">
        <f>N27-O27</f>
        <v/>
      </c>
      <c r="Q27" s="32" t="n"/>
      <c r="R27" s="32" t="n"/>
      <c r="S27" s="32" t="n"/>
      <c r="T27" s="33" t="n"/>
      <c r="U27" s="40">
        <f>'S38'!T27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'S38'!M28+L28</f>
        <v/>
      </c>
      <c r="N28" s="36">
        <f>IFERROR(M28/K28,0)</f>
        <v/>
      </c>
      <c r="O28" s="42">
        <f>'S38'!N28</f>
        <v/>
      </c>
      <c r="P28" s="36">
        <f>N28-O28</f>
        <v/>
      </c>
      <c r="Q28" s="32" t="n"/>
      <c r="R28" s="32" t="n"/>
      <c r="S28" s="32" t="n"/>
      <c r="T28" s="33" t="n"/>
      <c r="U28" s="42">
        <f>'S38'!T28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'S38'!M29+L29</f>
        <v/>
      </c>
      <c r="N29" s="31">
        <f>IFERROR(M29/K29,0)</f>
        <v/>
      </c>
      <c r="O29" s="40">
        <f>'S38'!N29</f>
        <v/>
      </c>
      <c r="P29" s="31">
        <f>N29-O29</f>
        <v/>
      </c>
      <c r="Q29" s="32" t="n"/>
      <c r="R29" s="32" t="n"/>
      <c r="S29" s="32" t="n"/>
      <c r="T29" s="33" t="n"/>
      <c r="U29" s="40">
        <f>'S38'!T29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'S38'!M30+L30</f>
        <v/>
      </c>
      <c r="N30" s="36">
        <f>IFERROR(M30/K30,0)</f>
        <v/>
      </c>
      <c r="O30" s="42">
        <f>'S38'!N30</f>
        <v/>
      </c>
      <c r="P30" s="36">
        <f>N30-O30</f>
        <v/>
      </c>
      <c r="Q30" s="32" t="n"/>
      <c r="R30" s="32" t="n"/>
      <c r="S30" s="32" t="n"/>
      <c r="T30" s="33" t="n"/>
      <c r="U30" s="42">
        <f>'S38'!T30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'S38'!M31+L31</f>
        <v/>
      </c>
      <c r="N31" s="31">
        <f>IFERROR(M31/K31,0)</f>
        <v/>
      </c>
      <c r="O31" s="40">
        <f>'S38'!N31</f>
        <v/>
      </c>
      <c r="P31" s="31">
        <f>N31-O31</f>
        <v/>
      </c>
      <c r="Q31" s="32" t="n"/>
      <c r="R31" s="32" t="n"/>
      <c r="S31" s="32" t="n"/>
      <c r="T31" s="33" t="n"/>
      <c r="U31" s="40">
        <f>'S38'!T31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'S38'!M32+L32</f>
        <v/>
      </c>
      <c r="N32" s="36">
        <f>IFERROR(M32/K32,0)</f>
        <v/>
      </c>
      <c r="O32" s="42">
        <f>'S38'!N32</f>
        <v/>
      </c>
      <c r="P32" s="36">
        <f>N32-O32</f>
        <v/>
      </c>
      <c r="Q32" s="32" t="n"/>
      <c r="R32" s="32" t="n"/>
      <c r="S32" s="32" t="n"/>
      <c r="T32" s="33" t="n"/>
      <c r="U32" s="42">
        <f>'S38'!T32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'S38'!M33+L33</f>
        <v/>
      </c>
      <c r="N33" s="31">
        <f>IFERROR(M33/K33,0)</f>
        <v/>
      </c>
      <c r="O33" s="40">
        <f>'S38'!N33</f>
        <v/>
      </c>
      <c r="P33" s="31">
        <f>N33-O33</f>
        <v/>
      </c>
      <c r="Q33" s="32" t="n"/>
      <c r="R33" s="32" t="n"/>
      <c r="S33" s="32" t="n"/>
      <c r="T33" s="33" t="n"/>
      <c r="U33" s="40">
        <f>'S38'!T33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'S38'!M34+L34</f>
        <v/>
      </c>
      <c r="N34" s="36">
        <f>IFERROR(M34/K34,0)</f>
        <v/>
      </c>
      <c r="O34" s="42">
        <f>'S38'!N34</f>
        <v/>
      </c>
      <c r="P34" s="36">
        <f>N34-O34</f>
        <v/>
      </c>
      <c r="Q34" s="32" t="n"/>
      <c r="R34" s="32" t="n"/>
      <c r="S34" s="32" t="n"/>
      <c r="T34" s="33" t="n"/>
      <c r="U34" s="42">
        <f>'S38'!T34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'S38'!M35+L35</f>
        <v/>
      </c>
      <c r="N35" s="31">
        <f>IFERROR(M35/K35,0)</f>
        <v/>
      </c>
      <c r="O35" s="40">
        <f>'S38'!N35</f>
        <v/>
      </c>
      <c r="P35" s="31">
        <f>N35-O35</f>
        <v/>
      </c>
      <c r="Q35" s="32" t="n"/>
      <c r="R35" s="32" t="n"/>
      <c r="S35" s="32" t="n"/>
      <c r="T35" s="33" t="n"/>
      <c r="U35" s="40">
        <f>'S38'!T35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'S38'!M36+L36</f>
        <v/>
      </c>
      <c r="N36" s="36">
        <f>IFERROR(M36/K36,0)</f>
        <v/>
      </c>
      <c r="O36" s="42">
        <f>'S38'!N36</f>
        <v/>
      </c>
      <c r="P36" s="36">
        <f>N36-O36</f>
        <v/>
      </c>
      <c r="Q36" s="32" t="n"/>
      <c r="R36" s="32" t="n"/>
      <c r="S36" s="32" t="n"/>
      <c r="T36" s="33" t="n"/>
      <c r="U36" s="42">
        <f>'S38'!T36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'S38'!M37+L37</f>
        <v/>
      </c>
      <c r="N37" s="31">
        <f>IFERROR(M37/K37,0)</f>
        <v/>
      </c>
      <c r="O37" s="40">
        <f>'S38'!N37</f>
        <v/>
      </c>
      <c r="P37" s="31">
        <f>N37-O37</f>
        <v/>
      </c>
      <c r="Q37" s="32" t="n"/>
      <c r="R37" s="32" t="n"/>
      <c r="S37" s="32" t="n"/>
      <c r="T37" s="33" t="n"/>
      <c r="U37" s="40">
        <f>'S38'!T37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'S38'!M38+L38</f>
        <v/>
      </c>
      <c r="N38" s="36">
        <f>IFERROR(M38/K38,0)</f>
        <v/>
      </c>
      <c r="O38" s="42">
        <f>'S38'!N38</f>
        <v/>
      </c>
      <c r="P38" s="36">
        <f>N38-O38</f>
        <v/>
      </c>
      <c r="Q38" s="32" t="n"/>
      <c r="R38" s="32" t="n"/>
      <c r="S38" s="32" t="n"/>
      <c r="T38" s="33" t="n"/>
      <c r="U38" s="42">
        <f>'S38'!T38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'S38'!M39+L39</f>
        <v/>
      </c>
      <c r="N39" s="31">
        <f>IFERROR(M39/K39,0)</f>
        <v/>
      </c>
      <c r="O39" s="40">
        <f>'S38'!N39</f>
        <v/>
      </c>
      <c r="P39" s="31">
        <f>N39-O39</f>
        <v/>
      </c>
      <c r="Q39" s="32" t="n"/>
      <c r="R39" s="32" t="n"/>
      <c r="S39" s="32" t="n"/>
      <c r="T39" s="33" t="n"/>
      <c r="U39" s="40">
        <f>'S38'!T39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'S38'!M40+L40</f>
        <v/>
      </c>
      <c r="N40" s="36">
        <f>IFERROR(M40/K40,0)</f>
        <v/>
      </c>
      <c r="O40" s="42">
        <f>'S38'!N40</f>
        <v/>
      </c>
      <c r="P40" s="36">
        <f>N40-O40</f>
        <v/>
      </c>
      <c r="Q40" s="32" t="n"/>
      <c r="R40" s="32" t="n"/>
      <c r="S40" s="32" t="n"/>
      <c r="T40" s="33" t="n"/>
      <c r="U40" s="42">
        <f>'S38'!T40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'S38'!M41+L41</f>
        <v/>
      </c>
      <c r="N41" s="31">
        <f>IFERROR(M41/K41,0)</f>
        <v/>
      </c>
      <c r="O41" s="40">
        <f>'S38'!N41</f>
        <v/>
      </c>
      <c r="P41" s="31">
        <f>N41-O41</f>
        <v/>
      </c>
      <c r="Q41" s="32" t="n"/>
      <c r="R41" s="32" t="n"/>
      <c r="S41" s="32" t="n"/>
      <c r="T41" s="33" t="n"/>
      <c r="U41" s="40">
        <f>'S38'!T41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'S38'!M42+L42</f>
        <v/>
      </c>
      <c r="N42" s="36">
        <f>IFERROR(M42/K42,0)</f>
        <v/>
      </c>
      <c r="O42" s="42">
        <f>'S38'!N42</f>
        <v/>
      </c>
      <c r="P42" s="36">
        <f>N42-O42</f>
        <v/>
      </c>
      <c r="Q42" s="32" t="n"/>
      <c r="R42" s="32" t="n"/>
      <c r="S42" s="32" t="n"/>
      <c r="T42" s="33" t="n"/>
      <c r="U42" s="42">
        <f>'S38'!T42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'S38'!M43+L43</f>
        <v/>
      </c>
      <c r="N43" s="31">
        <f>IFERROR(M43/K43,0)</f>
        <v/>
      </c>
      <c r="O43" s="40">
        <f>'S38'!N43</f>
        <v/>
      </c>
      <c r="P43" s="31">
        <f>N43-O43</f>
        <v/>
      </c>
      <c r="Q43" s="32" t="n"/>
      <c r="R43" s="32" t="n"/>
      <c r="S43" s="32" t="n"/>
      <c r="T43" s="33" t="n"/>
      <c r="U43" s="40">
        <f>'S38'!T43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'S38'!M44+L44</f>
        <v/>
      </c>
      <c r="N44" s="36">
        <f>IFERROR(M44/K44,0)</f>
        <v/>
      </c>
      <c r="O44" s="42">
        <f>'S38'!N44</f>
        <v/>
      </c>
      <c r="P44" s="36">
        <f>N44-O44</f>
        <v/>
      </c>
      <c r="Q44" s="32" t="n"/>
      <c r="R44" s="32" t="n"/>
      <c r="S44" s="32" t="n"/>
      <c r="T44" s="33" t="n"/>
      <c r="U44" s="42">
        <f>'S38'!T44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'S38'!M45+L45</f>
        <v/>
      </c>
      <c r="N45" s="31">
        <f>IFERROR(M45/K45,0)</f>
        <v/>
      </c>
      <c r="O45" s="40">
        <f>'S38'!N45</f>
        <v/>
      </c>
      <c r="P45" s="31">
        <f>N45-O45</f>
        <v/>
      </c>
      <c r="Q45" s="32" t="n"/>
      <c r="R45" s="32" t="n"/>
      <c r="S45" s="32" t="n"/>
      <c r="T45" s="33" t="n"/>
      <c r="U45" s="40">
        <f>'S38'!T45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'S38'!M46+L46</f>
        <v/>
      </c>
      <c r="N46" s="36">
        <f>IFERROR(M46/K46,0)</f>
        <v/>
      </c>
      <c r="O46" s="42">
        <f>'S38'!N46</f>
        <v/>
      </c>
      <c r="P46" s="36">
        <f>N46-O46</f>
        <v/>
      </c>
      <c r="Q46" s="32" t="n"/>
      <c r="R46" s="32" t="n"/>
      <c r="S46" s="32" t="n"/>
      <c r="T46" s="33" t="n"/>
      <c r="U46" s="42">
        <f>'S38'!T46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'S38'!M47+L47</f>
        <v/>
      </c>
      <c r="N47" s="31">
        <f>IFERROR(M47/K47,0)</f>
        <v/>
      </c>
      <c r="O47" s="40">
        <f>'S38'!N47</f>
        <v/>
      </c>
      <c r="P47" s="31">
        <f>N47-O47</f>
        <v/>
      </c>
      <c r="Q47" s="32" t="n"/>
      <c r="R47" s="32" t="n"/>
      <c r="S47" s="32" t="n"/>
      <c r="T47" s="33" t="n"/>
      <c r="U47" s="40">
        <f>'S38'!T47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'S38'!M48+L48</f>
        <v/>
      </c>
      <c r="N48" s="36">
        <f>IFERROR(M48/K48,0)</f>
        <v/>
      </c>
      <c r="O48" s="42">
        <f>'S38'!N48</f>
        <v/>
      </c>
      <c r="P48" s="36">
        <f>N48-O48</f>
        <v/>
      </c>
      <c r="Q48" s="32" t="n"/>
      <c r="R48" s="32" t="n"/>
      <c r="S48" s="32" t="n"/>
      <c r="T48" s="33" t="n"/>
      <c r="U48" s="42">
        <f>'S38'!T48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'S38'!M49+L49</f>
        <v/>
      </c>
      <c r="N49" s="31">
        <f>IFERROR(M49/K49,0)</f>
        <v/>
      </c>
      <c r="O49" s="40">
        <f>'S38'!N49</f>
        <v/>
      </c>
      <c r="P49" s="31">
        <f>N49-O49</f>
        <v/>
      </c>
      <c r="Q49" s="32" t="n"/>
      <c r="R49" s="32" t="n"/>
      <c r="S49" s="32" t="n"/>
      <c r="T49" s="33" t="n"/>
      <c r="U49" s="40">
        <f>'S38'!T49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'S38'!M50+L50</f>
        <v/>
      </c>
      <c r="N50" s="36">
        <f>IFERROR(M50/K50,0)</f>
        <v/>
      </c>
      <c r="O50" s="42">
        <f>'S38'!N50</f>
        <v/>
      </c>
      <c r="P50" s="36">
        <f>N50-O50</f>
        <v/>
      </c>
      <c r="Q50" s="32" t="n"/>
      <c r="R50" s="32" t="n"/>
      <c r="S50" s="32" t="n"/>
      <c r="T50" s="33" t="n"/>
      <c r="U50" s="42">
        <f>'S38'!T50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'S38'!M51+L51</f>
        <v/>
      </c>
      <c r="N51" s="31">
        <f>IFERROR(M51/K51,0)</f>
        <v/>
      </c>
      <c r="O51" s="40">
        <f>'S38'!N51</f>
        <v/>
      </c>
      <c r="P51" s="31">
        <f>N51-O51</f>
        <v/>
      </c>
      <c r="Q51" s="32" t="n"/>
      <c r="R51" s="32" t="n"/>
      <c r="S51" s="32" t="n"/>
      <c r="T51" s="33" t="n"/>
      <c r="U51" s="40">
        <f>'S38'!T51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'S38'!M52+L52</f>
        <v/>
      </c>
      <c r="N52" s="36">
        <f>IFERROR(M52/K52,0)</f>
        <v/>
      </c>
      <c r="O52" s="42">
        <f>'S38'!N52</f>
        <v/>
      </c>
      <c r="P52" s="36">
        <f>N52-O52</f>
        <v/>
      </c>
      <c r="Q52" s="32" t="n"/>
      <c r="R52" s="32" t="n"/>
      <c r="S52" s="32" t="n"/>
      <c r="T52" s="33" t="n"/>
      <c r="U52" s="42">
        <f>'S38'!T52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'S38'!M53+L53</f>
        <v/>
      </c>
      <c r="N53" s="31">
        <f>IFERROR(M53/K53,0)</f>
        <v/>
      </c>
      <c r="O53" s="40">
        <f>'S38'!N53</f>
        <v/>
      </c>
      <c r="P53" s="31">
        <f>N53-O53</f>
        <v/>
      </c>
      <c r="Q53" s="32" t="n"/>
      <c r="R53" s="32" t="n"/>
      <c r="S53" s="32" t="n"/>
      <c r="T53" s="33" t="n"/>
      <c r="U53" s="40">
        <f>'S38'!T53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'S38'!M54+L54</f>
        <v/>
      </c>
      <c r="N54" s="36">
        <f>IFERROR(M54/K54,0)</f>
        <v/>
      </c>
      <c r="O54" s="42">
        <f>'S38'!N54</f>
        <v/>
      </c>
      <c r="P54" s="36">
        <f>N54-O54</f>
        <v/>
      </c>
      <c r="Q54" s="32" t="n"/>
      <c r="R54" s="32" t="n"/>
      <c r="S54" s="32" t="n"/>
      <c r="T54" s="33" t="n"/>
      <c r="U54" s="42">
        <f>'S38'!T54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'S38'!M55+L55</f>
        <v/>
      </c>
      <c r="N55" s="31">
        <f>IFERROR(M55/K55,0)</f>
        <v/>
      </c>
      <c r="O55" s="40">
        <f>'S38'!N55</f>
        <v/>
      </c>
      <c r="P55" s="31">
        <f>N55-O55</f>
        <v/>
      </c>
      <c r="Q55" s="32" t="n"/>
      <c r="R55" s="32" t="n"/>
      <c r="S55" s="32" t="n"/>
      <c r="T55" s="33" t="n"/>
      <c r="U55" s="40">
        <f>'S38'!T55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'S38'!M56+L56</f>
        <v/>
      </c>
      <c r="N56" s="36">
        <f>IFERROR(M56/K56,0)</f>
        <v/>
      </c>
      <c r="O56" s="42">
        <f>'S38'!N56</f>
        <v/>
      </c>
      <c r="P56" s="36">
        <f>N56-O56</f>
        <v/>
      </c>
      <c r="Q56" s="32" t="n"/>
      <c r="R56" s="32" t="n"/>
      <c r="S56" s="32" t="n"/>
      <c r="T56" s="33" t="n"/>
      <c r="U56" s="42">
        <f>'S38'!T56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'S38'!M57+L57</f>
        <v/>
      </c>
      <c r="N57" s="31">
        <f>IFERROR(M57/K57,0)</f>
        <v/>
      </c>
      <c r="O57" s="40">
        <f>'S38'!N57</f>
        <v/>
      </c>
      <c r="P57" s="31">
        <f>N57-O57</f>
        <v/>
      </c>
      <c r="Q57" s="32" t="n"/>
      <c r="R57" s="32" t="n"/>
      <c r="S57" s="32" t="n"/>
      <c r="T57" s="33" t="n"/>
      <c r="U57" s="40">
        <f>'S38'!T57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'S38'!M58+L58</f>
        <v/>
      </c>
      <c r="N58" s="36">
        <f>IFERROR(M58/K58,0)</f>
        <v/>
      </c>
      <c r="O58" s="42">
        <f>'S38'!N58</f>
        <v/>
      </c>
      <c r="P58" s="36">
        <f>N58-O58</f>
        <v/>
      </c>
      <c r="Q58" s="32" t="n"/>
      <c r="R58" s="32" t="n"/>
      <c r="S58" s="32" t="n"/>
      <c r="T58" s="33" t="n"/>
      <c r="U58" s="42">
        <f>'S38'!T58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'S38'!M59+L59</f>
        <v/>
      </c>
      <c r="N59" s="31">
        <f>IFERROR(M59/K59,0)</f>
        <v/>
      </c>
      <c r="O59" s="40">
        <f>'S38'!N59</f>
        <v/>
      </c>
      <c r="P59" s="31">
        <f>N59-O59</f>
        <v/>
      </c>
      <c r="Q59" s="32" t="n"/>
      <c r="R59" s="32" t="n"/>
      <c r="S59" s="32" t="n"/>
      <c r="T59" s="33" t="n"/>
      <c r="U59" s="40">
        <f>'S38'!T59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'S38'!M60+L60</f>
        <v/>
      </c>
      <c r="N60" s="36">
        <f>IFERROR(M60/K60,0)</f>
        <v/>
      </c>
      <c r="O60" s="42">
        <f>'S38'!N60</f>
        <v/>
      </c>
      <c r="P60" s="36">
        <f>N60-O60</f>
        <v/>
      </c>
      <c r="Q60" s="32" t="n"/>
      <c r="R60" s="32" t="n"/>
      <c r="S60" s="32" t="n"/>
      <c r="T60" s="33" t="n"/>
      <c r="U60" s="42">
        <f>'S38'!T60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'S38'!M61+L61</f>
        <v/>
      </c>
      <c r="N61" s="31">
        <f>IFERROR(M61/K61,0)</f>
        <v/>
      </c>
      <c r="O61" s="40">
        <f>'S38'!N61</f>
        <v/>
      </c>
      <c r="P61" s="31">
        <f>N61-O61</f>
        <v/>
      </c>
      <c r="Q61" s="32" t="n"/>
      <c r="R61" s="32" t="n"/>
      <c r="S61" s="32" t="n"/>
      <c r="T61" s="33" t="n"/>
      <c r="U61" s="40">
        <f>'S38'!T61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'S38'!M62+L62</f>
        <v/>
      </c>
      <c r="N62" s="36">
        <f>IFERROR(M62/K62,0)</f>
        <v/>
      </c>
      <c r="O62" s="42">
        <f>'S38'!N62</f>
        <v/>
      </c>
      <c r="P62" s="36">
        <f>N62-O62</f>
        <v/>
      </c>
      <c r="Q62" s="32" t="n"/>
      <c r="R62" s="32" t="n"/>
      <c r="S62" s="32" t="n"/>
      <c r="T62" s="33" t="n"/>
      <c r="U62" s="42">
        <f>'S38'!T62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'S38'!M63+L63</f>
        <v/>
      </c>
      <c r="N63" s="31">
        <f>IFERROR(M63/K63,0)</f>
        <v/>
      </c>
      <c r="O63" s="40">
        <f>'S38'!N63</f>
        <v/>
      </c>
      <c r="P63" s="31">
        <f>N63-O63</f>
        <v/>
      </c>
      <c r="Q63" s="32" t="n"/>
      <c r="R63" s="32" t="n"/>
      <c r="S63" s="32" t="n"/>
      <c r="T63" s="33" t="n"/>
      <c r="U63" s="40">
        <f>'S38'!T63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'S38'!M64+L64</f>
        <v/>
      </c>
      <c r="N64" s="36">
        <f>IFERROR(M64/K64,0)</f>
        <v/>
      </c>
      <c r="O64" s="42">
        <f>'S38'!N64</f>
        <v/>
      </c>
      <c r="P64" s="36">
        <f>N64-O64</f>
        <v/>
      </c>
      <c r="Q64" s="32" t="n"/>
      <c r="R64" s="32" t="n"/>
      <c r="S64" s="32" t="n"/>
      <c r="T64" s="33" t="n"/>
      <c r="U64" s="42">
        <f>'S38'!T64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'S38'!M65+L65</f>
        <v/>
      </c>
      <c r="N65" s="31">
        <f>IFERROR(M65/K65,0)</f>
        <v/>
      </c>
      <c r="O65" s="40">
        <f>'S38'!N65</f>
        <v/>
      </c>
      <c r="P65" s="31">
        <f>N65-O65</f>
        <v/>
      </c>
      <c r="Q65" s="32" t="n"/>
      <c r="R65" s="32" t="n"/>
      <c r="S65" s="32" t="n"/>
      <c r="T65" s="33" t="n"/>
      <c r="U65" s="40">
        <f>'S38'!T65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'S38'!M66+L66</f>
        <v/>
      </c>
      <c r="N66" s="36">
        <f>IFERROR(M66/K66,0)</f>
        <v/>
      </c>
      <c r="O66" s="42">
        <f>'S38'!N66</f>
        <v/>
      </c>
      <c r="P66" s="36">
        <f>N66-O66</f>
        <v/>
      </c>
      <c r="Q66" s="32" t="n"/>
      <c r="R66" s="32" t="n"/>
      <c r="S66" s="32" t="n"/>
      <c r="T66" s="33" t="n"/>
      <c r="U66" s="42">
        <f>'S38'!T66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'S38'!M67+L67</f>
        <v/>
      </c>
      <c r="N67" s="31">
        <f>IFERROR(M67/K67,0)</f>
        <v/>
      </c>
      <c r="O67" s="40">
        <f>'S38'!N67</f>
        <v/>
      </c>
      <c r="P67" s="31">
        <f>N67-O67</f>
        <v/>
      </c>
      <c r="Q67" s="32" t="n"/>
      <c r="R67" s="32" t="n"/>
      <c r="S67" s="32" t="n"/>
      <c r="T67" s="33" t="n"/>
      <c r="U67" s="40">
        <f>'S38'!T67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'S38'!M68+L68</f>
        <v/>
      </c>
      <c r="N68" s="36">
        <f>IFERROR(M68/K68,0)</f>
        <v/>
      </c>
      <c r="O68" s="42">
        <f>'S38'!N68</f>
        <v/>
      </c>
      <c r="P68" s="36">
        <f>N68-O68</f>
        <v/>
      </c>
      <c r="Q68" s="32" t="n"/>
      <c r="R68" s="32" t="n"/>
      <c r="S68" s="32" t="n"/>
      <c r="T68" s="33" t="n"/>
      <c r="U68" s="42">
        <f>'S38'!T68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'S38'!M69+L69</f>
        <v/>
      </c>
      <c r="N69" s="31">
        <f>IFERROR(M69/K69,0)</f>
        <v/>
      </c>
      <c r="O69" s="40">
        <f>'S38'!N69</f>
        <v/>
      </c>
      <c r="P69" s="31">
        <f>N69-O69</f>
        <v/>
      </c>
      <c r="Q69" s="32" t="n"/>
      <c r="R69" s="32" t="n"/>
      <c r="S69" s="32" t="n"/>
      <c r="T69" s="33" t="n"/>
      <c r="U69" s="40">
        <f>'S38'!T69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'S38'!M70+L70</f>
        <v/>
      </c>
      <c r="N70" s="36">
        <f>IFERROR(M70/K70,0)</f>
        <v/>
      </c>
      <c r="O70" s="42">
        <f>'S38'!N70</f>
        <v/>
      </c>
      <c r="P70" s="36">
        <f>N70-O70</f>
        <v/>
      </c>
      <c r="Q70" s="32" t="n"/>
      <c r="R70" s="32" t="n"/>
      <c r="S70" s="32" t="n"/>
      <c r="T70" s="33" t="n"/>
      <c r="U70" s="42">
        <f>'S38'!T70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'S38'!M71+L71</f>
        <v/>
      </c>
      <c r="N71" s="31">
        <f>IFERROR(M71/K71,0)</f>
        <v/>
      </c>
      <c r="O71" s="40">
        <f>'S38'!N71</f>
        <v/>
      </c>
      <c r="P71" s="31">
        <f>N71-O71</f>
        <v/>
      </c>
      <c r="Q71" s="32" t="n"/>
      <c r="R71" s="32" t="n"/>
      <c r="S71" s="32" t="n"/>
      <c r="T71" s="33" t="n"/>
      <c r="U71" s="40">
        <f>'S38'!T71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'S38'!M72+L72</f>
        <v/>
      </c>
      <c r="N72" s="36">
        <f>IFERROR(M72/K72,0)</f>
        <v/>
      </c>
      <c r="O72" s="42">
        <f>'S38'!N72</f>
        <v/>
      </c>
      <c r="P72" s="36">
        <f>N72-O72</f>
        <v/>
      </c>
      <c r="Q72" s="32" t="n"/>
      <c r="R72" s="32" t="n"/>
      <c r="S72" s="32" t="n"/>
      <c r="T72" s="33" t="n"/>
      <c r="U72" s="42">
        <f>'S38'!T72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'S38'!M73+L73</f>
        <v/>
      </c>
      <c r="N73" s="31">
        <f>IFERROR(M73/K73,0)</f>
        <v/>
      </c>
      <c r="O73" s="40">
        <f>'S38'!N73</f>
        <v/>
      </c>
      <c r="P73" s="31">
        <f>N73-O73</f>
        <v/>
      </c>
      <c r="Q73" s="32" t="n"/>
      <c r="R73" s="32" t="n"/>
      <c r="S73" s="32" t="n"/>
      <c r="T73" s="33" t="n"/>
      <c r="U73" s="40">
        <f>'S38'!T73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'S38'!M74+L74</f>
        <v/>
      </c>
      <c r="N74" s="36">
        <f>IFERROR(M74/K74,0)</f>
        <v/>
      </c>
      <c r="O74" s="42">
        <f>'S38'!N74</f>
        <v/>
      </c>
      <c r="P74" s="36">
        <f>N74-O74</f>
        <v/>
      </c>
      <c r="Q74" s="32" t="n"/>
      <c r="R74" s="32" t="n"/>
      <c r="S74" s="32" t="n"/>
      <c r="T74" s="33" t="n"/>
      <c r="U74" s="42">
        <f>'S38'!T74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'S38'!M75+L75</f>
        <v/>
      </c>
      <c r="N75" s="31">
        <f>IFERROR(M75/K75,0)</f>
        <v/>
      </c>
      <c r="O75" s="40">
        <f>'S38'!N75</f>
        <v/>
      </c>
      <c r="P75" s="31">
        <f>N75-O75</f>
        <v/>
      </c>
      <c r="Q75" s="32" t="n"/>
      <c r="R75" s="32" t="n"/>
      <c r="S75" s="32" t="n"/>
      <c r="T75" s="33" t="n"/>
      <c r="U75" s="40">
        <f>'S38'!T75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'S38'!M76+L76</f>
        <v/>
      </c>
      <c r="N76" s="36">
        <f>IFERROR(M76/K76,0)</f>
        <v/>
      </c>
      <c r="O76" s="42">
        <f>'S38'!N76</f>
        <v/>
      </c>
      <c r="P76" s="36">
        <f>N76-O76</f>
        <v/>
      </c>
      <c r="Q76" s="32" t="n"/>
      <c r="R76" s="32" t="n"/>
      <c r="S76" s="32" t="n"/>
      <c r="T76" s="33" t="n"/>
      <c r="U76" s="42">
        <f>'S38'!T76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42.xml><?xml version="1.0" encoding="utf-8"?>
<worksheet xmlns="http://schemas.openxmlformats.org/spreadsheetml/2006/main">
  <sheetPr>
    <tabColor rgb="00C0000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40 (28/09 - 04/10) — Septembre 2026 - Exécution Physique et Financière</t>
        </is>
      </c>
    </row>
    <row r="3" ht="22" customHeight="1">
      <c r="B3" s="20" t="inlineStr">
        <is>
          <t>Date :</t>
        </is>
      </c>
      <c r="C3" s="21" t="n">
        <v>46293</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'S39'!M5+L5</f>
        <v/>
      </c>
      <c r="N5" s="31">
        <f>IFERROR(M5/K5,0)</f>
        <v/>
      </c>
      <c r="O5" s="40">
        <f>'S39'!N5</f>
        <v/>
      </c>
      <c r="P5" s="31">
        <f>N5-O5</f>
        <v/>
      </c>
      <c r="Q5" s="32" t="n"/>
      <c r="R5" s="32" t="n"/>
      <c r="S5" s="32" t="n"/>
      <c r="T5" s="33" t="n"/>
      <c r="U5" s="40">
        <f>'S39'!T5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'S39'!M6+L6</f>
        <v/>
      </c>
      <c r="N6" s="36">
        <f>IFERROR(M6/K6,0)</f>
        <v/>
      </c>
      <c r="O6" s="42">
        <f>'S39'!N6</f>
        <v/>
      </c>
      <c r="P6" s="36">
        <f>N6-O6</f>
        <v/>
      </c>
      <c r="Q6" s="32" t="n"/>
      <c r="R6" s="32" t="n"/>
      <c r="S6" s="32" t="n"/>
      <c r="T6" s="33" t="n"/>
      <c r="U6" s="42">
        <f>'S39'!T6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'S39'!M7+L7</f>
        <v/>
      </c>
      <c r="N7" s="31">
        <f>IFERROR(M7/K7,0)</f>
        <v/>
      </c>
      <c r="O7" s="40">
        <f>'S39'!N7</f>
        <v/>
      </c>
      <c r="P7" s="31">
        <f>N7-O7</f>
        <v/>
      </c>
      <c r="Q7" s="32" t="n"/>
      <c r="R7" s="32" t="n"/>
      <c r="S7" s="32" t="n"/>
      <c r="T7" s="33" t="n"/>
      <c r="U7" s="40">
        <f>'S39'!T7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'S39'!M8+L8</f>
        <v/>
      </c>
      <c r="N8" s="36">
        <f>IFERROR(M8/K8,0)</f>
        <v/>
      </c>
      <c r="O8" s="42">
        <f>'S39'!N8</f>
        <v/>
      </c>
      <c r="P8" s="36">
        <f>N8-O8</f>
        <v/>
      </c>
      <c r="Q8" s="32" t="n"/>
      <c r="R8" s="32" t="n"/>
      <c r="S8" s="32" t="n"/>
      <c r="T8" s="33" t="n"/>
      <c r="U8" s="42">
        <f>'S39'!T8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'S39'!M9+L9</f>
        <v/>
      </c>
      <c r="N9" s="31">
        <f>IFERROR(M9/K9,0)</f>
        <v/>
      </c>
      <c r="O9" s="40">
        <f>'S39'!N9</f>
        <v/>
      </c>
      <c r="P9" s="31">
        <f>N9-O9</f>
        <v/>
      </c>
      <c r="Q9" s="32" t="n"/>
      <c r="R9" s="32" t="n"/>
      <c r="S9" s="32" t="n"/>
      <c r="T9" s="33" t="n"/>
      <c r="U9" s="40">
        <f>'S39'!T9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'S39'!M10+L10</f>
        <v/>
      </c>
      <c r="N10" s="36">
        <f>IFERROR(M10/K10,0)</f>
        <v/>
      </c>
      <c r="O10" s="42">
        <f>'S39'!N10</f>
        <v/>
      </c>
      <c r="P10" s="36">
        <f>N10-O10</f>
        <v/>
      </c>
      <c r="Q10" s="32" t="n"/>
      <c r="R10" s="32" t="n"/>
      <c r="S10" s="32" t="n"/>
      <c r="T10" s="33" t="n"/>
      <c r="U10" s="42">
        <f>'S39'!T10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'S39'!M11+L11</f>
        <v/>
      </c>
      <c r="N11" s="31">
        <f>IFERROR(M11/K11,0)</f>
        <v/>
      </c>
      <c r="O11" s="40">
        <f>'S39'!N11</f>
        <v/>
      </c>
      <c r="P11" s="31">
        <f>N11-O11</f>
        <v/>
      </c>
      <c r="Q11" s="32" t="n"/>
      <c r="R11" s="32" t="n"/>
      <c r="S11" s="32" t="n"/>
      <c r="T11" s="33" t="n"/>
      <c r="U11" s="40">
        <f>'S39'!T11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'S39'!M12+L12</f>
        <v/>
      </c>
      <c r="N12" s="36">
        <f>IFERROR(M12/K12,0)</f>
        <v/>
      </c>
      <c r="O12" s="42">
        <f>'S39'!N12</f>
        <v/>
      </c>
      <c r="P12" s="36">
        <f>N12-O12</f>
        <v/>
      </c>
      <c r="Q12" s="32" t="n"/>
      <c r="R12" s="32" t="n"/>
      <c r="S12" s="32" t="n"/>
      <c r="T12" s="33" t="n"/>
      <c r="U12" s="42">
        <f>'S39'!T12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'S39'!M13+L13</f>
        <v/>
      </c>
      <c r="N13" s="31">
        <f>IFERROR(M13/K13,0)</f>
        <v/>
      </c>
      <c r="O13" s="40">
        <f>'S39'!N13</f>
        <v/>
      </c>
      <c r="P13" s="31">
        <f>N13-O13</f>
        <v/>
      </c>
      <c r="Q13" s="32" t="n"/>
      <c r="R13" s="32" t="n"/>
      <c r="S13" s="32" t="n"/>
      <c r="T13" s="33" t="n"/>
      <c r="U13" s="40">
        <f>'S39'!T13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'S39'!M14+L14</f>
        <v/>
      </c>
      <c r="N14" s="36">
        <f>IFERROR(M14/K14,0)</f>
        <v/>
      </c>
      <c r="O14" s="42">
        <f>'S39'!N14</f>
        <v/>
      </c>
      <c r="P14" s="36">
        <f>N14-O14</f>
        <v/>
      </c>
      <c r="Q14" s="32" t="n"/>
      <c r="R14" s="32" t="n"/>
      <c r="S14" s="32" t="n"/>
      <c r="T14" s="33" t="n"/>
      <c r="U14" s="42">
        <f>'S39'!T14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'S39'!M15+L15</f>
        <v/>
      </c>
      <c r="N15" s="31">
        <f>IFERROR(M15/K15,0)</f>
        <v/>
      </c>
      <c r="O15" s="40">
        <f>'S39'!N15</f>
        <v/>
      </c>
      <c r="P15" s="31">
        <f>N15-O15</f>
        <v/>
      </c>
      <c r="Q15" s="32" t="n"/>
      <c r="R15" s="32" t="n"/>
      <c r="S15" s="32" t="n"/>
      <c r="T15" s="33" t="n"/>
      <c r="U15" s="40">
        <f>'S39'!T15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'S39'!M16+L16</f>
        <v/>
      </c>
      <c r="N16" s="36">
        <f>IFERROR(M16/K16,0)</f>
        <v/>
      </c>
      <c r="O16" s="42">
        <f>'S39'!N16</f>
        <v/>
      </c>
      <c r="P16" s="36">
        <f>N16-O16</f>
        <v/>
      </c>
      <c r="Q16" s="32" t="n"/>
      <c r="R16" s="32" t="n"/>
      <c r="S16" s="32" t="n"/>
      <c r="T16" s="33" t="n"/>
      <c r="U16" s="42">
        <f>'S39'!T16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'S39'!M17+L17</f>
        <v/>
      </c>
      <c r="N17" s="31">
        <f>IFERROR(M17/K17,0)</f>
        <v/>
      </c>
      <c r="O17" s="40">
        <f>'S39'!N17</f>
        <v/>
      </c>
      <c r="P17" s="31">
        <f>N17-O17</f>
        <v/>
      </c>
      <c r="Q17" s="32" t="n"/>
      <c r="R17" s="32" t="n"/>
      <c r="S17" s="32" t="n"/>
      <c r="T17" s="33" t="n"/>
      <c r="U17" s="40">
        <f>'S39'!T17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'S39'!M18+L18</f>
        <v/>
      </c>
      <c r="N18" s="36">
        <f>IFERROR(M18/K18,0)</f>
        <v/>
      </c>
      <c r="O18" s="42">
        <f>'S39'!N18</f>
        <v/>
      </c>
      <c r="P18" s="36">
        <f>N18-O18</f>
        <v/>
      </c>
      <c r="Q18" s="32" t="n"/>
      <c r="R18" s="32" t="n"/>
      <c r="S18" s="32" t="n"/>
      <c r="T18" s="33" t="n"/>
      <c r="U18" s="42">
        <f>'S39'!T18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'S39'!M19+L19</f>
        <v/>
      </c>
      <c r="N19" s="31">
        <f>IFERROR(M19/K19,0)</f>
        <v/>
      </c>
      <c r="O19" s="40">
        <f>'S39'!N19</f>
        <v/>
      </c>
      <c r="P19" s="31">
        <f>N19-O19</f>
        <v/>
      </c>
      <c r="Q19" s="32" t="n"/>
      <c r="R19" s="32" t="n"/>
      <c r="S19" s="32" t="n"/>
      <c r="T19" s="33" t="n"/>
      <c r="U19" s="40">
        <f>'S39'!T19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'S39'!M20+L20</f>
        <v/>
      </c>
      <c r="N20" s="36">
        <f>IFERROR(M20/K20,0)</f>
        <v/>
      </c>
      <c r="O20" s="42">
        <f>'S39'!N20</f>
        <v/>
      </c>
      <c r="P20" s="36">
        <f>N20-O20</f>
        <v/>
      </c>
      <c r="Q20" s="32" t="n"/>
      <c r="R20" s="32" t="n"/>
      <c r="S20" s="32" t="n"/>
      <c r="T20" s="33" t="n"/>
      <c r="U20" s="42">
        <f>'S39'!T20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'S39'!M21+L21</f>
        <v/>
      </c>
      <c r="N21" s="31">
        <f>IFERROR(M21/K21,0)</f>
        <v/>
      </c>
      <c r="O21" s="40">
        <f>'S39'!N21</f>
        <v/>
      </c>
      <c r="P21" s="31">
        <f>N21-O21</f>
        <v/>
      </c>
      <c r="Q21" s="32" t="n"/>
      <c r="R21" s="32" t="n"/>
      <c r="S21" s="32" t="n"/>
      <c r="T21" s="33" t="n"/>
      <c r="U21" s="40">
        <f>'S39'!T21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'S39'!M22+L22</f>
        <v/>
      </c>
      <c r="N22" s="36">
        <f>IFERROR(M22/K22,0)</f>
        <v/>
      </c>
      <c r="O22" s="42">
        <f>'S39'!N22</f>
        <v/>
      </c>
      <c r="P22" s="36">
        <f>N22-O22</f>
        <v/>
      </c>
      <c r="Q22" s="32" t="n"/>
      <c r="R22" s="32" t="n"/>
      <c r="S22" s="32" t="n"/>
      <c r="T22" s="33" t="n"/>
      <c r="U22" s="42">
        <f>'S39'!T22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'S39'!M23+L23</f>
        <v/>
      </c>
      <c r="N23" s="31">
        <f>IFERROR(M23/K23,0)</f>
        <v/>
      </c>
      <c r="O23" s="40">
        <f>'S39'!N23</f>
        <v/>
      </c>
      <c r="P23" s="31">
        <f>N23-O23</f>
        <v/>
      </c>
      <c r="Q23" s="32" t="n"/>
      <c r="R23" s="32" t="n"/>
      <c r="S23" s="32" t="n"/>
      <c r="T23" s="33" t="n"/>
      <c r="U23" s="40">
        <f>'S39'!T23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'S39'!M24+L24</f>
        <v/>
      </c>
      <c r="N24" s="36">
        <f>IFERROR(M24/K24,0)</f>
        <v/>
      </c>
      <c r="O24" s="42">
        <f>'S39'!N24</f>
        <v/>
      </c>
      <c r="P24" s="36">
        <f>N24-O24</f>
        <v/>
      </c>
      <c r="Q24" s="32" t="n"/>
      <c r="R24" s="32" t="n"/>
      <c r="S24" s="32" t="n"/>
      <c r="T24" s="33" t="n"/>
      <c r="U24" s="42">
        <f>'S39'!T24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'S39'!M25+L25</f>
        <v/>
      </c>
      <c r="N25" s="31">
        <f>IFERROR(M25/K25,0)</f>
        <v/>
      </c>
      <c r="O25" s="40">
        <f>'S39'!N25</f>
        <v/>
      </c>
      <c r="P25" s="31">
        <f>N25-O25</f>
        <v/>
      </c>
      <c r="Q25" s="32" t="n"/>
      <c r="R25" s="32" t="n"/>
      <c r="S25" s="32" t="n"/>
      <c r="T25" s="33" t="n"/>
      <c r="U25" s="40">
        <f>'S39'!T25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'S39'!M26+L26</f>
        <v/>
      </c>
      <c r="N26" s="36">
        <f>IFERROR(M26/K26,0)</f>
        <v/>
      </c>
      <c r="O26" s="42">
        <f>'S39'!N26</f>
        <v/>
      </c>
      <c r="P26" s="36">
        <f>N26-O26</f>
        <v/>
      </c>
      <c r="Q26" s="32" t="n"/>
      <c r="R26" s="32" t="n"/>
      <c r="S26" s="32" t="n"/>
      <c r="T26" s="33" t="n"/>
      <c r="U26" s="42">
        <f>'S39'!T26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'S39'!M27+L27</f>
        <v/>
      </c>
      <c r="N27" s="31">
        <f>IFERROR(M27/K27,0)</f>
        <v/>
      </c>
      <c r="O27" s="40">
        <f>'S39'!N27</f>
        <v/>
      </c>
      <c r="P27" s="31">
        <f>N27-O27</f>
        <v/>
      </c>
      <c r="Q27" s="32" t="n"/>
      <c r="R27" s="32" t="n"/>
      <c r="S27" s="32" t="n"/>
      <c r="T27" s="33" t="n"/>
      <c r="U27" s="40">
        <f>'S39'!T27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'S39'!M28+L28</f>
        <v/>
      </c>
      <c r="N28" s="36">
        <f>IFERROR(M28/K28,0)</f>
        <v/>
      </c>
      <c r="O28" s="42">
        <f>'S39'!N28</f>
        <v/>
      </c>
      <c r="P28" s="36">
        <f>N28-O28</f>
        <v/>
      </c>
      <c r="Q28" s="32" t="n"/>
      <c r="R28" s="32" t="n"/>
      <c r="S28" s="32" t="n"/>
      <c r="T28" s="33" t="n"/>
      <c r="U28" s="42">
        <f>'S39'!T28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'S39'!M29+L29</f>
        <v/>
      </c>
      <c r="N29" s="31">
        <f>IFERROR(M29/K29,0)</f>
        <v/>
      </c>
      <c r="O29" s="40">
        <f>'S39'!N29</f>
        <v/>
      </c>
      <c r="P29" s="31">
        <f>N29-O29</f>
        <v/>
      </c>
      <c r="Q29" s="32" t="n"/>
      <c r="R29" s="32" t="n"/>
      <c r="S29" s="32" t="n"/>
      <c r="T29" s="33" t="n"/>
      <c r="U29" s="40">
        <f>'S39'!T29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'S39'!M30+L30</f>
        <v/>
      </c>
      <c r="N30" s="36">
        <f>IFERROR(M30/K30,0)</f>
        <v/>
      </c>
      <c r="O30" s="42">
        <f>'S39'!N30</f>
        <v/>
      </c>
      <c r="P30" s="36">
        <f>N30-O30</f>
        <v/>
      </c>
      <c r="Q30" s="32" t="n"/>
      <c r="R30" s="32" t="n"/>
      <c r="S30" s="32" t="n"/>
      <c r="T30" s="33" t="n"/>
      <c r="U30" s="42">
        <f>'S39'!T30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'S39'!M31+L31</f>
        <v/>
      </c>
      <c r="N31" s="31">
        <f>IFERROR(M31/K31,0)</f>
        <v/>
      </c>
      <c r="O31" s="40">
        <f>'S39'!N31</f>
        <v/>
      </c>
      <c r="P31" s="31">
        <f>N31-O31</f>
        <v/>
      </c>
      <c r="Q31" s="32" t="n"/>
      <c r="R31" s="32" t="n"/>
      <c r="S31" s="32" t="n"/>
      <c r="T31" s="33" t="n"/>
      <c r="U31" s="40">
        <f>'S39'!T31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'S39'!M32+L32</f>
        <v/>
      </c>
      <c r="N32" s="36">
        <f>IFERROR(M32/K32,0)</f>
        <v/>
      </c>
      <c r="O32" s="42">
        <f>'S39'!N32</f>
        <v/>
      </c>
      <c r="P32" s="36">
        <f>N32-O32</f>
        <v/>
      </c>
      <c r="Q32" s="32" t="n"/>
      <c r="R32" s="32" t="n"/>
      <c r="S32" s="32" t="n"/>
      <c r="T32" s="33" t="n"/>
      <c r="U32" s="42">
        <f>'S39'!T32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'S39'!M33+L33</f>
        <v/>
      </c>
      <c r="N33" s="31">
        <f>IFERROR(M33/K33,0)</f>
        <v/>
      </c>
      <c r="O33" s="40">
        <f>'S39'!N33</f>
        <v/>
      </c>
      <c r="P33" s="31">
        <f>N33-O33</f>
        <v/>
      </c>
      <c r="Q33" s="32" t="n"/>
      <c r="R33" s="32" t="n"/>
      <c r="S33" s="32" t="n"/>
      <c r="T33" s="33" t="n"/>
      <c r="U33" s="40">
        <f>'S39'!T33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'S39'!M34+L34</f>
        <v/>
      </c>
      <c r="N34" s="36">
        <f>IFERROR(M34/K34,0)</f>
        <v/>
      </c>
      <c r="O34" s="42">
        <f>'S39'!N34</f>
        <v/>
      </c>
      <c r="P34" s="36">
        <f>N34-O34</f>
        <v/>
      </c>
      <c r="Q34" s="32" t="n"/>
      <c r="R34" s="32" t="n"/>
      <c r="S34" s="32" t="n"/>
      <c r="T34" s="33" t="n"/>
      <c r="U34" s="42">
        <f>'S39'!T34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'S39'!M35+L35</f>
        <v/>
      </c>
      <c r="N35" s="31">
        <f>IFERROR(M35/K35,0)</f>
        <v/>
      </c>
      <c r="O35" s="40">
        <f>'S39'!N35</f>
        <v/>
      </c>
      <c r="P35" s="31">
        <f>N35-O35</f>
        <v/>
      </c>
      <c r="Q35" s="32" t="n"/>
      <c r="R35" s="32" t="n"/>
      <c r="S35" s="32" t="n"/>
      <c r="T35" s="33" t="n"/>
      <c r="U35" s="40">
        <f>'S39'!T35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'S39'!M36+L36</f>
        <v/>
      </c>
      <c r="N36" s="36">
        <f>IFERROR(M36/K36,0)</f>
        <v/>
      </c>
      <c r="O36" s="42">
        <f>'S39'!N36</f>
        <v/>
      </c>
      <c r="P36" s="36">
        <f>N36-O36</f>
        <v/>
      </c>
      <c r="Q36" s="32" t="n"/>
      <c r="R36" s="32" t="n"/>
      <c r="S36" s="32" t="n"/>
      <c r="T36" s="33" t="n"/>
      <c r="U36" s="42">
        <f>'S39'!T36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'S39'!M37+L37</f>
        <v/>
      </c>
      <c r="N37" s="31">
        <f>IFERROR(M37/K37,0)</f>
        <v/>
      </c>
      <c r="O37" s="40">
        <f>'S39'!N37</f>
        <v/>
      </c>
      <c r="P37" s="31">
        <f>N37-O37</f>
        <v/>
      </c>
      <c r="Q37" s="32" t="n"/>
      <c r="R37" s="32" t="n"/>
      <c r="S37" s="32" t="n"/>
      <c r="T37" s="33" t="n"/>
      <c r="U37" s="40">
        <f>'S39'!T37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'S39'!M38+L38</f>
        <v/>
      </c>
      <c r="N38" s="36">
        <f>IFERROR(M38/K38,0)</f>
        <v/>
      </c>
      <c r="O38" s="42">
        <f>'S39'!N38</f>
        <v/>
      </c>
      <c r="P38" s="36">
        <f>N38-O38</f>
        <v/>
      </c>
      <c r="Q38" s="32" t="n"/>
      <c r="R38" s="32" t="n"/>
      <c r="S38" s="32" t="n"/>
      <c r="T38" s="33" t="n"/>
      <c r="U38" s="42">
        <f>'S39'!T38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'S39'!M39+L39</f>
        <v/>
      </c>
      <c r="N39" s="31">
        <f>IFERROR(M39/K39,0)</f>
        <v/>
      </c>
      <c r="O39" s="40">
        <f>'S39'!N39</f>
        <v/>
      </c>
      <c r="P39" s="31">
        <f>N39-O39</f>
        <v/>
      </c>
      <c r="Q39" s="32" t="n"/>
      <c r="R39" s="32" t="n"/>
      <c r="S39" s="32" t="n"/>
      <c r="T39" s="33" t="n"/>
      <c r="U39" s="40">
        <f>'S39'!T39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'S39'!M40+L40</f>
        <v/>
      </c>
      <c r="N40" s="36">
        <f>IFERROR(M40/K40,0)</f>
        <v/>
      </c>
      <c r="O40" s="42">
        <f>'S39'!N40</f>
        <v/>
      </c>
      <c r="P40" s="36">
        <f>N40-O40</f>
        <v/>
      </c>
      <c r="Q40" s="32" t="n"/>
      <c r="R40" s="32" t="n"/>
      <c r="S40" s="32" t="n"/>
      <c r="T40" s="33" t="n"/>
      <c r="U40" s="42">
        <f>'S39'!T40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'S39'!M41+L41</f>
        <v/>
      </c>
      <c r="N41" s="31">
        <f>IFERROR(M41/K41,0)</f>
        <v/>
      </c>
      <c r="O41" s="40">
        <f>'S39'!N41</f>
        <v/>
      </c>
      <c r="P41" s="31">
        <f>N41-O41</f>
        <v/>
      </c>
      <c r="Q41" s="32" t="n"/>
      <c r="R41" s="32" t="n"/>
      <c r="S41" s="32" t="n"/>
      <c r="T41" s="33" t="n"/>
      <c r="U41" s="40">
        <f>'S39'!T41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'S39'!M42+L42</f>
        <v/>
      </c>
      <c r="N42" s="36">
        <f>IFERROR(M42/K42,0)</f>
        <v/>
      </c>
      <c r="O42" s="42">
        <f>'S39'!N42</f>
        <v/>
      </c>
      <c r="P42" s="36">
        <f>N42-O42</f>
        <v/>
      </c>
      <c r="Q42" s="32" t="n"/>
      <c r="R42" s="32" t="n"/>
      <c r="S42" s="32" t="n"/>
      <c r="T42" s="33" t="n"/>
      <c r="U42" s="42">
        <f>'S39'!T42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'S39'!M43+L43</f>
        <v/>
      </c>
      <c r="N43" s="31">
        <f>IFERROR(M43/K43,0)</f>
        <v/>
      </c>
      <c r="O43" s="40">
        <f>'S39'!N43</f>
        <v/>
      </c>
      <c r="P43" s="31">
        <f>N43-O43</f>
        <v/>
      </c>
      <c r="Q43" s="32" t="n"/>
      <c r="R43" s="32" t="n"/>
      <c r="S43" s="32" t="n"/>
      <c r="T43" s="33" t="n"/>
      <c r="U43" s="40">
        <f>'S39'!T43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'S39'!M44+L44</f>
        <v/>
      </c>
      <c r="N44" s="36">
        <f>IFERROR(M44/K44,0)</f>
        <v/>
      </c>
      <c r="O44" s="42">
        <f>'S39'!N44</f>
        <v/>
      </c>
      <c r="P44" s="36">
        <f>N44-O44</f>
        <v/>
      </c>
      <c r="Q44" s="32" t="n"/>
      <c r="R44" s="32" t="n"/>
      <c r="S44" s="32" t="n"/>
      <c r="T44" s="33" t="n"/>
      <c r="U44" s="42">
        <f>'S39'!T44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'S39'!M45+L45</f>
        <v/>
      </c>
      <c r="N45" s="31">
        <f>IFERROR(M45/K45,0)</f>
        <v/>
      </c>
      <c r="O45" s="40">
        <f>'S39'!N45</f>
        <v/>
      </c>
      <c r="P45" s="31">
        <f>N45-O45</f>
        <v/>
      </c>
      <c r="Q45" s="32" t="n"/>
      <c r="R45" s="32" t="n"/>
      <c r="S45" s="32" t="n"/>
      <c r="T45" s="33" t="n"/>
      <c r="U45" s="40">
        <f>'S39'!T45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'S39'!M46+L46</f>
        <v/>
      </c>
      <c r="N46" s="36">
        <f>IFERROR(M46/K46,0)</f>
        <v/>
      </c>
      <c r="O46" s="42">
        <f>'S39'!N46</f>
        <v/>
      </c>
      <c r="P46" s="36">
        <f>N46-O46</f>
        <v/>
      </c>
      <c r="Q46" s="32" t="n"/>
      <c r="R46" s="32" t="n"/>
      <c r="S46" s="32" t="n"/>
      <c r="T46" s="33" t="n"/>
      <c r="U46" s="42">
        <f>'S39'!T46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'S39'!M47+L47</f>
        <v/>
      </c>
      <c r="N47" s="31">
        <f>IFERROR(M47/K47,0)</f>
        <v/>
      </c>
      <c r="O47" s="40">
        <f>'S39'!N47</f>
        <v/>
      </c>
      <c r="P47" s="31">
        <f>N47-O47</f>
        <v/>
      </c>
      <c r="Q47" s="32" t="n"/>
      <c r="R47" s="32" t="n"/>
      <c r="S47" s="32" t="n"/>
      <c r="T47" s="33" t="n"/>
      <c r="U47" s="40">
        <f>'S39'!T47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'S39'!M48+L48</f>
        <v/>
      </c>
      <c r="N48" s="36">
        <f>IFERROR(M48/K48,0)</f>
        <v/>
      </c>
      <c r="O48" s="42">
        <f>'S39'!N48</f>
        <v/>
      </c>
      <c r="P48" s="36">
        <f>N48-O48</f>
        <v/>
      </c>
      <c r="Q48" s="32" t="n"/>
      <c r="R48" s="32" t="n"/>
      <c r="S48" s="32" t="n"/>
      <c r="T48" s="33" t="n"/>
      <c r="U48" s="42">
        <f>'S39'!T48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'S39'!M49+L49</f>
        <v/>
      </c>
      <c r="N49" s="31">
        <f>IFERROR(M49/K49,0)</f>
        <v/>
      </c>
      <c r="O49" s="40">
        <f>'S39'!N49</f>
        <v/>
      </c>
      <c r="P49" s="31">
        <f>N49-O49</f>
        <v/>
      </c>
      <c r="Q49" s="32" t="n"/>
      <c r="R49" s="32" t="n"/>
      <c r="S49" s="32" t="n"/>
      <c r="T49" s="33" t="n"/>
      <c r="U49" s="40">
        <f>'S39'!T49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'S39'!M50+L50</f>
        <v/>
      </c>
      <c r="N50" s="36">
        <f>IFERROR(M50/K50,0)</f>
        <v/>
      </c>
      <c r="O50" s="42">
        <f>'S39'!N50</f>
        <v/>
      </c>
      <c r="P50" s="36">
        <f>N50-O50</f>
        <v/>
      </c>
      <c r="Q50" s="32" t="n"/>
      <c r="R50" s="32" t="n"/>
      <c r="S50" s="32" t="n"/>
      <c r="T50" s="33" t="n"/>
      <c r="U50" s="42">
        <f>'S39'!T50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'S39'!M51+L51</f>
        <v/>
      </c>
      <c r="N51" s="31">
        <f>IFERROR(M51/K51,0)</f>
        <v/>
      </c>
      <c r="O51" s="40">
        <f>'S39'!N51</f>
        <v/>
      </c>
      <c r="P51" s="31">
        <f>N51-O51</f>
        <v/>
      </c>
      <c r="Q51" s="32" t="n"/>
      <c r="R51" s="32" t="n"/>
      <c r="S51" s="32" t="n"/>
      <c r="T51" s="33" t="n"/>
      <c r="U51" s="40">
        <f>'S39'!T51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'S39'!M52+L52</f>
        <v/>
      </c>
      <c r="N52" s="36">
        <f>IFERROR(M52/K52,0)</f>
        <v/>
      </c>
      <c r="O52" s="42">
        <f>'S39'!N52</f>
        <v/>
      </c>
      <c r="P52" s="36">
        <f>N52-O52</f>
        <v/>
      </c>
      <c r="Q52" s="32" t="n"/>
      <c r="R52" s="32" t="n"/>
      <c r="S52" s="32" t="n"/>
      <c r="T52" s="33" t="n"/>
      <c r="U52" s="42">
        <f>'S39'!T52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'S39'!M53+L53</f>
        <v/>
      </c>
      <c r="N53" s="31">
        <f>IFERROR(M53/K53,0)</f>
        <v/>
      </c>
      <c r="O53" s="40">
        <f>'S39'!N53</f>
        <v/>
      </c>
      <c r="P53" s="31">
        <f>N53-O53</f>
        <v/>
      </c>
      <c r="Q53" s="32" t="n"/>
      <c r="R53" s="32" t="n"/>
      <c r="S53" s="32" t="n"/>
      <c r="T53" s="33" t="n"/>
      <c r="U53" s="40">
        <f>'S39'!T53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'S39'!M54+L54</f>
        <v/>
      </c>
      <c r="N54" s="36">
        <f>IFERROR(M54/K54,0)</f>
        <v/>
      </c>
      <c r="O54" s="42">
        <f>'S39'!N54</f>
        <v/>
      </c>
      <c r="P54" s="36">
        <f>N54-O54</f>
        <v/>
      </c>
      <c r="Q54" s="32" t="n"/>
      <c r="R54" s="32" t="n"/>
      <c r="S54" s="32" t="n"/>
      <c r="T54" s="33" t="n"/>
      <c r="U54" s="42">
        <f>'S39'!T54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'S39'!M55+L55</f>
        <v/>
      </c>
      <c r="N55" s="31">
        <f>IFERROR(M55/K55,0)</f>
        <v/>
      </c>
      <c r="O55" s="40">
        <f>'S39'!N55</f>
        <v/>
      </c>
      <c r="P55" s="31">
        <f>N55-O55</f>
        <v/>
      </c>
      <c r="Q55" s="32" t="n"/>
      <c r="R55" s="32" t="n"/>
      <c r="S55" s="32" t="n"/>
      <c r="T55" s="33" t="n"/>
      <c r="U55" s="40">
        <f>'S39'!T55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'S39'!M56+L56</f>
        <v/>
      </c>
      <c r="N56" s="36">
        <f>IFERROR(M56/K56,0)</f>
        <v/>
      </c>
      <c r="O56" s="42">
        <f>'S39'!N56</f>
        <v/>
      </c>
      <c r="P56" s="36">
        <f>N56-O56</f>
        <v/>
      </c>
      <c r="Q56" s="32" t="n"/>
      <c r="R56" s="32" t="n"/>
      <c r="S56" s="32" t="n"/>
      <c r="T56" s="33" t="n"/>
      <c r="U56" s="42">
        <f>'S39'!T56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'S39'!M57+L57</f>
        <v/>
      </c>
      <c r="N57" s="31">
        <f>IFERROR(M57/K57,0)</f>
        <v/>
      </c>
      <c r="O57" s="40">
        <f>'S39'!N57</f>
        <v/>
      </c>
      <c r="P57" s="31">
        <f>N57-O57</f>
        <v/>
      </c>
      <c r="Q57" s="32" t="n"/>
      <c r="R57" s="32" t="n"/>
      <c r="S57" s="32" t="n"/>
      <c r="T57" s="33" t="n"/>
      <c r="U57" s="40">
        <f>'S39'!T57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'S39'!M58+L58</f>
        <v/>
      </c>
      <c r="N58" s="36">
        <f>IFERROR(M58/K58,0)</f>
        <v/>
      </c>
      <c r="O58" s="42">
        <f>'S39'!N58</f>
        <v/>
      </c>
      <c r="P58" s="36">
        <f>N58-O58</f>
        <v/>
      </c>
      <c r="Q58" s="32" t="n"/>
      <c r="R58" s="32" t="n"/>
      <c r="S58" s="32" t="n"/>
      <c r="T58" s="33" t="n"/>
      <c r="U58" s="42">
        <f>'S39'!T58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'S39'!M59+L59</f>
        <v/>
      </c>
      <c r="N59" s="31">
        <f>IFERROR(M59/K59,0)</f>
        <v/>
      </c>
      <c r="O59" s="40">
        <f>'S39'!N59</f>
        <v/>
      </c>
      <c r="P59" s="31">
        <f>N59-O59</f>
        <v/>
      </c>
      <c r="Q59" s="32" t="n"/>
      <c r="R59" s="32" t="n"/>
      <c r="S59" s="32" t="n"/>
      <c r="T59" s="33" t="n"/>
      <c r="U59" s="40">
        <f>'S39'!T59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'S39'!M60+L60</f>
        <v/>
      </c>
      <c r="N60" s="36">
        <f>IFERROR(M60/K60,0)</f>
        <v/>
      </c>
      <c r="O60" s="42">
        <f>'S39'!N60</f>
        <v/>
      </c>
      <c r="P60" s="36">
        <f>N60-O60</f>
        <v/>
      </c>
      <c r="Q60" s="32" t="n"/>
      <c r="R60" s="32" t="n"/>
      <c r="S60" s="32" t="n"/>
      <c r="T60" s="33" t="n"/>
      <c r="U60" s="42">
        <f>'S39'!T60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'S39'!M61+L61</f>
        <v/>
      </c>
      <c r="N61" s="31">
        <f>IFERROR(M61/K61,0)</f>
        <v/>
      </c>
      <c r="O61" s="40">
        <f>'S39'!N61</f>
        <v/>
      </c>
      <c r="P61" s="31">
        <f>N61-O61</f>
        <v/>
      </c>
      <c r="Q61" s="32" t="n"/>
      <c r="R61" s="32" t="n"/>
      <c r="S61" s="32" t="n"/>
      <c r="T61" s="33" t="n"/>
      <c r="U61" s="40">
        <f>'S39'!T61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'S39'!M62+L62</f>
        <v/>
      </c>
      <c r="N62" s="36">
        <f>IFERROR(M62/K62,0)</f>
        <v/>
      </c>
      <c r="O62" s="42">
        <f>'S39'!N62</f>
        <v/>
      </c>
      <c r="P62" s="36">
        <f>N62-O62</f>
        <v/>
      </c>
      <c r="Q62" s="32" t="n"/>
      <c r="R62" s="32" t="n"/>
      <c r="S62" s="32" t="n"/>
      <c r="T62" s="33" t="n"/>
      <c r="U62" s="42">
        <f>'S39'!T62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'S39'!M63+L63</f>
        <v/>
      </c>
      <c r="N63" s="31">
        <f>IFERROR(M63/K63,0)</f>
        <v/>
      </c>
      <c r="O63" s="40">
        <f>'S39'!N63</f>
        <v/>
      </c>
      <c r="P63" s="31">
        <f>N63-O63</f>
        <v/>
      </c>
      <c r="Q63" s="32" t="n"/>
      <c r="R63" s="32" t="n"/>
      <c r="S63" s="32" t="n"/>
      <c r="T63" s="33" t="n"/>
      <c r="U63" s="40">
        <f>'S39'!T63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'S39'!M64+L64</f>
        <v/>
      </c>
      <c r="N64" s="36">
        <f>IFERROR(M64/K64,0)</f>
        <v/>
      </c>
      <c r="O64" s="42">
        <f>'S39'!N64</f>
        <v/>
      </c>
      <c r="P64" s="36">
        <f>N64-O64</f>
        <v/>
      </c>
      <c r="Q64" s="32" t="n"/>
      <c r="R64" s="32" t="n"/>
      <c r="S64" s="32" t="n"/>
      <c r="T64" s="33" t="n"/>
      <c r="U64" s="42">
        <f>'S39'!T64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'S39'!M65+L65</f>
        <v/>
      </c>
      <c r="N65" s="31">
        <f>IFERROR(M65/K65,0)</f>
        <v/>
      </c>
      <c r="O65" s="40">
        <f>'S39'!N65</f>
        <v/>
      </c>
      <c r="P65" s="31">
        <f>N65-O65</f>
        <v/>
      </c>
      <c r="Q65" s="32" t="n"/>
      <c r="R65" s="32" t="n"/>
      <c r="S65" s="32" t="n"/>
      <c r="T65" s="33" t="n"/>
      <c r="U65" s="40">
        <f>'S39'!T65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'S39'!M66+L66</f>
        <v/>
      </c>
      <c r="N66" s="36">
        <f>IFERROR(M66/K66,0)</f>
        <v/>
      </c>
      <c r="O66" s="42">
        <f>'S39'!N66</f>
        <v/>
      </c>
      <c r="P66" s="36">
        <f>N66-O66</f>
        <v/>
      </c>
      <c r="Q66" s="32" t="n"/>
      <c r="R66" s="32" t="n"/>
      <c r="S66" s="32" t="n"/>
      <c r="T66" s="33" t="n"/>
      <c r="U66" s="42">
        <f>'S39'!T66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'S39'!M67+L67</f>
        <v/>
      </c>
      <c r="N67" s="31">
        <f>IFERROR(M67/K67,0)</f>
        <v/>
      </c>
      <c r="O67" s="40">
        <f>'S39'!N67</f>
        <v/>
      </c>
      <c r="P67" s="31">
        <f>N67-O67</f>
        <v/>
      </c>
      <c r="Q67" s="32" t="n"/>
      <c r="R67" s="32" t="n"/>
      <c r="S67" s="32" t="n"/>
      <c r="T67" s="33" t="n"/>
      <c r="U67" s="40">
        <f>'S39'!T67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'S39'!M68+L68</f>
        <v/>
      </c>
      <c r="N68" s="36">
        <f>IFERROR(M68/K68,0)</f>
        <v/>
      </c>
      <c r="O68" s="42">
        <f>'S39'!N68</f>
        <v/>
      </c>
      <c r="P68" s="36">
        <f>N68-O68</f>
        <v/>
      </c>
      <c r="Q68" s="32" t="n"/>
      <c r="R68" s="32" t="n"/>
      <c r="S68" s="32" t="n"/>
      <c r="T68" s="33" t="n"/>
      <c r="U68" s="42">
        <f>'S39'!T68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'S39'!M69+L69</f>
        <v/>
      </c>
      <c r="N69" s="31">
        <f>IFERROR(M69/K69,0)</f>
        <v/>
      </c>
      <c r="O69" s="40">
        <f>'S39'!N69</f>
        <v/>
      </c>
      <c r="P69" s="31">
        <f>N69-O69</f>
        <v/>
      </c>
      <c r="Q69" s="32" t="n"/>
      <c r="R69" s="32" t="n"/>
      <c r="S69" s="32" t="n"/>
      <c r="T69" s="33" t="n"/>
      <c r="U69" s="40">
        <f>'S39'!T69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'S39'!M70+L70</f>
        <v/>
      </c>
      <c r="N70" s="36">
        <f>IFERROR(M70/K70,0)</f>
        <v/>
      </c>
      <c r="O70" s="42">
        <f>'S39'!N70</f>
        <v/>
      </c>
      <c r="P70" s="36">
        <f>N70-O70</f>
        <v/>
      </c>
      <c r="Q70" s="32" t="n"/>
      <c r="R70" s="32" t="n"/>
      <c r="S70" s="32" t="n"/>
      <c r="T70" s="33" t="n"/>
      <c r="U70" s="42">
        <f>'S39'!T70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'S39'!M71+L71</f>
        <v/>
      </c>
      <c r="N71" s="31">
        <f>IFERROR(M71/K71,0)</f>
        <v/>
      </c>
      <c r="O71" s="40">
        <f>'S39'!N71</f>
        <v/>
      </c>
      <c r="P71" s="31">
        <f>N71-O71</f>
        <v/>
      </c>
      <c r="Q71" s="32" t="n"/>
      <c r="R71" s="32" t="n"/>
      <c r="S71" s="32" t="n"/>
      <c r="T71" s="33" t="n"/>
      <c r="U71" s="40">
        <f>'S39'!T71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'S39'!M72+L72</f>
        <v/>
      </c>
      <c r="N72" s="36">
        <f>IFERROR(M72/K72,0)</f>
        <v/>
      </c>
      <c r="O72" s="42">
        <f>'S39'!N72</f>
        <v/>
      </c>
      <c r="P72" s="36">
        <f>N72-O72</f>
        <v/>
      </c>
      <c r="Q72" s="32" t="n"/>
      <c r="R72" s="32" t="n"/>
      <c r="S72" s="32" t="n"/>
      <c r="T72" s="33" t="n"/>
      <c r="U72" s="42">
        <f>'S39'!T72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'S39'!M73+L73</f>
        <v/>
      </c>
      <c r="N73" s="31">
        <f>IFERROR(M73/K73,0)</f>
        <v/>
      </c>
      <c r="O73" s="40">
        <f>'S39'!N73</f>
        <v/>
      </c>
      <c r="P73" s="31">
        <f>N73-O73</f>
        <v/>
      </c>
      <c r="Q73" s="32" t="n"/>
      <c r="R73" s="32" t="n"/>
      <c r="S73" s="32" t="n"/>
      <c r="T73" s="33" t="n"/>
      <c r="U73" s="40">
        <f>'S39'!T73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'S39'!M74+L74</f>
        <v/>
      </c>
      <c r="N74" s="36">
        <f>IFERROR(M74/K74,0)</f>
        <v/>
      </c>
      <c r="O74" s="42">
        <f>'S39'!N74</f>
        <v/>
      </c>
      <c r="P74" s="36">
        <f>N74-O74</f>
        <v/>
      </c>
      <c r="Q74" s="32" t="n"/>
      <c r="R74" s="32" t="n"/>
      <c r="S74" s="32" t="n"/>
      <c r="T74" s="33" t="n"/>
      <c r="U74" s="42">
        <f>'S39'!T74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'S39'!M75+L75</f>
        <v/>
      </c>
      <c r="N75" s="31">
        <f>IFERROR(M75/K75,0)</f>
        <v/>
      </c>
      <c r="O75" s="40">
        <f>'S39'!N75</f>
        <v/>
      </c>
      <c r="P75" s="31">
        <f>N75-O75</f>
        <v/>
      </c>
      <c r="Q75" s="32" t="n"/>
      <c r="R75" s="32" t="n"/>
      <c r="S75" s="32" t="n"/>
      <c r="T75" s="33" t="n"/>
      <c r="U75" s="40">
        <f>'S39'!T75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'S39'!M76+L76</f>
        <v/>
      </c>
      <c r="N76" s="36">
        <f>IFERROR(M76/K76,0)</f>
        <v/>
      </c>
      <c r="O76" s="42">
        <f>'S39'!N76</f>
        <v/>
      </c>
      <c r="P76" s="36">
        <f>N76-O76</f>
        <v/>
      </c>
      <c r="Q76" s="32" t="n"/>
      <c r="R76" s="32" t="n"/>
      <c r="S76" s="32" t="n"/>
      <c r="T76" s="33" t="n"/>
      <c r="U76" s="42">
        <f>'S39'!T76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43.xml><?xml version="1.0" encoding="utf-8"?>
<worksheet xmlns="http://schemas.openxmlformats.org/spreadsheetml/2006/main">
  <sheetPr>
    <tabColor rgb="007030A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41 (05/10 - 11/10) — Octobre 2026 - Exécution Physique et Financière</t>
        </is>
      </c>
    </row>
    <row r="3" ht="22" customHeight="1">
      <c r="B3" s="20" t="inlineStr">
        <is>
          <t>Date :</t>
        </is>
      </c>
      <c r="C3" s="21" t="n">
        <v>46300</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'S40'!M5+L5</f>
        <v/>
      </c>
      <c r="N5" s="31">
        <f>IFERROR(M5/K5,0)</f>
        <v/>
      </c>
      <c r="O5" s="40">
        <f>'S40'!N5</f>
        <v/>
      </c>
      <c r="P5" s="31">
        <f>N5-O5</f>
        <v/>
      </c>
      <c r="Q5" s="32" t="n"/>
      <c r="R5" s="32" t="n"/>
      <c r="S5" s="32" t="n"/>
      <c r="T5" s="33" t="n"/>
      <c r="U5" s="40">
        <f>'S40'!T5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'S40'!M6+L6</f>
        <v/>
      </c>
      <c r="N6" s="36">
        <f>IFERROR(M6/K6,0)</f>
        <v/>
      </c>
      <c r="O6" s="42">
        <f>'S40'!N6</f>
        <v/>
      </c>
      <c r="P6" s="36">
        <f>N6-O6</f>
        <v/>
      </c>
      <c r="Q6" s="32" t="n"/>
      <c r="R6" s="32" t="n"/>
      <c r="S6" s="32" t="n"/>
      <c r="T6" s="33" t="n"/>
      <c r="U6" s="42">
        <f>'S40'!T6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'S40'!M7+L7</f>
        <v/>
      </c>
      <c r="N7" s="31">
        <f>IFERROR(M7/K7,0)</f>
        <v/>
      </c>
      <c r="O7" s="40">
        <f>'S40'!N7</f>
        <v/>
      </c>
      <c r="P7" s="31">
        <f>N7-O7</f>
        <v/>
      </c>
      <c r="Q7" s="32" t="n"/>
      <c r="R7" s="32" t="n"/>
      <c r="S7" s="32" t="n"/>
      <c r="T7" s="33" t="n"/>
      <c r="U7" s="40">
        <f>'S40'!T7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'S40'!M8+L8</f>
        <v/>
      </c>
      <c r="N8" s="36">
        <f>IFERROR(M8/K8,0)</f>
        <v/>
      </c>
      <c r="O8" s="42">
        <f>'S40'!N8</f>
        <v/>
      </c>
      <c r="P8" s="36">
        <f>N8-O8</f>
        <v/>
      </c>
      <c r="Q8" s="32" t="n"/>
      <c r="R8" s="32" t="n"/>
      <c r="S8" s="32" t="n"/>
      <c r="T8" s="33" t="n"/>
      <c r="U8" s="42">
        <f>'S40'!T8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'S40'!M9+L9</f>
        <v/>
      </c>
      <c r="N9" s="31">
        <f>IFERROR(M9/K9,0)</f>
        <v/>
      </c>
      <c r="O9" s="40">
        <f>'S40'!N9</f>
        <v/>
      </c>
      <c r="P9" s="31">
        <f>N9-O9</f>
        <v/>
      </c>
      <c r="Q9" s="32" t="n"/>
      <c r="R9" s="32" t="n"/>
      <c r="S9" s="32" t="n"/>
      <c r="T9" s="33" t="n"/>
      <c r="U9" s="40">
        <f>'S40'!T9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'S40'!M10+L10</f>
        <v/>
      </c>
      <c r="N10" s="36">
        <f>IFERROR(M10/K10,0)</f>
        <v/>
      </c>
      <c r="O10" s="42">
        <f>'S40'!N10</f>
        <v/>
      </c>
      <c r="P10" s="36">
        <f>N10-O10</f>
        <v/>
      </c>
      <c r="Q10" s="32" t="n"/>
      <c r="R10" s="32" t="n"/>
      <c r="S10" s="32" t="n"/>
      <c r="T10" s="33" t="n"/>
      <c r="U10" s="42">
        <f>'S40'!T10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'S40'!M11+L11</f>
        <v/>
      </c>
      <c r="N11" s="31">
        <f>IFERROR(M11/K11,0)</f>
        <v/>
      </c>
      <c r="O11" s="40">
        <f>'S40'!N11</f>
        <v/>
      </c>
      <c r="P11" s="31">
        <f>N11-O11</f>
        <v/>
      </c>
      <c r="Q11" s="32" t="n"/>
      <c r="R11" s="32" t="n"/>
      <c r="S11" s="32" t="n"/>
      <c r="T11" s="33" t="n"/>
      <c r="U11" s="40">
        <f>'S40'!T11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'S40'!M12+L12</f>
        <v/>
      </c>
      <c r="N12" s="36">
        <f>IFERROR(M12/K12,0)</f>
        <v/>
      </c>
      <c r="O12" s="42">
        <f>'S40'!N12</f>
        <v/>
      </c>
      <c r="P12" s="36">
        <f>N12-O12</f>
        <v/>
      </c>
      <c r="Q12" s="32" t="n"/>
      <c r="R12" s="32" t="n"/>
      <c r="S12" s="32" t="n"/>
      <c r="T12" s="33" t="n"/>
      <c r="U12" s="42">
        <f>'S40'!T12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'S40'!M13+L13</f>
        <v/>
      </c>
      <c r="N13" s="31">
        <f>IFERROR(M13/K13,0)</f>
        <v/>
      </c>
      <c r="O13" s="40">
        <f>'S40'!N13</f>
        <v/>
      </c>
      <c r="P13" s="31">
        <f>N13-O13</f>
        <v/>
      </c>
      <c r="Q13" s="32" t="n"/>
      <c r="R13" s="32" t="n"/>
      <c r="S13" s="32" t="n"/>
      <c r="T13" s="33" t="n"/>
      <c r="U13" s="40">
        <f>'S40'!T13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'S40'!M14+L14</f>
        <v/>
      </c>
      <c r="N14" s="36">
        <f>IFERROR(M14/K14,0)</f>
        <v/>
      </c>
      <c r="O14" s="42">
        <f>'S40'!N14</f>
        <v/>
      </c>
      <c r="P14" s="36">
        <f>N14-O14</f>
        <v/>
      </c>
      <c r="Q14" s="32" t="n"/>
      <c r="R14" s="32" t="n"/>
      <c r="S14" s="32" t="n"/>
      <c r="T14" s="33" t="n"/>
      <c r="U14" s="42">
        <f>'S40'!T14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'S40'!M15+L15</f>
        <v/>
      </c>
      <c r="N15" s="31">
        <f>IFERROR(M15/K15,0)</f>
        <v/>
      </c>
      <c r="O15" s="40">
        <f>'S40'!N15</f>
        <v/>
      </c>
      <c r="P15" s="31">
        <f>N15-O15</f>
        <v/>
      </c>
      <c r="Q15" s="32" t="n"/>
      <c r="R15" s="32" t="n"/>
      <c r="S15" s="32" t="n"/>
      <c r="T15" s="33" t="n"/>
      <c r="U15" s="40">
        <f>'S40'!T15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'S40'!M16+L16</f>
        <v/>
      </c>
      <c r="N16" s="36">
        <f>IFERROR(M16/K16,0)</f>
        <v/>
      </c>
      <c r="O16" s="42">
        <f>'S40'!N16</f>
        <v/>
      </c>
      <c r="P16" s="36">
        <f>N16-O16</f>
        <v/>
      </c>
      <c r="Q16" s="32" t="n"/>
      <c r="R16" s="32" t="n"/>
      <c r="S16" s="32" t="n"/>
      <c r="T16" s="33" t="n"/>
      <c r="U16" s="42">
        <f>'S40'!T16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'S40'!M17+L17</f>
        <v/>
      </c>
      <c r="N17" s="31">
        <f>IFERROR(M17/K17,0)</f>
        <v/>
      </c>
      <c r="O17" s="40">
        <f>'S40'!N17</f>
        <v/>
      </c>
      <c r="P17" s="31">
        <f>N17-O17</f>
        <v/>
      </c>
      <c r="Q17" s="32" t="n"/>
      <c r="R17" s="32" t="n"/>
      <c r="S17" s="32" t="n"/>
      <c r="T17" s="33" t="n"/>
      <c r="U17" s="40">
        <f>'S40'!T17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'S40'!M18+L18</f>
        <v/>
      </c>
      <c r="N18" s="36">
        <f>IFERROR(M18/K18,0)</f>
        <v/>
      </c>
      <c r="O18" s="42">
        <f>'S40'!N18</f>
        <v/>
      </c>
      <c r="P18" s="36">
        <f>N18-O18</f>
        <v/>
      </c>
      <c r="Q18" s="32" t="n"/>
      <c r="R18" s="32" t="n"/>
      <c r="S18" s="32" t="n"/>
      <c r="T18" s="33" t="n"/>
      <c r="U18" s="42">
        <f>'S40'!T18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'S40'!M19+L19</f>
        <v/>
      </c>
      <c r="N19" s="31">
        <f>IFERROR(M19/K19,0)</f>
        <v/>
      </c>
      <c r="O19" s="40">
        <f>'S40'!N19</f>
        <v/>
      </c>
      <c r="P19" s="31">
        <f>N19-O19</f>
        <v/>
      </c>
      <c r="Q19" s="32" t="n"/>
      <c r="R19" s="32" t="n"/>
      <c r="S19" s="32" t="n"/>
      <c r="T19" s="33" t="n"/>
      <c r="U19" s="40">
        <f>'S40'!T19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'S40'!M20+L20</f>
        <v/>
      </c>
      <c r="N20" s="36">
        <f>IFERROR(M20/K20,0)</f>
        <v/>
      </c>
      <c r="O20" s="42">
        <f>'S40'!N20</f>
        <v/>
      </c>
      <c r="P20" s="36">
        <f>N20-O20</f>
        <v/>
      </c>
      <c r="Q20" s="32" t="n"/>
      <c r="R20" s="32" t="n"/>
      <c r="S20" s="32" t="n"/>
      <c r="T20" s="33" t="n"/>
      <c r="U20" s="42">
        <f>'S40'!T20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'S40'!M21+L21</f>
        <v/>
      </c>
      <c r="N21" s="31">
        <f>IFERROR(M21/K21,0)</f>
        <v/>
      </c>
      <c r="O21" s="40">
        <f>'S40'!N21</f>
        <v/>
      </c>
      <c r="P21" s="31">
        <f>N21-O21</f>
        <v/>
      </c>
      <c r="Q21" s="32" t="n"/>
      <c r="R21" s="32" t="n"/>
      <c r="S21" s="32" t="n"/>
      <c r="T21" s="33" t="n"/>
      <c r="U21" s="40">
        <f>'S40'!T21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'S40'!M22+L22</f>
        <v/>
      </c>
      <c r="N22" s="36">
        <f>IFERROR(M22/K22,0)</f>
        <v/>
      </c>
      <c r="O22" s="42">
        <f>'S40'!N22</f>
        <v/>
      </c>
      <c r="P22" s="36">
        <f>N22-O22</f>
        <v/>
      </c>
      <c r="Q22" s="32" t="n"/>
      <c r="R22" s="32" t="n"/>
      <c r="S22" s="32" t="n"/>
      <c r="T22" s="33" t="n"/>
      <c r="U22" s="42">
        <f>'S40'!T22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'S40'!M23+L23</f>
        <v/>
      </c>
      <c r="N23" s="31">
        <f>IFERROR(M23/K23,0)</f>
        <v/>
      </c>
      <c r="O23" s="40">
        <f>'S40'!N23</f>
        <v/>
      </c>
      <c r="P23" s="31">
        <f>N23-O23</f>
        <v/>
      </c>
      <c r="Q23" s="32" t="n"/>
      <c r="R23" s="32" t="n"/>
      <c r="S23" s="32" t="n"/>
      <c r="T23" s="33" t="n"/>
      <c r="U23" s="40">
        <f>'S40'!T23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'S40'!M24+L24</f>
        <v/>
      </c>
      <c r="N24" s="36">
        <f>IFERROR(M24/K24,0)</f>
        <v/>
      </c>
      <c r="O24" s="42">
        <f>'S40'!N24</f>
        <v/>
      </c>
      <c r="P24" s="36">
        <f>N24-O24</f>
        <v/>
      </c>
      <c r="Q24" s="32" t="n"/>
      <c r="R24" s="32" t="n"/>
      <c r="S24" s="32" t="n"/>
      <c r="T24" s="33" t="n"/>
      <c r="U24" s="42">
        <f>'S40'!T24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'S40'!M25+L25</f>
        <v/>
      </c>
      <c r="N25" s="31">
        <f>IFERROR(M25/K25,0)</f>
        <v/>
      </c>
      <c r="O25" s="40">
        <f>'S40'!N25</f>
        <v/>
      </c>
      <c r="P25" s="31">
        <f>N25-O25</f>
        <v/>
      </c>
      <c r="Q25" s="32" t="n"/>
      <c r="R25" s="32" t="n"/>
      <c r="S25" s="32" t="n"/>
      <c r="T25" s="33" t="n"/>
      <c r="U25" s="40">
        <f>'S40'!T25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'S40'!M26+L26</f>
        <v/>
      </c>
      <c r="N26" s="36">
        <f>IFERROR(M26/K26,0)</f>
        <v/>
      </c>
      <c r="O26" s="42">
        <f>'S40'!N26</f>
        <v/>
      </c>
      <c r="P26" s="36">
        <f>N26-O26</f>
        <v/>
      </c>
      <c r="Q26" s="32" t="n"/>
      <c r="R26" s="32" t="n"/>
      <c r="S26" s="32" t="n"/>
      <c r="T26" s="33" t="n"/>
      <c r="U26" s="42">
        <f>'S40'!T26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'S40'!M27+L27</f>
        <v/>
      </c>
      <c r="N27" s="31">
        <f>IFERROR(M27/K27,0)</f>
        <v/>
      </c>
      <c r="O27" s="40">
        <f>'S40'!N27</f>
        <v/>
      </c>
      <c r="P27" s="31">
        <f>N27-O27</f>
        <v/>
      </c>
      <c r="Q27" s="32" t="n"/>
      <c r="R27" s="32" t="n"/>
      <c r="S27" s="32" t="n"/>
      <c r="T27" s="33" t="n"/>
      <c r="U27" s="40">
        <f>'S40'!T27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'S40'!M28+L28</f>
        <v/>
      </c>
      <c r="N28" s="36">
        <f>IFERROR(M28/K28,0)</f>
        <v/>
      </c>
      <c r="O28" s="42">
        <f>'S40'!N28</f>
        <v/>
      </c>
      <c r="P28" s="36">
        <f>N28-O28</f>
        <v/>
      </c>
      <c r="Q28" s="32" t="n"/>
      <c r="R28" s="32" t="n"/>
      <c r="S28" s="32" t="n"/>
      <c r="T28" s="33" t="n"/>
      <c r="U28" s="42">
        <f>'S40'!T28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'S40'!M29+L29</f>
        <v/>
      </c>
      <c r="N29" s="31">
        <f>IFERROR(M29/K29,0)</f>
        <v/>
      </c>
      <c r="O29" s="40">
        <f>'S40'!N29</f>
        <v/>
      </c>
      <c r="P29" s="31">
        <f>N29-O29</f>
        <v/>
      </c>
      <c r="Q29" s="32" t="n"/>
      <c r="R29" s="32" t="n"/>
      <c r="S29" s="32" t="n"/>
      <c r="T29" s="33" t="n"/>
      <c r="U29" s="40">
        <f>'S40'!T29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'S40'!M30+L30</f>
        <v/>
      </c>
      <c r="N30" s="36">
        <f>IFERROR(M30/K30,0)</f>
        <v/>
      </c>
      <c r="O30" s="42">
        <f>'S40'!N30</f>
        <v/>
      </c>
      <c r="P30" s="36">
        <f>N30-O30</f>
        <v/>
      </c>
      <c r="Q30" s="32" t="n"/>
      <c r="R30" s="32" t="n"/>
      <c r="S30" s="32" t="n"/>
      <c r="T30" s="33" t="n"/>
      <c r="U30" s="42">
        <f>'S40'!T30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'S40'!M31+L31</f>
        <v/>
      </c>
      <c r="N31" s="31">
        <f>IFERROR(M31/K31,0)</f>
        <v/>
      </c>
      <c r="O31" s="40">
        <f>'S40'!N31</f>
        <v/>
      </c>
      <c r="P31" s="31">
        <f>N31-O31</f>
        <v/>
      </c>
      <c r="Q31" s="32" t="n"/>
      <c r="R31" s="32" t="n"/>
      <c r="S31" s="32" t="n"/>
      <c r="T31" s="33" t="n"/>
      <c r="U31" s="40">
        <f>'S40'!T31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'S40'!M32+L32</f>
        <v/>
      </c>
      <c r="N32" s="36">
        <f>IFERROR(M32/K32,0)</f>
        <v/>
      </c>
      <c r="O32" s="42">
        <f>'S40'!N32</f>
        <v/>
      </c>
      <c r="P32" s="36">
        <f>N32-O32</f>
        <v/>
      </c>
      <c r="Q32" s="32" t="n"/>
      <c r="R32" s="32" t="n"/>
      <c r="S32" s="32" t="n"/>
      <c r="T32" s="33" t="n"/>
      <c r="U32" s="42">
        <f>'S40'!T32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'S40'!M33+L33</f>
        <v/>
      </c>
      <c r="N33" s="31">
        <f>IFERROR(M33/K33,0)</f>
        <v/>
      </c>
      <c r="O33" s="40">
        <f>'S40'!N33</f>
        <v/>
      </c>
      <c r="P33" s="31">
        <f>N33-O33</f>
        <v/>
      </c>
      <c r="Q33" s="32" t="n"/>
      <c r="R33" s="32" t="n"/>
      <c r="S33" s="32" t="n"/>
      <c r="T33" s="33" t="n"/>
      <c r="U33" s="40">
        <f>'S40'!T33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'S40'!M34+L34</f>
        <v/>
      </c>
      <c r="N34" s="36">
        <f>IFERROR(M34/K34,0)</f>
        <v/>
      </c>
      <c r="O34" s="42">
        <f>'S40'!N34</f>
        <v/>
      </c>
      <c r="P34" s="36">
        <f>N34-O34</f>
        <v/>
      </c>
      <c r="Q34" s="32" t="n"/>
      <c r="R34" s="32" t="n"/>
      <c r="S34" s="32" t="n"/>
      <c r="T34" s="33" t="n"/>
      <c r="U34" s="42">
        <f>'S40'!T34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'S40'!M35+L35</f>
        <v/>
      </c>
      <c r="N35" s="31">
        <f>IFERROR(M35/K35,0)</f>
        <v/>
      </c>
      <c r="O35" s="40">
        <f>'S40'!N35</f>
        <v/>
      </c>
      <c r="P35" s="31">
        <f>N35-O35</f>
        <v/>
      </c>
      <c r="Q35" s="32" t="n"/>
      <c r="R35" s="32" t="n"/>
      <c r="S35" s="32" t="n"/>
      <c r="T35" s="33" t="n"/>
      <c r="U35" s="40">
        <f>'S40'!T35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'S40'!M36+L36</f>
        <v/>
      </c>
      <c r="N36" s="36">
        <f>IFERROR(M36/K36,0)</f>
        <v/>
      </c>
      <c r="O36" s="42">
        <f>'S40'!N36</f>
        <v/>
      </c>
      <c r="P36" s="36">
        <f>N36-O36</f>
        <v/>
      </c>
      <c r="Q36" s="32" t="n"/>
      <c r="R36" s="32" t="n"/>
      <c r="S36" s="32" t="n"/>
      <c r="T36" s="33" t="n"/>
      <c r="U36" s="42">
        <f>'S40'!T36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'S40'!M37+L37</f>
        <v/>
      </c>
      <c r="N37" s="31">
        <f>IFERROR(M37/K37,0)</f>
        <v/>
      </c>
      <c r="O37" s="40">
        <f>'S40'!N37</f>
        <v/>
      </c>
      <c r="P37" s="31">
        <f>N37-O37</f>
        <v/>
      </c>
      <c r="Q37" s="32" t="n"/>
      <c r="R37" s="32" t="n"/>
      <c r="S37" s="32" t="n"/>
      <c r="T37" s="33" t="n"/>
      <c r="U37" s="40">
        <f>'S40'!T37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'S40'!M38+L38</f>
        <v/>
      </c>
      <c r="N38" s="36">
        <f>IFERROR(M38/K38,0)</f>
        <v/>
      </c>
      <c r="O38" s="42">
        <f>'S40'!N38</f>
        <v/>
      </c>
      <c r="P38" s="36">
        <f>N38-O38</f>
        <v/>
      </c>
      <c r="Q38" s="32" t="n"/>
      <c r="R38" s="32" t="n"/>
      <c r="S38" s="32" t="n"/>
      <c r="T38" s="33" t="n"/>
      <c r="U38" s="42">
        <f>'S40'!T38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'S40'!M39+L39</f>
        <v/>
      </c>
      <c r="N39" s="31">
        <f>IFERROR(M39/K39,0)</f>
        <v/>
      </c>
      <c r="O39" s="40">
        <f>'S40'!N39</f>
        <v/>
      </c>
      <c r="P39" s="31">
        <f>N39-O39</f>
        <v/>
      </c>
      <c r="Q39" s="32" t="n"/>
      <c r="R39" s="32" t="n"/>
      <c r="S39" s="32" t="n"/>
      <c r="T39" s="33" t="n"/>
      <c r="U39" s="40">
        <f>'S40'!T39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'S40'!M40+L40</f>
        <v/>
      </c>
      <c r="N40" s="36">
        <f>IFERROR(M40/K40,0)</f>
        <v/>
      </c>
      <c r="O40" s="42">
        <f>'S40'!N40</f>
        <v/>
      </c>
      <c r="P40" s="36">
        <f>N40-O40</f>
        <v/>
      </c>
      <c r="Q40" s="32" t="n"/>
      <c r="R40" s="32" t="n"/>
      <c r="S40" s="32" t="n"/>
      <c r="T40" s="33" t="n"/>
      <c r="U40" s="42">
        <f>'S40'!T40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'S40'!M41+L41</f>
        <v/>
      </c>
      <c r="N41" s="31">
        <f>IFERROR(M41/K41,0)</f>
        <v/>
      </c>
      <c r="O41" s="40">
        <f>'S40'!N41</f>
        <v/>
      </c>
      <c r="P41" s="31">
        <f>N41-O41</f>
        <v/>
      </c>
      <c r="Q41" s="32" t="n"/>
      <c r="R41" s="32" t="n"/>
      <c r="S41" s="32" t="n"/>
      <c r="T41" s="33" t="n"/>
      <c r="U41" s="40">
        <f>'S40'!T41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'S40'!M42+L42</f>
        <v/>
      </c>
      <c r="N42" s="36">
        <f>IFERROR(M42/K42,0)</f>
        <v/>
      </c>
      <c r="O42" s="42">
        <f>'S40'!N42</f>
        <v/>
      </c>
      <c r="P42" s="36">
        <f>N42-O42</f>
        <v/>
      </c>
      <c r="Q42" s="32" t="n"/>
      <c r="R42" s="32" t="n"/>
      <c r="S42" s="32" t="n"/>
      <c r="T42" s="33" t="n"/>
      <c r="U42" s="42">
        <f>'S40'!T42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'S40'!M43+L43</f>
        <v/>
      </c>
      <c r="N43" s="31">
        <f>IFERROR(M43/K43,0)</f>
        <v/>
      </c>
      <c r="O43" s="40">
        <f>'S40'!N43</f>
        <v/>
      </c>
      <c r="P43" s="31">
        <f>N43-O43</f>
        <v/>
      </c>
      <c r="Q43" s="32" t="n"/>
      <c r="R43" s="32" t="n"/>
      <c r="S43" s="32" t="n"/>
      <c r="T43" s="33" t="n"/>
      <c r="U43" s="40">
        <f>'S40'!T43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'S40'!M44+L44</f>
        <v/>
      </c>
      <c r="N44" s="36">
        <f>IFERROR(M44/K44,0)</f>
        <v/>
      </c>
      <c r="O44" s="42">
        <f>'S40'!N44</f>
        <v/>
      </c>
      <c r="P44" s="36">
        <f>N44-O44</f>
        <v/>
      </c>
      <c r="Q44" s="32" t="n"/>
      <c r="R44" s="32" t="n"/>
      <c r="S44" s="32" t="n"/>
      <c r="T44" s="33" t="n"/>
      <c r="U44" s="42">
        <f>'S40'!T44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'S40'!M45+L45</f>
        <v/>
      </c>
      <c r="N45" s="31">
        <f>IFERROR(M45/K45,0)</f>
        <v/>
      </c>
      <c r="O45" s="40">
        <f>'S40'!N45</f>
        <v/>
      </c>
      <c r="P45" s="31">
        <f>N45-O45</f>
        <v/>
      </c>
      <c r="Q45" s="32" t="n"/>
      <c r="R45" s="32" t="n"/>
      <c r="S45" s="32" t="n"/>
      <c r="T45" s="33" t="n"/>
      <c r="U45" s="40">
        <f>'S40'!T45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'S40'!M46+L46</f>
        <v/>
      </c>
      <c r="N46" s="36">
        <f>IFERROR(M46/K46,0)</f>
        <v/>
      </c>
      <c r="O46" s="42">
        <f>'S40'!N46</f>
        <v/>
      </c>
      <c r="P46" s="36">
        <f>N46-O46</f>
        <v/>
      </c>
      <c r="Q46" s="32" t="n"/>
      <c r="R46" s="32" t="n"/>
      <c r="S46" s="32" t="n"/>
      <c r="T46" s="33" t="n"/>
      <c r="U46" s="42">
        <f>'S40'!T46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'S40'!M47+L47</f>
        <v/>
      </c>
      <c r="N47" s="31">
        <f>IFERROR(M47/K47,0)</f>
        <v/>
      </c>
      <c r="O47" s="40">
        <f>'S40'!N47</f>
        <v/>
      </c>
      <c r="P47" s="31">
        <f>N47-O47</f>
        <v/>
      </c>
      <c r="Q47" s="32" t="n"/>
      <c r="R47" s="32" t="n"/>
      <c r="S47" s="32" t="n"/>
      <c r="T47" s="33" t="n"/>
      <c r="U47" s="40">
        <f>'S40'!T47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'S40'!M48+L48</f>
        <v/>
      </c>
      <c r="N48" s="36">
        <f>IFERROR(M48/K48,0)</f>
        <v/>
      </c>
      <c r="O48" s="42">
        <f>'S40'!N48</f>
        <v/>
      </c>
      <c r="P48" s="36">
        <f>N48-O48</f>
        <v/>
      </c>
      <c r="Q48" s="32" t="n"/>
      <c r="R48" s="32" t="n"/>
      <c r="S48" s="32" t="n"/>
      <c r="T48" s="33" t="n"/>
      <c r="U48" s="42">
        <f>'S40'!T48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'S40'!M49+L49</f>
        <v/>
      </c>
      <c r="N49" s="31">
        <f>IFERROR(M49/K49,0)</f>
        <v/>
      </c>
      <c r="O49" s="40">
        <f>'S40'!N49</f>
        <v/>
      </c>
      <c r="P49" s="31">
        <f>N49-O49</f>
        <v/>
      </c>
      <c r="Q49" s="32" t="n"/>
      <c r="R49" s="32" t="n"/>
      <c r="S49" s="32" t="n"/>
      <c r="T49" s="33" t="n"/>
      <c r="U49" s="40">
        <f>'S40'!T49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'S40'!M50+L50</f>
        <v/>
      </c>
      <c r="N50" s="36">
        <f>IFERROR(M50/K50,0)</f>
        <v/>
      </c>
      <c r="O50" s="42">
        <f>'S40'!N50</f>
        <v/>
      </c>
      <c r="P50" s="36">
        <f>N50-O50</f>
        <v/>
      </c>
      <c r="Q50" s="32" t="n"/>
      <c r="R50" s="32" t="n"/>
      <c r="S50" s="32" t="n"/>
      <c r="T50" s="33" t="n"/>
      <c r="U50" s="42">
        <f>'S40'!T50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'S40'!M51+L51</f>
        <v/>
      </c>
      <c r="N51" s="31">
        <f>IFERROR(M51/K51,0)</f>
        <v/>
      </c>
      <c r="O51" s="40">
        <f>'S40'!N51</f>
        <v/>
      </c>
      <c r="P51" s="31">
        <f>N51-O51</f>
        <v/>
      </c>
      <c r="Q51" s="32" t="n"/>
      <c r="R51" s="32" t="n"/>
      <c r="S51" s="32" t="n"/>
      <c r="T51" s="33" t="n"/>
      <c r="U51" s="40">
        <f>'S40'!T51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'S40'!M52+L52</f>
        <v/>
      </c>
      <c r="N52" s="36">
        <f>IFERROR(M52/K52,0)</f>
        <v/>
      </c>
      <c r="O52" s="42">
        <f>'S40'!N52</f>
        <v/>
      </c>
      <c r="P52" s="36">
        <f>N52-O52</f>
        <v/>
      </c>
      <c r="Q52" s="32" t="n"/>
      <c r="R52" s="32" t="n"/>
      <c r="S52" s="32" t="n"/>
      <c r="T52" s="33" t="n"/>
      <c r="U52" s="42">
        <f>'S40'!T52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'S40'!M53+L53</f>
        <v/>
      </c>
      <c r="N53" s="31">
        <f>IFERROR(M53/K53,0)</f>
        <v/>
      </c>
      <c r="O53" s="40">
        <f>'S40'!N53</f>
        <v/>
      </c>
      <c r="P53" s="31">
        <f>N53-O53</f>
        <v/>
      </c>
      <c r="Q53" s="32" t="n"/>
      <c r="R53" s="32" t="n"/>
      <c r="S53" s="32" t="n"/>
      <c r="T53" s="33" t="n"/>
      <c r="U53" s="40">
        <f>'S40'!T53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'S40'!M54+L54</f>
        <v/>
      </c>
      <c r="N54" s="36">
        <f>IFERROR(M54/K54,0)</f>
        <v/>
      </c>
      <c r="O54" s="42">
        <f>'S40'!N54</f>
        <v/>
      </c>
      <c r="P54" s="36">
        <f>N54-O54</f>
        <v/>
      </c>
      <c r="Q54" s="32" t="n"/>
      <c r="R54" s="32" t="n"/>
      <c r="S54" s="32" t="n"/>
      <c r="T54" s="33" t="n"/>
      <c r="U54" s="42">
        <f>'S40'!T54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'S40'!M55+L55</f>
        <v/>
      </c>
      <c r="N55" s="31">
        <f>IFERROR(M55/K55,0)</f>
        <v/>
      </c>
      <c r="O55" s="40">
        <f>'S40'!N55</f>
        <v/>
      </c>
      <c r="P55" s="31">
        <f>N55-O55</f>
        <v/>
      </c>
      <c r="Q55" s="32" t="n"/>
      <c r="R55" s="32" t="n"/>
      <c r="S55" s="32" t="n"/>
      <c r="T55" s="33" t="n"/>
      <c r="U55" s="40">
        <f>'S40'!T55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'S40'!M56+L56</f>
        <v/>
      </c>
      <c r="N56" s="36">
        <f>IFERROR(M56/K56,0)</f>
        <v/>
      </c>
      <c r="O56" s="42">
        <f>'S40'!N56</f>
        <v/>
      </c>
      <c r="P56" s="36">
        <f>N56-O56</f>
        <v/>
      </c>
      <c r="Q56" s="32" t="n"/>
      <c r="R56" s="32" t="n"/>
      <c r="S56" s="32" t="n"/>
      <c r="T56" s="33" t="n"/>
      <c r="U56" s="42">
        <f>'S40'!T56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'S40'!M57+L57</f>
        <v/>
      </c>
      <c r="N57" s="31">
        <f>IFERROR(M57/K57,0)</f>
        <v/>
      </c>
      <c r="O57" s="40">
        <f>'S40'!N57</f>
        <v/>
      </c>
      <c r="P57" s="31">
        <f>N57-O57</f>
        <v/>
      </c>
      <c r="Q57" s="32" t="n"/>
      <c r="R57" s="32" t="n"/>
      <c r="S57" s="32" t="n"/>
      <c r="T57" s="33" t="n"/>
      <c r="U57" s="40">
        <f>'S40'!T57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'S40'!M58+L58</f>
        <v/>
      </c>
      <c r="N58" s="36">
        <f>IFERROR(M58/K58,0)</f>
        <v/>
      </c>
      <c r="O58" s="42">
        <f>'S40'!N58</f>
        <v/>
      </c>
      <c r="P58" s="36">
        <f>N58-O58</f>
        <v/>
      </c>
      <c r="Q58" s="32" t="n"/>
      <c r="R58" s="32" t="n"/>
      <c r="S58" s="32" t="n"/>
      <c r="T58" s="33" t="n"/>
      <c r="U58" s="42">
        <f>'S40'!T58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'S40'!M59+L59</f>
        <v/>
      </c>
      <c r="N59" s="31">
        <f>IFERROR(M59/K59,0)</f>
        <v/>
      </c>
      <c r="O59" s="40">
        <f>'S40'!N59</f>
        <v/>
      </c>
      <c r="P59" s="31">
        <f>N59-O59</f>
        <v/>
      </c>
      <c r="Q59" s="32" t="n"/>
      <c r="R59" s="32" t="n"/>
      <c r="S59" s="32" t="n"/>
      <c r="T59" s="33" t="n"/>
      <c r="U59" s="40">
        <f>'S40'!T59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'S40'!M60+L60</f>
        <v/>
      </c>
      <c r="N60" s="36">
        <f>IFERROR(M60/K60,0)</f>
        <v/>
      </c>
      <c r="O60" s="42">
        <f>'S40'!N60</f>
        <v/>
      </c>
      <c r="P60" s="36">
        <f>N60-O60</f>
        <v/>
      </c>
      <c r="Q60" s="32" t="n"/>
      <c r="R60" s="32" t="n"/>
      <c r="S60" s="32" t="n"/>
      <c r="T60" s="33" t="n"/>
      <c r="U60" s="42">
        <f>'S40'!T60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'S40'!M61+L61</f>
        <v/>
      </c>
      <c r="N61" s="31">
        <f>IFERROR(M61/K61,0)</f>
        <v/>
      </c>
      <c r="O61" s="40">
        <f>'S40'!N61</f>
        <v/>
      </c>
      <c r="P61" s="31">
        <f>N61-O61</f>
        <v/>
      </c>
      <c r="Q61" s="32" t="n"/>
      <c r="R61" s="32" t="n"/>
      <c r="S61" s="32" t="n"/>
      <c r="T61" s="33" t="n"/>
      <c r="U61" s="40">
        <f>'S40'!T61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'S40'!M62+L62</f>
        <v/>
      </c>
      <c r="N62" s="36">
        <f>IFERROR(M62/K62,0)</f>
        <v/>
      </c>
      <c r="O62" s="42">
        <f>'S40'!N62</f>
        <v/>
      </c>
      <c r="P62" s="36">
        <f>N62-O62</f>
        <v/>
      </c>
      <c r="Q62" s="32" t="n"/>
      <c r="R62" s="32" t="n"/>
      <c r="S62" s="32" t="n"/>
      <c r="T62" s="33" t="n"/>
      <c r="U62" s="42">
        <f>'S40'!T62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'S40'!M63+L63</f>
        <v/>
      </c>
      <c r="N63" s="31">
        <f>IFERROR(M63/K63,0)</f>
        <v/>
      </c>
      <c r="O63" s="40">
        <f>'S40'!N63</f>
        <v/>
      </c>
      <c r="P63" s="31">
        <f>N63-O63</f>
        <v/>
      </c>
      <c r="Q63" s="32" t="n"/>
      <c r="R63" s="32" t="n"/>
      <c r="S63" s="32" t="n"/>
      <c r="T63" s="33" t="n"/>
      <c r="U63" s="40">
        <f>'S40'!T63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'S40'!M64+L64</f>
        <v/>
      </c>
      <c r="N64" s="36">
        <f>IFERROR(M64/K64,0)</f>
        <v/>
      </c>
      <c r="O64" s="42">
        <f>'S40'!N64</f>
        <v/>
      </c>
      <c r="P64" s="36">
        <f>N64-O64</f>
        <v/>
      </c>
      <c r="Q64" s="32" t="n"/>
      <c r="R64" s="32" t="n"/>
      <c r="S64" s="32" t="n"/>
      <c r="T64" s="33" t="n"/>
      <c r="U64" s="42">
        <f>'S40'!T64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'S40'!M65+L65</f>
        <v/>
      </c>
      <c r="N65" s="31">
        <f>IFERROR(M65/K65,0)</f>
        <v/>
      </c>
      <c r="O65" s="40">
        <f>'S40'!N65</f>
        <v/>
      </c>
      <c r="P65" s="31">
        <f>N65-O65</f>
        <v/>
      </c>
      <c r="Q65" s="32" t="n"/>
      <c r="R65" s="32" t="n"/>
      <c r="S65" s="32" t="n"/>
      <c r="T65" s="33" t="n"/>
      <c r="U65" s="40">
        <f>'S40'!T65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'S40'!M66+L66</f>
        <v/>
      </c>
      <c r="N66" s="36">
        <f>IFERROR(M66/K66,0)</f>
        <v/>
      </c>
      <c r="O66" s="42">
        <f>'S40'!N66</f>
        <v/>
      </c>
      <c r="P66" s="36">
        <f>N66-O66</f>
        <v/>
      </c>
      <c r="Q66" s="32" t="n"/>
      <c r="R66" s="32" t="n"/>
      <c r="S66" s="32" t="n"/>
      <c r="T66" s="33" t="n"/>
      <c r="U66" s="42">
        <f>'S40'!T66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'S40'!M67+L67</f>
        <v/>
      </c>
      <c r="N67" s="31">
        <f>IFERROR(M67/K67,0)</f>
        <v/>
      </c>
      <c r="O67" s="40">
        <f>'S40'!N67</f>
        <v/>
      </c>
      <c r="P67" s="31">
        <f>N67-O67</f>
        <v/>
      </c>
      <c r="Q67" s="32" t="n"/>
      <c r="R67" s="32" t="n"/>
      <c r="S67" s="32" t="n"/>
      <c r="T67" s="33" t="n"/>
      <c r="U67" s="40">
        <f>'S40'!T67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'S40'!M68+L68</f>
        <v/>
      </c>
      <c r="N68" s="36">
        <f>IFERROR(M68/K68,0)</f>
        <v/>
      </c>
      <c r="O68" s="42">
        <f>'S40'!N68</f>
        <v/>
      </c>
      <c r="P68" s="36">
        <f>N68-O68</f>
        <v/>
      </c>
      <c r="Q68" s="32" t="n"/>
      <c r="R68" s="32" t="n"/>
      <c r="S68" s="32" t="n"/>
      <c r="T68" s="33" t="n"/>
      <c r="U68" s="42">
        <f>'S40'!T68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'S40'!M69+L69</f>
        <v/>
      </c>
      <c r="N69" s="31">
        <f>IFERROR(M69/K69,0)</f>
        <v/>
      </c>
      <c r="O69" s="40">
        <f>'S40'!N69</f>
        <v/>
      </c>
      <c r="P69" s="31">
        <f>N69-O69</f>
        <v/>
      </c>
      <c r="Q69" s="32" t="n"/>
      <c r="R69" s="32" t="n"/>
      <c r="S69" s="32" t="n"/>
      <c r="T69" s="33" t="n"/>
      <c r="U69" s="40">
        <f>'S40'!T69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'S40'!M70+L70</f>
        <v/>
      </c>
      <c r="N70" s="36">
        <f>IFERROR(M70/K70,0)</f>
        <v/>
      </c>
      <c r="O70" s="42">
        <f>'S40'!N70</f>
        <v/>
      </c>
      <c r="P70" s="36">
        <f>N70-O70</f>
        <v/>
      </c>
      <c r="Q70" s="32" t="n"/>
      <c r="R70" s="32" t="n"/>
      <c r="S70" s="32" t="n"/>
      <c r="T70" s="33" t="n"/>
      <c r="U70" s="42">
        <f>'S40'!T70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'S40'!M71+L71</f>
        <v/>
      </c>
      <c r="N71" s="31">
        <f>IFERROR(M71/K71,0)</f>
        <v/>
      </c>
      <c r="O71" s="40">
        <f>'S40'!N71</f>
        <v/>
      </c>
      <c r="P71" s="31">
        <f>N71-O71</f>
        <v/>
      </c>
      <c r="Q71" s="32" t="n"/>
      <c r="R71" s="32" t="n"/>
      <c r="S71" s="32" t="n"/>
      <c r="T71" s="33" t="n"/>
      <c r="U71" s="40">
        <f>'S40'!T71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'S40'!M72+L72</f>
        <v/>
      </c>
      <c r="N72" s="36">
        <f>IFERROR(M72/K72,0)</f>
        <v/>
      </c>
      <c r="O72" s="42">
        <f>'S40'!N72</f>
        <v/>
      </c>
      <c r="P72" s="36">
        <f>N72-O72</f>
        <v/>
      </c>
      <c r="Q72" s="32" t="n"/>
      <c r="R72" s="32" t="n"/>
      <c r="S72" s="32" t="n"/>
      <c r="T72" s="33" t="n"/>
      <c r="U72" s="42">
        <f>'S40'!T72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'S40'!M73+L73</f>
        <v/>
      </c>
      <c r="N73" s="31">
        <f>IFERROR(M73/K73,0)</f>
        <v/>
      </c>
      <c r="O73" s="40">
        <f>'S40'!N73</f>
        <v/>
      </c>
      <c r="P73" s="31">
        <f>N73-O73</f>
        <v/>
      </c>
      <c r="Q73" s="32" t="n"/>
      <c r="R73" s="32" t="n"/>
      <c r="S73" s="32" t="n"/>
      <c r="T73" s="33" t="n"/>
      <c r="U73" s="40">
        <f>'S40'!T73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'S40'!M74+L74</f>
        <v/>
      </c>
      <c r="N74" s="36">
        <f>IFERROR(M74/K74,0)</f>
        <v/>
      </c>
      <c r="O74" s="42">
        <f>'S40'!N74</f>
        <v/>
      </c>
      <c r="P74" s="36">
        <f>N74-O74</f>
        <v/>
      </c>
      <c r="Q74" s="32" t="n"/>
      <c r="R74" s="32" t="n"/>
      <c r="S74" s="32" t="n"/>
      <c r="T74" s="33" t="n"/>
      <c r="U74" s="42">
        <f>'S40'!T74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'S40'!M75+L75</f>
        <v/>
      </c>
      <c r="N75" s="31">
        <f>IFERROR(M75/K75,0)</f>
        <v/>
      </c>
      <c r="O75" s="40">
        <f>'S40'!N75</f>
        <v/>
      </c>
      <c r="P75" s="31">
        <f>N75-O75</f>
        <v/>
      </c>
      <c r="Q75" s="32" t="n"/>
      <c r="R75" s="32" t="n"/>
      <c r="S75" s="32" t="n"/>
      <c r="T75" s="33" t="n"/>
      <c r="U75" s="40">
        <f>'S40'!T75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'S40'!M76+L76</f>
        <v/>
      </c>
      <c r="N76" s="36">
        <f>IFERROR(M76/K76,0)</f>
        <v/>
      </c>
      <c r="O76" s="42">
        <f>'S40'!N76</f>
        <v/>
      </c>
      <c r="P76" s="36">
        <f>N76-O76</f>
        <v/>
      </c>
      <c r="Q76" s="32" t="n"/>
      <c r="R76" s="32" t="n"/>
      <c r="S76" s="32" t="n"/>
      <c r="T76" s="33" t="n"/>
      <c r="U76" s="42">
        <f>'S40'!T76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44.xml><?xml version="1.0" encoding="utf-8"?>
<worksheet xmlns="http://schemas.openxmlformats.org/spreadsheetml/2006/main">
  <sheetPr>
    <tabColor rgb="007030A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42 (12/10 - 18/10) — Octobre 2026 - Exécution Physique et Financière</t>
        </is>
      </c>
    </row>
    <row r="3" ht="22" customHeight="1">
      <c r="B3" s="20" t="inlineStr">
        <is>
          <t>Date :</t>
        </is>
      </c>
      <c r="C3" s="21" t="n">
        <v>46307</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'S41'!M5+L5</f>
        <v/>
      </c>
      <c r="N5" s="31">
        <f>IFERROR(M5/K5,0)</f>
        <v/>
      </c>
      <c r="O5" s="40">
        <f>'S41'!N5</f>
        <v/>
      </c>
      <c r="P5" s="31">
        <f>N5-O5</f>
        <v/>
      </c>
      <c r="Q5" s="32" t="n"/>
      <c r="R5" s="32" t="n"/>
      <c r="S5" s="32" t="n"/>
      <c r="T5" s="33" t="n"/>
      <c r="U5" s="40">
        <f>'S41'!T5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'S41'!M6+L6</f>
        <v/>
      </c>
      <c r="N6" s="36">
        <f>IFERROR(M6/K6,0)</f>
        <v/>
      </c>
      <c r="O6" s="42">
        <f>'S41'!N6</f>
        <v/>
      </c>
      <c r="P6" s="36">
        <f>N6-O6</f>
        <v/>
      </c>
      <c r="Q6" s="32" t="n"/>
      <c r="R6" s="32" t="n"/>
      <c r="S6" s="32" t="n"/>
      <c r="T6" s="33" t="n"/>
      <c r="U6" s="42">
        <f>'S41'!T6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'S41'!M7+L7</f>
        <v/>
      </c>
      <c r="N7" s="31">
        <f>IFERROR(M7/K7,0)</f>
        <v/>
      </c>
      <c r="O7" s="40">
        <f>'S41'!N7</f>
        <v/>
      </c>
      <c r="P7" s="31">
        <f>N7-O7</f>
        <v/>
      </c>
      <c r="Q7" s="32" t="n"/>
      <c r="R7" s="32" t="n"/>
      <c r="S7" s="32" t="n"/>
      <c r="T7" s="33" t="n"/>
      <c r="U7" s="40">
        <f>'S41'!T7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'S41'!M8+L8</f>
        <v/>
      </c>
      <c r="N8" s="36">
        <f>IFERROR(M8/K8,0)</f>
        <v/>
      </c>
      <c r="O8" s="42">
        <f>'S41'!N8</f>
        <v/>
      </c>
      <c r="P8" s="36">
        <f>N8-O8</f>
        <v/>
      </c>
      <c r="Q8" s="32" t="n"/>
      <c r="R8" s="32" t="n"/>
      <c r="S8" s="32" t="n"/>
      <c r="T8" s="33" t="n"/>
      <c r="U8" s="42">
        <f>'S41'!T8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'S41'!M9+L9</f>
        <v/>
      </c>
      <c r="N9" s="31">
        <f>IFERROR(M9/K9,0)</f>
        <v/>
      </c>
      <c r="O9" s="40">
        <f>'S41'!N9</f>
        <v/>
      </c>
      <c r="P9" s="31">
        <f>N9-O9</f>
        <v/>
      </c>
      <c r="Q9" s="32" t="n"/>
      <c r="R9" s="32" t="n"/>
      <c r="S9" s="32" t="n"/>
      <c r="T9" s="33" t="n"/>
      <c r="U9" s="40">
        <f>'S41'!T9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'S41'!M10+L10</f>
        <v/>
      </c>
      <c r="N10" s="36">
        <f>IFERROR(M10/K10,0)</f>
        <v/>
      </c>
      <c r="O10" s="42">
        <f>'S41'!N10</f>
        <v/>
      </c>
      <c r="P10" s="36">
        <f>N10-O10</f>
        <v/>
      </c>
      <c r="Q10" s="32" t="n"/>
      <c r="R10" s="32" t="n"/>
      <c r="S10" s="32" t="n"/>
      <c r="T10" s="33" t="n"/>
      <c r="U10" s="42">
        <f>'S41'!T10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'S41'!M11+L11</f>
        <v/>
      </c>
      <c r="N11" s="31">
        <f>IFERROR(M11/K11,0)</f>
        <v/>
      </c>
      <c r="O11" s="40">
        <f>'S41'!N11</f>
        <v/>
      </c>
      <c r="P11" s="31">
        <f>N11-O11</f>
        <v/>
      </c>
      <c r="Q11" s="32" t="n"/>
      <c r="R11" s="32" t="n"/>
      <c r="S11" s="32" t="n"/>
      <c r="T11" s="33" t="n"/>
      <c r="U11" s="40">
        <f>'S41'!T11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'S41'!M12+L12</f>
        <v/>
      </c>
      <c r="N12" s="36">
        <f>IFERROR(M12/K12,0)</f>
        <v/>
      </c>
      <c r="O12" s="42">
        <f>'S41'!N12</f>
        <v/>
      </c>
      <c r="P12" s="36">
        <f>N12-O12</f>
        <v/>
      </c>
      <c r="Q12" s="32" t="n"/>
      <c r="R12" s="32" t="n"/>
      <c r="S12" s="32" t="n"/>
      <c r="T12" s="33" t="n"/>
      <c r="U12" s="42">
        <f>'S41'!T12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'S41'!M13+L13</f>
        <v/>
      </c>
      <c r="N13" s="31">
        <f>IFERROR(M13/K13,0)</f>
        <v/>
      </c>
      <c r="O13" s="40">
        <f>'S41'!N13</f>
        <v/>
      </c>
      <c r="P13" s="31">
        <f>N13-O13</f>
        <v/>
      </c>
      <c r="Q13" s="32" t="n"/>
      <c r="R13" s="32" t="n"/>
      <c r="S13" s="32" t="n"/>
      <c r="T13" s="33" t="n"/>
      <c r="U13" s="40">
        <f>'S41'!T13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'S41'!M14+L14</f>
        <v/>
      </c>
      <c r="N14" s="36">
        <f>IFERROR(M14/K14,0)</f>
        <v/>
      </c>
      <c r="O14" s="42">
        <f>'S41'!N14</f>
        <v/>
      </c>
      <c r="P14" s="36">
        <f>N14-O14</f>
        <v/>
      </c>
      <c r="Q14" s="32" t="n"/>
      <c r="R14" s="32" t="n"/>
      <c r="S14" s="32" t="n"/>
      <c r="T14" s="33" t="n"/>
      <c r="U14" s="42">
        <f>'S41'!T14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'S41'!M15+L15</f>
        <v/>
      </c>
      <c r="N15" s="31">
        <f>IFERROR(M15/K15,0)</f>
        <v/>
      </c>
      <c r="O15" s="40">
        <f>'S41'!N15</f>
        <v/>
      </c>
      <c r="P15" s="31">
        <f>N15-O15</f>
        <v/>
      </c>
      <c r="Q15" s="32" t="n"/>
      <c r="R15" s="32" t="n"/>
      <c r="S15" s="32" t="n"/>
      <c r="T15" s="33" t="n"/>
      <c r="U15" s="40">
        <f>'S41'!T15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'S41'!M16+L16</f>
        <v/>
      </c>
      <c r="N16" s="36">
        <f>IFERROR(M16/K16,0)</f>
        <v/>
      </c>
      <c r="O16" s="42">
        <f>'S41'!N16</f>
        <v/>
      </c>
      <c r="P16" s="36">
        <f>N16-O16</f>
        <v/>
      </c>
      <c r="Q16" s="32" t="n"/>
      <c r="R16" s="32" t="n"/>
      <c r="S16" s="32" t="n"/>
      <c r="T16" s="33" t="n"/>
      <c r="U16" s="42">
        <f>'S41'!T16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'S41'!M17+L17</f>
        <v/>
      </c>
      <c r="N17" s="31">
        <f>IFERROR(M17/K17,0)</f>
        <v/>
      </c>
      <c r="O17" s="40">
        <f>'S41'!N17</f>
        <v/>
      </c>
      <c r="P17" s="31">
        <f>N17-O17</f>
        <v/>
      </c>
      <c r="Q17" s="32" t="n"/>
      <c r="R17" s="32" t="n"/>
      <c r="S17" s="32" t="n"/>
      <c r="T17" s="33" t="n"/>
      <c r="U17" s="40">
        <f>'S41'!T17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'S41'!M18+L18</f>
        <v/>
      </c>
      <c r="N18" s="36">
        <f>IFERROR(M18/K18,0)</f>
        <v/>
      </c>
      <c r="O18" s="42">
        <f>'S41'!N18</f>
        <v/>
      </c>
      <c r="P18" s="36">
        <f>N18-O18</f>
        <v/>
      </c>
      <c r="Q18" s="32" t="n"/>
      <c r="R18" s="32" t="n"/>
      <c r="S18" s="32" t="n"/>
      <c r="T18" s="33" t="n"/>
      <c r="U18" s="42">
        <f>'S41'!T18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'S41'!M19+L19</f>
        <v/>
      </c>
      <c r="N19" s="31">
        <f>IFERROR(M19/K19,0)</f>
        <v/>
      </c>
      <c r="O19" s="40">
        <f>'S41'!N19</f>
        <v/>
      </c>
      <c r="P19" s="31">
        <f>N19-O19</f>
        <v/>
      </c>
      <c r="Q19" s="32" t="n"/>
      <c r="R19" s="32" t="n"/>
      <c r="S19" s="32" t="n"/>
      <c r="T19" s="33" t="n"/>
      <c r="U19" s="40">
        <f>'S41'!T19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'S41'!M20+L20</f>
        <v/>
      </c>
      <c r="N20" s="36">
        <f>IFERROR(M20/K20,0)</f>
        <v/>
      </c>
      <c r="O20" s="42">
        <f>'S41'!N20</f>
        <v/>
      </c>
      <c r="P20" s="36">
        <f>N20-O20</f>
        <v/>
      </c>
      <c r="Q20" s="32" t="n"/>
      <c r="R20" s="32" t="n"/>
      <c r="S20" s="32" t="n"/>
      <c r="T20" s="33" t="n"/>
      <c r="U20" s="42">
        <f>'S41'!T20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'S41'!M21+L21</f>
        <v/>
      </c>
      <c r="N21" s="31">
        <f>IFERROR(M21/K21,0)</f>
        <v/>
      </c>
      <c r="O21" s="40">
        <f>'S41'!N21</f>
        <v/>
      </c>
      <c r="P21" s="31">
        <f>N21-O21</f>
        <v/>
      </c>
      <c r="Q21" s="32" t="n"/>
      <c r="R21" s="32" t="n"/>
      <c r="S21" s="32" t="n"/>
      <c r="T21" s="33" t="n"/>
      <c r="U21" s="40">
        <f>'S41'!T21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'S41'!M22+L22</f>
        <v/>
      </c>
      <c r="N22" s="36">
        <f>IFERROR(M22/K22,0)</f>
        <v/>
      </c>
      <c r="O22" s="42">
        <f>'S41'!N22</f>
        <v/>
      </c>
      <c r="P22" s="36">
        <f>N22-O22</f>
        <v/>
      </c>
      <c r="Q22" s="32" t="n"/>
      <c r="R22" s="32" t="n"/>
      <c r="S22" s="32" t="n"/>
      <c r="T22" s="33" t="n"/>
      <c r="U22" s="42">
        <f>'S41'!T22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'S41'!M23+L23</f>
        <v/>
      </c>
      <c r="N23" s="31">
        <f>IFERROR(M23/K23,0)</f>
        <v/>
      </c>
      <c r="O23" s="40">
        <f>'S41'!N23</f>
        <v/>
      </c>
      <c r="P23" s="31">
        <f>N23-O23</f>
        <v/>
      </c>
      <c r="Q23" s="32" t="n"/>
      <c r="R23" s="32" t="n"/>
      <c r="S23" s="32" t="n"/>
      <c r="T23" s="33" t="n"/>
      <c r="U23" s="40">
        <f>'S41'!T23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'S41'!M24+L24</f>
        <v/>
      </c>
      <c r="N24" s="36">
        <f>IFERROR(M24/K24,0)</f>
        <v/>
      </c>
      <c r="O24" s="42">
        <f>'S41'!N24</f>
        <v/>
      </c>
      <c r="P24" s="36">
        <f>N24-O24</f>
        <v/>
      </c>
      <c r="Q24" s="32" t="n"/>
      <c r="R24" s="32" t="n"/>
      <c r="S24" s="32" t="n"/>
      <c r="T24" s="33" t="n"/>
      <c r="U24" s="42">
        <f>'S41'!T24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'S41'!M25+L25</f>
        <v/>
      </c>
      <c r="N25" s="31">
        <f>IFERROR(M25/K25,0)</f>
        <v/>
      </c>
      <c r="O25" s="40">
        <f>'S41'!N25</f>
        <v/>
      </c>
      <c r="P25" s="31">
        <f>N25-O25</f>
        <v/>
      </c>
      <c r="Q25" s="32" t="n"/>
      <c r="R25" s="32" t="n"/>
      <c r="S25" s="32" t="n"/>
      <c r="T25" s="33" t="n"/>
      <c r="U25" s="40">
        <f>'S41'!T25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'S41'!M26+L26</f>
        <v/>
      </c>
      <c r="N26" s="36">
        <f>IFERROR(M26/K26,0)</f>
        <v/>
      </c>
      <c r="O26" s="42">
        <f>'S41'!N26</f>
        <v/>
      </c>
      <c r="P26" s="36">
        <f>N26-O26</f>
        <v/>
      </c>
      <c r="Q26" s="32" t="n"/>
      <c r="R26" s="32" t="n"/>
      <c r="S26" s="32" t="n"/>
      <c r="T26" s="33" t="n"/>
      <c r="U26" s="42">
        <f>'S41'!T26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'S41'!M27+L27</f>
        <v/>
      </c>
      <c r="N27" s="31">
        <f>IFERROR(M27/K27,0)</f>
        <v/>
      </c>
      <c r="O27" s="40">
        <f>'S41'!N27</f>
        <v/>
      </c>
      <c r="P27" s="31">
        <f>N27-O27</f>
        <v/>
      </c>
      <c r="Q27" s="32" t="n"/>
      <c r="R27" s="32" t="n"/>
      <c r="S27" s="32" t="n"/>
      <c r="T27" s="33" t="n"/>
      <c r="U27" s="40">
        <f>'S41'!T27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'S41'!M28+L28</f>
        <v/>
      </c>
      <c r="N28" s="36">
        <f>IFERROR(M28/K28,0)</f>
        <v/>
      </c>
      <c r="O28" s="42">
        <f>'S41'!N28</f>
        <v/>
      </c>
      <c r="P28" s="36">
        <f>N28-O28</f>
        <v/>
      </c>
      <c r="Q28" s="32" t="n"/>
      <c r="R28" s="32" t="n"/>
      <c r="S28" s="32" t="n"/>
      <c r="T28" s="33" t="n"/>
      <c r="U28" s="42">
        <f>'S41'!T28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'S41'!M29+L29</f>
        <v/>
      </c>
      <c r="N29" s="31">
        <f>IFERROR(M29/K29,0)</f>
        <v/>
      </c>
      <c r="O29" s="40">
        <f>'S41'!N29</f>
        <v/>
      </c>
      <c r="P29" s="31">
        <f>N29-O29</f>
        <v/>
      </c>
      <c r="Q29" s="32" t="n"/>
      <c r="R29" s="32" t="n"/>
      <c r="S29" s="32" t="n"/>
      <c r="T29" s="33" t="n"/>
      <c r="U29" s="40">
        <f>'S41'!T29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'S41'!M30+L30</f>
        <v/>
      </c>
      <c r="N30" s="36">
        <f>IFERROR(M30/K30,0)</f>
        <v/>
      </c>
      <c r="O30" s="42">
        <f>'S41'!N30</f>
        <v/>
      </c>
      <c r="P30" s="36">
        <f>N30-O30</f>
        <v/>
      </c>
      <c r="Q30" s="32" t="n"/>
      <c r="R30" s="32" t="n"/>
      <c r="S30" s="32" t="n"/>
      <c r="T30" s="33" t="n"/>
      <c r="U30" s="42">
        <f>'S41'!T30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'S41'!M31+L31</f>
        <v/>
      </c>
      <c r="N31" s="31">
        <f>IFERROR(M31/K31,0)</f>
        <v/>
      </c>
      <c r="O31" s="40">
        <f>'S41'!N31</f>
        <v/>
      </c>
      <c r="P31" s="31">
        <f>N31-O31</f>
        <v/>
      </c>
      <c r="Q31" s="32" t="n"/>
      <c r="R31" s="32" t="n"/>
      <c r="S31" s="32" t="n"/>
      <c r="T31" s="33" t="n"/>
      <c r="U31" s="40">
        <f>'S41'!T31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'S41'!M32+L32</f>
        <v/>
      </c>
      <c r="N32" s="36">
        <f>IFERROR(M32/K32,0)</f>
        <v/>
      </c>
      <c r="O32" s="42">
        <f>'S41'!N32</f>
        <v/>
      </c>
      <c r="P32" s="36">
        <f>N32-O32</f>
        <v/>
      </c>
      <c r="Q32" s="32" t="n"/>
      <c r="R32" s="32" t="n"/>
      <c r="S32" s="32" t="n"/>
      <c r="T32" s="33" t="n"/>
      <c r="U32" s="42">
        <f>'S41'!T32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'S41'!M33+L33</f>
        <v/>
      </c>
      <c r="N33" s="31">
        <f>IFERROR(M33/K33,0)</f>
        <v/>
      </c>
      <c r="O33" s="40">
        <f>'S41'!N33</f>
        <v/>
      </c>
      <c r="P33" s="31">
        <f>N33-O33</f>
        <v/>
      </c>
      <c r="Q33" s="32" t="n"/>
      <c r="R33" s="32" t="n"/>
      <c r="S33" s="32" t="n"/>
      <c r="T33" s="33" t="n"/>
      <c r="U33" s="40">
        <f>'S41'!T33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'S41'!M34+L34</f>
        <v/>
      </c>
      <c r="N34" s="36">
        <f>IFERROR(M34/K34,0)</f>
        <v/>
      </c>
      <c r="O34" s="42">
        <f>'S41'!N34</f>
        <v/>
      </c>
      <c r="P34" s="36">
        <f>N34-O34</f>
        <v/>
      </c>
      <c r="Q34" s="32" t="n"/>
      <c r="R34" s="32" t="n"/>
      <c r="S34" s="32" t="n"/>
      <c r="T34" s="33" t="n"/>
      <c r="U34" s="42">
        <f>'S41'!T34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'S41'!M35+L35</f>
        <v/>
      </c>
      <c r="N35" s="31">
        <f>IFERROR(M35/K35,0)</f>
        <v/>
      </c>
      <c r="O35" s="40">
        <f>'S41'!N35</f>
        <v/>
      </c>
      <c r="P35" s="31">
        <f>N35-O35</f>
        <v/>
      </c>
      <c r="Q35" s="32" t="n"/>
      <c r="R35" s="32" t="n"/>
      <c r="S35" s="32" t="n"/>
      <c r="T35" s="33" t="n"/>
      <c r="U35" s="40">
        <f>'S41'!T35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'S41'!M36+L36</f>
        <v/>
      </c>
      <c r="N36" s="36">
        <f>IFERROR(M36/K36,0)</f>
        <v/>
      </c>
      <c r="O36" s="42">
        <f>'S41'!N36</f>
        <v/>
      </c>
      <c r="P36" s="36">
        <f>N36-O36</f>
        <v/>
      </c>
      <c r="Q36" s="32" t="n"/>
      <c r="R36" s="32" t="n"/>
      <c r="S36" s="32" t="n"/>
      <c r="T36" s="33" t="n"/>
      <c r="U36" s="42">
        <f>'S41'!T36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'S41'!M37+L37</f>
        <v/>
      </c>
      <c r="N37" s="31">
        <f>IFERROR(M37/K37,0)</f>
        <v/>
      </c>
      <c r="O37" s="40">
        <f>'S41'!N37</f>
        <v/>
      </c>
      <c r="P37" s="31">
        <f>N37-O37</f>
        <v/>
      </c>
      <c r="Q37" s="32" t="n"/>
      <c r="R37" s="32" t="n"/>
      <c r="S37" s="32" t="n"/>
      <c r="T37" s="33" t="n"/>
      <c r="U37" s="40">
        <f>'S41'!T37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'S41'!M38+L38</f>
        <v/>
      </c>
      <c r="N38" s="36">
        <f>IFERROR(M38/K38,0)</f>
        <v/>
      </c>
      <c r="O38" s="42">
        <f>'S41'!N38</f>
        <v/>
      </c>
      <c r="P38" s="36">
        <f>N38-O38</f>
        <v/>
      </c>
      <c r="Q38" s="32" t="n"/>
      <c r="R38" s="32" t="n"/>
      <c r="S38" s="32" t="n"/>
      <c r="T38" s="33" t="n"/>
      <c r="U38" s="42">
        <f>'S41'!T38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'S41'!M39+L39</f>
        <v/>
      </c>
      <c r="N39" s="31">
        <f>IFERROR(M39/K39,0)</f>
        <v/>
      </c>
      <c r="O39" s="40">
        <f>'S41'!N39</f>
        <v/>
      </c>
      <c r="P39" s="31">
        <f>N39-O39</f>
        <v/>
      </c>
      <c r="Q39" s="32" t="n"/>
      <c r="R39" s="32" t="n"/>
      <c r="S39" s="32" t="n"/>
      <c r="T39" s="33" t="n"/>
      <c r="U39" s="40">
        <f>'S41'!T39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'S41'!M40+L40</f>
        <v/>
      </c>
      <c r="N40" s="36">
        <f>IFERROR(M40/K40,0)</f>
        <v/>
      </c>
      <c r="O40" s="42">
        <f>'S41'!N40</f>
        <v/>
      </c>
      <c r="P40" s="36">
        <f>N40-O40</f>
        <v/>
      </c>
      <c r="Q40" s="32" t="n"/>
      <c r="R40" s="32" t="n"/>
      <c r="S40" s="32" t="n"/>
      <c r="T40" s="33" t="n"/>
      <c r="U40" s="42">
        <f>'S41'!T40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'S41'!M41+L41</f>
        <v/>
      </c>
      <c r="N41" s="31">
        <f>IFERROR(M41/K41,0)</f>
        <v/>
      </c>
      <c r="O41" s="40">
        <f>'S41'!N41</f>
        <v/>
      </c>
      <c r="P41" s="31">
        <f>N41-O41</f>
        <v/>
      </c>
      <c r="Q41" s="32" t="n"/>
      <c r="R41" s="32" t="n"/>
      <c r="S41" s="32" t="n"/>
      <c r="T41" s="33" t="n"/>
      <c r="U41" s="40">
        <f>'S41'!T41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'S41'!M42+L42</f>
        <v/>
      </c>
      <c r="N42" s="36">
        <f>IFERROR(M42/K42,0)</f>
        <v/>
      </c>
      <c r="O42" s="42">
        <f>'S41'!N42</f>
        <v/>
      </c>
      <c r="P42" s="36">
        <f>N42-O42</f>
        <v/>
      </c>
      <c r="Q42" s="32" t="n"/>
      <c r="R42" s="32" t="n"/>
      <c r="S42" s="32" t="n"/>
      <c r="T42" s="33" t="n"/>
      <c r="U42" s="42">
        <f>'S41'!T42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'S41'!M43+L43</f>
        <v/>
      </c>
      <c r="N43" s="31">
        <f>IFERROR(M43/K43,0)</f>
        <v/>
      </c>
      <c r="O43" s="40">
        <f>'S41'!N43</f>
        <v/>
      </c>
      <c r="P43" s="31">
        <f>N43-O43</f>
        <v/>
      </c>
      <c r="Q43" s="32" t="n"/>
      <c r="R43" s="32" t="n"/>
      <c r="S43" s="32" t="n"/>
      <c r="T43" s="33" t="n"/>
      <c r="U43" s="40">
        <f>'S41'!T43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'S41'!M44+L44</f>
        <v/>
      </c>
      <c r="N44" s="36">
        <f>IFERROR(M44/K44,0)</f>
        <v/>
      </c>
      <c r="O44" s="42">
        <f>'S41'!N44</f>
        <v/>
      </c>
      <c r="P44" s="36">
        <f>N44-O44</f>
        <v/>
      </c>
      <c r="Q44" s="32" t="n"/>
      <c r="R44" s="32" t="n"/>
      <c r="S44" s="32" t="n"/>
      <c r="T44" s="33" t="n"/>
      <c r="U44" s="42">
        <f>'S41'!T44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'S41'!M45+L45</f>
        <v/>
      </c>
      <c r="N45" s="31">
        <f>IFERROR(M45/K45,0)</f>
        <v/>
      </c>
      <c r="O45" s="40">
        <f>'S41'!N45</f>
        <v/>
      </c>
      <c r="P45" s="31">
        <f>N45-O45</f>
        <v/>
      </c>
      <c r="Q45" s="32" t="n"/>
      <c r="R45" s="32" t="n"/>
      <c r="S45" s="32" t="n"/>
      <c r="T45" s="33" t="n"/>
      <c r="U45" s="40">
        <f>'S41'!T45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'S41'!M46+L46</f>
        <v/>
      </c>
      <c r="N46" s="36">
        <f>IFERROR(M46/K46,0)</f>
        <v/>
      </c>
      <c r="O46" s="42">
        <f>'S41'!N46</f>
        <v/>
      </c>
      <c r="P46" s="36">
        <f>N46-O46</f>
        <v/>
      </c>
      <c r="Q46" s="32" t="n"/>
      <c r="R46" s="32" t="n"/>
      <c r="S46" s="32" t="n"/>
      <c r="T46" s="33" t="n"/>
      <c r="U46" s="42">
        <f>'S41'!T46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'S41'!M47+L47</f>
        <v/>
      </c>
      <c r="N47" s="31">
        <f>IFERROR(M47/K47,0)</f>
        <v/>
      </c>
      <c r="O47" s="40">
        <f>'S41'!N47</f>
        <v/>
      </c>
      <c r="P47" s="31">
        <f>N47-O47</f>
        <v/>
      </c>
      <c r="Q47" s="32" t="n"/>
      <c r="R47" s="32" t="n"/>
      <c r="S47" s="32" t="n"/>
      <c r="T47" s="33" t="n"/>
      <c r="U47" s="40">
        <f>'S41'!T47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'S41'!M48+L48</f>
        <v/>
      </c>
      <c r="N48" s="36">
        <f>IFERROR(M48/K48,0)</f>
        <v/>
      </c>
      <c r="O48" s="42">
        <f>'S41'!N48</f>
        <v/>
      </c>
      <c r="P48" s="36">
        <f>N48-O48</f>
        <v/>
      </c>
      <c r="Q48" s="32" t="n"/>
      <c r="R48" s="32" t="n"/>
      <c r="S48" s="32" t="n"/>
      <c r="T48" s="33" t="n"/>
      <c r="U48" s="42">
        <f>'S41'!T48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'S41'!M49+L49</f>
        <v/>
      </c>
      <c r="N49" s="31">
        <f>IFERROR(M49/K49,0)</f>
        <v/>
      </c>
      <c r="O49" s="40">
        <f>'S41'!N49</f>
        <v/>
      </c>
      <c r="P49" s="31">
        <f>N49-O49</f>
        <v/>
      </c>
      <c r="Q49" s="32" t="n"/>
      <c r="R49" s="32" t="n"/>
      <c r="S49" s="32" t="n"/>
      <c r="T49" s="33" t="n"/>
      <c r="U49" s="40">
        <f>'S41'!T49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'S41'!M50+L50</f>
        <v/>
      </c>
      <c r="N50" s="36">
        <f>IFERROR(M50/K50,0)</f>
        <v/>
      </c>
      <c r="O50" s="42">
        <f>'S41'!N50</f>
        <v/>
      </c>
      <c r="P50" s="36">
        <f>N50-O50</f>
        <v/>
      </c>
      <c r="Q50" s="32" t="n"/>
      <c r="R50" s="32" t="n"/>
      <c r="S50" s="32" t="n"/>
      <c r="T50" s="33" t="n"/>
      <c r="U50" s="42">
        <f>'S41'!T50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'S41'!M51+L51</f>
        <v/>
      </c>
      <c r="N51" s="31">
        <f>IFERROR(M51/K51,0)</f>
        <v/>
      </c>
      <c r="O51" s="40">
        <f>'S41'!N51</f>
        <v/>
      </c>
      <c r="P51" s="31">
        <f>N51-O51</f>
        <v/>
      </c>
      <c r="Q51" s="32" t="n"/>
      <c r="R51" s="32" t="n"/>
      <c r="S51" s="32" t="n"/>
      <c r="T51" s="33" t="n"/>
      <c r="U51" s="40">
        <f>'S41'!T51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'S41'!M52+L52</f>
        <v/>
      </c>
      <c r="N52" s="36">
        <f>IFERROR(M52/K52,0)</f>
        <v/>
      </c>
      <c r="O52" s="42">
        <f>'S41'!N52</f>
        <v/>
      </c>
      <c r="P52" s="36">
        <f>N52-O52</f>
        <v/>
      </c>
      <c r="Q52" s="32" t="n"/>
      <c r="R52" s="32" t="n"/>
      <c r="S52" s="32" t="n"/>
      <c r="T52" s="33" t="n"/>
      <c r="U52" s="42">
        <f>'S41'!T52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'S41'!M53+L53</f>
        <v/>
      </c>
      <c r="N53" s="31">
        <f>IFERROR(M53/K53,0)</f>
        <v/>
      </c>
      <c r="O53" s="40">
        <f>'S41'!N53</f>
        <v/>
      </c>
      <c r="P53" s="31">
        <f>N53-O53</f>
        <v/>
      </c>
      <c r="Q53" s="32" t="n"/>
      <c r="R53" s="32" t="n"/>
      <c r="S53" s="32" t="n"/>
      <c r="T53" s="33" t="n"/>
      <c r="U53" s="40">
        <f>'S41'!T53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'S41'!M54+L54</f>
        <v/>
      </c>
      <c r="N54" s="36">
        <f>IFERROR(M54/K54,0)</f>
        <v/>
      </c>
      <c r="O54" s="42">
        <f>'S41'!N54</f>
        <v/>
      </c>
      <c r="P54" s="36">
        <f>N54-O54</f>
        <v/>
      </c>
      <c r="Q54" s="32" t="n"/>
      <c r="R54" s="32" t="n"/>
      <c r="S54" s="32" t="n"/>
      <c r="T54" s="33" t="n"/>
      <c r="U54" s="42">
        <f>'S41'!T54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'S41'!M55+L55</f>
        <v/>
      </c>
      <c r="N55" s="31">
        <f>IFERROR(M55/K55,0)</f>
        <v/>
      </c>
      <c r="O55" s="40">
        <f>'S41'!N55</f>
        <v/>
      </c>
      <c r="P55" s="31">
        <f>N55-O55</f>
        <v/>
      </c>
      <c r="Q55" s="32" t="n"/>
      <c r="R55" s="32" t="n"/>
      <c r="S55" s="32" t="n"/>
      <c r="T55" s="33" t="n"/>
      <c r="U55" s="40">
        <f>'S41'!T55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'S41'!M56+L56</f>
        <v/>
      </c>
      <c r="N56" s="36">
        <f>IFERROR(M56/K56,0)</f>
        <v/>
      </c>
      <c r="O56" s="42">
        <f>'S41'!N56</f>
        <v/>
      </c>
      <c r="P56" s="36">
        <f>N56-O56</f>
        <v/>
      </c>
      <c r="Q56" s="32" t="n"/>
      <c r="R56" s="32" t="n"/>
      <c r="S56" s="32" t="n"/>
      <c r="T56" s="33" t="n"/>
      <c r="U56" s="42">
        <f>'S41'!T56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'S41'!M57+L57</f>
        <v/>
      </c>
      <c r="N57" s="31">
        <f>IFERROR(M57/K57,0)</f>
        <v/>
      </c>
      <c r="O57" s="40">
        <f>'S41'!N57</f>
        <v/>
      </c>
      <c r="P57" s="31">
        <f>N57-O57</f>
        <v/>
      </c>
      <c r="Q57" s="32" t="n"/>
      <c r="R57" s="32" t="n"/>
      <c r="S57" s="32" t="n"/>
      <c r="T57" s="33" t="n"/>
      <c r="U57" s="40">
        <f>'S41'!T57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'S41'!M58+L58</f>
        <v/>
      </c>
      <c r="N58" s="36">
        <f>IFERROR(M58/K58,0)</f>
        <v/>
      </c>
      <c r="O58" s="42">
        <f>'S41'!N58</f>
        <v/>
      </c>
      <c r="P58" s="36">
        <f>N58-O58</f>
        <v/>
      </c>
      <c r="Q58" s="32" t="n"/>
      <c r="R58" s="32" t="n"/>
      <c r="S58" s="32" t="n"/>
      <c r="T58" s="33" t="n"/>
      <c r="U58" s="42">
        <f>'S41'!T58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'S41'!M59+L59</f>
        <v/>
      </c>
      <c r="N59" s="31">
        <f>IFERROR(M59/K59,0)</f>
        <v/>
      </c>
      <c r="O59" s="40">
        <f>'S41'!N59</f>
        <v/>
      </c>
      <c r="P59" s="31">
        <f>N59-O59</f>
        <v/>
      </c>
      <c r="Q59" s="32" t="n"/>
      <c r="R59" s="32" t="n"/>
      <c r="S59" s="32" t="n"/>
      <c r="T59" s="33" t="n"/>
      <c r="U59" s="40">
        <f>'S41'!T59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'S41'!M60+L60</f>
        <v/>
      </c>
      <c r="N60" s="36">
        <f>IFERROR(M60/K60,0)</f>
        <v/>
      </c>
      <c r="O60" s="42">
        <f>'S41'!N60</f>
        <v/>
      </c>
      <c r="P60" s="36">
        <f>N60-O60</f>
        <v/>
      </c>
      <c r="Q60" s="32" t="n"/>
      <c r="R60" s="32" t="n"/>
      <c r="S60" s="32" t="n"/>
      <c r="T60" s="33" t="n"/>
      <c r="U60" s="42">
        <f>'S41'!T60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'S41'!M61+L61</f>
        <v/>
      </c>
      <c r="N61" s="31">
        <f>IFERROR(M61/K61,0)</f>
        <v/>
      </c>
      <c r="O61" s="40">
        <f>'S41'!N61</f>
        <v/>
      </c>
      <c r="P61" s="31">
        <f>N61-O61</f>
        <v/>
      </c>
      <c r="Q61" s="32" t="n"/>
      <c r="R61" s="32" t="n"/>
      <c r="S61" s="32" t="n"/>
      <c r="T61" s="33" t="n"/>
      <c r="U61" s="40">
        <f>'S41'!T61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'S41'!M62+L62</f>
        <v/>
      </c>
      <c r="N62" s="36">
        <f>IFERROR(M62/K62,0)</f>
        <v/>
      </c>
      <c r="O62" s="42">
        <f>'S41'!N62</f>
        <v/>
      </c>
      <c r="P62" s="36">
        <f>N62-O62</f>
        <v/>
      </c>
      <c r="Q62" s="32" t="n"/>
      <c r="R62" s="32" t="n"/>
      <c r="S62" s="32" t="n"/>
      <c r="T62" s="33" t="n"/>
      <c r="U62" s="42">
        <f>'S41'!T62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'S41'!M63+L63</f>
        <v/>
      </c>
      <c r="N63" s="31">
        <f>IFERROR(M63/K63,0)</f>
        <v/>
      </c>
      <c r="O63" s="40">
        <f>'S41'!N63</f>
        <v/>
      </c>
      <c r="P63" s="31">
        <f>N63-O63</f>
        <v/>
      </c>
      <c r="Q63" s="32" t="n"/>
      <c r="R63" s="32" t="n"/>
      <c r="S63" s="32" t="n"/>
      <c r="T63" s="33" t="n"/>
      <c r="U63" s="40">
        <f>'S41'!T63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'S41'!M64+L64</f>
        <v/>
      </c>
      <c r="N64" s="36">
        <f>IFERROR(M64/K64,0)</f>
        <v/>
      </c>
      <c r="O64" s="42">
        <f>'S41'!N64</f>
        <v/>
      </c>
      <c r="P64" s="36">
        <f>N64-O64</f>
        <v/>
      </c>
      <c r="Q64" s="32" t="n"/>
      <c r="R64" s="32" t="n"/>
      <c r="S64" s="32" t="n"/>
      <c r="T64" s="33" t="n"/>
      <c r="U64" s="42">
        <f>'S41'!T64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'S41'!M65+L65</f>
        <v/>
      </c>
      <c r="N65" s="31">
        <f>IFERROR(M65/K65,0)</f>
        <v/>
      </c>
      <c r="O65" s="40">
        <f>'S41'!N65</f>
        <v/>
      </c>
      <c r="P65" s="31">
        <f>N65-O65</f>
        <v/>
      </c>
      <c r="Q65" s="32" t="n"/>
      <c r="R65" s="32" t="n"/>
      <c r="S65" s="32" t="n"/>
      <c r="T65" s="33" t="n"/>
      <c r="U65" s="40">
        <f>'S41'!T65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'S41'!M66+L66</f>
        <v/>
      </c>
      <c r="N66" s="36">
        <f>IFERROR(M66/K66,0)</f>
        <v/>
      </c>
      <c r="O66" s="42">
        <f>'S41'!N66</f>
        <v/>
      </c>
      <c r="P66" s="36">
        <f>N66-O66</f>
        <v/>
      </c>
      <c r="Q66" s="32" t="n"/>
      <c r="R66" s="32" t="n"/>
      <c r="S66" s="32" t="n"/>
      <c r="T66" s="33" t="n"/>
      <c r="U66" s="42">
        <f>'S41'!T66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'S41'!M67+L67</f>
        <v/>
      </c>
      <c r="N67" s="31">
        <f>IFERROR(M67/K67,0)</f>
        <v/>
      </c>
      <c r="O67" s="40">
        <f>'S41'!N67</f>
        <v/>
      </c>
      <c r="P67" s="31">
        <f>N67-O67</f>
        <v/>
      </c>
      <c r="Q67" s="32" t="n"/>
      <c r="R67" s="32" t="n"/>
      <c r="S67" s="32" t="n"/>
      <c r="T67" s="33" t="n"/>
      <c r="U67" s="40">
        <f>'S41'!T67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'S41'!M68+L68</f>
        <v/>
      </c>
      <c r="N68" s="36">
        <f>IFERROR(M68/K68,0)</f>
        <v/>
      </c>
      <c r="O68" s="42">
        <f>'S41'!N68</f>
        <v/>
      </c>
      <c r="P68" s="36">
        <f>N68-O68</f>
        <v/>
      </c>
      <c r="Q68" s="32" t="n"/>
      <c r="R68" s="32" t="n"/>
      <c r="S68" s="32" t="n"/>
      <c r="T68" s="33" t="n"/>
      <c r="U68" s="42">
        <f>'S41'!T68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'S41'!M69+L69</f>
        <v/>
      </c>
      <c r="N69" s="31">
        <f>IFERROR(M69/K69,0)</f>
        <v/>
      </c>
      <c r="O69" s="40">
        <f>'S41'!N69</f>
        <v/>
      </c>
      <c r="P69" s="31">
        <f>N69-O69</f>
        <v/>
      </c>
      <c r="Q69" s="32" t="n"/>
      <c r="R69" s="32" t="n"/>
      <c r="S69" s="32" t="n"/>
      <c r="T69" s="33" t="n"/>
      <c r="U69" s="40">
        <f>'S41'!T69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'S41'!M70+L70</f>
        <v/>
      </c>
      <c r="N70" s="36">
        <f>IFERROR(M70/K70,0)</f>
        <v/>
      </c>
      <c r="O70" s="42">
        <f>'S41'!N70</f>
        <v/>
      </c>
      <c r="P70" s="36">
        <f>N70-O70</f>
        <v/>
      </c>
      <c r="Q70" s="32" t="n"/>
      <c r="R70" s="32" t="n"/>
      <c r="S70" s="32" t="n"/>
      <c r="T70" s="33" t="n"/>
      <c r="U70" s="42">
        <f>'S41'!T70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'S41'!M71+L71</f>
        <v/>
      </c>
      <c r="N71" s="31">
        <f>IFERROR(M71/K71,0)</f>
        <v/>
      </c>
      <c r="O71" s="40">
        <f>'S41'!N71</f>
        <v/>
      </c>
      <c r="P71" s="31">
        <f>N71-O71</f>
        <v/>
      </c>
      <c r="Q71" s="32" t="n"/>
      <c r="R71" s="32" t="n"/>
      <c r="S71" s="32" t="n"/>
      <c r="T71" s="33" t="n"/>
      <c r="U71" s="40">
        <f>'S41'!T71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'S41'!M72+L72</f>
        <v/>
      </c>
      <c r="N72" s="36">
        <f>IFERROR(M72/K72,0)</f>
        <v/>
      </c>
      <c r="O72" s="42">
        <f>'S41'!N72</f>
        <v/>
      </c>
      <c r="P72" s="36">
        <f>N72-O72</f>
        <v/>
      </c>
      <c r="Q72" s="32" t="n"/>
      <c r="R72" s="32" t="n"/>
      <c r="S72" s="32" t="n"/>
      <c r="T72" s="33" t="n"/>
      <c r="U72" s="42">
        <f>'S41'!T72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'S41'!M73+L73</f>
        <v/>
      </c>
      <c r="N73" s="31">
        <f>IFERROR(M73/K73,0)</f>
        <v/>
      </c>
      <c r="O73" s="40">
        <f>'S41'!N73</f>
        <v/>
      </c>
      <c r="P73" s="31">
        <f>N73-O73</f>
        <v/>
      </c>
      <c r="Q73" s="32" t="n"/>
      <c r="R73" s="32" t="n"/>
      <c r="S73" s="32" t="n"/>
      <c r="T73" s="33" t="n"/>
      <c r="U73" s="40">
        <f>'S41'!T73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'S41'!M74+L74</f>
        <v/>
      </c>
      <c r="N74" s="36">
        <f>IFERROR(M74/K74,0)</f>
        <v/>
      </c>
      <c r="O74" s="42">
        <f>'S41'!N74</f>
        <v/>
      </c>
      <c r="P74" s="36">
        <f>N74-O74</f>
        <v/>
      </c>
      <c r="Q74" s="32" t="n"/>
      <c r="R74" s="32" t="n"/>
      <c r="S74" s="32" t="n"/>
      <c r="T74" s="33" t="n"/>
      <c r="U74" s="42">
        <f>'S41'!T74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'S41'!M75+L75</f>
        <v/>
      </c>
      <c r="N75" s="31">
        <f>IFERROR(M75/K75,0)</f>
        <v/>
      </c>
      <c r="O75" s="40">
        <f>'S41'!N75</f>
        <v/>
      </c>
      <c r="P75" s="31">
        <f>N75-O75</f>
        <v/>
      </c>
      <c r="Q75" s="32" t="n"/>
      <c r="R75" s="32" t="n"/>
      <c r="S75" s="32" t="n"/>
      <c r="T75" s="33" t="n"/>
      <c r="U75" s="40">
        <f>'S41'!T75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'S41'!M76+L76</f>
        <v/>
      </c>
      <c r="N76" s="36">
        <f>IFERROR(M76/K76,0)</f>
        <v/>
      </c>
      <c r="O76" s="42">
        <f>'S41'!N76</f>
        <v/>
      </c>
      <c r="P76" s="36">
        <f>N76-O76</f>
        <v/>
      </c>
      <c r="Q76" s="32" t="n"/>
      <c r="R76" s="32" t="n"/>
      <c r="S76" s="32" t="n"/>
      <c r="T76" s="33" t="n"/>
      <c r="U76" s="42">
        <f>'S41'!T76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45.xml><?xml version="1.0" encoding="utf-8"?>
<worksheet xmlns="http://schemas.openxmlformats.org/spreadsheetml/2006/main">
  <sheetPr>
    <tabColor rgb="007030A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43 (19/10 - 25/10) — Octobre 2026 - Exécution Physique et Financière</t>
        </is>
      </c>
    </row>
    <row r="3" ht="22" customHeight="1">
      <c r="B3" s="20" t="inlineStr">
        <is>
          <t>Date :</t>
        </is>
      </c>
      <c r="C3" s="21" t="n">
        <v>46314</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'S42'!M5+L5</f>
        <v/>
      </c>
      <c r="N5" s="31">
        <f>IFERROR(M5/K5,0)</f>
        <v/>
      </c>
      <c r="O5" s="40">
        <f>'S42'!N5</f>
        <v/>
      </c>
      <c r="P5" s="31">
        <f>N5-O5</f>
        <v/>
      </c>
      <c r="Q5" s="32" t="n"/>
      <c r="R5" s="32" t="n"/>
      <c r="S5" s="32" t="n"/>
      <c r="T5" s="33" t="n"/>
      <c r="U5" s="40">
        <f>'S42'!T5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'S42'!M6+L6</f>
        <v/>
      </c>
      <c r="N6" s="36">
        <f>IFERROR(M6/K6,0)</f>
        <v/>
      </c>
      <c r="O6" s="42">
        <f>'S42'!N6</f>
        <v/>
      </c>
      <c r="P6" s="36">
        <f>N6-O6</f>
        <v/>
      </c>
      <c r="Q6" s="32" t="n"/>
      <c r="R6" s="32" t="n"/>
      <c r="S6" s="32" t="n"/>
      <c r="T6" s="33" t="n"/>
      <c r="U6" s="42">
        <f>'S42'!T6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'S42'!M7+L7</f>
        <v/>
      </c>
      <c r="N7" s="31">
        <f>IFERROR(M7/K7,0)</f>
        <v/>
      </c>
      <c r="O7" s="40">
        <f>'S42'!N7</f>
        <v/>
      </c>
      <c r="P7" s="31">
        <f>N7-O7</f>
        <v/>
      </c>
      <c r="Q7" s="32" t="n"/>
      <c r="R7" s="32" t="n"/>
      <c r="S7" s="32" t="n"/>
      <c r="T7" s="33" t="n"/>
      <c r="U7" s="40">
        <f>'S42'!T7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'S42'!M8+L8</f>
        <v/>
      </c>
      <c r="N8" s="36">
        <f>IFERROR(M8/K8,0)</f>
        <v/>
      </c>
      <c r="O8" s="42">
        <f>'S42'!N8</f>
        <v/>
      </c>
      <c r="P8" s="36">
        <f>N8-O8</f>
        <v/>
      </c>
      <c r="Q8" s="32" t="n"/>
      <c r="R8" s="32" t="n"/>
      <c r="S8" s="32" t="n"/>
      <c r="T8" s="33" t="n"/>
      <c r="U8" s="42">
        <f>'S42'!T8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'S42'!M9+L9</f>
        <v/>
      </c>
      <c r="N9" s="31">
        <f>IFERROR(M9/K9,0)</f>
        <v/>
      </c>
      <c r="O9" s="40">
        <f>'S42'!N9</f>
        <v/>
      </c>
      <c r="P9" s="31">
        <f>N9-O9</f>
        <v/>
      </c>
      <c r="Q9" s="32" t="n"/>
      <c r="R9" s="32" t="n"/>
      <c r="S9" s="32" t="n"/>
      <c r="T9" s="33" t="n"/>
      <c r="U9" s="40">
        <f>'S42'!T9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'S42'!M10+L10</f>
        <v/>
      </c>
      <c r="N10" s="36">
        <f>IFERROR(M10/K10,0)</f>
        <v/>
      </c>
      <c r="O10" s="42">
        <f>'S42'!N10</f>
        <v/>
      </c>
      <c r="P10" s="36">
        <f>N10-O10</f>
        <v/>
      </c>
      <c r="Q10" s="32" t="n"/>
      <c r="R10" s="32" t="n"/>
      <c r="S10" s="32" t="n"/>
      <c r="T10" s="33" t="n"/>
      <c r="U10" s="42">
        <f>'S42'!T10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'S42'!M11+L11</f>
        <v/>
      </c>
      <c r="N11" s="31">
        <f>IFERROR(M11/K11,0)</f>
        <v/>
      </c>
      <c r="O11" s="40">
        <f>'S42'!N11</f>
        <v/>
      </c>
      <c r="P11" s="31">
        <f>N11-O11</f>
        <v/>
      </c>
      <c r="Q11" s="32" t="n"/>
      <c r="R11" s="32" t="n"/>
      <c r="S11" s="32" t="n"/>
      <c r="T11" s="33" t="n"/>
      <c r="U11" s="40">
        <f>'S42'!T11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'S42'!M12+L12</f>
        <v/>
      </c>
      <c r="N12" s="36">
        <f>IFERROR(M12/K12,0)</f>
        <v/>
      </c>
      <c r="O12" s="42">
        <f>'S42'!N12</f>
        <v/>
      </c>
      <c r="P12" s="36">
        <f>N12-O12</f>
        <v/>
      </c>
      <c r="Q12" s="32" t="n"/>
      <c r="R12" s="32" t="n"/>
      <c r="S12" s="32" t="n"/>
      <c r="T12" s="33" t="n"/>
      <c r="U12" s="42">
        <f>'S42'!T12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'S42'!M13+L13</f>
        <v/>
      </c>
      <c r="N13" s="31">
        <f>IFERROR(M13/K13,0)</f>
        <v/>
      </c>
      <c r="O13" s="40">
        <f>'S42'!N13</f>
        <v/>
      </c>
      <c r="P13" s="31">
        <f>N13-O13</f>
        <v/>
      </c>
      <c r="Q13" s="32" t="n"/>
      <c r="R13" s="32" t="n"/>
      <c r="S13" s="32" t="n"/>
      <c r="T13" s="33" t="n"/>
      <c r="U13" s="40">
        <f>'S42'!T13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'S42'!M14+L14</f>
        <v/>
      </c>
      <c r="N14" s="36">
        <f>IFERROR(M14/K14,0)</f>
        <v/>
      </c>
      <c r="O14" s="42">
        <f>'S42'!N14</f>
        <v/>
      </c>
      <c r="P14" s="36">
        <f>N14-O14</f>
        <v/>
      </c>
      <c r="Q14" s="32" t="n"/>
      <c r="R14" s="32" t="n"/>
      <c r="S14" s="32" t="n"/>
      <c r="T14" s="33" t="n"/>
      <c r="U14" s="42">
        <f>'S42'!T14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'S42'!M15+L15</f>
        <v/>
      </c>
      <c r="N15" s="31">
        <f>IFERROR(M15/K15,0)</f>
        <v/>
      </c>
      <c r="O15" s="40">
        <f>'S42'!N15</f>
        <v/>
      </c>
      <c r="P15" s="31">
        <f>N15-O15</f>
        <v/>
      </c>
      <c r="Q15" s="32" t="n"/>
      <c r="R15" s="32" t="n"/>
      <c r="S15" s="32" t="n"/>
      <c r="T15" s="33" t="n"/>
      <c r="U15" s="40">
        <f>'S42'!T15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'S42'!M16+L16</f>
        <v/>
      </c>
      <c r="N16" s="36">
        <f>IFERROR(M16/K16,0)</f>
        <v/>
      </c>
      <c r="O16" s="42">
        <f>'S42'!N16</f>
        <v/>
      </c>
      <c r="P16" s="36">
        <f>N16-O16</f>
        <v/>
      </c>
      <c r="Q16" s="32" t="n"/>
      <c r="R16" s="32" t="n"/>
      <c r="S16" s="32" t="n"/>
      <c r="T16" s="33" t="n"/>
      <c r="U16" s="42">
        <f>'S42'!T16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'S42'!M17+L17</f>
        <v/>
      </c>
      <c r="N17" s="31">
        <f>IFERROR(M17/K17,0)</f>
        <v/>
      </c>
      <c r="O17" s="40">
        <f>'S42'!N17</f>
        <v/>
      </c>
      <c r="P17" s="31">
        <f>N17-O17</f>
        <v/>
      </c>
      <c r="Q17" s="32" t="n"/>
      <c r="R17" s="32" t="n"/>
      <c r="S17" s="32" t="n"/>
      <c r="T17" s="33" t="n"/>
      <c r="U17" s="40">
        <f>'S42'!T17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'S42'!M18+L18</f>
        <v/>
      </c>
      <c r="N18" s="36">
        <f>IFERROR(M18/K18,0)</f>
        <v/>
      </c>
      <c r="O18" s="42">
        <f>'S42'!N18</f>
        <v/>
      </c>
      <c r="P18" s="36">
        <f>N18-O18</f>
        <v/>
      </c>
      <c r="Q18" s="32" t="n"/>
      <c r="R18" s="32" t="n"/>
      <c r="S18" s="32" t="n"/>
      <c r="T18" s="33" t="n"/>
      <c r="U18" s="42">
        <f>'S42'!T18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'S42'!M19+L19</f>
        <v/>
      </c>
      <c r="N19" s="31">
        <f>IFERROR(M19/K19,0)</f>
        <v/>
      </c>
      <c r="O19" s="40">
        <f>'S42'!N19</f>
        <v/>
      </c>
      <c r="P19" s="31">
        <f>N19-O19</f>
        <v/>
      </c>
      <c r="Q19" s="32" t="n"/>
      <c r="R19" s="32" t="n"/>
      <c r="S19" s="32" t="n"/>
      <c r="T19" s="33" t="n"/>
      <c r="U19" s="40">
        <f>'S42'!T19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'S42'!M20+L20</f>
        <v/>
      </c>
      <c r="N20" s="36">
        <f>IFERROR(M20/K20,0)</f>
        <v/>
      </c>
      <c r="O20" s="42">
        <f>'S42'!N20</f>
        <v/>
      </c>
      <c r="P20" s="36">
        <f>N20-O20</f>
        <v/>
      </c>
      <c r="Q20" s="32" t="n"/>
      <c r="R20" s="32" t="n"/>
      <c r="S20" s="32" t="n"/>
      <c r="T20" s="33" t="n"/>
      <c r="U20" s="42">
        <f>'S42'!T20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'S42'!M21+L21</f>
        <v/>
      </c>
      <c r="N21" s="31">
        <f>IFERROR(M21/K21,0)</f>
        <v/>
      </c>
      <c r="O21" s="40">
        <f>'S42'!N21</f>
        <v/>
      </c>
      <c r="P21" s="31">
        <f>N21-O21</f>
        <v/>
      </c>
      <c r="Q21" s="32" t="n"/>
      <c r="R21" s="32" t="n"/>
      <c r="S21" s="32" t="n"/>
      <c r="T21" s="33" t="n"/>
      <c r="U21" s="40">
        <f>'S42'!T21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'S42'!M22+L22</f>
        <v/>
      </c>
      <c r="N22" s="36">
        <f>IFERROR(M22/K22,0)</f>
        <v/>
      </c>
      <c r="O22" s="42">
        <f>'S42'!N22</f>
        <v/>
      </c>
      <c r="P22" s="36">
        <f>N22-O22</f>
        <v/>
      </c>
      <c r="Q22" s="32" t="n"/>
      <c r="R22" s="32" t="n"/>
      <c r="S22" s="32" t="n"/>
      <c r="T22" s="33" t="n"/>
      <c r="U22" s="42">
        <f>'S42'!T22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'S42'!M23+L23</f>
        <v/>
      </c>
      <c r="N23" s="31">
        <f>IFERROR(M23/K23,0)</f>
        <v/>
      </c>
      <c r="O23" s="40">
        <f>'S42'!N23</f>
        <v/>
      </c>
      <c r="P23" s="31">
        <f>N23-O23</f>
        <v/>
      </c>
      <c r="Q23" s="32" t="n"/>
      <c r="R23" s="32" t="n"/>
      <c r="S23" s="32" t="n"/>
      <c r="T23" s="33" t="n"/>
      <c r="U23" s="40">
        <f>'S42'!T23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'S42'!M24+L24</f>
        <v/>
      </c>
      <c r="N24" s="36">
        <f>IFERROR(M24/K24,0)</f>
        <v/>
      </c>
      <c r="O24" s="42">
        <f>'S42'!N24</f>
        <v/>
      </c>
      <c r="P24" s="36">
        <f>N24-O24</f>
        <v/>
      </c>
      <c r="Q24" s="32" t="n"/>
      <c r="R24" s="32" t="n"/>
      <c r="S24" s="32" t="n"/>
      <c r="T24" s="33" t="n"/>
      <c r="U24" s="42">
        <f>'S42'!T24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'S42'!M25+L25</f>
        <v/>
      </c>
      <c r="N25" s="31">
        <f>IFERROR(M25/K25,0)</f>
        <v/>
      </c>
      <c r="O25" s="40">
        <f>'S42'!N25</f>
        <v/>
      </c>
      <c r="P25" s="31">
        <f>N25-O25</f>
        <v/>
      </c>
      <c r="Q25" s="32" t="n"/>
      <c r="R25" s="32" t="n"/>
      <c r="S25" s="32" t="n"/>
      <c r="T25" s="33" t="n"/>
      <c r="U25" s="40">
        <f>'S42'!T25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'S42'!M26+L26</f>
        <v/>
      </c>
      <c r="N26" s="36">
        <f>IFERROR(M26/K26,0)</f>
        <v/>
      </c>
      <c r="O26" s="42">
        <f>'S42'!N26</f>
        <v/>
      </c>
      <c r="P26" s="36">
        <f>N26-O26</f>
        <v/>
      </c>
      <c r="Q26" s="32" t="n"/>
      <c r="R26" s="32" t="n"/>
      <c r="S26" s="32" t="n"/>
      <c r="T26" s="33" t="n"/>
      <c r="U26" s="42">
        <f>'S42'!T26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'S42'!M27+L27</f>
        <v/>
      </c>
      <c r="N27" s="31">
        <f>IFERROR(M27/K27,0)</f>
        <v/>
      </c>
      <c r="O27" s="40">
        <f>'S42'!N27</f>
        <v/>
      </c>
      <c r="P27" s="31">
        <f>N27-O27</f>
        <v/>
      </c>
      <c r="Q27" s="32" t="n"/>
      <c r="R27" s="32" t="n"/>
      <c r="S27" s="32" t="n"/>
      <c r="T27" s="33" t="n"/>
      <c r="U27" s="40">
        <f>'S42'!T27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'S42'!M28+L28</f>
        <v/>
      </c>
      <c r="N28" s="36">
        <f>IFERROR(M28/K28,0)</f>
        <v/>
      </c>
      <c r="O28" s="42">
        <f>'S42'!N28</f>
        <v/>
      </c>
      <c r="P28" s="36">
        <f>N28-O28</f>
        <v/>
      </c>
      <c r="Q28" s="32" t="n"/>
      <c r="R28" s="32" t="n"/>
      <c r="S28" s="32" t="n"/>
      <c r="T28" s="33" t="n"/>
      <c r="U28" s="42">
        <f>'S42'!T28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'S42'!M29+L29</f>
        <v/>
      </c>
      <c r="N29" s="31">
        <f>IFERROR(M29/K29,0)</f>
        <v/>
      </c>
      <c r="O29" s="40">
        <f>'S42'!N29</f>
        <v/>
      </c>
      <c r="P29" s="31">
        <f>N29-O29</f>
        <v/>
      </c>
      <c r="Q29" s="32" t="n"/>
      <c r="R29" s="32" t="n"/>
      <c r="S29" s="32" t="n"/>
      <c r="T29" s="33" t="n"/>
      <c r="U29" s="40">
        <f>'S42'!T29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'S42'!M30+L30</f>
        <v/>
      </c>
      <c r="N30" s="36">
        <f>IFERROR(M30/K30,0)</f>
        <v/>
      </c>
      <c r="O30" s="42">
        <f>'S42'!N30</f>
        <v/>
      </c>
      <c r="P30" s="36">
        <f>N30-O30</f>
        <v/>
      </c>
      <c r="Q30" s="32" t="n"/>
      <c r="R30" s="32" t="n"/>
      <c r="S30" s="32" t="n"/>
      <c r="T30" s="33" t="n"/>
      <c r="U30" s="42">
        <f>'S42'!T30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'S42'!M31+L31</f>
        <v/>
      </c>
      <c r="N31" s="31">
        <f>IFERROR(M31/K31,0)</f>
        <v/>
      </c>
      <c r="O31" s="40">
        <f>'S42'!N31</f>
        <v/>
      </c>
      <c r="P31" s="31">
        <f>N31-O31</f>
        <v/>
      </c>
      <c r="Q31" s="32" t="n"/>
      <c r="R31" s="32" t="n"/>
      <c r="S31" s="32" t="n"/>
      <c r="T31" s="33" t="n"/>
      <c r="U31" s="40">
        <f>'S42'!T31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'S42'!M32+L32</f>
        <v/>
      </c>
      <c r="N32" s="36">
        <f>IFERROR(M32/K32,0)</f>
        <v/>
      </c>
      <c r="O32" s="42">
        <f>'S42'!N32</f>
        <v/>
      </c>
      <c r="P32" s="36">
        <f>N32-O32</f>
        <v/>
      </c>
      <c r="Q32" s="32" t="n"/>
      <c r="R32" s="32" t="n"/>
      <c r="S32" s="32" t="n"/>
      <c r="T32" s="33" t="n"/>
      <c r="U32" s="42">
        <f>'S42'!T32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'S42'!M33+L33</f>
        <v/>
      </c>
      <c r="N33" s="31">
        <f>IFERROR(M33/K33,0)</f>
        <v/>
      </c>
      <c r="O33" s="40">
        <f>'S42'!N33</f>
        <v/>
      </c>
      <c r="P33" s="31">
        <f>N33-O33</f>
        <v/>
      </c>
      <c r="Q33" s="32" t="n"/>
      <c r="R33" s="32" t="n"/>
      <c r="S33" s="32" t="n"/>
      <c r="T33" s="33" t="n"/>
      <c r="U33" s="40">
        <f>'S42'!T33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'S42'!M34+L34</f>
        <v/>
      </c>
      <c r="N34" s="36">
        <f>IFERROR(M34/K34,0)</f>
        <v/>
      </c>
      <c r="O34" s="42">
        <f>'S42'!N34</f>
        <v/>
      </c>
      <c r="P34" s="36">
        <f>N34-O34</f>
        <v/>
      </c>
      <c r="Q34" s="32" t="n"/>
      <c r="R34" s="32" t="n"/>
      <c r="S34" s="32" t="n"/>
      <c r="T34" s="33" t="n"/>
      <c r="U34" s="42">
        <f>'S42'!T34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'S42'!M35+L35</f>
        <v/>
      </c>
      <c r="N35" s="31">
        <f>IFERROR(M35/K35,0)</f>
        <v/>
      </c>
      <c r="O35" s="40">
        <f>'S42'!N35</f>
        <v/>
      </c>
      <c r="P35" s="31">
        <f>N35-O35</f>
        <v/>
      </c>
      <c r="Q35" s="32" t="n"/>
      <c r="R35" s="32" t="n"/>
      <c r="S35" s="32" t="n"/>
      <c r="T35" s="33" t="n"/>
      <c r="U35" s="40">
        <f>'S42'!T35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'S42'!M36+L36</f>
        <v/>
      </c>
      <c r="N36" s="36">
        <f>IFERROR(M36/K36,0)</f>
        <v/>
      </c>
      <c r="O36" s="42">
        <f>'S42'!N36</f>
        <v/>
      </c>
      <c r="P36" s="36">
        <f>N36-O36</f>
        <v/>
      </c>
      <c r="Q36" s="32" t="n"/>
      <c r="R36" s="32" t="n"/>
      <c r="S36" s="32" t="n"/>
      <c r="T36" s="33" t="n"/>
      <c r="U36" s="42">
        <f>'S42'!T36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'S42'!M37+L37</f>
        <v/>
      </c>
      <c r="N37" s="31">
        <f>IFERROR(M37/K37,0)</f>
        <v/>
      </c>
      <c r="O37" s="40">
        <f>'S42'!N37</f>
        <v/>
      </c>
      <c r="P37" s="31">
        <f>N37-O37</f>
        <v/>
      </c>
      <c r="Q37" s="32" t="n"/>
      <c r="R37" s="32" t="n"/>
      <c r="S37" s="32" t="n"/>
      <c r="T37" s="33" t="n"/>
      <c r="U37" s="40">
        <f>'S42'!T37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'S42'!M38+L38</f>
        <v/>
      </c>
      <c r="N38" s="36">
        <f>IFERROR(M38/K38,0)</f>
        <v/>
      </c>
      <c r="O38" s="42">
        <f>'S42'!N38</f>
        <v/>
      </c>
      <c r="P38" s="36">
        <f>N38-O38</f>
        <v/>
      </c>
      <c r="Q38" s="32" t="n"/>
      <c r="R38" s="32" t="n"/>
      <c r="S38" s="32" t="n"/>
      <c r="T38" s="33" t="n"/>
      <c r="U38" s="42">
        <f>'S42'!T38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'S42'!M39+L39</f>
        <v/>
      </c>
      <c r="N39" s="31">
        <f>IFERROR(M39/K39,0)</f>
        <v/>
      </c>
      <c r="O39" s="40">
        <f>'S42'!N39</f>
        <v/>
      </c>
      <c r="P39" s="31">
        <f>N39-O39</f>
        <v/>
      </c>
      <c r="Q39" s="32" t="n"/>
      <c r="R39" s="32" t="n"/>
      <c r="S39" s="32" t="n"/>
      <c r="T39" s="33" t="n"/>
      <c r="U39" s="40">
        <f>'S42'!T39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'S42'!M40+L40</f>
        <v/>
      </c>
      <c r="N40" s="36">
        <f>IFERROR(M40/K40,0)</f>
        <v/>
      </c>
      <c r="O40" s="42">
        <f>'S42'!N40</f>
        <v/>
      </c>
      <c r="P40" s="36">
        <f>N40-O40</f>
        <v/>
      </c>
      <c r="Q40" s="32" t="n"/>
      <c r="R40" s="32" t="n"/>
      <c r="S40" s="32" t="n"/>
      <c r="T40" s="33" t="n"/>
      <c r="U40" s="42">
        <f>'S42'!T40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'S42'!M41+L41</f>
        <v/>
      </c>
      <c r="N41" s="31">
        <f>IFERROR(M41/K41,0)</f>
        <v/>
      </c>
      <c r="O41" s="40">
        <f>'S42'!N41</f>
        <v/>
      </c>
      <c r="P41" s="31">
        <f>N41-O41</f>
        <v/>
      </c>
      <c r="Q41" s="32" t="n"/>
      <c r="R41" s="32" t="n"/>
      <c r="S41" s="32" t="n"/>
      <c r="T41" s="33" t="n"/>
      <c r="U41" s="40">
        <f>'S42'!T41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'S42'!M42+L42</f>
        <v/>
      </c>
      <c r="N42" s="36">
        <f>IFERROR(M42/K42,0)</f>
        <v/>
      </c>
      <c r="O42" s="42">
        <f>'S42'!N42</f>
        <v/>
      </c>
      <c r="P42" s="36">
        <f>N42-O42</f>
        <v/>
      </c>
      <c r="Q42" s="32" t="n"/>
      <c r="R42" s="32" t="n"/>
      <c r="S42" s="32" t="n"/>
      <c r="T42" s="33" t="n"/>
      <c r="U42" s="42">
        <f>'S42'!T42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'S42'!M43+L43</f>
        <v/>
      </c>
      <c r="N43" s="31">
        <f>IFERROR(M43/K43,0)</f>
        <v/>
      </c>
      <c r="O43" s="40">
        <f>'S42'!N43</f>
        <v/>
      </c>
      <c r="P43" s="31">
        <f>N43-O43</f>
        <v/>
      </c>
      <c r="Q43" s="32" t="n"/>
      <c r="R43" s="32" t="n"/>
      <c r="S43" s="32" t="n"/>
      <c r="T43" s="33" t="n"/>
      <c r="U43" s="40">
        <f>'S42'!T43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'S42'!M44+L44</f>
        <v/>
      </c>
      <c r="N44" s="36">
        <f>IFERROR(M44/K44,0)</f>
        <v/>
      </c>
      <c r="O44" s="42">
        <f>'S42'!N44</f>
        <v/>
      </c>
      <c r="P44" s="36">
        <f>N44-O44</f>
        <v/>
      </c>
      <c r="Q44" s="32" t="n"/>
      <c r="R44" s="32" t="n"/>
      <c r="S44" s="32" t="n"/>
      <c r="T44" s="33" t="n"/>
      <c r="U44" s="42">
        <f>'S42'!T44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'S42'!M45+L45</f>
        <v/>
      </c>
      <c r="N45" s="31">
        <f>IFERROR(M45/K45,0)</f>
        <v/>
      </c>
      <c r="O45" s="40">
        <f>'S42'!N45</f>
        <v/>
      </c>
      <c r="P45" s="31">
        <f>N45-O45</f>
        <v/>
      </c>
      <c r="Q45" s="32" t="n"/>
      <c r="R45" s="32" t="n"/>
      <c r="S45" s="32" t="n"/>
      <c r="T45" s="33" t="n"/>
      <c r="U45" s="40">
        <f>'S42'!T45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'S42'!M46+L46</f>
        <v/>
      </c>
      <c r="N46" s="36">
        <f>IFERROR(M46/K46,0)</f>
        <v/>
      </c>
      <c r="O46" s="42">
        <f>'S42'!N46</f>
        <v/>
      </c>
      <c r="P46" s="36">
        <f>N46-O46</f>
        <v/>
      </c>
      <c r="Q46" s="32" t="n"/>
      <c r="R46" s="32" t="n"/>
      <c r="S46" s="32" t="n"/>
      <c r="T46" s="33" t="n"/>
      <c r="U46" s="42">
        <f>'S42'!T46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'S42'!M47+L47</f>
        <v/>
      </c>
      <c r="N47" s="31">
        <f>IFERROR(M47/K47,0)</f>
        <v/>
      </c>
      <c r="O47" s="40">
        <f>'S42'!N47</f>
        <v/>
      </c>
      <c r="P47" s="31">
        <f>N47-O47</f>
        <v/>
      </c>
      <c r="Q47" s="32" t="n"/>
      <c r="R47" s="32" t="n"/>
      <c r="S47" s="32" t="n"/>
      <c r="T47" s="33" t="n"/>
      <c r="U47" s="40">
        <f>'S42'!T47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'S42'!M48+L48</f>
        <v/>
      </c>
      <c r="N48" s="36">
        <f>IFERROR(M48/K48,0)</f>
        <v/>
      </c>
      <c r="O48" s="42">
        <f>'S42'!N48</f>
        <v/>
      </c>
      <c r="P48" s="36">
        <f>N48-O48</f>
        <v/>
      </c>
      <c r="Q48" s="32" t="n"/>
      <c r="R48" s="32" t="n"/>
      <c r="S48" s="32" t="n"/>
      <c r="T48" s="33" t="n"/>
      <c r="U48" s="42">
        <f>'S42'!T48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'S42'!M49+L49</f>
        <v/>
      </c>
      <c r="N49" s="31">
        <f>IFERROR(M49/K49,0)</f>
        <v/>
      </c>
      <c r="O49" s="40">
        <f>'S42'!N49</f>
        <v/>
      </c>
      <c r="P49" s="31">
        <f>N49-O49</f>
        <v/>
      </c>
      <c r="Q49" s="32" t="n"/>
      <c r="R49" s="32" t="n"/>
      <c r="S49" s="32" t="n"/>
      <c r="T49" s="33" t="n"/>
      <c r="U49" s="40">
        <f>'S42'!T49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'S42'!M50+L50</f>
        <v/>
      </c>
      <c r="N50" s="36">
        <f>IFERROR(M50/K50,0)</f>
        <v/>
      </c>
      <c r="O50" s="42">
        <f>'S42'!N50</f>
        <v/>
      </c>
      <c r="P50" s="36">
        <f>N50-O50</f>
        <v/>
      </c>
      <c r="Q50" s="32" t="n"/>
      <c r="R50" s="32" t="n"/>
      <c r="S50" s="32" t="n"/>
      <c r="T50" s="33" t="n"/>
      <c r="U50" s="42">
        <f>'S42'!T50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'S42'!M51+L51</f>
        <v/>
      </c>
      <c r="N51" s="31">
        <f>IFERROR(M51/K51,0)</f>
        <v/>
      </c>
      <c r="O51" s="40">
        <f>'S42'!N51</f>
        <v/>
      </c>
      <c r="P51" s="31">
        <f>N51-O51</f>
        <v/>
      </c>
      <c r="Q51" s="32" t="n"/>
      <c r="R51" s="32" t="n"/>
      <c r="S51" s="32" t="n"/>
      <c r="T51" s="33" t="n"/>
      <c r="U51" s="40">
        <f>'S42'!T51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'S42'!M52+L52</f>
        <v/>
      </c>
      <c r="N52" s="36">
        <f>IFERROR(M52/K52,0)</f>
        <v/>
      </c>
      <c r="O52" s="42">
        <f>'S42'!N52</f>
        <v/>
      </c>
      <c r="P52" s="36">
        <f>N52-O52</f>
        <v/>
      </c>
      <c r="Q52" s="32" t="n"/>
      <c r="R52" s="32" t="n"/>
      <c r="S52" s="32" t="n"/>
      <c r="T52" s="33" t="n"/>
      <c r="U52" s="42">
        <f>'S42'!T52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'S42'!M53+L53</f>
        <v/>
      </c>
      <c r="N53" s="31">
        <f>IFERROR(M53/K53,0)</f>
        <v/>
      </c>
      <c r="O53" s="40">
        <f>'S42'!N53</f>
        <v/>
      </c>
      <c r="P53" s="31">
        <f>N53-O53</f>
        <v/>
      </c>
      <c r="Q53" s="32" t="n"/>
      <c r="R53" s="32" t="n"/>
      <c r="S53" s="32" t="n"/>
      <c r="T53" s="33" t="n"/>
      <c r="U53" s="40">
        <f>'S42'!T53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'S42'!M54+L54</f>
        <v/>
      </c>
      <c r="N54" s="36">
        <f>IFERROR(M54/K54,0)</f>
        <v/>
      </c>
      <c r="O54" s="42">
        <f>'S42'!N54</f>
        <v/>
      </c>
      <c r="P54" s="36">
        <f>N54-O54</f>
        <v/>
      </c>
      <c r="Q54" s="32" t="n"/>
      <c r="R54" s="32" t="n"/>
      <c r="S54" s="32" t="n"/>
      <c r="T54" s="33" t="n"/>
      <c r="U54" s="42">
        <f>'S42'!T54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'S42'!M55+L55</f>
        <v/>
      </c>
      <c r="N55" s="31">
        <f>IFERROR(M55/K55,0)</f>
        <v/>
      </c>
      <c r="O55" s="40">
        <f>'S42'!N55</f>
        <v/>
      </c>
      <c r="P55" s="31">
        <f>N55-O55</f>
        <v/>
      </c>
      <c r="Q55" s="32" t="n"/>
      <c r="R55" s="32" t="n"/>
      <c r="S55" s="32" t="n"/>
      <c r="T55" s="33" t="n"/>
      <c r="U55" s="40">
        <f>'S42'!T55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'S42'!M56+L56</f>
        <v/>
      </c>
      <c r="N56" s="36">
        <f>IFERROR(M56/K56,0)</f>
        <v/>
      </c>
      <c r="O56" s="42">
        <f>'S42'!N56</f>
        <v/>
      </c>
      <c r="P56" s="36">
        <f>N56-O56</f>
        <v/>
      </c>
      <c r="Q56" s="32" t="n"/>
      <c r="R56" s="32" t="n"/>
      <c r="S56" s="32" t="n"/>
      <c r="T56" s="33" t="n"/>
      <c r="U56" s="42">
        <f>'S42'!T56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'S42'!M57+L57</f>
        <v/>
      </c>
      <c r="N57" s="31">
        <f>IFERROR(M57/K57,0)</f>
        <v/>
      </c>
      <c r="O57" s="40">
        <f>'S42'!N57</f>
        <v/>
      </c>
      <c r="P57" s="31">
        <f>N57-O57</f>
        <v/>
      </c>
      <c r="Q57" s="32" t="n"/>
      <c r="R57" s="32" t="n"/>
      <c r="S57" s="32" t="n"/>
      <c r="T57" s="33" t="n"/>
      <c r="U57" s="40">
        <f>'S42'!T57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'S42'!M58+L58</f>
        <v/>
      </c>
      <c r="N58" s="36">
        <f>IFERROR(M58/K58,0)</f>
        <v/>
      </c>
      <c r="O58" s="42">
        <f>'S42'!N58</f>
        <v/>
      </c>
      <c r="P58" s="36">
        <f>N58-O58</f>
        <v/>
      </c>
      <c r="Q58" s="32" t="n"/>
      <c r="R58" s="32" t="n"/>
      <c r="S58" s="32" t="n"/>
      <c r="T58" s="33" t="n"/>
      <c r="U58" s="42">
        <f>'S42'!T58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'S42'!M59+L59</f>
        <v/>
      </c>
      <c r="N59" s="31">
        <f>IFERROR(M59/K59,0)</f>
        <v/>
      </c>
      <c r="O59" s="40">
        <f>'S42'!N59</f>
        <v/>
      </c>
      <c r="P59" s="31">
        <f>N59-O59</f>
        <v/>
      </c>
      <c r="Q59" s="32" t="n"/>
      <c r="R59" s="32" t="n"/>
      <c r="S59" s="32" t="n"/>
      <c r="T59" s="33" t="n"/>
      <c r="U59" s="40">
        <f>'S42'!T59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'S42'!M60+L60</f>
        <v/>
      </c>
      <c r="N60" s="36">
        <f>IFERROR(M60/K60,0)</f>
        <v/>
      </c>
      <c r="O60" s="42">
        <f>'S42'!N60</f>
        <v/>
      </c>
      <c r="P60" s="36">
        <f>N60-O60</f>
        <v/>
      </c>
      <c r="Q60" s="32" t="n"/>
      <c r="R60" s="32" t="n"/>
      <c r="S60" s="32" t="n"/>
      <c r="T60" s="33" t="n"/>
      <c r="U60" s="42">
        <f>'S42'!T60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'S42'!M61+L61</f>
        <v/>
      </c>
      <c r="N61" s="31">
        <f>IFERROR(M61/K61,0)</f>
        <v/>
      </c>
      <c r="O61" s="40">
        <f>'S42'!N61</f>
        <v/>
      </c>
      <c r="P61" s="31">
        <f>N61-O61</f>
        <v/>
      </c>
      <c r="Q61" s="32" t="n"/>
      <c r="R61" s="32" t="n"/>
      <c r="S61" s="32" t="n"/>
      <c r="T61" s="33" t="n"/>
      <c r="U61" s="40">
        <f>'S42'!T61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'S42'!M62+L62</f>
        <v/>
      </c>
      <c r="N62" s="36">
        <f>IFERROR(M62/K62,0)</f>
        <v/>
      </c>
      <c r="O62" s="42">
        <f>'S42'!N62</f>
        <v/>
      </c>
      <c r="P62" s="36">
        <f>N62-O62</f>
        <v/>
      </c>
      <c r="Q62" s="32" t="n"/>
      <c r="R62" s="32" t="n"/>
      <c r="S62" s="32" t="n"/>
      <c r="T62" s="33" t="n"/>
      <c r="U62" s="42">
        <f>'S42'!T62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'S42'!M63+L63</f>
        <v/>
      </c>
      <c r="N63" s="31">
        <f>IFERROR(M63/K63,0)</f>
        <v/>
      </c>
      <c r="O63" s="40">
        <f>'S42'!N63</f>
        <v/>
      </c>
      <c r="P63" s="31">
        <f>N63-O63</f>
        <v/>
      </c>
      <c r="Q63" s="32" t="n"/>
      <c r="R63" s="32" t="n"/>
      <c r="S63" s="32" t="n"/>
      <c r="T63" s="33" t="n"/>
      <c r="U63" s="40">
        <f>'S42'!T63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'S42'!M64+L64</f>
        <v/>
      </c>
      <c r="N64" s="36">
        <f>IFERROR(M64/K64,0)</f>
        <v/>
      </c>
      <c r="O64" s="42">
        <f>'S42'!N64</f>
        <v/>
      </c>
      <c r="P64" s="36">
        <f>N64-O64</f>
        <v/>
      </c>
      <c r="Q64" s="32" t="n"/>
      <c r="R64" s="32" t="n"/>
      <c r="S64" s="32" t="n"/>
      <c r="T64" s="33" t="n"/>
      <c r="U64" s="42">
        <f>'S42'!T64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'S42'!M65+L65</f>
        <v/>
      </c>
      <c r="N65" s="31">
        <f>IFERROR(M65/K65,0)</f>
        <v/>
      </c>
      <c r="O65" s="40">
        <f>'S42'!N65</f>
        <v/>
      </c>
      <c r="P65" s="31">
        <f>N65-O65</f>
        <v/>
      </c>
      <c r="Q65" s="32" t="n"/>
      <c r="R65" s="32" t="n"/>
      <c r="S65" s="32" t="n"/>
      <c r="T65" s="33" t="n"/>
      <c r="U65" s="40">
        <f>'S42'!T65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'S42'!M66+L66</f>
        <v/>
      </c>
      <c r="N66" s="36">
        <f>IFERROR(M66/K66,0)</f>
        <v/>
      </c>
      <c r="O66" s="42">
        <f>'S42'!N66</f>
        <v/>
      </c>
      <c r="P66" s="36">
        <f>N66-O66</f>
        <v/>
      </c>
      <c r="Q66" s="32" t="n"/>
      <c r="R66" s="32" t="n"/>
      <c r="S66" s="32" t="n"/>
      <c r="T66" s="33" t="n"/>
      <c r="U66" s="42">
        <f>'S42'!T66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'S42'!M67+L67</f>
        <v/>
      </c>
      <c r="N67" s="31">
        <f>IFERROR(M67/K67,0)</f>
        <v/>
      </c>
      <c r="O67" s="40">
        <f>'S42'!N67</f>
        <v/>
      </c>
      <c r="P67" s="31">
        <f>N67-O67</f>
        <v/>
      </c>
      <c r="Q67" s="32" t="n"/>
      <c r="R67" s="32" t="n"/>
      <c r="S67" s="32" t="n"/>
      <c r="T67" s="33" t="n"/>
      <c r="U67" s="40">
        <f>'S42'!T67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'S42'!M68+L68</f>
        <v/>
      </c>
      <c r="N68" s="36">
        <f>IFERROR(M68/K68,0)</f>
        <v/>
      </c>
      <c r="O68" s="42">
        <f>'S42'!N68</f>
        <v/>
      </c>
      <c r="P68" s="36">
        <f>N68-O68</f>
        <v/>
      </c>
      <c r="Q68" s="32" t="n"/>
      <c r="R68" s="32" t="n"/>
      <c r="S68" s="32" t="n"/>
      <c r="T68" s="33" t="n"/>
      <c r="U68" s="42">
        <f>'S42'!T68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'S42'!M69+L69</f>
        <v/>
      </c>
      <c r="N69" s="31">
        <f>IFERROR(M69/K69,0)</f>
        <v/>
      </c>
      <c r="O69" s="40">
        <f>'S42'!N69</f>
        <v/>
      </c>
      <c r="P69" s="31">
        <f>N69-O69</f>
        <v/>
      </c>
      <c r="Q69" s="32" t="n"/>
      <c r="R69" s="32" t="n"/>
      <c r="S69" s="32" t="n"/>
      <c r="T69" s="33" t="n"/>
      <c r="U69" s="40">
        <f>'S42'!T69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'S42'!M70+L70</f>
        <v/>
      </c>
      <c r="N70" s="36">
        <f>IFERROR(M70/K70,0)</f>
        <v/>
      </c>
      <c r="O70" s="42">
        <f>'S42'!N70</f>
        <v/>
      </c>
      <c r="P70" s="36">
        <f>N70-O70</f>
        <v/>
      </c>
      <c r="Q70" s="32" t="n"/>
      <c r="R70" s="32" t="n"/>
      <c r="S70" s="32" t="n"/>
      <c r="T70" s="33" t="n"/>
      <c r="U70" s="42">
        <f>'S42'!T70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'S42'!M71+L71</f>
        <v/>
      </c>
      <c r="N71" s="31">
        <f>IFERROR(M71/K71,0)</f>
        <v/>
      </c>
      <c r="O71" s="40">
        <f>'S42'!N71</f>
        <v/>
      </c>
      <c r="P71" s="31">
        <f>N71-O71</f>
        <v/>
      </c>
      <c r="Q71" s="32" t="n"/>
      <c r="R71" s="32" t="n"/>
      <c r="S71" s="32" t="n"/>
      <c r="T71" s="33" t="n"/>
      <c r="U71" s="40">
        <f>'S42'!T71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'S42'!M72+L72</f>
        <v/>
      </c>
      <c r="N72" s="36">
        <f>IFERROR(M72/K72,0)</f>
        <v/>
      </c>
      <c r="O72" s="42">
        <f>'S42'!N72</f>
        <v/>
      </c>
      <c r="P72" s="36">
        <f>N72-O72</f>
        <v/>
      </c>
      <c r="Q72" s="32" t="n"/>
      <c r="R72" s="32" t="n"/>
      <c r="S72" s="32" t="n"/>
      <c r="T72" s="33" t="n"/>
      <c r="U72" s="42">
        <f>'S42'!T72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'S42'!M73+L73</f>
        <v/>
      </c>
      <c r="N73" s="31">
        <f>IFERROR(M73/K73,0)</f>
        <v/>
      </c>
      <c r="O73" s="40">
        <f>'S42'!N73</f>
        <v/>
      </c>
      <c r="P73" s="31">
        <f>N73-O73</f>
        <v/>
      </c>
      <c r="Q73" s="32" t="n"/>
      <c r="R73" s="32" t="n"/>
      <c r="S73" s="32" t="n"/>
      <c r="T73" s="33" t="n"/>
      <c r="U73" s="40">
        <f>'S42'!T73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'S42'!M74+L74</f>
        <v/>
      </c>
      <c r="N74" s="36">
        <f>IFERROR(M74/K74,0)</f>
        <v/>
      </c>
      <c r="O74" s="42">
        <f>'S42'!N74</f>
        <v/>
      </c>
      <c r="P74" s="36">
        <f>N74-O74</f>
        <v/>
      </c>
      <c r="Q74" s="32" t="n"/>
      <c r="R74" s="32" t="n"/>
      <c r="S74" s="32" t="n"/>
      <c r="T74" s="33" t="n"/>
      <c r="U74" s="42">
        <f>'S42'!T74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'S42'!M75+L75</f>
        <v/>
      </c>
      <c r="N75" s="31">
        <f>IFERROR(M75/K75,0)</f>
        <v/>
      </c>
      <c r="O75" s="40">
        <f>'S42'!N75</f>
        <v/>
      </c>
      <c r="P75" s="31">
        <f>N75-O75</f>
        <v/>
      </c>
      <c r="Q75" s="32" t="n"/>
      <c r="R75" s="32" t="n"/>
      <c r="S75" s="32" t="n"/>
      <c r="T75" s="33" t="n"/>
      <c r="U75" s="40">
        <f>'S42'!T75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'S42'!M76+L76</f>
        <v/>
      </c>
      <c r="N76" s="36">
        <f>IFERROR(M76/K76,0)</f>
        <v/>
      </c>
      <c r="O76" s="42">
        <f>'S42'!N76</f>
        <v/>
      </c>
      <c r="P76" s="36">
        <f>N76-O76</f>
        <v/>
      </c>
      <c r="Q76" s="32" t="n"/>
      <c r="R76" s="32" t="n"/>
      <c r="S76" s="32" t="n"/>
      <c r="T76" s="33" t="n"/>
      <c r="U76" s="42">
        <f>'S42'!T76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46.xml><?xml version="1.0" encoding="utf-8"?>
<worksheet xmlns="http://schemas.openxmlformats.org/spreadsheetml/2006/main">
  <sheetPr>
    <tabColor rgb="007030A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44 (26/10 - 01/11) — Octobre 2026 - Exécution Physique et Financière</t>
        </is>
      </c>
    </row>
    <row r="3" ht="22" customHeight="1">
      <c r="B3" s="20" t="inlineStr">
        <is>
          <t>Date :</t>
        </is>
      </c>
      <c r="C3" s="21" t="n">
        <v>46321</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'S43'!M5+L5</f>
        <v/>
      </c>
      <c r="N5" s="31">
        <f>IFERROR(M5/K5,0)</f>
        <v/>
      </c>
      <c r="O5" s="40">
        <f>'S43'!N5</f>
        <v/>
      </c>
      <c r="P5" s="31">
        <f>N5-O5</f>
        <v/>
      </c>
      <c r="Q5" s="32" t="n"/>
      <c r="R5" s="32" t="n"/>
      <c r="S5" s="32" t="n"/>
      <c r="T5" s="33" t="n"/>
      <c r="U5" s="40">
        <f>'S43'!T5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'S43'!M6+L6</f>
        <v/>
      </c>
      <c r="N6" s="36">
        <f>IFERROR(M6/K6,0)</f>
        <v/>
      </c>
      <c r="O6" s="42">
        <f>'S43'!N6</f>
        <v/>
      </c>
      <c r="P6" s="36">
        <f>N6-O6</f>
        <v/>
      </c>
      <c r="Q6" s="32" t="n"/>
      <c r="R6" s="32" t="n"/>
      <c r="S6" s="32" t="n"/>
      <c r="T6" s="33" t="n"/>
      <c r="U6" s="42">
        <f>'S43'!T6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'S43'!M7+L7</f>
        <v/>
      </c>
      <c r="N7" s="31">
        <f>IFERROR(M7/K7,0)</f>
        <v/>
      </c>
      <c r="O7" s="40">
        <f>'S43'!N7</f>
        <v/>
      </c>
      <c r="P7" s="31">
        <f>N7-O7</f>
        <v/>
      </c>
      <c r="Q7" s="32" t="n"/>
      <c r="R7" s="32" t="n"/>
      <c r="S7" s="32" t="n"/>
      <c r="T7" s="33" t="n"/>
      <c r="U7" s="40">
        <f>'S43'!T7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'S43'!M8+L8</f>
        <v/>
      </c>
      <c r="N8" s="36">
        <f>IFERROR(M8/K8,0)</f>
        <v/>
      </c>
      <c r="O8" s="42">
        <f>'S43'!N8</f>
        <v/>
      </c>
      <c r="P8" s="36">
        <f>N8-O8</f>
        <v/>
      </c>
      <c r="Q8" s="32" t="n"/>
      <c r="R8" s="32" t="n"/>
      <c r="S8" s="32" t="n"/>
      <c r="T8" s="33" t="n"/>
      <c r="U8" s="42">
        <f>'S43'!T8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'S43'!M9+L9</f>
        <v/>
      </c>
      <c r="N9" s="31">
        <f>IFERROR(M9/K9,0)</f>
        <v/>
      </c>
      <c r="O9" s="40">
        <f>'S43'!N9</f>
        <v/>
      </c>
      <c r="P9" s="31">
        <f>N9-O9</f>
        <v/>
      </c>
      <c r="Q9" s="32" t="n"/>
      <c r="R9" s="32" t="n"/>
      <c r="S9" s="32" t="n"/>
      <c r="T9" s="33" t="n"/>
      <c r="U9" s="40">
        <f>'S43'!T9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'S43'!M10+L10</f>
        <v/>
      </c>
      <c r="N10" s="36">
        <f>IFERROR(M10/K10,0)</f>
        <v/>
      </c>
      <c r="O10" s="42">
        <f>'S43'!N10</f>
        <v/>
      </c>
      <c r="P10" s="36">
        <f>N10-O10</f>
        <v/>
      </c>
      <c r="Q10" s="32" t="n"/>
      <c r="R10" s="32" t="n"/>
      <c r="S10" s="32" t="n"/>
      <c r="T10" s="33" t="n"/>
      <c r="U10" s="42">
        <f>'S43'!T10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'S43'!M11+L11</f>
        <v/>
      </c>
      <c r="N11" s="31">
        <f>IFERROR(M11/K11,0)</f>
        <v/>
      </c>
      <c r="O11" s="40">
        <f>'S43'!N11</f>
        <v/>
      </c>
      <c r="P11" s="31">
        <f>N11-O11</f>
        <v/>
      </c>
      <c r="Q11" s="32" t="n"/>
      <c r="R11" s="32" t="n"/>
      <c r="S11" s="32" t="n"/>
      <c r="T11" s="33" t="n"/>
      <c r="U11" s="40">
        <f>'S43'!T11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'S43'!M12+L12</f>
        <v/>
      </c>
      <c r="N12" s="36">
        <f>IFERROR(M12/K12,0)</f>
        <v/>
      </c>
      <c r="O12" s="42">
        <f>'S43'!N12</f>
        <v/>
      </c>
      <c r="P12" s="36">
        <f>N12-O12</f>
        <v/>
      </c>
      <c r="Q12" s="32" t="n"/>
      <c r="R12" s="32" t="n"/>
      <c r="S12" s="32" t="n"/>
      <c r="T12" s="33" t="n"/>
      <c r="U12" s="42">
        <f>'S43'!T12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'S43'!M13+L13</f>
        <v/>
      </c>
      <c r="N13" s="31">
        <f>IFERROR(M13/K13,0)</f>
        <v/>
      </c>
      <c r="O13" s="40">
        <f>'S43'!N13</f>
        <v/>
      </c>
      <c r="P13" s="31">
        <f>N13-O13</f>
        <v/>
      </c>
      <c r="Q13" s="32" t="n"/>
      <c r="R13" s="32" t="n"/>
      <c r="S13" s="32" t="n"/>
      <c r="T13" s="33" t="n"/>
      <c r="U13" s="40">
        <f>'S43'!T13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'S43'!M14+L14</f>
        <v/>
      </c>
      <c r="N14" s="36">
        <f>IFERROR(M14/K14,0)</f>
        <v/>
      </c>
      <c r="O14" s="42">
        <f>'S43'!N14</f>
        <v/>
      </c>
      <c r="P14" s="36">
        <f>N14-O14</f>
        <v/>
      </c>
      <c r="Q14" s="32" t="n"/>
      <c r="R14" s="32" t="n"/>
      <c r="S14" s="32" t="n"/>
      <c r="T14" s="33" t="n"/>
      <c r="U14" s="42">
        <f>'S43'!T14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'S43'!M15+L15</f>
        <v/>
      </c>
      <c r="N15" s="31">
        <f>IFERROR(M15/K15,0)</f>
        <v/>
      </c>
      <c r="O15" s="40">
        <f>'S43'!N15</f>
        <v/>
      </c>
      <c r="P15" s="31">
        <f>N15-O15</f>
        <v/>
      </c>
      <c r="Q15" s="32" t="n"/>
      <c r="R15" s="32" t="n"/>
      <c r="S15" s="32" t="n"/>
      <c r="T15" s="33" t="n"/>
      <c r="U15" s="40">
        <f>'S43'!T15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'S43'!M16+L16</f>
        <v/>
      </c>
      <c r="N16" s="36">
        <f>IFERROR(M16/K16,0)</f>
        <v/>
      </c>
      <c r="O16" s="42">
        <f>'S43'!N16</f>
        <v/>
      </c>
      <c r="P16" s="36">
        <f>N16-O16</f>
        <v/>
      </c>
      <c r="Q16" s="32" t="n"/>
      <c r="R16" s="32" t="n"/>
      <c r="S16" s="32" t="n"/>
      <c r="T16" s="33" t="n"/>
      <c r="U16" s="42">
        <f>'S43'!T16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'S43'!M17+L17</f>
        <v/>
      </c>
      <c r="N17" s="31">
        <f>IFERROR(M17/K17,0)</f>
        <v/>
      </c>
      <c r="O17" s="40">
        <f>'S43'!N17</f>
        <v/>
      </c>
      <c r="P17" s="31">
        <f>N17-O17</f>
        <v/>
      </c>
      <c r="Q17" s="32" t="n"/>
      <c r="R17" s="32" t="n"/>
      <c r="S17" s="32" t="n"/>
      <c r="T17" s="33" t="n"/>
      <c r="U17" s="40">
        <f>'S43'!T17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'S43'!M18+L18</f>
        <v/>
      </c>
      <c r="N18" s="36">
        <f>IFERROR(M18/K18,0)</f>
        <v/>
      </c>
      <c r="O18" s="42">
        <f>'S43'!N18</f>
        <v/>
      </c>
      <c r="P18" s="36">
        <f>N18-O18</f>
        <v/>
      </c>
      <c r="Q18" s="32" t="n"/>
      <c r="R18" s="32" t="n"/>
      <c r="S18" s="32" t="n"/>
      <c r="T18" s="33" t="n"/>
      <c r="U18" s="42">
        <f>'S43'!T18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'S43'!M19+L19</f>
        <v/>
      </c>
      <c r="N19" s="31">
        <f>IFERROR(M19/K19,0)</f>
        <v/>
      </c>
      <c r="O19" s="40">
        <f>'S43'!N19</f>
        <v/>
      </c>
      <c r="P19" s="31">
        <f>N19-O19</f>
        <v/>
      </c>
      <c r="Q19" s="32" t="n"/>
      <c r="R19" s="32" t="n"/>
      <c r="S19" s="32" t="n"/>
      <c r="T19" s="33" t="n"/>
      <c r="U19" s="40">
        <f>'S43'!T19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'S43'!M20+L20</f>
        <v/>
      </c>
      <c r="N20" s="36">
        <f>IFERROR(M20/K20,0)</f>
        <v/>
      </c>
      <c r="O20" s="42">
        <f>'S43'!N20</f>
        <v/>
      </c>
      <c r="P20" s="36">
        <f>N20-O20</f>
        <v/>
      </c>
      <c r="Q20" s="32" t="n"/>
      <c r="R20" s="32" t="n"/>
      <c r="S20" s="32" t="n"/>
      <c r="T20" s="33" t="n"/>
      <c r="U20" s="42">
        <f>'S43'!T20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'S43'!M21+L21</f>
        <v/>
      </c>
      <c r="N21" s="31">
        <f>IFERROR(M21/K21,0)</f>
        <v/>
      </c>
      <c r="O21" s="40">
        <f>'S43'!N21</f>
        <v/>
      </c>
      <c r="P21" s="31">
        <f>N21-O21</f>
        <v/>
      </c>
      <c r="Q21" s="32" t="n"/>
      <c r="R21" s="32" t="n"/>
      <c r="S21" s="32" t="n"/>
      <c r="T21" s="33" t="n"/>
      <c r="U21" s="40">
        <f>'S43'!T21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'S43'!M22+L22</f>
        <v/>
      </c>
      <c r="N22" s="36">
        <f>IFERROR(M22/K22,0)</f>
        <v/>
      </c>
      <c r="O22" s="42">
        <f>'S43'!N22</f>
        <v/>
      </c>
      <c r="P22" s="36">
        <f>N22-O22</f>
        <v/>
      </c>
      <c r="Q22" s="32" t="n"/>
      <c r="R22" s="32" t="n"/>
      <c r="S22" s="32" t="n"/>
      <c r="T22" s="33" t="n"/>
      <c r="U22" s="42">
        <f>'S43'!T22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'S43'!M23+L23</f>
        <v/>
      </c>
      <c r="N23" s="31">
        <f>IFERROR(M23/K23,0)</f>
        <v/>
      </c>
      <c r="O23" s="40">
        <f>'S43'!N23</f>
        <v/>
      </c>
      <c r="P23" s="31">
        <f>N23-O23</f>
        <v/>
      </c>
      <c r="Q23" s="32" t="n"/>
      <c r="R23" s="32" t="n"/>
      <c r="S23" s="32" t="n"/>
      <c r="T23" s="33" t="n"/>
      <c r="U23" s="40">
        <f>'S43'!T23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'S43'!M24+L24</f>
        <v/>
      </c>
      <c r="N24" s="36">
        <f>IFERROR(M24/K24,0)</f>
        <v/>
      </c>
      <c r="O24" s="42">
        <f>'S43'!N24</f>
        <v/>
      </c>
      <c r="P24" s="36">
        <f>N24-O24</f>
        <v/>
      </c>
      <c r="Q24" s="32" t="n"/>
      <c r="R24" s="32" t="n"/>
      <c r="S24" s="32" t="n"/>
      <c r="T24" s="33" t="n"/>
      <c r="U24" s="42">
        <f>'S43'!T24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'S43'!M25+L25</f>
        <v/>
      </c>
      <c r="N25" s="31">
        <f>IFERROR(M25/K25,0)</f>
        <v/>
      </c>
      <c r="O25" s="40">
        <f>'S43'!N25</f>
        <v/>
      </c>
      <c r="P25" s="31">
        <f>N25-O25</f>
        <v/>
      </c>
      <c r="Q25" s="32" t="n"/>
      <c r="R25" s="32" t="n"/>
      <c r="S25" s="32" t="n"/>
      <c r="T25" s="33" t="n"/>
      <c r="U25" s="40">
        <f>'S43'!T25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'S43'!M26+L26</f>
        <v/>
      </c>
      <c r="N26" s="36">
        <f>IFERROR(M26/K26,0)</f>
        <v/>
      </c>
      <c r="O26" s="42">
        <f>'S43'!N26</f>
        <v/>
      </c>
      <c r="P26" s="36">
        <f>N26-O26</f>
        <v/>
      </c>
      <c r="Q26" s="32" t="n"/>
      <c r="R26" s="32" t="n"/>
      <c r="S26" s="32" t="n"/>
      <c r="T26" s="33" t="n"/>
      <c r="U26" s="42">
        <f>'S43'!T26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'S43'!M27+L27</f>
        <v/>
      </c>
      <c r="N27" s="31">
        <f>IFERROR(M27/K27,0)</f>
        <v/>
      </c>
      <c r="O27" s="40">
        <f>'S43'!N27</f>
        <v/>
      </c>
      <c r="P27" s="31">
        <f>N27-O27</f>
        <v/>
      </c>
      <c r="Q27" s="32" t="n"/>
      <c r="R27" s="32" t="n"/>
      <c r="S27" s="32" t="n"/>
      <c r="T27" s="33" t="n"/>
      <c r="U27" s="40">
        <f>'S43'!T27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'S43'!M28+L28</f>
        <v/>
      </c>
      <c r="N28" s="36">
        <f>IFERROR(M28/K28,0)</f>
        <v/>
      </c>
      <c r="O28" s="42">
        <f>'S43'!N28</f>
        <v/>
      </c>
      <c r="P28" s="36">
        <f>N28-O28</f>
        <v/>
      </c>
      <c r="Q28" s="32" t="n"/>
      <c r="R28" s="32" t="n"/>
      <c r="S28" s="32" t="n"/>
      <c r="T28" s="33" t="n"/>
      <c r="U28" s="42">
        <f>'S43'!T28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'S43'!M29+L29</f>
        <v/>
      </c>
      <c r="N29" s="31">
        <f>IFERROR(M29/K29,0)</f>
        <v/>
      </c>
      <c r="O29" s="40">
        <f>'S43'!N29</f>
        <v/>
      </c>
      <c r="P29" s="31">
        <f>N29-O29</f>
        <v/>
      </c>
      <c r="Q29" s="32" t="n"/>
      <c r="R29" s="32" t="n"/>
      <c r="S29" s="32" t="n"/>
      <c r="T29" s="33" t="n"/>
      <c r="U29" s="40">
        <f>'S43'!T29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'S43'!M30+L30</f>
        <v/>
      </c>
      <c r="N30" s="36">
        <f>IFERROR(M30/K30,0)</f>
        <v/>
      </c>
      <c r="O30" s="42">
        <f>'S43'!N30</f>
        <v/>
      </c>
      <c r="P30" s="36">
        <f>N30-O30</f>
        <v/>
      </c>
      <c r="Q30" s="32" t="n"/>
      <c r="R30" s="32" t="n"/>
      <c r="S30" s="32" t="n"/>
      <c r="T30" s="33" t="n"/>
      <c r="U30" s="42">
        <f>'S43'!T30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'S43'!M31+L31</f>
        <v/>
      </c>
      <c r="N31" s="31">
        <f>IFERROR(M31/K31,0)</f>
        <v/>
      </c>
      <c r="O31" s="40">
        <f>'S43'!N31</f>
        <v/>
      </c>
      <c r="P31" s="31">
        <f>N31-O31</f>
        <v/>
      </c>
      <c r="Q31" s="32" t="n"/>
      <c r="R31" s="32" t="n"/>
      <c r="S31" s="32" t="n"/>
      <c r="T31" s="33" t="n"/>
      <c r="U31" s="40">
        <f>'S43'!T31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'S43'!M32+L32</f>
        <v/>
      </c>
      <c r="N32" s="36">
        <f>IFERROR(M32/K32,0)</f>
        <v/>
      </c>
      <c r="O32" s="42">
        <f>'S43'!N32</f>
        <v/>
      </c>
      <c r="P32" s="36">
        <f>N32-O32</f>
        <v/>
      </c>
      <c r="Q32" s="32" t="n"/>
      <c r="R32" s="32" t="n"/>
      <c r="S32" s="32" t="n"/>
      <c r="T32" s="33" t="n"/>
      <c r="U32" s="42">
        <f>'S43'!T32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'S43'!M33+L33</f>
        <v/>
      </c>
      <c r="N33" s="31">
        <f>IFERROR(M33/K33,0)</f>
        <v/>
      </c>
      <c r="O33" s="40">
        <f>'S43'!N33</f>
        <v/>
      </c>
      <c r="P33" s="31">
        <f>N33-O33</f>
        <v/>
      </c>
      <c r="Q33" s="32" t="n"/>
      <c r="R33" s="32" t="n"/>
      <c r="S33" s="32" t="n"/>
      <c r="T33" s="33" t="n"/>
      <c r="U33" s="40">
        <f>'S43'!T33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'S43'!M34+L34</f>
        <v/>
      </c>
      <c r="N34" s="36">
        <f>IFERROR(M34/K34,0)</f>
        <v/>
      </c>
      <c r="O34" s="42">
        <f>'S43'!N34</f>
        <v/>
      </c>
      <c r="P34" s="36">
        <f>N34-O34</f>
        <v/>
      </c>
      <c r="Q34" s="32" t="n"/>
      <c r="R34" s="32" t="n"/>
      <c r="S34" s="32" t="n"/>
      <c r="T34" s="33" t="n"/>
      <c r="U34" s="42">
        <f>'S43'!T34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'S43'!M35+L35</f>
        <v/>
      </c>
      <c r="N35" s="31">
        <f>IFERROR(M35/K35,0)</f>
        <v/>
      </c>
      <c r="O35" s="40">
        <f>'S43'!N35</f>
        <v/>
      </c>
      <c r="P35" s="31">
        <f>N35-O35</f>
        <v/>
      </c>
      <c r="Q35" s="32" t="n"/>
      <c r="R35" s="32" t="n"/>
      <c r="S35" s="32" t="n"/>
      <c r="T35" s="33" t="n"/>
      <c r="U35" s="40">
        <f>'S43'!T35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'S43'!M36+L36</f>
        <v/>
      </c>
      <c r="N36" s="36">
        <f>IFERROR(M36/K36,0)</f>
        <v/>
      </c>
      <c r="O36" s="42">
        <f>'S43'!N36</f>
        <v/>
      </c>
      <c r="P36" s="36">
        <f>N36-O36</f>
        <v/>
      </c>
      <c r="Q36" s="32" t="n"/>
      <c r="R36" s="32" t="n"/>
      <c r="S36" s="32" t="n"/>
      <c r="T36" s="33" t="n"/>
      <c r="U36" s="42">
        <f>'S43'!T36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'S43'!M37+L37</f>
        <v/>
      </c>
      <c r="N37" s="31">
        <f>IFERROR(M37/K37,0)</f>
        <v/>
      </c>
      <c r="O37" s="40">
        <f>'S43'!N37</f>
        <v/>
      </c>
      <c r="P37" s="31">
        <f>N37-O37</f>
        <v/>
      </c>
      <c r="Q37" s="32" t="n"/>
      <c r="R37" s="32" t="n"/>
      <c r="S37" s="32" t="n"/>
      <c r="T37" s="33" t="n"/>
      <c r="U37" s="40">
        <f>'S43'!T37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'S43'!M38+L38</f>
        <v/>
      </c>
      <c r="N38" s="36">
        <f>IFERROR(M38/K38,0)</f>
        <v/>
      </c>
      <c r="O38" s="42">
        <f>'S43'!N38</f>
        <v/>
      </c>
      <c r="P38" s="36">
        <f>N38-O38</f>
        <v/>
      </c>
      <c r="Q38" s="32" t="n"/>
      <c r="R38" s="32" t="n"/>
      <c r="S38" s="32" t="n"/>
      <c r="T38" s="33" t="n"/>
      <c r="U38" s="42">
        <f>'S43'!T38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'S43'!M39+L39</f>
        <v/>
      </c>
      <c r="N39" s="31">
        <f>IFERROR(M39/K39,0)</f>
        <v/>
      </c>
      <c r="O39" s="40">
        <f>'S43'!N39</f>
        <v/>
      </c>
      <c r="P39" s="31">
        <f>N39-O39</f>
        <v/>
      </c>
      <c r="Q39" s="32" t="n"/>
      <c r="R39" s="32" t="n"/>
      <c r="S39" s="32" t="n"/>
      <c r="T39" s="33" t="n"/>
      <c r="U39" s="40">
        <f>'S43'!T39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'S43'!M40+L40</f>
        <v/>
      </c>
      <c r="N40" s="36">
        <f>IFERROR(M40/K40,0)</f>
        <v/>
      </c>
      <c r="O40" s="42">
        <f>'S43'!N40</f>
        <v/>
      </c>
      <c r="P40" s="36">
        <f>N40-O40</f>
        <v/>
      </c>
      <c r="Q40" s="32" t="n"/>
      <c r="R40" s="32" t="n"/>
      <c r="S40" s="32" t="n"/>
      <c r="T40" s="33" t="n"/>
      <c r="U40" s="42">
        <f>'S43'!T40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'S43'!M41+L41</f>
        <v/>
      </c>
      <c r="N41" s="31">
        <f>IFERROR(M41/K41,0)</f>
        <v/>
      </c>
      <c r="O41" s="40">
        <f>'S43'!N41</f>
        <v/>
      </c>
      <c r="P41" s="31">
        <f>N41-O41</f>
        <v/>
      </c>
      <c r="Q41" s="32" t="n"/>
      <c r="R41" s="32" t="n"/>
      <c r="S41" s="32" t="n"/>
      <c r="T41" s="33" t="n"/>
      <c r="U41" s="40">
        <f>'S43'!T41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'S43'!M42+L42</f>
        <v/>
      </c>
      <c r="N42" s="36">
        <f>IFERROR(M42/K42,0)</f>
        <v/>
      </c>
      <c r="O42" s="42">
        <f>'S43'!N42</f>
        <v/>
      </c>
      <c r="P42" s="36">
        <f>N42-O42</f>
        <v/>
      </c>
      <c r="Q42" s="32" t="n"/>
      <c r="R42" s="32" t="n"/>
      <c r="S42" s="32" t="n"/>
      <c r="T42" s="33" t="n"/>
      <c r="U42" s="42">
        <f>'S43'!T42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'S43'!M43+L43</f>
        <v/>
      </c>
      <c r="N43" s="31">
        <f>IFERROR(M43/K43,0)</f>
        <v/>
      </c>
      <c r="O43" s="40">
        <f>'S43'!N43</f>
        <v/>
      </c>
      <c r="P43" s="31">
        <f>N43-O43</f>
        <v/>
      </c>
      <c r="Q43" s="32" t="n"/>
      <c r="R43" s="32" t="n"/>
      <c r="S43" s="32" t="n"/>
      <c r="T43" s="33" t="n"/>
      <c r="U43" s="40">
        <f>'S43'!T43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'S43'!M44+L44</f>
        <v/>
      </c>
      <c r="N44" s="36">
        <f>IFERROR(M44/K44,0)</f>
        <v/>
      </c>
      <c r="O44" s="42">
        <f>'S43'!N44</f>
        <v/>
      </c>
      <c r="P44" s="36">
        <f>N44-O44</f>
        <v/>
      </c>
      <c r="Q44" s="32" t="n"/>
      <c r="R44" s="32" t="n"/>
      <c r="S44" s="32" t="n"/>
      <c r="T44" s="33" t="n"/>
      <c r="U44" s="42">
        <f>'S43'!T44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'S43'!M45+L45</f>
        <v/>
      </c>
      <c r="N45" s="31">
        <f>IFERROR(M45/K45,0)</f>
        <v/>
      </c>
      <c r="O45" s="40">
        <f>'S43'!N45</f>
        <v/>
      </c>
      <c r="P45" s="31">
        <f>N45-O45</f>
        <v/>
      </c>
      <c r="Q45" s="32" t="n"/>
      <c r="R45" s="32" t="n"/>
      <c r="S45" s="32" t="n"/>
      <c r="T45" s="33" t="n"/>
      <c r="U45" s="40">
        <f>'S43'!T45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'S43'!M46+L46</f>
        <v/>
      </c>
      <c r="N46" s="36">
        <f>IFERROR(M46/K46,0)</f>
        <v/>
      </c>
      <c r="O46" s="42">
        <f>'S43'!N46</f>
        <v/>
      </c>
      <c r="P46" s="36">
        <f>N46-O46</f>
        <v/>
      </c>
      <c r="Q46" s="32" t="n"/>
      <c r="R46" s="32" t="n"/>
      <c r="S46" s="32" t="n"/>
      <c r="T46" s="33" t="n"/>
      <c r="U46" s="42">
        <f>'S43'!T46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'S43'!M47+L47</f>
        <v/>
      </c>
      <c r="N47" s="31">
        <f>IFERROR(M47/K47,0)</f>
        <v/>
      </c>
      <c r="O47" s="40">
        <f>'S43'!N47</f>
        <v/>
      </c>
      <c r="P47" s="31">
        <f>N47-O47</f>
        <v/>
      </c>
      <c r="Q47" s="32" t="n"/>
      <c r="R47" s="32" t="n"/>
      <c r="S47" s="32" t="n"/>
      <c r="T47" s="33" t="n"/>
      <c r="U47" s="40">
        <f>'S43'!T47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'S43'!M48+L48</f>
        <v/>
      </c>
      <c r="N48" s="36">
        <f>IFERROR(M48/K48,0)</f>
        <v/>
      </c>
      <c r="O48" s="42">
        <f>'S43'!N48</f>
        <v/>
      </c>
      <c r="P48" s="36">
        <f>N48-O48</f>
        <v/>
      </c>
      <c r="Q48" s="32" t="n"/>
      <c r="R48" s="32" t="n"/>
      <c r="S48" s="32" t="n"/>
      <c r="T48" s="33" t="n"/>
      <c r="U48" s="42">
        <f>'S43'!T48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'S43'!M49+L49</f>
        <v/>
      </c>
      <c r="N49" s="31">
        <f>IFERROR(M49/K49,0)</f>
        <v/>
      </c>
      <c r="O49" s="40">
        <f>'S43'!N49</f>
        <v/>
      </c>
      <c r="P49" s="31">
        <f>N49-O49</f>
        <v/>
      </c>
      <c r="Q49" s="32" t="n"/>
      <c r="R49" s="32" t="n"/>
      <c r="S49" s="32" t="n"/>
      <c r="T49" s="33" t="n"/>
      <c r="U49" s="40">
        <f>'S43'!T49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'S43'!M50+L50</f>
        <v/>
      </c>
      <c r="N50" s="36">
        <f>IFERROR(M50/K50,0)</f>
        <v/>
      </c>
      <c r="O50" s="42">
        <f>'S43'!N50</f>
        <v/>
      </c>
      <c r="P50" s="36">
        <f>N50-O50</f>
        <v/>
      </c>
      <c r="Q50" s="32" t="n"/>
      <c r="R50" s="32" t="n"/>
      <c r="S50" s="32" t="n"/>
      <c r="T50" s="33" t="n"/>
      <c r="U50" s="42">
        <f>'S43'!T50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'S43'!M51+L51</f>
        <v/>
      </c>
      <c r="N51" s="31">
        <f>IFERROR(M51/K51,0)</f>
        <v/>
      </c>
      <c r="O51" s="40">
        <f>'S43'!N51</f>
        <v/>
      </c>
      <c r="P51" s="31">
        <f>N51-O51</f>
        <v/>
      </c>
      <c r="Q51" s="32" t="n"/>
      <c r="R51" s="32" t="n"/>
      <c r="S51" s="32" t="n"/>
      <c r="T51" s="33" t="n"/>
      <c r="U51" s="40">
        <f>'S43'!T51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'S43'!M52+L52</f>
        <v/>
      </c>
      <c r="N52" s="36">
        <f>IFERROR(M52/K52,0)</f>
        <v/>
      </c>
      <c r="O52" s="42">
        <f>'S43'!N52</f>
        <v/>
      </c>
      <c r="P52" s="36">
        <f>N52-O52</f>
        <v/>
      </c>
      <c r="Q52" s="32" t="n"/>
      <c r="R52" s="32" t="n"/>
      <c r="S52" s="32" t="n"/>
      <c r="T52" s="33" t="n"/>
      <c r="U52" s="42">
        <f>'S43'!T52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'S43'!M53+L53</f>
        <v/>
      </c>
      <c r="N53" s="31">
        <f>IFERROR(M53/K53,0)</f>
        <v/>
      </c>
      <c r="O53" s="40">
        <f>'S43'!N53</f>
        <v/>
      </c>
      <c r="P53" s="31">
        <f>N53-O53</f>
        <v/>
      </c>
      <c r="Q53" s="32" t="n"/>
      <c r="R53" s="32" t="n"/>
      <c r="S53" s="32" t="n"/>
      <c r="T53" s="33" t="n"/>
      <c r="U53" s="40">
        <f>'S43'!T53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'S43'!M54+L54</f>
        <v/>
      </c>
      <c r="N54" s="36">
        <f>IFERROR(M54/K54,0)</f>
        <v/>
      </c>
      <c r="O54" s="42">
        <f>'S43'!N54</f>
        <v/>
      </c>
      <c r="P54" s="36">
        <f>N54-O54</f>
        <v/>
      </c>
      <c r="Q54" s="32" t="n"/>
      <c r="R54" s="32" t="n"/>
      <c r="S54" s="32" t="n"/>
      <c r="T54" s="33" t="n"/>
      <c r="U54" s="42">
        <f>'S43'!T54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'S43'!M55+L55</f>
        <v/>
      </c>
      <c r="N55" s="31">
        <f>IFERROR(M55/K55,0)</f>
        <v/>
      </c>
      <c r="O55" s="40">
        <f>'S43'!N55</f>
        <v/>
      </c>
      <c r="P55" s="31">
        <f>N55-O55</f>
        <v/>
      </c>
      <c r="Q55" s="32" t="n"/>
      <c r="R55" s="32" t="n"/>
      <c r="S55" s="32" t="n"/>
      <c r="T55" s="33" t="n"/>
      <c r="U55" s="40">
        <f>'S43'!T55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'S43'!M56+L56</f>
        <v/>
      </c>
      <c r="N56" s="36">
        <f>IFERROR(M56/K56,0)</f>
        <v/>
      </c>
      <c r="O56" s="42">
        <f>'S43'!N56</f>
        <v/>
      </c>
      <c r="P56" s="36">
        <f>N56-O56</f>
        <v/>
      </c>
      <c r="Q56" s="32" t="n"/>
      <c r="R56" s="32" t="n"/>
      <c r="S56" s="32" t="n"/>
      <c r="T56" s="33" t="n"/>
      <c r="U56" s="42">
        <f>'S43'!T56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'S43'!M57+L57</f>
        <v/>
      </c>
      <c r="N57" s="31">
        <f>IFERROR(M57/K57,0)</f>
        <v/>
      </c>
      <c r="O57" s="40">
        <f>'S43'!N57</f>
        <v/>
      </c>
      <c r="P57" s="31">
        <f>N57-O57</f>
        <v/>
      </c>
      <c r="Q57" s="32" t="n"/>
      <c r="R57" s="32" t="n"/>
      <c r="S57" s="32" t="n"/>
      <c r="T57" s="33" t="n"/>
      <c r="U57" s="40">
        <f>'S43'!T57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'S43'!M58+L58</f>
        <v/>
      </c>
      <c r="N58" s="36">
        <f>IFERROR(M58/K58,0)</f>
        <v/>
      </c>
      <c r="O58" s="42">
        <f>'S43'!N58</f>
        <v/>
      </c>
      <c r="P58" s="36">
        <f>N58-O58</f>
        <v/>
      </c>
      <c r="Q58" s="32" t="n"/>
      <c r="R58" s="32" t="n"/>
      <c r="S58" s="32" t="n"/>
      <c r="T58" s="33" t="n"/>
      <c r="U58" s="42">
        <f>'S43'!T58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'S43'!M59+L59</f>
        <v/>
      </c>
      <c r="N59" s="31">
        <f>IFERROR(M59/K59,0)</f>
        <v/>
      </c>
      <c r="O59" s="40">
        <f>'S43'!N59</f>
        <v/>
      </c>
      <c r="P59" s="31">
        <f>N59-O59</f>
        <v/>
      </c>
      <c r="Q59" s="32" t="n"/>
      <c r="R59" s="32" t="n"/>
      <c r="S59" s="32" t="n"/>
      <c r="T59" s="33" t="n"/>
      <c r="U59" s="40">
        <f>'S43'!T59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'S43'!M60+L60</f>
        <v/>
      </c>
      <c r="N60" s="36">
        <f>IFERROR(M60/K60,0)</f>
        <v/>
      </c>
      <c r="O60" s="42">
        <f>'S43'!N60</f>
        <v/>
      </c>
      <c r="P60" s="36">
        <f>N60-O60</f>
        <v/>
      </c>
      <c r="Q60" s="32" t="n"/>
      <c r="R60" s="32" t="n"/>
      <c r="S60" s="32" t="n"/>
      <c r="T60" s="33" t="n"/>
      <c r="U60" s="42">
        <f>'S43'!T60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'S43'!M61+L61</f>
        <v/>
      </c>
      <c r="N61" s="31">
        <f>IFERROR(M61/K61,0)</f>
        <v/>
      </c>
      <c r="O61" s="40">
        <f>'S43'!N61</f>
        <v/>
      </c>
      <c r="P61" s="31">
        <f>N61-O61</f>
        <v/>
      </c>
      <c r="Q61" s="32" t="n"/>
      <c r="R61" s="32" t="n"/>
      <c r="S61" s="32" t="n"/>
      <c r="T61" s="33" t="n"/>
      <c r="U61" s="40">
        <f>'S43'!T61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'S43'!M62+L62</f>
        <v/>
      </c>
      <c r="N62" s="36">
        <f>IFERROR(M62/K62,0)</f>
        <v/>
      </c>
      <c r="O62" s="42">
        <f>'S43'!N62</f>
        <v/>
      </c>
      <c r="P62" s="36">
        <f>N62-O62</f>
        <v/>
      </c>
      <c r="Q62" s="32" t="n"/>
      <c r="R62" s="32" t="n"/>
      <c r="S62" s="32" t="n"/>
      <c r="T62" s="33" t="n"/>
      <c r="U62" s="42">
        <f>'S43'!T62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'S43'!M63+L63</f>
        <v/>
      </c>
      <c r="N63" s="31">
        <f>IFERROR(M63/K63,0)</f>
        <v/>
      </c>
      <c r="O63" s="40">
        <f>'S43'!N63</f>
        <v/>
      </c>
      <c r="P63" s="31">
        <f>N63-O63</f>
        <v/>
      </c>
      <c r="Q63" s="32" t="n"/>
      <c r="R63" s="32" t="n"/>
      <c r="S63" s="32" t="n"/>
      <c r="T63" s="33" t="n"/>
      <c r="U63" s="40">
        <f>'S43'!T63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'S43'!M64+L64</f>
        <v/>
      </c>
      <c r="N64" s="36">
        <f>IFERROR(M64/K64,0)</f>
        <v/>
      </c>
      <c r="O64" s="42">
        <f>'S43'!N64</f>
        <v/>
      </c>
      <c r="P64" s="36">
        <f>N64-O64</f>
        <v/>
      </c>
      <c r="Q64" s="32" t="n"/>
      <c r="R64" s="32" t="n"/>
      <c r="S64" s="32" t="n"/>
      <c r="T64" s="33" t="n"/>
      <c r="U64" s="42">
        <f>'S43'!T64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'S43'!M65+L65</f>
        <v/>
      </c>
      <c r="N65" s="31">
        <f>IFERROR(M65/K65,0)</f>
        <v/>
      </c>
      <c r="O65" s="40">
        <f>'S43'!N65</f>
        <v/>
      </c>
      <c r="P65" s="31">
        <f>N65-O65</f>
        <v/>
      </c>
      <c r="Q65" s="32" t="n"/>
      <c r="R65" s="32" t="n"/>
      <c r="S65" s="32" t="n"/>
      <c r="T65" s="33" t="n"/>
      <c r="U65" s="40">
        <f>'S43'!T65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'S43'!M66+L66</f>
        <v/>
      </c>
      <c r="N66" s="36">
        <f>IFERROR(M66/K66,0)</f>
        <v/>
      </c>
      <c r="O66" s="42">
        <f>'S43'!N66</f>
        <v/>
      </c>
      <c r="P66" s="36">
        <f>N66-O66</f>
        <v/>
      </c>
      <c r="Q66" s="32" t="n"/>
      <c r="R66" s="32" t="n"/>
      <c r="S66" s="32" t="n"/>
      <c r="T66" s="33" t="n"/>
      <c r="U66" s="42">
        <f>'S43'!T66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'S43'!M67+L67</f>
        <v/>
      </c>
      <c r="N67" s="31">
        <f>IFERROR(M67/K67,0)</f>
        <v/>
      </c>
      <c r="O67" s="40">
        <f>'S43'!N67</f>
        <v/>
      </c>
      <c r="P67" s="31">
        <f>N67-O67</f>
        <v/>
      </c>
      <c r="Q67" s="32" t="n"/>
      <c r="R67" s="32" t="n"/>
      <c r="S67" s="32" t="n"/>
      <c r="T67" s="33" t="n"/>
      <c r="U67" s="40">
        <f>'S43'!T67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'S43'!M68+L68</f>
        <v/>
      </c>
      <c r="N68" s="36">
        <f>IFERROR(M68/K68,0)</f>
        <v/>
      </c>
      <c r="O68" s="42">
        <f>'S43'!N68</f>
        <v/>
      </c>
      <c r="P68" s="36">
        <f>N68-O68</f>
        <v/>
      </c>
      <c r="Q68" s="32" t="n"/>
      <c r="R68" s="32" t="n"/>
      <c r="S68" s="32" t="n"/>
      <c r="T68" s="33" t="n"/>
      <c r="U68" s="42">
        <f>'S43'!T68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'S43'!M69+L69</f>
        <v/>
      </c>
      <c r="N69" s="31">
        <f>IFERROR(M69/K69,0)</f>
        <v/>
      </c>
      <c r="O69" s="40">
        <f>'S43'!N69</f>
        <v/>
      </c>
      <c r="P69" s="31">
        <f>N69-O69</f>
        <v/>
      </c>
      <c r="Q69" s="32" t="n"/>
      <c r="R69" s="32" t="n"/>
      <c r="S69" s="32" t="n"/>
      <c r="T69" s="33" t="n"/>
      <c r="U69" s="40">
        <f>'S43'!T69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'S43'!M70+L70</f>
        <v/>
      </c>
      <c r="N70" s="36">
        <f>IFERROR(M70/K70,0)</f>
        <v/>
      </c>
      <c r="O70" s="42">
        <f>'S43'!N70</f>
        <v/>
      </c>
      <c r="P70" s="36">
        <f>N70-O70</f>
        <v/>
      </c>
      <c r="Q70" s="32" t="n"/>
      <c r="R70" s="32" t="n"/>
      <c r="S70" s="32" t="n"/>
      <c r="T70" s="33" t="n"/>
      <c r="U70" s="42">
        <f>'S43'!T70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'S43'!M71+L71</f>
        <v/>
      </c>
      <c r="N71" s="31">
        <f>IFERROR(M71/K71,0)</f>
        <v/>
      </c>
      <c r="O71" s="40">
        <f>'S43'!N71</f>
        <v/>
      </c>
      <c r="P71" s="31">
        <f>N71-O71</f>
        <v/>
      </c>
      <c r="Q71" s="32" t="n"/>
      <c r="R71" s="32" t="n"/>
      <c r="S71" s="32" t="n"/>
      <c r="T71" s="33" t="n"/>
      <c r="U71" s="40">
        <f>'S43'!T71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'S43'!M72+L72</f>
        <v/>
      </c>
      <c r="N72" s="36">
        <f>IFERROR(M72/K72,0)</f>
        <v/>
      </c>
      <c r="O72" s="42">
        <f>'S43'!N72</f>
        <v/>
      </c>
      <c r="P72" s="36">
        <f>N72-O72</f>
        <v/>
      </c>
      <c r="Q72" s="32" t="n"/>
      <c r="R72" s="32" t="n"/>
      <c r="S72" s="32" t="n"/>
      <c r="T72" s="33" t="n"/>
      <c r="U72" s="42">
        <f>'S43'!T72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'S43'!M73+L73</f>
        <v/>
      </c>
      <c r="N73" s="31">
        <f>IFERROR(M73/K73,0)</f>
        <v/>
      </c>
      <c r="O73" s="40">
        <f>'S43'!N73</f>
        <v/>
      </c>
      <c r="P73" s="31">
        <f>N73-O73</f>
        <v/>
      </c>
      <c r="Q73" s="32" t="n"/>
      <c r="R73" s="32" t="n"/>
      <c r="S73" s="32" t="n"/>
      <c r="T73" s="33" t="n"/>
      <c r="U73" s="40">
        <f>'S43'!T73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'S43'!M74+L74</f>
        <v/>
      </c>
      <c r="N74" s="36">
        <f>IFERROR(M74/K74,0)</f>
        <v/>
      </c>
      <c r="O74" s="42">
        <f>'S43'!N74</f>
        <v/>
      </c>
      <c r="P74" s="36">
        <f>N74-O74</f>
        <v/>
      </c>
      <c r="Q74" s="32" t="n"/>
      <c r="R74" s="32" t="n"/>
      <c r="S74" s="32" t="n"/>
      <c r="T74" s="33" t="n"/>
      <c r="U74" s="42">
        <f>'S43'!T74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'S43'!M75+L75</f>
        <v/>
      </c>
      <c r="N75" s="31">
        <f>IFERROR(M75/K75,0)</f>
        <v/>
      </c>
      <c r="O75" s="40">
        <f>'S43'!N75</f>
        <v/>
      </c>
      <c r="P75" s="31">
        <f>N75-O75</f>
        <v/>
      </c>
      <c r="Q75" s="32" t="n"/>
      <c r="R75" s="32" t="n"/>
      <c r="S75" s="32" t="n"/>
      <c r="T75" s="33" t="n"/>
      <c r="U75" s="40">
        <f>'S43'!T75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'S43'!M76+L76</f>
        <v/>
      </c>
      <c r="N76" s="36">
        <f>IFERROR(M76/K76,0)</f>
        <v/>
      </c>
      <c r="O76" s="42">
        <f>'S43'!N76</f>
        <v/>
      </c>
      <c r="P76" s="36">
        <f>N76-O76</f>
        <v/>
      </c>
      <c r="Q76" s="32" t="n"/>
      <c r="R76" s="32" t="n"/>
      <c r="S76" s="32" t="n"/>
      <c r="T76" s="33" t="n"/>
      <c r="U76" s="42">
        <f>'S43'!T76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47.xml><?xml version="1.0" encoding="utf-8"?>
<worksheet xmlns="http://schemas.openxmlformats.org/spreadsheetml/2006/main">
  <sheetPr>
    <tabColor rgb="00BF8F0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45 (02/11 - 08/11) — Novembre 2026 - Exécution Physique et Financière</t>
        </is>
      </c>
    </row>
    <row r="3" ht="22" customHeight="1">
      <c r="B3" s="20" t="inlineStr">
        <is>
          <t>Date :</t>
        </is>
      </c>
      <c r="C3" s="21" t="n">
        <v>46328</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'S44'!M5+L5</f>
        <v/>
      </c>
      <c r="N5" s="31">
        <f>IFERROR(M5/K5,0)</f>
        <v/>
      </c>
      <c r="O5" s="40">
        <f>'S44'!N5</f>
        <v/>
      </c>
      <c r="P5" s="31">
        <f>N5-O5</f>
        <v/>
      </c>
      <c r="Q5" s="32" t="n"/>
      <c r="R5" s="32" t="n"/>
      <c r="S5" s="32" t="n"/>
      <c r="T5" s="33" t="n"/>
      <c r="U5" s="40">
        <f>'S44'!T5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'S44'!M6+L6</f>
        <v/>
      </c>
      <c r="N6" s="36">
        <f>IFERROR(M6/K6,0)</f>
        <v/>
      </c>
      <c r="O6" s="42">
        <f>'S44'!N6</f>
        <v/>
      </c>
      <c r="P6" s="36">
        <f>N6-O6</f>
        <v/>
      </c>
      <c r="Q6" s="32" t="n"/>
      <c r="R6" s="32" t="n"/>
      <c r="S6" s="32" t="n"/>
      <c r="T6" s="33" t="n"/>
      <c r="U6" s="42">
        <f>'S44'!T6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'S44'!M7+L7</f>
        <v/>
      </c>
      <c r="N7" s="31">
        <f>IFERROR(M7/K7,0)</f>
        <v/>
      </c>
      <c r="O7" s="40">
        <f>'S44'!N7</f>
        <v/>
      </c>
      <c r="P7" s="31">
        <f>N7-O7</f>
        <v/>
      </c>
      <c r="Q7" s="32" t="n"/>
      <c r="R7" s="32" t="n"/>
      <c r="S7" s="32" t="n"/>
      <c r="T7" s="33" t="n"/>
      <c r="U7" s="40">
        <f>'S44'!T7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'S44'!M8+L8</f>
        <v/>
      </c>
      <c r="N8" s="36">
        <f>IFERROR(M8/K8,0)</f>
        <v/>
      </c>
      <c r="O8" s="42">
        <f>'S44'!N8</f>
        <v/>
      </c>
      <c r="P8" s="36">
        <f>N8-O8</f>
        <v/>
      </c>
      <c r="Q8" s="32" t="n"/>
      <c r="R8" s="32" t="n"/>
      <c r="S8" s="32" t="n"/>
      <c r="T8" s="33" t="n"/>
      <c r="U8" s="42">
        <f>'S44'!T8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'S44'!M9+L9</f>
        <v/>
      </c>
      <c r="N9" s="31">
        <f>IFERROR(M9/K9,0)</f>
        <v/>
      </c>
      <c r="O9" s="40">
        <f>'S44'!N9</f>
        <v/>
      </c>
      <c r="P9" s="31">
        <f>N9-O9</f>
        <v/>
      </c>
      <c r="Q9" s="32" t="n"/>
      <c r="R9" s="32" t="n"/>
      <c r="S9" s="32" t="n"/>
      <c r="T9" s="33" t="n"/>
      <c r="U9" s="40">
        <f>'S44'!T9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'S44'!M10+L10</f>
        <v/>
      </c>
      <c r="N10" s="36">
        <f>IFERROR(M10/K10,0)</f>
        <v/>
      </c>
      <c r="O10" s="42">
        <f>'S44'!N10</f>
        <v/>
      </c>
      <c r="P10" s="36">
        <f>N10-O10</f>
        <v/>
      </c>
      <c r="Q10" s="32" t="n"/>
      <c r="R10" s="32" t="n"/>
      <c r="S10" s="32" t="n"/>
      <c r="T10" s="33" t="n"/>
      <c r="U10" s="42">
        <f>'S44'!T10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'S44'!M11+L11</f>
        <v/>
      </c>
      <c r="N11" s="31">
        <f>IFERROR(M11/K11,0)</f>
        <v/>
      </c>
      <c r="O11" s="40">
        <f>'S44'!N11</f>
        <v/>
      </c>
      <c r="P11" s="31">
        <f>N11-O11</f>
        <v/>
      </c>
      <c r="Q11" s="32" t="n"/>
      <c r="R11" s="32" t="n"/>
      <c r="S11" s="32" t="n"/>
      <c r="T11" s="33" t="n"/>
      <c r="U11" s="40">
        <f>'S44'!T11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'S44'!M12+L12</f>
        <v/>
      </c>
      <c r="N12" s="36">
        <f>IFERROR(M12/K12,0)</f>
        <v/>
      </c>
      <c r="O12" s="42">
        <f>'S44'!N12</f>
        <v/>
      </c>
      <c r="P12" s="36">
        <f>N12-O12</f>
        <v/>
      </c>
      <c r="Q12" s="32" t="n"/>
      <c r="R12" s="32" t="n"/>
      <c r="S12" s="32" t="n"/>
      <c r="T12" s="33" t="n"/>
      <c r="U12" s="42">
        <f>'S44'!T12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'S44'!M13+L13</f>
        <v/>
      </c>
      <c r="N13" s="31">
        <f>IFERROR(M13/K13,0)</f>
        <v/>
      </c>
      <c r="O13" s="40">
        <f>'S44'!N13</f>
        <v/>
      </c>
      <c r="P13" s="31">
        <f>N13-O13</f>
        <v/>
      </c>
      <c r="Q13" s="32" t="n"/>
      <c r="R13" s="32" t="n"/>
      <c r="S13" s="32" t="n"/>
      <c r="T13" s="33" t="n"/>
      <c r="U13" s="40">
        <f>'S44'!T13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'S44'!M14+L14</f>
        <v/>
      </c>
      <c r="N14" s="36">
        <f>IFERROR(M14/K14,0)</f>
        <v/>
      </c>
      <c r="O14" s="42">
        <f>'S44'!N14</f>
        <v/>
      </c>
      <c r="P14" s="36">
        <f>N14-O14</f>
        <v/>
      </c>
      <c r="Q14" s="32" t="n"/>
      <c r="R14" s="32" t="n"/>
      <c r="S14" s="32" t="n"/>
      <c r="T14" s="33" t="n"/>
      <c r="U14" s="42">
        <f>'S44'!T14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'S44'!M15+L15</f>
        <v/>
      </c>
      <c r="N15" s="31">
        <f>IFERROR(M15/K15,0)</f>
        <v/>
      </c>
      <c r="O15" s="40">
        <f>'S44'!N15</f>
        <v/>
      </c>
      <c r="P15" s="31">
        <f>N15-O15</f>
        <v/>
      </c>
      <c r="Q15" s="32" t="n"/>
      <c r="R15" s="32" t="n"/>
      <c r="S15" s="32" t="n"/>
      <c r="T15" s="33" t="n"/>
      <c r="U15" s="40">
        <f>'S44'!T15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'S44'!M16+L16</f>
        <v/>
      </c>
      <c r="N16" s="36">
        <f>IFERROR(M16/K16,0)</f>
        <v/>
      </c>
      <c r="O16" s="42">
        <f>'S44'!N16</f>
        <v/>
      </c>
      <c r="P16" s="36">
        <f>N16-O16</f>
        <v/>
      </c>
      <c r="Q16" s="32" t="n"/>
      <c r="R16" s="32" t="n"/>
      <c r="S16" s="32" t="n"/>
      <c r="T16" s="33" t="n"/>
      <c r="U16" s="42">
        <f>'S44'!T16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'S44'!M17+L17</f>
        <v/>
      </c>
      <c r="N17" s="31">
        <f>IFERROR(M17/K17,0)</f>
        <v/>
      </c>
      <c r="O17" s="40">
        <f>'S44'!N17</f>
        <v/>
      </c>
      <c r="P17" s="31">
        <f>N17-O17</f>
        <v/>
      </c>
      <c r="Q17" s="32" t="n"/>
      <c r="R17" s="32" t="n"/>
      <c r="S17" s="32" t="n"/>
      <c r="T17" s="33" t="n"/>
      <c r="U17" s="40">
        <f>'S44'!T17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'S44'!M18+L18</f>
        <v/>
      </c>
      <c r="N18" s="36">
        <f>IFERROR(M18/K18,0)</f>
        <v/>
      </c>
      <c r="O18" s="42">
        <f>'S44'!N18</f>
        <v/>
      </c>
      <c r="P18" s="36">
        <f>N18-O18</f>
        <v/>
      </c>
      <c r="Q18" s="32" t="n"/>
      <c r="R18" s="32" t="n"/>
      <c r="S18" s="32" t="n"/>
      <c r="T18" s="33" t="n"/>
      <c r="U18" s="42">
        <f>'S44'!T18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'S44'!M19+L19</f>
        <v/>
      </c>
      <c r="N19" s="31">
        <f>IFERROR(M19/K19,0)</f>
        <v/>
      </c>
      <c r="O19" s="40">
        <f>'S44'!N19</f>
        <v/>
      </c>
      <c r="P19" s="31">
        <f>N19-O19</f>
        <v/>
      </c>
      <c r="Q19" s="32" t="n"/>
      <c r="R19" s="32" t="n"/>
      <c r="S19" s="32" t="n"/>
      <c r="T19" s="33" t="n"/>
      <c r="U19" s="40">
        <f>'S44'!T19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'S44'!M20+L20</f>
        <v/>
      </c>
      <c r="N20" s="36">
        <f>IFERROR(M20/K20,0)</f>
        <v/>
      </c>
      <c r="O20" s="42">
        <f>'S44'!N20</f>
        <v/>
      </c>
      <c r="P20" s="36">
        <f>N20-O20</f>
        <v/>
      </c>
      <c r="Q20" s="32" t="n"/>
      <c r="R20" s="32" t="n"/>
      <c r="S20" s="32" t="n"/>
      <c r="T20" s="33" t="n"/>
      <c r="U20" s="42">
        <f>'S44'!T20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'S44'!M21+L21</f>
        <v/>
      </c>
      <c r="N21" s="31">
        <f>IFERROR(M21/K21,0)</f>
        <v/>
      </c>
      <c r="O21" s="40">
        <f>'S44'!N21</f>
        <v/>
      </c>
      <c r="P21" s="31">
        <f>N21-O21</f>
        <v/>
      </c>
      <c r="Q21" s="32" t="n"/>
      <c r="R21" s="32" t="n"/>
      <c r="S21" s="32" t="n"/>
      <c r="T21" s="33" t="n"/>
      <c r="U21" s="40">
        <f>'S44'!T21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'S44'!M22+L22</f>
        <v/>
      </c>
      <c r="N22" s="36">
        <f>IFERROR(M22/K22,0)</f>
        <v/>
      </c>
      <c r="O22" s="42">
        <f>'S44'!N22</f>
        <v/>
      </c>
      <c r="P22" s="36">
        <f>N22-O22</f>
        <v/>
      </c>
      <c r="Q22" s="32" t="n"/>
      <c r="R22" s="32" t="n"/>
      <c r="S22" s="32" t="n"/>
      <c r="T22" s="33" t="n"/>
      <c r="U22" s="42">
        <f>'S44'!T22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'S44'!M23+L23</f>
        <v/>
      </c>
      <c r="N23" s="31">
        <f>IFERROR(M23/K23,0)</f>
        <v/>
      </c>
      <c r="O23" s="40">
        <f>'S44'!N23</f>
        <v/>
      </c>
      <c r="P23" s="31">
        <f>N23-O23</f>
        <v/>
      </c>
      <c r="Q23" s="32" t="n"/>
      <c r="R23" s="32" t="n"/>
      <c r="S23" s="32" t="n"/>
      <c r="T23" s="33" t="n"/>
      <c r="U23" s="40">
        <f>'S44'!T23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'S44'!M24+L24</f>
        <v/>
      </c>
      <c r="N24" s="36">
        <f>IFERROR(M24/K24,0)</f>
        <v/>
      </c>
      <c r="O24" s="42">
        <f>'S44'!N24</f>
        <v/>
      </c>
      <c r="P24" s="36">
        <f>N24-O24</f>
        <v/>
      </c>
      <c r="Q24" s="32" t="n"/>
      <c r="R24" s="32" t="n"/>
      <c r="S24" s="32" t="n"/>
      <c r="T24" s="33" t="n"/>
      <c r="U24" s="42">
        <f>'S44'!T24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'S44'!M25+L25</f>
        <v/>
      </c>
      <c r="N25" s="31">
        <f>IFERROR(M25/K25,0)</f>
        <v/>
      </c>
      <c r="O25" s="40">
        <f>'S44'!N25</f>
        <v/>
      </c>
      <c r="P25" s="31">
        <f>N25-O25</f>
        <v/>
      </c>
      <c r="Q25" s="32" t="n"/>
      <c r="R25" s="32" t="n"/>
      <c r="S25" s="32" t="n"/>
      <c r="T25" s="33" t="n"/>
      <c r="U25" s="40">
        <f>'S44'!T25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'S44'!M26+L26</f>
        <v/>
      </c>
      <c r="N26" s="36">
        <f>IFERROR(M26/K26,0)</f>
        <v/>
      </c>
      <c r="O26" s="42">
        <f>'S44'!N26</f>
        <v/>
      </c>
      <c r="P26" s="36">
        <f>N26-O26</f>
        <v/>
      </c>
      <c r="Q26" s="32" t="n"/>
      <c r="R26" s="32" t="n"/>
      <c r="S26" s="32" t="n"/>
      <c r="T26" s="33" t="n"/>
      <c r="U26" s="42">
        <f>'S44'!T26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'S44'!M27+L27</f>
        <v/>
      </c>
      <c r="N27" s="31">
        <f>IFERROR(M27/K27,0)</f>
        <v/>
      </c>
      <c r="O27" s="40">
        <f>'S44'!N27</f>
        <v/>
      </c>
      <c r="P27" s="31">
        <f>N27-O27</f>
        <v/>
      </c>
      <c r="Q27" s="32" t="n"/>
      <c r="R27" s="32" t="n"/>
      <c r="S27" s="32" t="n"/>
      <c r="T27" s="33" t="n"/>
      <c r="U27" s="40">
        <f>'S44'!T27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'S44'!M28+L28</f>
        <v/>
      </c>
      <c r="N28" s="36">
        <f>IFERROR(M28/K28,0)</f>
        <v/>
      </c>
      <c r="O28" s="42">
        <f>'S44'!N28</f>
        <v/>
      </c>
      <c r="P28" s="36">
        <f>N28-O28</f>
        <v/>
      </c>
      <c r="Q28" s="32" t="n"/>
      <c r="R28" s="32" t="n"/>
      <c r="S28" s="32" t="n"/>
      <c r="T28" s="33" t="n"/>
      <c r="U28" s="42">
        <f>'S44'!T28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'S44'!M29+L29</f>
        <v/>
      </c>
      <c r="N29" s="31">
        <f>IFERROR(M29/K29,0)</f>
        <v/>
      </c>
      <c r="O29" s="40">
        <f>'S44'!N29</f>
        <v/>
      </c>
      <c r="P29" s="31">
        <f>N29-O29</f>
        <v/>
      </c>
      <c r="Q29" s="32" t="n"/>
      <c r="R29" s="32" t="n"/>
      <c r="S29" s="32" t="n"/>
      <c r="T29" s="33" t="n"/>
      <c r="U29" s="40">
        <f>'S44'!T29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'S44'!M30+L30</f>
        <v/>
      </c>
      <c r="N30" s="36">
        <f>IFERROR(M30/K30,0)</f>
        <v/>
      </c>
      <c r="O30" s="42">
        <f>'S44'!N30</f>
        <v/>
      </c>
      <c r="P30" s="36">
        <f>N30-O30</f>
        <v/>
      </c>
      <c r="Q30" s="32" t="n"/>
      <c r="R30" s="32" t="n"/>
      <c r="S30" s="32" t="n"/>
      <c r="T30" s="33" t="n"/>
      <c r="U30" s="42">
        <f>'S44'!T30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'S44'!M31+L31</f>
        <v/>
      </c>
      <c r="N31" s="31">
        <f>IFERROR(M31/K31,0)</f>
        <v/>
      </c>
      <c r="O31" s="40">
        <f>'S44'!N31</f>
        <v/>
      </c>
      <c r="P31" s="31">
        <f>N31-O31</f>
        <v/>
      </c>
      <c r="Q31" s="32" t="n"/>
      <c r="R31" s="32" t="n"/>
      <c r="S31" s="32" t="n"/>
      <c r="T31" s="33" t="n"/>
      <c r="U31" s="40">
        <f>'S44'!T31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'S44'!M32+L32</f>
        <v/>
      </c>
      <c r="N32" s="36">
        <f>IFERROR(M32/K32,0)</f>
        <v/>
      </c>
      <c r="O32" s="42">
        <f>'S44'!N32</f>
        <v/>
      </c>
      <c r="P32" s="36">
        <f>N32-O32</f>
        <v/>
      </c>
      <c r="Q32" s="32" t="n"/>
      <c r="R32" s="32" t="n"/>
      <c r="S32" s="32" t="n"/>
      <c r="T32" s="33" t="n"/>
      <c r="U32" s="42">
        <f>'S44'!T32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'S44'!M33+L33</f>
        <v/>
      </c>
      <c r="N33" s="31">
        <f>IFERROR(M33/K33,0)</f>
        <v/>
      </c>
      <c r="O33" s="40">
        <f>'S44'!N33</f>
        <v/>
      </c>
      <c r="P33" s="31">
        <f>N33-O33</f>
        <v/>
      </c>
      <c r="Q33" s="32" t="n"/>
      <c r="R33" s="32" t="n"/>
      <c r="S33" s="32" t="n"/>
      <c r="T33" s="33" t="n"/>
      <c r="U33" s="40">
        <f>'S44'!T33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'S44'!M34+L34</f>
        <v/>
      </c>
      <c r="N34" s="36">
        <f>IFERROR(M34/K34,0)</f>
        <v/>
      </c>
      <c r="O34" s="42">
        <f>'S44'!N34</f>
        <v/>
      </c>
      <c r="P34" s="36">
        <f>N34-O34</f>
        <v/>
      </c>
      <c r="Q34" s="32" t="n"/>
      <c r="R34" s="32" t="n"/>
      <c r="S34" s="32" t="n"/>
      <c r="T34" s="33" t="n"/>
      <c r="U34" s="42">
        <f>'S44'!T34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'S44'!M35+L35</f>
        <v/>
      </c>
      <c r="N35" s="31">
        <f>IFERROR(M35/K35,0)</f>
        <v/>
      </c>
      <c r="O35" s="40">
        <f>'S44'!N35</f>
        <v/>
      </c>
      <c r="P35" s="31">
        <f>N35-O35</f>
        <v/>
      </c>
      <c r="Q35" s="32" t="n"/>
      <c r="R35" s="32" t="n"/>
      <c r="S35" s="32" t="n"/>
      <c r="T35" s="33" t="n"/>
      <c r="U35" s="40">
        <f>'S44'!T35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'S44'!M36+L36</f>
        <v/>
      </c>
      <c r="N36" s="36">
        <f>IFERROR(M36/K36,0)</f>
        <v/>
      </c>
      <c r="O36" s="42">
        <f>'S44'!N36</f>
        <v/>
      </c>
      <c r="P36" s="36">
        <f>N36-O36</f>
        <v/>
      </c>
      <c r="Q36" s="32" t="n"/>
      <c r="R36" s="32" t="n"/>
      <c r="S36" s="32" t="n"/>
      <c r="T36" s="33" t="n"/>
      <c r="U36" s="42">
        <f>'S44'!T36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'S44'!M37+L37</f>
        <v/>
      </c>
      <c r="N37" s="31">
        <f>IFERROR(M37/K37,0)</f>
        <v/>
      </c>
      <c r="O37" s="40">
        <f>'S44'!N37</f>
        <v/>
      </c>
      <c r="P37" s="31">
        <f>N37-O37</f>
        <v/>
      </c>
      <c r="Q37" s="32" t="n"/>
      <c r="R37" s="32" t="n"/>
      <c r="S37" s="32" t="n"/>
      <c r="T37" s="33" t="n"/>
      <c r="U37" s="40">
        <f>'S44'!T37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'S44'!M38+L38</f>
        <v/>
      </c>
      <c r="N38" s="36">
        <f>IFERROR(M38/K38,0)</f>
        <v/>
      </c>
      <c r="O38" s="42">
        <f>'S44'!N38</f>
        <v/>
      </c>
      <c r="P38" s="36">
        <f>N38-O38</f>
        <v/>
      </c>
      <c r="Q38" s="32" t="n"/>
      <c r="R38" s="32" t="n"/>
      <c r="S38" s="32" t="n"/>
      <c r="T38" s="33" t="n"/>
      <c r="U38" s="42">
        <f>'S44'!T38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'S44'!M39+L39</f>
        <v/>
      </c>
      <c r="N39" s="31">
        <f>IFERROR(M39/K39,0)</f>
        <v/>
      </c>
      <c r="O39" s="40">
        <f>'S44'!N39</f>
        <v/>
      </c>
      <c r="P39" s="31">
        <f>N39-O39</f>
        <v/>
      </c>
      <c r="Q39" s="32" t="n"/>
      <c r="R39" s="32" t="n"/>
      <c r="S39" s="32" t="n"/>
      <c r="T39" s="33" t="n"/>
      <c r="U39" s="40">
        <f>'S44'!T39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'S44'!M40+L40</f>
        <v/>
      </c>
      <c r="N40" s="36">
        <f>IFERROR(M40/K40,0)</f>
        <v/>
      </c>
      <c r="O40" s="42">
        <f>'S44'!N40</f>
        <v/>
      </c>
      <c r="P40" s="36">
        <f>N40-O40</f>
        <v/>
      </c>
      <c r="Q40" s="32" t="n"/>
      <c r="R40" s="32" t="n"/>
      <c r="S40" s="32" t="n"/>
      <c r="T40" s="33" t="n"/>
      <c r="U40" s="42">
        <f>'S44'!T40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'S44'!M41+L41</f>
        <v/>
      </c>
      <c r="N41" s="31">
        <f>IFERROR(M41/K41,0)</f>
        <v/>
      </c>
      <c r="O41" s="40">
        <f>'S44'!N41</f>
        <v/>
      </c>
      <c r="P41" s="31">
        <f>N41-O41</f>
        <v/>
      </c>
      <c r="Q41" s="32" t="n"/>
      <c r="R41" s="32" t="n"/>
      <c r="S41" s="32" t="n"/>
      <c r="T41" s="33" t="n"/>
      <c r="U41" s="40">
        <f>'S44'!T41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'S44'!M42+L42</f>
        <v/>
      </c>
      <c r="N42" s="36">
        <f>IFERROR(M42/K42,0)</f>
        <v/>
      </c>
      <c r="O42" s="42">
        <f>'S44'!N42</f>
        <v/>
      </c>
      <c r="P42" s="36">
        <f>N42-O42</f>
        <v/>
      </c>
      <c r="Q42" s="32" t="n"/>
      <c r="R42" s="32" t="n"/>
      <c r="S42" s="32" t="n"/>
      <c r="T42" s="33" t="n"/>
      <c r="U42" s="42">
        <f>'S44'!T42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'S44'!M43+L43</f>
        <v/>
      </c>
      <c r="N43" s="31">
        <f>IFERROR(M43/K43,0)</f>
        <v/>
      </c>
      <c r="O43" s="40">
        <f>'S44'!N43</f>
        <v/>
      </c>
      <c r="P43" s="31">
        <f>N43-O43</f>
        <v/>
      </c>
      <c r="Q43" s="32" t="n"/>
      <c r="R43" s="32" t="n"/>
      <c r="S43" s="32" t="n"/>
      <c r="T43" s="33" t="n"/>
      <c r="U43" s="40">
        <f>'S44'!T43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'S44'!M44+L44</f>
        <v/>
      </c>
      <c r="N44" s="36">
        <f>IFERROR(M44/K44,0)</f>
        <v/>
      </c>
      <c r="O44" s="42">
        <f>'S44'!N44</f>
        <v/>
      </c>
      <c r="P44" s="36">
        <f>N44-O44</f>
        <v/>
      </c>
      <c r="Q44" s="32" t="n"/>
      <c r="R44" s="32" t="n"/>
      <c r="S44" s="32" t="n"/>
      <c r="T44" s="33" t="n"/>
      <c r="U44" s="42">
        <f>'S44'!T44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'S44'!M45+L45</f>
        <v/>
      </c>
      <c r="N45" s="31">
        <f>IFERROR(M45/K45,0)</f>
        <v/>
      </c>
      <c r="O45" s="40">
        <f>'S44'!N45</f>
        <v/>
      </c>
      <c r="P45" s="31">
        <f>N45-O45</f>
        <v/>
      </c>
      <c r="Q45" s="32" t="n"/>
      <c r="R45" s="32" t="n"/>
      <c r="S45" s="32" t="n"/>
      <c r="T45" s="33" t="n"/>
      <c r="U45" s="40">
        <f>'S44'!T45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'S44'!M46+L46</f>
        <v/>
      </c>
      <c r="N46" s="36">
        <f>IFERROR(M46/K46,0)</f>
        <v/>
      </c>
      <c r="O46" s="42">
        <f>'S44'!N46</f>
        <v/>
      </c>
      <c r="P46" s="36">
        <f>N46-O46</f>
        <v/>
      </c>
      <c r="Q46" s="32" t="n"/>
      <c r="R46" s="32" t="n"/>
      <c r="S46" s="32" t="n"/>
      <c r="T46" s="33" t="n"/>
      <c r="U46" s="42">
        <f>'S44'!T46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'S44'!M47+L47</f>
        <v/>
      </c>
      <c r="N47" s="31">
        <f>IFERROR(M47/K47,0)</f>
        <v/>
      </c>
      <c r="O47" s="40">
        <f>'S44'!N47</f>
        <v/>
      </c>
      <c r="P47" s="31">
        <f>N47-O47</f>
        <v/>
      </c>
      <c r="Q47" s="32" t="n"/>
      <c r="R47" s="32" t="n"/>
      <c r="S47" s="32" t="n"/>
      <c r="T47" s="33" t="n"/>
      <c r="U47" s="40">
        <f>'S44'!T47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'S44'!M48+L48</f>
        <v/>
      </c>
      <c r="N48" s="36">
        <f>IFERROR(M48/K48,0)</f>
        <v/>
      </c>
      <c r="O48" s="42">
        <f>'S44'!N48</f>
        <v/>
      </c>
      <c r="P48" s="36">
        <f>N48-O48</f>
        <v/>
      </c>
      <c r="Q48" s="32" t="n"/>
      <c r="R48" s="32" t="n"/>
      <c r="S48" s="32" t="n"/>
      <c r="T48" s="33" t="n"/>
      <c r="U48" s="42">
        <f>'S44'!T48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'S44'!M49+L49</f>
        <v/>
      </c>
      <c r="N49" s="31">
        <f>IFERROR(M49/K49,0)</f>
        <v/>
      </c>
      <c r="O49" s="40">
        <f>'S44'!N49</f>
        <v/>
      </c>
      <c r="P49" s="31">
        <f>N49-O49</f>
        <v/>
      </c>
      <c r="Q49" s="32" t="n"/>
      <c r="R49" s="32" t="n"/>
      <c r="S49" s="32" t="n"/>
      <c r="T49" s="33" t="n"/>
      <c r="U49" s="40">
        <f>'S44'!T49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'S44'!M50+L50</f>
        <v/>
      </c>
      <c r="N50" s="36">
        <f>IFERROR(M50/K50,0)</f>
        <v/>
      </c>
      <c r="O50" s="42">
        <f>'S44'!N50</f>
        <v/>
      </c>
      <c r="P50" s="36">
        <f>N50-O50</f>
        <v/>
      </c>
      <c r="Q50" s="32" t="n"/>
      <c r="R50" s="32" t="n"/>
      <c r="S50" s="32" t="n"/>
      <c r="T50" s="33" t="n"/>
      <c r="U50" s="42">
        <f>'S44'!T50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'S44'!M51+L51</f>
        <v/>
      </c>
      <c r="N51" s="31">
        <f>IFERROR(M51/K51,0)</f>
        <v/>
      </c>
      <c r="O51" s="40">
        <f>'S44'!N51</f>
        <v/>
      </c>
      <c r="P51" s="31">
        <f>N51-O51</f>
        <v/>
      </c>
      <c r="Q51" s="32" t="n"/>
      <c r="R51" s="32" t="n"/>
      <c r="S51" s="32" t="n"/>
      <c r="T51" s="33" t="n"/>
      <c r="U51" s="40">
        <f>'S44'!T51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'S44'!M52+L52</f>
        <v/>
      </c>
      <c r="N52" s="36">
        <f>IFERROR(M52/K52,0)</f>
        <v/>
      </c>
      <c r="O52" s="42">
        <f>'S44'!N52</f>
        <v/>
      </c>
      <c r="P52" s="36">
        <f>N52-O52</f>
        <v/>
      </c>
      <c r="Q52" s="32" t="n"/>
      <c r="R52" s="32" t="n"/>
      <c r="S52" s="32" t="n"/>
      <c r="T52" s="33" t="n"/>
      <c r="U52" s="42">
        <f>'S44'!T52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'S44'!M53+L53</f>
        <v/>
      </c>
      <c r="N53" s="31">
        <f>IFERROR(M53/K53,0)</f>
        <v/>
      </c>
      <c r="O53" s="40">
        <f>'S44'!N53</f>
        <v/>
      </c>
      <c r="P53" s="31">
        <f>N53-O53</f>
        <v/>
      </c>
      <c r="Q53" s="32" t="n"/>
      <c r="R53" s="32" t="n"/>
      <c r="S53" s="32" t="n"/>
      <c r="T53" s="33" t="n"/>
      <c r="U53" s="40">
        <f>'S44'!T53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'S44'!M54+L54</f>
        <v/>
      </c>
      <c r="N54" s="36">
        <f>IFERROR(M54/K54,0)</f>
        <v/>
      </c>
      <c r="O54" s="42">
        <f>'S44'!N54</f>
        <v/>
      </c>
      <c r="P54" s="36">
        <f>N54-O54</f>
        <v/>
      </c>
      <c r="Q54" s="32" t="n"/>
      <c r="R54" s="32" t="n"/>
      <c r="S54" s="32" t="n"/>
      <c r="T54" s="33" t="n"/>
      <c r="U54" s="42">
        <f>'S44'!T54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'S44'!M55+L55</f>
        <v/>
      </c>
      <c r="N55" s="31">
        <f>IFERROR(M55/K55,0)</f>
        <v/>
      </c>
      <c r="O55" s="40">
        <f>'S44'!N55</f>
        <v/>
      </c>
      <c r="P55" s="31">
        <f>N55-O55</f>
        <v/>
      </c>
      <c r="Q55" s="32" t="n"/>
      <c r="R55" s="32" t="n"/>
      <c r="S55" s="32" t="n"/>
      <c r="T55" s="33" t="n"/>
      <c r="U55" s="40">
        <f>'S44'!T55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'S44'!M56+L56</f>
        <v/>
      </c>
      <c r="N56" s="36">
        <f>IFERROR(M56/K56,0)</f>
        <v/>
      </c>
      <c r="O56" s="42">
        <f>'S44'!N56</f>
        <v/>
      </c>
      <c r="P56" s="36">
        <f>N56-O56</f>
        <v/>
      </c>
      <c r="Q56" s="32" t="n"/>
      <c r="R56" s="32" t="n"/>
      <c r="S56" s="32" t="n"/>
      <c r="T56" s="33" t="n"/>
      <c r="U56" s="42">
        <f>'S44'!T56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'S44'!M57+L57</f>
        <v/>
      </c>
      <c r="N57" s="31">
        <f>IFERROR(M57/K57,0)</f>
        <v/>
      </c>
      <c r="O57" s="40">
        <f>'S44'!N57</f>
        <v/>
      </c>
      <c r="P57" s="31">
        <f>N57-O57</f>
        <v/>
      </c>
      <c r="Q57" s="32" t="n"/>
      <c r="R57" s="32" t="n"/>
      <c r="S57" s="32" t="n"/>
      <c r="T57" s="33" t="n"/>
      <c r="U57" s="40">
        <f>'S44'!T57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'S44'!M58+L58</f>
        <v/>
      </c>
      <c r="N58" s="36">
        <f>IFERROR(M58/K58,0)</f>
        <v/>
      </c>
      <c r="O58" s="42">
        <f>'S44'!N58</f>
        <v/>
      </c>
      <c r="P58" s="36">
        <f>N58-O58</f>
        <v/>
      </c>
      <c r="Q58" s="32" t="n"/>
      <c r="R58" s="32" t="n"/>
      <c r="S58" s="32" t="n"/>
      <c r="T58" s="33" t="n"/>
      <c r="U58" s="42">
        <f>'S44'!T58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'S44'!M59+L59</f>
        <v/>
      </c>
      <c r="N59" s="31">
        <f>IFERROR(M59/K59,0)</f>
        <v/>
      </c>
      <c r="O59" s="40">
        <f>'S44'!N59</f>
        <v/>
      </c>
      <c r="P59" s="31">
        <f>N59-O59</f>
        <v/>
      </c>
      <c r="Q59" s="32" t="n"/>
      <c r="R59" s="32" t="n"/>
      <c r="S59" s="32" t="n"/>
      <c r="T59" s="33" t="n"/>
      <c r="U59" s="40">
        <f>'S44'!T59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'S44'!M60+L60</f>
        <v/>
      </c>
      <c r="N60" s="36">
        <f>IFERROR(M60/K60,0)</f>
        <v/>
      </c>
      <c r="O60" s="42">
        <f>'S44'!N60</f>
        <v/>
      </c>
      <c r="P60" s="36">
        <f>N60-O60</f>
        <v/>
      </c>
      <c r="Q60" s="32" t="n"/>
      <c r="R60" s="32" t="n"/>
      <c r="S60" s="32" t="n"/>
      <c r="T60" s="33" t="n"/>
      <c r="U60" s="42">
        <f>'S44'!T60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'S44'!M61+L61</f>
        <v/>
      </c>
      <c r="N61" s="31">
        <f>IFERROR(M61/K61,0)</f>
        <v/>
      </c>
      <c r="O61" s="40">
        <f>'S44'!N61</f>
        <v/>
      </c>
      <c r="P61" s="31">
        <f>N61-O61</f>
        <v/>
      </c>
      <c r="Q61" s="32" t="n"/>
      <c r="R61" s="32" t="n"/>
      <c r="S61" s="32" t="n"/>
      <c r="T61" s="33" t="n"/>
      <c r="U61" s="40">
        <f>'S44'!T61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'S44'!M62+L62</f>
        <v/>
      </c>
      <c r="N62" s="36">
        <f>IFERROR(M62/K62,0)</f>
        <v/>
      </c>
      <c r="O62" s="42">
        <f>'S44'!N62</f>
        <v/>
      </c>
      <c r="P62" s="36">
        <f>N62-O62</f>
        <v/>
      </c>
      <c r="Q62" s="32" t="n"/>
      <c r="R62" s="32" t="n"/>
      <c r="S62" s="32" t="n"/>
      <c r="T62" s="33" t="n"/>
      <c r="U62" s="42">
        <f>'S44'!T62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'S44'!M63+L63</f>
        <v/>
      </c>
      <c r="N63" s="31">
        <f>IFERROR(M63/K63,0)</f>
        <v/>
      </c>
      <c r="O63" s="40">
        <f>'S44'!N63</f>
        <v/>
      </c>
      <c r="P63" s="31">
        <f>N63-O63</f>
        <v/>
      </c>
      <c r="Q63" s="32" t="n"/>
      <c r="R63" s="32" t="n"/>
      <c r="S63" s="32" t="n"/>
      <c r="T63" s="33" t="n"/>
      <c r="U63" s="40">
        <f>'S44'!T63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'S44'!M64+L64</f>
        <v/>
      </c>
      <c r="N64" s="36">
        <f>IFERROR(M64/K64,0)</f>
        <v/>
      </c>
      <c r="O64" s="42">
        <f>'S44'!N64</f>
        <v/>
      </c>
      <c r="P64" s="36">
        <f>N64-O64</f>
        <v/>
      </c>
      <c r="Q64" s="32" t="n"/>
      <c r="R64" s="32" t="n"/>
      <c r="S64" s="32" t="n"/>
      <c r="T64" s="33" t="n"/>
      <c r="U64" s="42">
        <f>'S44'!T64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'S44'!M65+L65</f>
        <v/>
      </c>
      <c r="N65" s="31">
        <f>IFERROR(M65/K65,0)</f>
        <v/>
      </c>
      <c r="O65" s="40">
        <f>'S44'!N65</f>
        <v/>
      </c>
      <c r="P65" s="31">
        <f>N65-O65</f>
        <v/>
      </c>
      <c r="Q65" s="32" t="n"/>
      <c r="R65" s="32" t="n"/>
      <c r="S65" s="32" t="n"/>
      <c r="T65" s="33" t="n"/>
      <c r="U65" s="40">
        <f>'S44'!T65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'S44'!M66+L66</f>
        <v/>
      </c>
      <c r="N66" s="36">
        <f>IFERROR(M66/K66,0)</f>
        <v/>
      </c>
      <c r="O66" s="42">
        <f>'S44'!N66</f>
        <v/>
      </c>
      <c r="P66" s="36">
        <f>N66-O66</f>
        <v/>
      </c>
      <c r="Q66" s="32" t="n"/>
      <c r="R66" s="32" t="n"/>
      <c r="S66" s="32" t="n"/>
      <c r="T66" s="33" t="n"/>
      <c r="U66" s="42">
        <f>'S44'!T66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'S44'!M67+L67</f>
        <v/>
      </c>
      <c r="N67" s="31">
        <f>IFERROR(M67/K67,0)</f>
        <v/>
      </c>
      <c r="O67" s="40">
        <f>'S44'!N67</f>
        <v/>
      </c>
      <c r="P67" s="31">
        <f>N67-O67</f>
        <v/>
      </c>
      <c r="Q67" s="32" t="n"/>
      <c r="R67" s="32" t="n"/>
      <c r="S67" s="32" t="n"/>
      <c r="T67" s="33" t="n"/>
      <c r="U67" s="40">
        <f>'S44'!T67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'S44'!M68+L68</f>
        <v/>
      </c>
      <c r="N68" s="36">
        <f>IFERROR(M68/K68,0)</f>
        <v/>
      </c>
      <c r="O68" s="42">
        <f>'S44'!N68</f>
        <v/>
      </c>
      <c r="P68" s="36">
        <f>N68-O68</f>
        <v/>
      </c>
      <c r="Q68" s="32" t="n"/>
      <c r="R68" s="32" t="n"/>
      <c r="S68" s="32" t="n"/>
      <c r="T68" s="33" t="n"/>
      <c r="U68" s="42">
        <f>'S44'!T68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'S44'!M69+L69</f>
        <v/>
      </c>
      <c r="N69" s="31">
        <f>IFERROR(M69/K69,0)</f>
        <v/>
      </c>
      <c r="O69" s="40">
        <f>'S44'!N69</f>
        <v/>
      </c>
      <c r="P69" s="31">
        <f>N69-O69</f>
        <v/>
      </c>
      <c r="Q69" s="32" t="n"/>
      <c r="R69" s="32" t="n"/>
      <c r="S69" s="32" t="n"/>
      <c r="T69" s="33" t="n"/>
      <c r="U69" s="40">
        <f>'S44'!T69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'S44'!M70+L70</f>
        <v/>
      </c>
      <c r="N70" s="36">
        <f>IFERROR(M70/K70,0)</f>
        <v/>
      </c>
      <c r="O70" s="42">
        <f>'S44'!N70</f>
        <v/>
      </c>
      <c r="P70" s="36">
        <f>N70-O70</f>
        <v/>
      </c>
      <c r="Q70" s="32" t="n"/>
      <c r="R70" s="32" t="n"/>
      <c r="S70" s="32" t="n"/>
      <c r="T70" s="33" t="n"/>
      <c r="U70" s="42">
        <f>'S44'!T70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'S44'!M71+L71</f>
        <v/>
      </c>
      <c r="N71" s="31">
        <f>IFERROR(M71/K71,0)</f>
        <v/>
      </c>
      <c r="O71" s="40">
        <f>'S44'!N71</f>
        <v/>
      </c>
      <c r="P71" s="31">
        <f>N71-O71</f>
        <v/>
      </c>
      <c r="Q71" s="32" t="n"/>
      <c r="R71" s="32" t="n"/>
      <c r="S71" s="32" t="n"/>
      <c r="T71" s="33" t="n"/>
      <c r="U71" s="40">
        <f>'S44'!T71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'S44'!M72+L72</f>
        <v/>
      </c>
      <c r="N72" s="36">
        <f>IFERROR(M72/K72,0)</f>
        <v/>
      </c>
      <c r="O72" s="42">
        <f>'S44'!N72</f>
        <v/>
      </c>
      <c r="P72" s="36">
        <f>N72-O72</f>
        <v/>
      </c>
      <c r="Q72" s="32" t="n"/>
      <c r="R72" s="32" t="n"/>
      <c r="S72" s="32" t="n"/>
      <c r="T72" s="33" t="n"/>
      <c r="U72" s="42">
        <f>'S44'!T72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'S44'!M73+L73</f>
        <v/>
      </c>
      <c r="N73" s="31">
        <f>IFERROR(M73/K73,0)</f>
        <v/>
      </c>
      <c r="O73" s="40">
        <f>'S44'!N73</f>
        <v/>
      </c>
      <c r="P73" s="31">
        <f>N73-O73</f>
        <v/>
      </c>
      <c r="Q73" s="32" t="n"/>
      <c r="R73" s="32" t="n"/>
      <c r="S73" s="32" t="n"/>
      <c r="T73" s="33" t="n"/>
      <c r="U73" s="40">
        <f>'S44'!T73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'S44'!M74+L74</f>
        <v/>
      </c>
      <c r="N74" s="36">
        <f>IFERROR(M74/K74,0)</f>
        <v/>
      </c>
      <c r="O74" s="42">
        <f>'S44'!N74</f>
        <v/>
      </c>
      <c r="P74" s="36">
        <f>N74-O74</f>
        <v/>
      </c>
      <c r="Q74" s="32" t="n"/>
      <c r="R74" s="32" t="n"/>
      <c r="S74" s="32" t="n"/>
      <c r="T74" s="33" t="n"/>
      <c r="U74" s="42">
        <f>'S44'!T74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'S44'!M75+L75</f>
        <v/>
      </c>
      <c r="N75" s="31">
        <f>IFERROR(M75/K75,0)</f>
        <v/>
      </c>
      <c r="O75" s="40">
        <f>'S44'!N75</f>
        <v/>
      </c>
      <c r="P75" s="31">
        <f>N75-O75</f>
        <v/>
      </c>
      <c r="Q75" s="32" t="n"/>
      <c r="R75" s="32" t="n"/>
      <c r="S75" s="32" t="n"/>
      <c r="T75" s="33" t="n"/>
      <c r="U75" s="40">
        <f>'S44'!T75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'S44'!M76+L76</f>
        <v/>
      </c>
      <c r="N76" s="36">
        <f>IFERROR(M76/K76,0)</f>
        <v/>
      </c>
      <c r="O76" s="42">
        <f>'S44'!N76</f>
        <v/>
      </c>
      <c r="P76" s="36">
        <f>N76-O76</f>
        <v/>
      </c>
      <c r="Q76" s="32" t="n"/>
      <c r="R76" s="32" t="n"/>
      <c r="S76" s="32" t="n"/>
      <c r="T76" s="33" t="n"/>
      <c r="U76" s="42">
        <f>'S44'!T76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48.xml><?xml version="1.0" encoding="utf-8"?>
<worksheet xmlns="http://schemas.openxmlformats.org/spreadsheetml/2006/main">
  <sheetPr>
    <tabColor rgb="00BF8F0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46 (09/11 - 15/11) — Novembre 2026 - Exécution Physique et Financière</t>
        </is>
      </c>
    </row>
    <row r="3" ht="22" customHeight="1">
      <c r="B3" s="20" t="inlineStr">
        <is>
          <t>Date :</t>
        </is>
      </c>
      <c r="C3" s="21" t="n">
        <v>46335</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'S45'!M5+L5</f>
        <v/>
      </c>
      <c r="N5" s="31">
        <f>IFERROR(M5/K5,0)</f>
        <v/>
      </c>
      <c r="O5" s="40">
        <f>'S45'!N5</f>
        <v/>
      </c>
      <c r="P5" s="31">
        <f>N5-O5</f>
        <v/>
      </c>
      <c r="Q5" s="32" t="n"/>
      <c r="R5" s="32" t="n"/>
      <c r="S5" s="32" t="n"/>
      <c r="T5" s="33" t="n"/>
      <c r="U5" s="40">
        <f>'S45'!T5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'S45'!M6+L6</f>
        <v/>
      </c>
      <c r="N6" s="36">
        <f>IFERROR(M6/K6,0)</f>
        <v/>
      </c>
      <c r="O6" s="42">
        <f>'S45'!N6</f>
        <v/>
      </c>
      <c r="P6" s="36">
        <f>N6-O6</f>
        <v/>
      </c>
      <c r="Q6" s="32" t="n"/>
      <c r="R6" s="32" t="n"/>
      <c r="S6" s="32" t="n"/>
      <c r="T6" s="33" t="n"/>
      <c r="U6" s="42">
        <f>'S45'!T6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'S45'!M7+L7</f>
        <v/>
      </c>
      <c r="N7" s="31">
        <f>IFERROR(M7/K7,0)</f>
        <v/>
      </c>
      <c r="O7" s="40">
        <f>'S45'!N7</f>
        <v/>
      </c>
      <c r="P7" s="31">
        <f>N7-O7</f>
        <v/>
      </c>
      <c r="Q7" s="32" t="n"/>
      <c r="R7" s="32" t="n"/>
      <c r="S7" s="32" t="n"/>
      <c r="T7" s="33" t="n"/>
      <c r="U7" s="40">
        <f>'S45'!T7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'S45'!M8+L8</f>
        <v/>
      </c>
      <c r="N8" s="36">
        <f>IFERROR(M8/K8,0)</f>
        <v/>
      </c>
      <c r="O8" s="42">
        <f>'S45'!N8</f>
        <v/>
      </c>
      <c r="P8" s="36">
        <f>N8-O8</f>
        <v/>
      </c>
      <c r="Q8" s="32" t="n"/>
      <c r="R8" s="32" t="n"/>
      <c r="S8" s="32" t="n"/>
      <c r="T8" s="33" t="n"/>
      <c r="U8" s="42">
        <f>'S45'!T8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'S45'!M9+L9</f>
        <v/>
      </c>
      <c r="N9" s="31">
        <f>IFERROR(M9/K9,0)</f>
        <v/>
      </c>
      <c r="O9" s="40">
        <f>'S45'!N9</f>
        <v/>
      </c>
      <c r="P9" s="31">
        <f>N9-O9</f>
        <v/>
      </c>
      <c r="Q9" s="32" t="n"/>
      <c r="R9" s="32" t="n"/>
      <c r="S9" s="32" t="n"/>
      <c r="T9" s="33" t="n"/>
      <c r="U9" s="40">
        <f>'S45'!T9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'S45'!M10+L10</f>
        <v/>
      </c>
      <c r="N10" s="36">
        <f>IFERROR(M10/K10,0)</f>
        <v/>
      </c>
      <c r="O10" s="42">
        <f>'S45'!N10</f>
        <v/>
      </c>
      <c r="P10" s="36">
        <f>N10-O10</f>
        <v/>
      </c>
      <c r="Q10" s="32" t="n"/>
      <c r="R10" s="32" t="n"/>
      <c r="S10" s="32" t="n"/>
      <c r="T10" s="33" t="n"/>
      <c r="U10" s="42">
        <f>'S45'!T10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'S45'!M11+L11</f>
        <v/>
      </c>
      <c r="N11" s="31">
        <f>IFERROR(M11/K11,0)</f>
        <v/>
      </c>
      <c r="O11" s="40">
        <f>'S45'!N11</f>
        <v/>
      </c>
      <c r="P11" s="31">
        <f>N11-O11</f>
        <v/>
      </c>
      <c r="Q11" s="32" t="n"/>
      <c r="R11" s="32" t="n"/>
      <c r="S11" s="32" t="n"/>
      <c r="T11" s="33" t="n"/>
      <c r="U11" s="40">
        <f>'S45'!T11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'S45'!M12+L12</f>
        <v/>
      </c>
      <c r="N12" s="36">
        <f>IFERROR(M12/K12,0)</f>
        <v/>
      </c>
      <c r="O12" s="42">
        <f>'S45'!N12</f>
        <v/>
      </c>
      <c r="P12" s="36">
        <f>N12-O12</f>
        <v/>
      </c>
      <c r="Q12" s="32" t="n"/>
      <c r="R12" s="32" t="n"/>
      <c r="S12" s="32" t="n"/>
      <c r="T12" s="33" t="n"/>
      <c r="U12" s="42">
        <f>'S45'!T12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'S45'!M13+L13</f>
        <v/>
      </c>
      <c r="N13" s="31">
        <f>IFERROR(M13/K13,0)</f>
        <v/>
      </c>
      <c r="O13" s="40">
        <f>'S45'!N13</f>
        <v/>
      </c>
      <c r="P13" s="31">
        <f>N13-O13</f>
        <v/>
      </c>
      <c r="Q13" s="32" t="n"/>
      <c r="R13" s="32" t="n"/>
      <c r="S13" s="32" t="n"/>
      <c r="T13" s="33" t="n"/>
      <c r="U13" s="40">
        <f>'S45'!T13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'S45'!M14+L14</f>
        <v/>
      </c>
      <c r="N14" s="36">
        <f>IFERROR(M14/K14,0)</f>
        <v/>
      </c>
      <c r="O14" s="42">
        <f>'S45'!N14</f>
        <v/>
      </c>
      <c r="P14" s="36">
        <f>N14-O14</f>
        <v/>
      </c>
      <c r="Q14" s="32" t="n"/>
      <c r="R14" s="32" t="n"/>
      <c r="S14" s="32" t="n"/>
      <c r="T14" s="33" t="n"/>
      <c r="U14" s="42">
        <f>'S45'!T14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'S45'!M15+L15</f>
        <v/>
      </c>
      <c r="N15" s="31">
        <f>IFERROR(M15/K15,0)</f>
        <v/>
      </c>
      <c r="O15" s="40">
        <f>'S45'!N15</f>
        <v/>
      </c>
      <c r="P15" s="31">
        <f>N15-O15</f>
        <v/>
      </c>
      <c r="Q15" s="32" t="n"/>
      <c r="R15" s="32" t="n"/>
      <c r="S15" s="32" t="n"/>
      <c r="T15" s="33" t="n"/>
      <c r="U15" s="40">
        <f>'S45'!T15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'S45'!M16+L16</f>
        <v/>
      </c>
      <c r="N16" s="36">
        <f>IFERROR(M16/K16,0)</f>
        <v/>
      </c>
      <c r="O16" s="42">
        <f>'S45'!N16</f>
        <v/>
      </c>
      <c r="P16" s="36">
        <f>N16-O16</f>
        <v/>
      </c>
      <c r="Q16" s="32" t="n"/>
      <c r="R16" s="32" t="n"/>
      <c r="S16" s="32" t="n"/>
      <c r="T16" s="33" t="n"/>
      <c r="U16" s="42">
        <f>'S45'!T16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'S45'!M17+L17</f>
        <v/>
      </c>
      <c r="N17" s="31">
        <f>IFERROR(M17/K17,0)</f>
        <v/>
      </c>
      <c r="O17" s="40">
        <f>'S45'!N17</f>
        <v/>
      </c>
      <c r="P17" s="31">
        <f>N17-O17</f>
        <v/>
      </c>
      <c r="Q17" s="32" t="n"/>
      <c r="R17" s="32" t="n"/>
      <c r="S17" s="32" t="n"/>
      <c r="T17" s="33" t="n"/>
      <c r="U17" s="40">
        <f>'S45'!T17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'S45'!M18+L18</f>
        <v/>
      </c>
      <c r="N18" s="36">
        <f>IFERROR(M18/K18,0)</f>
        <v/>
      </c>
      <c r="O18" s="42">
        <f>'S45'!N18</f>
        <v/>
      </c>
      <c r="P18" s="36">
        <f>N18-O18</f>
        <v/>
      </c>
      <c r="Q18" s="32" t="n"/>
      <c r="R18" s="32" t="n"/>
      <c r="S18" s="32" t="n"/>
      <c r="T18" s="33" t="n"/>
      <c r="U18" s="42">
        <f>'S45'!T18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'S45'!M19+L19</f>
        <v/>
      </c>
      <c r="N19" s="31">
        <f>IFERROR(M19/K19,0)</f>
        <v/>
      </c>
      <c r="O19" s="40">
        <f>'S45'!N19</f>
        <v/>
      </c>
      <c r="P19" s="31">
        <f>N19-O19</f>
        <v/>
      </c>
      <c r="Q19" s="32" t="n"/>
      <c r="R19" s="32" t="n"/>
      <c r="S19" s="32" t="n"/>
      <c r="T19" s="33" t="n"/>
      <c r="U19" s="40">
        <f>'S45'!T19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'S45'!M20+L20</f>
        <v/>
      </c>
      <c r="N20" s="36">
        <f>IFERROR(M20/K20,0)</f>
        <v/>
      </c>
      <c r="O20" s="42">
        <f>'S45'!N20</f>
        <v/>
      </c>
      <c r="P20" s="36">
        <f>N20-O20</f>
        <v/>
      </c>
      <c r="Q20" s="32" t="n"/>
      <c r="R20" s="32" t="n"/>
      <c r="S20" s="32" t="n"/>
      <c r="T20" s="33" t="n"/>
      <c r="U20" s="42">
        <f>'S45'!T20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'S45'!M21+L21</f>
        <v/>
      </c>
      <c r="N21" s="31">
        <f>IFERROR(M21/K21,0)</f>
        <v/>
      </c>
      <c r="O21" s="40">
        <f>'S45'!N21</f>
        <v/>
      </c>
      <c r="P21" s="31">
        <f>N21-O21</f>
        <v/>
      </c>
      <c r="Q21" s="32" t="n"/>
      <c r="R21" s="32" t="n"/>
      <c r="S21" s="32" t="n"/>
      <c r="T21" s="33" t="n"/>
      <c r="U21" s="40">
        <f>'S45'!T21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'S45'!M22+L22</f>
        <v/>
      </c>
      <c r="N22" s="36">
        <f>IFERROR(M22/K22,0)</f>
        <v/>
      </c>
      <c r="O22" s="42">
        <f>'S45'!N22</f>
        <v/>
      </c>
      <c r="P22" s="36">
        <f>N22-O22</f>
        <v/>
      </c>
      <c r="Q22" s="32" t="n"/>
      <c r="R22" s="32" t="n"/>
      <c r="S22" s="32" t="n"/>
      <c r="T22" s="33" t="n"/>
      <c r="U22" s="42">
        <f>'S45'!T22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'S45'!M23+L23</f>
        <v/>
      </c>
      <c r="N23" s="31">
        <f>IFERROR(M23/K23,0)</f>
        <v/>
      </c>
      <c r="O23" s="40">
        <f>'S45'!N23</f>
        <v/>
      </c>
      <c r="P23" s="31">
        <f>N23-O23</f>
        <v/>
      </c>
      <c r="Q23" s="32" t="n"/>
      <c r="R23" s="32" t="n"/>
      <c r="S23" s="32" t="n"/>
      <c r="T23" s="33" t="n"/>
      <c r="U23" s="40">
        <f>'S45'!T23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'S45'!M24+L24</f>
        <v/>
      </c>
      <c r="N24" s="36">
        <f>IFERROR(M24/K24,0)</f>
        <v/>
      </c>
      <c r="O24" s="42">
        <f>'S45'!N24</f>
        <v/>
      </c>
      <c r="P24" s="36">
        <f>N24-O24</f>
        <v/>
      </c>
      <c r="Q24" s="32" t="n"/>
      <c r="R24" s="32" t="n"/>
      <c r="S24" s="32" t="n"/>
      <c r="T24" s="33" t="n"/>
      <c r="U24" s="42">
        <f>'S45'!T24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'S45'!M25+L25</f>
        <v/>
      </c>
      <c r="N25" s="31">
        <f>IFERROR(M25/K25,0)</f>
        <v/>
      </c>
      <c r="O25" s="40">
        <f>'S45'!N25</f>
        <v/>
      </c>
      <c r="P25" s="31">
        <f>N25-O25</f>
        <v/>
      </c>
      <c r="Q25" s="32" t="n"/>
      <c r="R25" s="32" t="n"/>
      <c r="S25" s="32" t="n"/>
      <c r="T25" s="33" t="n"/>
      <c r="U25" s="40">
        <f>'S45'!T25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'S45'!M26+L26</f>
        <v/>
      </c>
      <c r="N26" s="36">
        <f>IFERROR(M26/K26,0)</f>
        <v/>
      </c>
      <c r="O26" s="42">
        <f>'S45'!N26</f>
        <v/>
      </c>
      <c r="P26" s="36">
        <f>N26-O26</f>
        <v/>
      </c>
      <c r="Q26" s="32" t="n"/>
      <c r="R26" s="32" t="n"/>
      <c r="S26" s="32" t="n"/>
      <c r="T26" s="33" t="n"/>
      <c r="U26" s="42">
        <f>'S45'!T26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'S45'!M27+L27</f>
        <v/>
      </c>
      <c r="N27" s="31">
        <f>IFERROR(M27/K27,0)</f>
        <v/>
      </c>
      <c r="O27" s="40">
        <f>'S45'!N27</f>
        <v/>
      </c>
      <c r="P27" s="31">
        <f>N27-O27</f>
        <v/>
      </c>
      <c r="Q27" s="32" t="n"/>
      <c r="R27" s="32" t="n"/>
      <c r="S27" s="32" t="n"/>
      <c r="T27" s="33" t="n"/>
      <c r="U27" s="40">
        <f>'S45'!T27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'S45'!M28+L28</f>
        <v/>
      </c>
      <c r="N28" s="36">
        <f>IFERROR(M28/K28,0)</f>
        <v/>
      </c>
      <c r="O28" s="42">
        <f>'S45'!N28</f>
        <v/>
      </c>
      <c r="P28" s="36">
        <f>N28-O28</f>
        <v/>
      </c>
      <c r="Q28" s="32" t="n"/>
      <c r="R28" s="32" t="n"/>
      <c r="S28" s="32" t="n"/>
      <c r="T28" s="33" t="n"/>
      <c r="U28" s="42">
        <f>'S45'!T28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'S45'!M29+L29</f>
        <v/>
      </c>
      <c r="N29" s="31">
        <f>IFERROR(M29/K29,0)</f>
        <v/>
      </c>
      <c r="O29" s="40">
        <f>'S45'!N29</f>
        <v/>
      </c>
      <c r="P29" s="31">
        <f>N29-O29</f>
        <v/>
      </c>
      <c r="Q29" s="32" t="n"/>
      <c r="R29" s="32" t="n"/>
      <c r="S29" s="32" t="n"/>
      <c r="T29" s="33" t="n"/>
      <c r="U29" s="40">
        <f>'S45'!T29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'S45'!M30+L30</f>
        <v/>
      </c>
      <c r="N30" s="36">
        <f>IFERROR(M30/K30,0)</f>
        <v/>
      </c>
      <c r="O30" s="42">
        <f>'S45'!N30</f>
        <v/>
      </c>
      <c r="P30" s="36">
        <f>N30-O30</f>
        <v/>
      </c>
      <c r="Q30" s="32" t="n"/>
      <c r="R30" s="32" t="n"/>
      <c r="S30" s="32" t="n"/>
      <c r="T30" s="33" t="n"/>
      <c r="U30" s="42">
        <f>'S45'!T30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'S45'!M31+L31</f>
        <v/>
      </c>
      <c r="N31" s="31">
        <f>IFERROR(M31/K31,0)</f>
        <v/>
      </c>
      <c r="O31" s="40">
        <f>'S45'!N31</f>
        <v/>
      </c>
      <c r="P31" s="31">
        <f>N31-O31</f>
        <v/>
      </c>
      <c r="Q31" s="32" t="n"/>
      <c r="R31" s="32" t="n"/>
      <c r="S31" s="32" t="n"/>
      <c r="T31" s="33" t="n"/>
      <c r="U31" s="40">
        <f>'S45'!T31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'S45'!M32+L32</f>
        <v/>
      </c>
      <c r="N32" s="36">
        <f>IFERROR(M32/K32,0)</f>
        <v/>
      </c>
      <c r="O32" s="42">
        <f>'S45'!N32</f>
        <v/>
      </c>
      <c r="P32" s="36">
        <f>N32-O32</f>
        <v/>
      </c>
      <c r="Q32" s="32" t="n"/>
      <c r="R32" s="32" t="n"/>
      <c r="S32" s="32" t="n"/>
      <c r="T32" s="33" t="n"/>
      <c r="U32" s="42">
        <f>'S45'!T32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'S45'!M33+L33</f>
        <v/>
      </c>
      <c r="N33" s="31">
        <f>IFERROR(M33/K33,0)</f>
        <v/>
      </c>
      <c r="O33" s="40">
        <f>'S45'!N33</f>
        <v/>
      </c>
      <c r="P33" s="31">
        <f>N33-O33</f>
        <v/>
      </c>
      <c r="Q33" s="32" t="n"/>
      <c r="R33" s="32" t="n"/>
      <c r="S33" s="32" t="n"/>
      <c r="T33" s="33" t="n"/>
      <c r="U33" s="40">
        <f>'S45'!T33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'S45'!M34+L34</f>
        <v/>
      </c>
      <c r="N34" s="36">
        <f>IFERROR(M34/K34,0)</f>
        <v/>
      </c>
      <c r="O34" s="42">
        <f>'S45'!N34</f>
        <v/>
      </c>
      <c r="P34" s="36">
        <f>N34-O34</f>
        <v/>
      </c>
      <c r="Q34" s="32" t="n"/>
      <c r="R34" s="32" t="n"/>
      <c r="S34" s="32" t="n"/>
      <c r="T34" s="33" t="n"/>
      <c r="U34" s="42">
        <f>'S45'!T34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'S45'!M35+L35</f>
        <v/>
      </c>
      <c r="N35" s="31">
        <f>IFERROR(M35/K35,0)</f>
        <v/>
      </c>
      <c r="O35" s="40">
        <f>'S45'!N35</f>
        <v/>
      </c>
      <c r="P35" s="31">
        <f>N35-O35</f>
        <v/>
      </c>
      <c r="Q35" s="32" t="n"/>
      <c r="R35" s="32" t="n"/>
      <c r="S35" s="32" t="n"/>
      <c r="T35" s="33" t="n"/>
      <c r="U35" s="40">
        <f>'S45'!T35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'S45'!M36+L36</f>
        <v/>
      </c>
      <c r="N36" s="36">
        <f>IFERROR(M36/K36,0)</f>
        <v/>
      </c>
      <c r="O36" s="42">
        <f>'S45'!N36</f>
        <v/>
      </c>
      <c r="P36" s="36">
        <f>N36-O36</f>
        <v/>
      </c>
      <c r="Q36" s="32" t="n"/>
      <c r="R36" s="32" t="n"/>
      <c r="S36" s="32" t="n"/>
      <c r="T36" s="33" t="n"/>
      <c r="U36" s="42">
        <f>'S45'!T36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'S45'!M37+L37</f>
        <v/>
      </c>
      <c r="N37" s="31">
        <f>IFERROR(M37/K37,0)</f>
        <v/>
      </c>
      <c r="O37" s="40">
        <f>'S45'!N37</f>
        <v/>
      </c>
      <c r="P37" s="31">
        <f>N37-O37</f>
        <v/>
      </c>
      <c r="Q37" s="32" t="n"/>
      <c r="R37" s="32" t="n"/>
      <c r="S37" s="32" t="n"/>
      <c r="T37" s="33" t="n"/>
      <c r="U37" s="40">
        <f>'S45'!T37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'S45'!M38+L38</f>
        <v/>
      </c>
      <c r="N38" s="36">
        <f>IFERROR(M38/K38,0)</f>
        <v/>
      </c>
      <c r="O38" s="42">
        <f>'S45'!N38</f>
        <v/>
      </c>
      <c r="P38" s="36">
        <f>N38-O38</f>
        <v/>
      </c>
      <c r="Q38" s="32" t="n"/>
      <c r="R38" s="32" t="n"/>
      <c r="S38" s="32" t="n"/>
      <c r="T38" s="33" t="n"/>
      <c r="U38" s="42">
        <f>'S45'!T38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'S45'!M39+L39</f>
        <v/>
      </c>
      <c r="N39" s="31">
        <f>IFERROR(M39/K39,0)</f>
        <v/>
      </c>
      <c r="O39" s="40">
        <f>'S45'!N39</f>
        <v/>
      </c>
      <c r="P39" s="31">
        <f>N39-O39</f>
        <v/>
      </c>
      <c r="Q39" s="32" t="n"/>
      <c r="R39" s="32" t="n"/>
      <c r="S39" s="32" t="n"/>
      <c r="T39" s="33" t="n"/>
      <c r="U39" s="40">
        <f>'S45'!T39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'S45'!M40+L40</f>
        <v/>
      </c>
      <c r="N40" s="36">
        <f>IFERROR(M40/K40,0)</f>
        <v/>
      </c>
      <c r="O40" s="42">
        <f>'S45'!N40</f>
        <v/>
      </c>
      <c r="P40" s="36">
        <f>N40-O40</f>
        <v/>
      </c>
      <c r="Q40" s="32" t="n"/>
      <c r="R40" s="32" t="n"/>
      <c r="S40" s="32" t="n"/>
      <c r="T40" s="33" t="n"/>
      <c r="U40" s="42">
        <f>'S45'!T40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'S45'!M41+L41</f>
        <v/>
      </c>
      <c r="N41" s="31">
        <f>IFERROR(M41/K41,0)</f>
        <v/>
      </c>
      <c r="O41" s="40">
        <f>'S45'!N41</f>
        <v/>
      </c>
      <c r="P41" s="31">
        <f>N41-O41</f>
        <v/>
      </c>
      <c r="Q41" s="32" t="n"/>
      <c r="R41" s="32" t="n"/>
      <c r="S41" s="32" t="n"/>
      <c r="T41" s="33" t="n"/>
      <c r="U41" s="40">
        <f>'S45'!T41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'S45'!M42+L42</f>
        <v/>
      </c>
      <c r="N42" s="36">
        <f>IFERROR(M42/K42,0)</f>
        <v/>
      </c>
      <c r="O42" s="42">
        <f>'S45'!N42</f>
        <v/>
      </c>
      <c r="P42" s="36">
        <f>N42-O42</f>
        <v/>
      </c>
      <c r="Q42" s="32" t="n"/>
      <c r="R42" s="32" t="n"/>
      <c r="S42" s="32" t="n"/>
      <c r="T42" s="33" t="n"/>
      <c r="U42" s="42">
        <f>'S45'!T42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'S45'!M43+L43</f>
        <v/>
      </c>
      <c r="N43" s="31">
        <f>IFERROR(M43/K43,0)</f>
        <v/>
      </c>
      <c r="O43" s="40">
        <f>'S45'!N43</f>
        <v/>
      </c>
      <c r="P43" s="31">
        <f>N43-O43</f>
        <v/>
      </c>
      <c r="Q43" s="32" t="n"/>
      <c r="R43" s="32" t="n"/>
      <c r="S43" s="32" t="n"/>
      <c r="T43" s="33" t="n"/>
      <c r="U43" s="40">
        <f>'S45'!T43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'S45'!M44+L44</f>
        <v/>
      </c>
      <c r="N44" s="36">
        <f>IFERROR(M44/K44,0)</f>
        <v/>
      </c>
      <c r="O44" s="42">
        <f>'S45'!N44</f>
        <v/>
      </c>
      <c r="P44" s="36">
        <f>N44-O44</f>
        <v/>
      </c>
      <c r="Q44" s="32" t="n"/>
      <c r="R44" s="32" t="n"/>
      <c r="S44" s="32" t="n"/>
      <c r="T44" s="33" t="n"/>
      <c r="U44" s="42">
        <f>'S45'!T44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'S45'!M45+L45</f>
        <v/>
      </c>
      <c r="N45" s="31">
        <f>IFERROR(M45/K45,0)</f>
        <v/>
      </c>
      <c r="O45" s="40">
        <f>'S45'!N45</f>
        <v/>
      </c>
      <c r="P45" s="31">
        <f>N45-O45</f>
        <v/>
      </c>
      <c r="Q45" s="32" t="n"/>
      <c r="R45" s="32" t="n"/>
      <c r="S45" s="32" t="n"/>
      <c r="T45" s="33" t="n"/>
      <c r="U45" s="40">
        <f>'S45'!T45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'S45'!M46+L46</f>
        <v/>
      </c>
      <c r="N46" s="36">
        <f>IFERROR(M46/K46,0)</f>
        <v/>
      </c>
      <c r="O46" s="42">
        <f>'S45'!N46</f>
        <v/>
      </c>
      <c r="P46" s="36">
        <f>N46-O46</f>
        <v/>
      </c>
      <c r="Q46" s="32" t="n"/>
      <c r="R46" s="32" t="n"/>
      <c r="S46" s="32" t="n"/>
      <c r="T46" s="33" t="n"/>
      <c r="U46" s="42">
        <f>'S45'!T46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'S45'!M47+L47</f>
        <v/>
      </c>
      <c r="N47" s="31">
        <f>IFERROR(M47/K47,0)</f>
        <v/>
      </c>
      <c r="O47" s="40">
        <f>'S45'!N47</f>
        <v/>
      </c>
      <c r="P47" s="31">
        <f>N47-O47</f>
        <v/>
      </c>
      <c r="Q47" s="32" t="n"/>
      <c r="R47" s="32" t="n"/>
      <c r="S47" s="32" t="n"/>
      <c r="T47" s="33" t="n"/>
      <c r="U47" s="40">
        <f>'S45'!T47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'S45'!M48+L48</f>
        <v/>
      </c>
      <c r="N48" s="36">
        <f>IFERROR(M48/K48,0)</f>
        <v/>
      </c>
      <c r="O48" s="42">
        <f>'S45'!N48</f>
        <v/>
      </c>
      <c r="P48" s="36">
        <f>N48-O48</f>
        <v/>
      </c>
      <c r="Q48" s="32" t="n"/>
      <c r="R48" s="32" t="n"/>
      <c r="S48" s="32" t="n"/>
      <c r="T48" s="33" t="n"/>
      <c r="U48" s="42">
        <f>'S45'!T48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'S45'!M49+L49</f>
        <v/>
      </c>
      <c r="N49" s="31">
        <f>IFERROR(M49/K49,0)</f>
        <v/>
      </c>
      <c r="O49" s="40">
        <f>'S45'!N49</f>
        <v/>
      </c>
      <c r="P49" s="31">
        <f>N49-O49</f>
        <v/>
      </c>
      <c r="Q49" s="32" t="n"/>
      <c r="R49" s="32" t="n"/>
      <c r="S49" s="32" t="n"/>
      <c r="T49" s="33" t="n"/>
      <c r="U49" s="40">
        <f>'S45'!T49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'S45'!M50+L50</f>
        <v/>
      </c>
      <c r="N50" s="36">
        <f>IFERROR(M50/K50,0)</f>
        <v/>
      </c>
      <c r="O50" s="42">
        <f>'S45'!N50</f>
        <v/>
      </c>
      <c r="P50" s="36">
        <f>N50-O50</f>
        <v/>
      </c>
      <c r="Q50" s="32" t="n"/>
      <c r="R50" s="32" t="n"/>
      <c r="S50" s="32" t="n"/>
      <c r="T50" s="33" t="n"/>
      <c r="U50" s="42">
        <f>'S45'!T50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'S45'!M51+L51</f>
        <v/>
      </c>
      <c r="N51" s="31">
        <f>IFERROR(M51/K51,0)</f>
        <v/>
      </c>
      <c r="O51" s="40">
        <f>'S45'!N51</f>
        <v/>
      </c>
      <c r="P51" s="31">
        <f>N51-O51</f>
        <v/>
      </c>
      <c r="Q51" s="32" t="n"/>
      <c r="R51" s="32" t="n"/>
      <c r="S51" s="32" t="n"/>
      <c r="T51" s="33" t="n"/>
      <c r="U51" s="40">
        <f>'S45'!T51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'S45'!M52+L52</f>
        <v/>
      </c>
      <c r="N52" s="36">
        <f>IFERROR(M52/K52,0)</f>
        <v/>
      </c>
      <c r="O52" s="42">
        <f>'S45'!N52</f>
        <v/>
      </c>
      <c r="P52" s="36">
        <f>N52-O52</f>
        <v/>
      </c>
      <c r="Q52" s="32" t="n"/>
      <c r="R52" s="32" t="n"/>
      <c r="S52" s="32" t="n"/>
      <c r="T52" s="33" t="n"/>
      <c r="U52" s="42">
        <f>'S45'!T52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'S45'!M53+L53</f>
        <v/>
      </c>
      <c r="N53" s="31">
        <f>IFERROR(M53/K53,0)</f>
        <v/>
      </c>
      <c r="O53" s="40">
        <f>'S45'!N53</f>
        <v/>
      </c>
      <c r="P53" s="31">
        <f>N53-O53</f>
        <v/>
      </c>
      <c r="Q53" s="32" t="n"/>
      <c r="R53" s="32" t="n"/>
      <c r="S53" s="32" t="n"/>
      <c r="T53" s="33" t="n"/>
      <c r="U53" s="40">
        <f>'S45'!T53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'S45'!M54+L54</f>
        <v/>
      </c>
      <c r="N54" s="36">
        <f>IFERROR(M54/K54,0)</f>
        <v/>
      </c>
      <c r="O54" s="42">
        <f>'S45'!N54</f>
        <v/>
      </c>
      <c r="P54" s="36">
        <f>N54-O54</f>
        <v/>
      </c>
      <c r="Q54" s="32" t="n"/>
      <c r="R54" s="32" t="n"/>
      <c r="S54" s="32" t="n"/>
      <c r="T54" s="33" t="n"/>
      <c r="U54" s="42">
        <f>'S45'!T54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'S45'!M55+L55</f>
        <v/>
      </c>
      <c r="N55" s="31">
        <f>IFERROR(M55/K55,0)</f>
        <v/>
      </c>
      <c r="O55" s="40">
        <f>'S45'!N55</f>
        <v/>
      </c>
      <c r="P55" s="31">
        <f>N55-O55</f>
        <v/>
      </c>
      <c r="Q55" s="32" t="n"/>
      <c r="R55" s="32" t="n"/>
      <c r="S55" s="32" t="n"/>
      <c r="T55" s="33" t="n"/>
      <c r="U55" s="40">
        <f>'S45'!T55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'S45'!M56+L56</f>
        <v/>
      </c>
      <c r="N56" s="36">
        <f>IFERROR(M56/K56,0)</f>
        <v/>
      </c>
      <c r="O56" s="42">
        <f>'S45'!N56</f>
        <v/>
      </c>
      <c r="P56" s="36">
        <f>N56-O56</f>
        <v/>
      </c>
      <c r="Q56" s="32" t="n"/>
      <c r="R56" s="32" t="n"/>
      <c r="S56" s="32" t="n"/>
      <c r="T56" s="33" t="n"/>
      <c r="U56" s="42">
        <f>'S45'!T56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'S45'!M57+L57</f>
        <v/>
      </c>
      <c r="N57" s="31">
        <f>IFERROR(M57/K57,0)</f>
        <v/>
      </c>
      <c r="O57" s="40">
        <f>'S45'!N57</f>
        <v/>
      </c>
      <c r="P57" s="31">
        <f>N57-O57</f>
        <v/>
      </c>
      <c r="Q57" s="32" t="n"/>
      <c r="R57" s="32" t="n"/>
      <c r="S57" s="32" t="n"/>
      <c r="T57" s="33" t="n"/>
      <c r="U57" s="40">
        <f>'S45'!T57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'S45'!M58+L58</f>
        <v/>
      </c>
      <c r="N58" s="36">
        <f>IFERROR(M58/K58,0)</f>
        <v/>
      </c>
      <c r="O58" s="42">
        <f>'S45'!N58</f>
        <v/>
      </c>
      <c r="P58" s="36">
        <f>N58-O58</f>
        <v/>
      </c>
      <c r="Q58" s="32" t="n"/>
      <c r="R58" s="32" t="n"/>
      <c r="S58" s="32" t="n"/>
      <c r="T58" s="33" t="n"/>
      <c r="U58" s="42">
        <f>'S45'!T58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'S45'!M59+L59</f>
        <v/>
      </c>
      <c r="N59" s="31">
        <f>IFERROR(M59/K59,0)</f>
        <v/>
      </c>
      <c r="O59" s="40">
        <f>'S45'!N59</f>
        <v/>
      </c>
      <c r="P59" s="31">
        <f>N59-O59</f>
        <v/>
      </c>
      <c r="Q59" s="32" t="n"/>
      <c r="R59" s="32" t="n"/>
      <c r="S59" s="32" t="n"/>
      <c r="T59" s="33" t="n"/>
      <c r="U59" s="40">
        <f>'S45'!T59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'S45'!M60+L60</f>
        <v/>
      </c>
      <c r="N60" s="36">
        <f>IFERROR(M60/K60,0)</f>
        <v/>
      </c>
      <c r="O60" s="42">
        <f>'S45'!N60</f>
        <v/>
      </c>
      <c r="P60" s="36">
        <f>N60-O60</f>
        <v/>
      </c>
      <c r="Q60" s="32" t="n"/>
      <c r="R60" s="32" t="n"/>
      <c r="S60" s="32" t="n"/>
      <c r="T60" s="33" t="n"/>
      <c r="U60" s="42">
        <f>'S45'!T60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'S45'!M61+L61</f>
        <v/>
      </c>
      <c r="N61" s="31">
        <f>IFERROR(M61/K61,0)</f>
        <v/>
      </c>
      <c r="O61" s="40">
        <f>'S45'!N61</f>
        <v/>
      </c>
      <c r="P61" s="31">
        <f>N61-O61</f>
        <v/>
      </c>
      <c r="Q61" s="32" t="n"/>
      <c r="R61" s="32" t="n"/>
      <c r="S61" s="32" t="n"/>
      <c r="T61" s="33" t="n"/>
      <c r="U61" s="40">
        <f>'S45'!T61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'S45'!M62+L62</f>
        <v/>
      </c>
      <c r="N62" s="36">
        <f>IFERROR(M62/K62,0)</f>
        <v/>
      </c>
      <c r="O62" s="42">
        <f>'S45'!N62</f>
        <v/>
      </c>
      <c r="P62" s="36">
        <f>N62-O62</f>
        <v/>
      </c>
      <c r="Q62" s="32" t="n"/>
      <c r="R62" s="32" t="n"/>
      <c r="S62" s="32" t="n"/>
      <c r="T62" s="33" t="n"/>
      <c r="U62" s="42">
        <f>'S45'!T62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'S45'!M63+L63</f>
        <v/>
      </c>
      <c r="N63" s="31">
        <f>IFERROR(M63/K63,0)</f>
        <v/>
      </c>
      <c r="O63" s="40">
        <f>'S45'!N63</f>
        <v/>
      </c>
      <c r="P63" s="31">
        <f>N63-O63</f>
        <v/>
      </c>
      <c r="Q63" s="32" t="n"/>
      <c r="R63" s="32" t="n"/>
      <c r="S63" s="32" t="n"/>
      <c r="T63" s="33" t="n"/>
      <c r="U63" s="40">
        <f>'S45'!T63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'S45'!M64+L64</f>
        <v/>
      </c>
      <c r="N64" s="36">
        <f>IFERROR(M64/K64,0)</f>
        <v/>
      </c>
      <c r="O64" s="42">
        <f>'S45'!N64</f>
        <v/>
      </c>
      <c r="P64" s="36">
        <f>N64-O64</f>
        <v/>
      </c>
      <c r="Q64" s="32" t="n"/>
      <c r="R64" s="32" t="n"/>
      <c r="S64" s="32" t="n"/>
      <c r="T64" s="33" t="n"/>
      <c r="U64" s="42">
        <f>'S45'!T64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'S45'!M65+L65</f>
        <v/>
      </c>
      <c r="N65" s="31">
        <f>IFERROR(M65/K65,0)</f>
        <v/>
      </c>
      <c r="O65" s="40">
        <f>'S45'!N65</f>
        <v/>
      </c>
      <c r="P65" s="31">
        <f>N65-O65</f>
        <v/>
      </c>
      <c r="Q65" s="32" t="n"/>
      <c r="R65" s="32" t="n"/>
      <c r="S65" s="32" t="n"/>
      <c r="T65" s="33" t="n"/>
      <c r="U65" s="40">
        <f>'S45'!T65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'S45'!M66+L66</f>
        <v/>
      </c>
      <c r="N66" s="36">
        <f>IFERROR(M66/K66,0)</f>
        <v/>
      </c>
      <c r="O66" s="42">
        <f>'S45'!N66</f>
        <v/>
      </c>
      <c r="P66" s="36">
        <f>N66-O66</f>
        <v/>
      </c>
      <c r="Q66" s="32" t="n"/>
      <c r="R66" s="32" t="n"/>
      <c r="S66" s="32" t="n"/>
      <c r="T66" s="33" t="n"/>
      <c r="U66" s="42">
        <f>'S45'!T66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'S45'!M67+L67</f>
        <v/>
      </c>
      <c r="N67" s="31">
        <f>IFERROR(M67/K67,0)</f>
        <v/>
      </c>
      <c r="O67" s="40">
        <f>'S45'!N67</f>
        <v/>
      </c>
      <c r="P67" s="31">
        <f>N67-O67</f>
        <v/>
      </c>
      <c r="Q67" s="32" t="n"/>
      <c r="R67" s="32" t="n"/>
      <c r="S67" s="32" t="n"/>
      <c r="T67" s="33" t="n"/>
      <c r="U67" s="40">
        <f>'S45'!T67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'S45'!M68+L68</f>
        <v/>
      </c>
      <c r="N68" s="36">
        <f>IFERROR(M68/K68,0)</f>
        <v/>
      </c>
      <c r="O68" s="42">
        <f>'S45'!N68</f>
        <v/>
      </c>
      <c r="P68" s="36">
        <f>N68-O68</f>
        <v/>
      </c>
      <c r="Q68" s="32" t="n"/>
      <c r="R68" s="32" t="n"/>
      <c r="S68" s="32" t="n"/>
      <c r="T68" s="33" t="n"/>
      <c r="U68" s="42">
        <f>'S45'!T68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'S45'!M69+L69</f>
        <v/>
      </c>
      <c r="N69" s="31">
        <f>IFERROR(M69/K69,0)</f>
        <v/>
      </c>
      <c r="O69" s="40">
        <f>'S45'!N69</f>
        <v/>
      </c>
      <c r="P69" s="31">
        <f>N69-O69</f>
        <v/>
      </c>
      <c r="Q69" s="32" t="n"/>
      <c r="R69" s="32" t="n"/>
      <c r="S69" s="32" t="n"/>
      <c r="T69" s="33" t="n"/>
      <c r="U69" s="40">
        <f>'S45'!T69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'S45'!M70+L70</f>
        <v/>
      </c>
      <c r="N70" s="36">
        <f>IFERROR(M70/K70,0)</f>
        <v/>
      </c>
      <c r="O70" s="42">
        <f>'S45'!N70</f>
        <v/>
      </c>
      <c r="P70" s="36">
        <f>N70-O70</f>
        <v/>
      </c>
      <c r="Q70" s="32" t="n"/>
      <c r="R70" s="32" t="n"/>
      <c r="S70" s="32" t="n"/>
      <c r="T70" s="33" t="n"/>
      <c r="U70" s="42">
        <f>'S45'!T70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'S45'!M71+L71</f>
        <v/>
      </c>
      <c r="N71" s="31">
        <f>IFERROR(M71/K71,0)</f>
        <v/>
      </c>
      <c r="O71" s="40">
        <f>'S45'!N71</f>
        <v/>
      </c>
      <c r="P71" s="31">
        <f>N71-O71</f>
        <v/>
      </c>
      <c r="Q71" s="32" t="n"/>
      <c r="R71" s="32" t="n"/>
      <c r="S71" s="32" t="n"/>
      <c r="T71" s="33" t="n"/>
      <c r="U71" s="40">
        <f>'S45'!T71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'S45'!M72+L72</f>
        <v/>
      </c>
      <c r="N72" s="36">
        <f>IFERROR(M72/K72,0)</f>
        <v/>
      </c>
      <c r="O72" s="42">
        <f>'S45'!N72</f>
        <v/>
      </c>
      <c r="P72" s="36">
        <f>N72-O72</f>
        <v/>
      </c>
      <c r="Q72" s="32" t="n"/>
      <c r="R72" s="32" t="n"/>
      <c r="S72" s="32" t="n"/>
      <c r="T72" s="33" t="n"/>
      <c r="U72" s="42">
        <f>'S45'!T72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'S45'!M73+L73</f>
        <v/>
      </c>
      <c r="N73" s="31">
        <f>IFERROR(M73/K73,0)</f>
        <v/>
      </c>
      <c r="O73" s="40">
        <f>'S45'!N73</f>
        <v/>
      </c>
      <c r="P73" s="31">
        <f>N73-O73</f>
        <v/>
      </c>
      <c r="Q73" s="32" t="n"/>
      <c r="R73" s="32" t="n"/>
      <c r="S73" s="32" t="n"/>
      <c r="T73" s="33" t="n"/>
      <c r="U73" s="40">
        <f>'S45'!T73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'S45'!M74+L74</f>
        <v/>
      </c>
      <c r="N74" s="36">
        <f>IFERROR(M74/K74,0)</f>
        <v/>
      </c>
      <c r="O74" s="42">
        <f>'S45'!N74</f>
        <v/>
      </c>
      <c r="P74" s="36">
        <f>N74-O74</f>
        <v/>
      </c>
      <c r="Q74" s="32" t="n"/>
      <c r="R74" s="32" t="n"/>
      <c r="S74" s="32" t="n"/>
      <c r="T74" s="33" t="n"/>
      <c r="U74" s="42">
        <f>'S45'!T74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'S45'!M75+L75</f>
        <v/>
      </c>
      <c r="N75" s="31">
        <f>IFERROR(M75/K75,0)</f>
        <v/>
      </c>
      <c r="O75" s="40">
        <f>'S45'!N75</f>
        <v/>
      </c>
      <c r="P75" s="31">
        <f>N75-O75</f>
        <v/>
      </c>
      <c r="Q75" s="32" t="n"/>
      <c r="R75" s="32" t="n"/>
      <c r="S75" s="32" t="n"/>
      <c r="T75" s="33" t="n"/>
      <c r="U75" s="40">
        <f>'S45'!T75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'S45'!M76+L76</f>
        <v/>
      </c>
      <c r="N76" s="36">
        <f>IFERROR(M76/K76,0)</f>
        <v/>
      </c>
      <c r="O76" s="42">
        <f>'S45'!N76</f>
        <v/>
      </c>
      <c r="P76" s="36">
        <f>N76-O76</f>
        <v/>
      </c>
      <c r="Q76" s="32" t="n"/>
      <c r="R76" s="32" t="n"/>
      <c r="S76" s="32" t="n"/>
      <c r="T76" s="33" t="n"/>
      <c r="U76" s="42">
        <f>'S45'!T76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49.xml><?xml version="1.0" encoding="utf-8"?>
<worksheet xmlns="http://schemas.openxmlformats.org/spreadsheetml/2006/main">
  <sheetPr>
    <tabColor rgb="00BF8F0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47 (16/11 - 22/11) — Novembre 2026 - Exécution Physique et Financière</t>
        </is>
      </c>
    </row>
    <row r="3" ht="22" customHeight="1">
      <c r="B3" s="20" t="inlineStr">
        <is>
          <t>Date :</t>
        </is>
      </c>
      <c r="C3" s="21" t="n">
        <v>46342</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'S46'!M5+L5</f>
        <v/>
      </c>
      <c r="N5" s="31">
        <f>IFERROR(M5/K5,0)</f>
        <v/>
      </c>
      <c r="O5" s="40">
        <f>'S46'!N5</f>
        <v/>
      </c>
      <c r="P5" s="31">
        <f>N5-O5</f>
        <v/>
      </c>
      <c r="Q5" s="32" t="n"/>
      <c r="R5" s="32" t="n"/>
      <c r="S5" s="32" t="n"/>
      <c r="T5" s="33" t="n"/>
      <c r="U5" s="40">
        <f>'S46'!T5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'S46'!M6+L6</f>
        <v/>
      </c>
      <c r="N6" s="36">
        <f>IFERROR(M6/K6,0)</f>
        <v/>
      </c>
      <c r="O6" s="42">
        <f>'S46'!N6</f>
        <v/>
      </c>
      <c r="P6" s="36">
        <f>N6-O6</f>
        <v/>
      </c>
      <c r="Q6" s="32" t="n"/>
      <c r="R6" s="32" t="n"/>
      <c r="S6" s="32" t="n"/>
      <c r="T6" s="33" t="n"/>
      <c r="U6" s="42">
        <f>'S46'!T6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'S46'!M7+L7</f>
        <v/>
      </c>
      <c r="N7" s="31">
        <f>IFERROR(M7/K7,0)</f>
        <v/>
      </c>
      <c r="O7" s="40">
        <f>'S46'!N7</f>
        <v/>
      </c>
      <c r="P7" s="31">
        <f>N7-O7</f>
        <v/>
      </c>
      <c r="Q7" s="32" t="n"/>
      <c r="R7" s="32" t="n"/>
      <c r="S7" s="32" t="n"/>
      <c r="T7" s="33" t="n"/>
      <c r="U7" s="40">
        <f>'S46'!T7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'S46'!M8+L8</f>
        <v/>
      </c>
      <c r="N8" s="36">
        <f>IFERROR(M8/K8,0)</f>
        <v/>
      </c>
      <c r="O8" s="42">
        <f>'S46'!N8</f>
        <v/>
      </c>
      <c r="P8" s="36">
        <f>N8-O8</f>
        <v/>
      </c>
      <c r="Q8" s="32" t="n"/>
      <c r="R8" s="32" t="n"/>
      <c r="S8" s="32" t="n"/>
      <c r="T8" s="33" t="n"/>
      <c r="U8" s="42">
        <f>'S46'!T8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'S46'!M9+L9</f>
        <v/>
      </c>
      <c r="N9" s="31">
        <f>IFERROR(M9/K9,0)</f>
        <v/>
      </c>
      <c r="O9" s="40">
        <f>'S46'!N9</f>
        <v/>
      </c>
      <c r="P9" s="31">
        <f>N9-O9</f>
        <v/>
      </c>
      <c r="Q9" s="32" t="n"/>
      <c r="R9" s="32" t="n"/>
      <c r="S9" s="32" t="n"/>
      <c r="T9" s="33" t="n"/>
      <c r="U9" s="40">
        <f>'S46'!T9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'S46'!M10+L10</f>
        <v/>
      </c>
      <c r="N10" s="36">
        <f>IFERROR(M10/K10,0)</f>
        <v/>
      </c>
      <c r="O10" s="42">
        <f>'S46'!N10</f>
        <v/>
      </c>
      <c r="P10" s="36">
        <f>N10-O10</f>
        <v/>
      </c>
      <c r="Q10" s="32" t="n"/>
      <c r="R10" s="32" t="n"/>
      <c r="S10" s="32" t="n"/>
      <c r="T10" s="33" t="n"/>
      <c r="U10" s="42">
        <f>'S46'!T10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'S46'!M11+L11</f>
        <v/>
      </c>
      <c r="N11" s="31">
        <f>IFERROR(M11/K11,0)</f>
        <v/>
      </c>
      <c r="O11" s="40">
        <f>'S46'!N11</f>
        <v/>
      </c>
      <c r="P11" s="31">
        <f>N11-O11</f>
        <v/>
      </c>
      <c r="Q11" s="32" t="n"/>
      <c r="R11" s="32" t="n"/>
      <c r="S11" s="32" t="n"/>
      <c r="T11" s="33" t="n"/>
      <c r="U11" s="40">
        <f>'S46'!T11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'S46'!M12+L12</f>
        <v/>
      </c>
      <c r="N12" s="36">
        <f>IFERROR(M12/K12,0)</f>
        <v/>
      </c>
      <c r="O12" s="42">
        <f>'S46'!N12</f>
        <v/>
      </c>
      <c r="P12" s="36">
        <f>N12-O12</f>
        <v/>
      </c>
      <c r="Q12" s="32" t="n"/>
      <c r="R12" s="32" t="n"/>
      <c r="S12" s="32" t="n"/>
      <c r="T12" s="33" t="n"/>
      <c r="U12" s="42">
        <f>'S46'!T12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'S46'!M13+L13</f>
        <v/>
      </c>
      <c r="N13" s="31">
        <f>IFERROR(M13/K13,0)</f>
        <v/>
      </c>
      <c r="O13" s="40">
        <f>'S46'!N13</f>
        <v/>
      </c>
      <c r="P13" s="31">
        <f>N13-O13</f>
        <v/>
      </c>
      <c r="Q13" s="32" t="n"/>
      <c r="R13" s="32" t="n"/>
      <c r="S13" s="32" t="n"/>
      <c r="T13" s="33" t="n"/>
      <c r="U13" s="40">
        <f>'S46'!T13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'S46'!M14+L14</f>
        <v/>
      </c>
      <c r="N14" s="36">
        <f>IFERROR(M14/K14,0)</f>
        <v/>
      </c>
      <c r="O14" s="42">
        <f>'S46'!N14</f>
        <v/>
      </c>
      <c r="P14" s="36">
        <f>N14-O14</f>
        <v/>
      </c>
      <c r="Q14" s="32" t="n"/>
      <c r="R14" s="32" t="n"/>
      <c r="S14" s="32" t="n"/>
      <c r="T14" s="33" t="n"/>
      <c r="U14" s="42">
        <f>'S46'!T14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'S46'!M15+L15</f>
        <v/>
      </c>
      <c r="N15" s="31">
        <f>IFERROR(M15/K15,0)</f>
        <v/>
      </c>
      <c r="O15" s="40">
        <f>'S46'!N15</f>
        <v/>
      </c>
      <c r="P15" s="31">
        <f>N15-O15</f>
        <v/>
      </c>
      <c r="Q15" s="32" t="n"/>
      <c r="R15" s="32" t="n"/>
      <c r="S15" s="32" t="n"/>
      <c r="T15" s="33" t="n"/>
      <c r="U15" s="40">
        <f>'S46'!T15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'S46'!M16+L16</f>
        <v/>
      </c>
      <c r="N16" s="36">
        <f>IFERROR(M16/K16,0)</f>
        <v/>
      </c>
      <c r="O16" s="42">
        <f>'S46'!N16</f>
        <v/>
      </c>
      <c r="P16" s="36">
        <f>N16-O16</f>
        <v/>
      </c>
      <c r="Q16" s="32" t="n"/>
      <c r="R16" s="32" t="n"/>
      <c r="S16" s="32" t="n"/>
      <c r="T16" s="33" t="n"/>
      <c r="U16" s="42">
        <f>'S46'!T16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'S46'!M17+L17</f>
        <v/>
      </c>
      <c r="N17" s="31">
        <f>IFERROR(M17/K17,0)</f>
        <v/>
      </c>
      <c r="O17" s="40">
        <f>'S46'!N17</f>
        <v/>
      </c>
      <c r="P17" s="31">
        <f>N17-O17</f>
        <v/>
      </c>
      <c r="Q17" s="32" t="n"/>
      <c r="R17" s="32" t="n"/>
      <c r="S17" s="32" t="n"/>
      <c r="T17" s="33" t="n"/>
      <c r="U17" s="40">
        <f>'S46'!T17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'S46'!M18+L18</f>
        <v/>
      </c>
      <c r="N18" s="36">
        <f>IFERROR(M18/K18,0)</f>
        <v/>
      </c>
      <c r="O18" s="42">
        <f>'S46'!N18</f>
        <v/>
      </c>
      <c r="P18" s="36">
        <f>N18-O18</f>
        <v/>
      </c>
      <c r="Q18" s="32" t="n"/>
      <c r="R18" s="32" t="n"/>
      <c r="S18" s="32" t="n"/>
      <c r="T18" s="33" t="n"/>
      <c r="U18" s="42">
        <f>'S46'!T18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'S46'!M19+L19</f>
        <v/>
      </c>
      <c r="N19" s="31">
        <f>IFERROR(M19/K19,0)</f>
        <v/>
      </c>
      <c r="O19" s="40">
        <f>'S46'!N19</f>
        <v/>
      </c>
      <c r="P19" s="31">
        <f>N19-O19</f>
        <v/>
      </c>
      <c r="Q19" s="32" t="n"/>
      <c r="R19" s="32" t="n"/>
      <c r="S19" s="32" t="n"/>
      <c r="T19" s="33" t="n"/>
      <c r="U19" s="40">
        <f>'S46'!T19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'S46'!M20+L20</f>
        <v/>
      </c>
      <c r="N20" s="36">
        <f>IFERROR(M20/K20,0)</f>
        <v/>
      </c>
      <c r="O20" s="42">
        <f>'S46'!N20</f>
        <v/>
      </c>
      <c r="P20" s="36">
        <f>N20-O20</f>
        <v/>
      </c>
      <c r="Q20" s="32" t="n"/>
      <c r="R20" s="32" t="n"/>
      <c r="S20" s="32" t="n"/>
      <c r="T20" s="33" t="n"/>
      <c r="U20" s="42">
        <f>'S46'!T20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'S46'!M21+L21</f>
        <v/>
      </c>
      <c r="N21" s="31">
        <f>IFERROR(M21/K21,0)</f>
        <v/>
      </c>
      <c r="O21" s="40">
        <f>'S46'!N21</f>
        <v/>
      </c>
      <c r="P21" s="31">
        <f>N21-O21</f>
        <v/>
      </c>
      <c r="Q21" s="32" t="n"/>
      <c r="R21" s="32" t="n"/>
      <c r="S21" s="32" t="n"/>
      <c r="T21" s="33" t="n"/>
      <c r="U21" s="40">
        <f>'S46'!T21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'S46'!M22+L22</f>
        <v/>
      </c>
      <c r="N22" s="36">
        <f>IFERROR(M22/K22,0)</f>
        <v/>
      </c>
      <c r="O22" s="42">
        <f>'S46'!N22</f>
        <v/>
      </c>
      <c r="P22" s="36">
        <f>N22-O22</f>
        <v/>
      </c>
      <c r="Q22" s="32" t="n"/>
      <c r="R22" s="32" t="n"/>
      <c r="S22" s="32" t="n"/>
      <c r="T22" s="33" t="n"/>
      <c r="U22" s="42">
        <f>'S46'!T22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'S46'!M23+L23</f>
        <v/>
      </c>
      <c r="N23" s="31">
        <f>IFERROR(M23/K23,0)</f>
        <v/>
      </c>
      <c r="O23" s="40">
        <f>'S46'!N23</f>
        <v/>
      </c>
      <c r="P23" s="31">
        <f>N23-O23</f>
        <v/>
      </c>
      <c r="Q23" s="32" t="n"/>
      <c r="R23" s="32" t="n"/>
      <c r="S23" s="32" t="n"/>
      <c r="T23" s="33" t="n"/>
      <c r="U23" s="40">
        <f>'S46'!T23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'S46'!M24+L24</f>
        <v/>
      </c>
      <c r="N24" s="36">
        <f>IFERROR(M24/K24,0)</f>
        <v/>
      </c>
      <c r="O24" s="42">
        <f>'S46'!N24</f>
        <v/>
      </c>
      <c r="P24" s="36">
        <f>N24-O24</f>
        <v/>
      </c>
      <c r="Q24" s="32" t="n"/>
      <c r="R24" s="32" t="n"/>
      <c r="S24" s="32" t="n"/>
      <c r="T24" s="33" t="n"/>
      <c r="U24" s="42">
        <f>'S46'!T24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'S46'!M25+L25</f>
        <v/>
      </c>
      <c r="N25" s="31">
        <f>IFERROR(M25/K25,0)</f>
        <v/>
      </c>
      <c r="O25" s="40">
        <f>'S46'!N25</f>
        <v/>
      </c>
      <c r="P25" s="31">
        <f>N25-O25</f>
        <v/>
      </c>
      <c r="Q25" s="32" t="n"/>
      <c r="R25" s="32" t="n"/>
      <c r="S25" s="32" t="n"/>
      <c r="T25" s="33" t="n"/>
      <c r="U25" s="40">
        <f>'S46'!T25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'S46'!M26+L26</f>
        <v/>
      </c>
      <c r="N26" s="36">
        <f>IFERROR(M26/K26,0)</f>
        <v/>
      </c>
      <c r="O26" s="42">
        <f>'S46'!N26</f>
        <v/>
      </c>
      <c r="P26" s="36">
        <f>N26-O26</f>
        <v/>
      </c>
      <c r="Q26" s="32" t="n"/>
      <c r="R26" s="32" t="n"/>
      <c r="S26" s="32" t="n"/>
      <c r="T26" s="33" t="n"/>
      <c r="U26" s="42">
        <f>'S46'!T26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'S46'!M27+L27</f>
        <v/>
      </c>
      <c r="N27" s="31">
        <f>IFERROR(M27/K27,0)</f>
        <v/>
      </c>
      <c r="O27" s="40">
        <f>'S46'!N27</f>
        <v/>
      </c>
      <c r="P27" s="31">
        <f>N27-O27</f>
        <v/>
      </c>
      <c r="Q27" s="32" t="n"/>
      <c r="R27" s="32" t="n"/>
      <c r="S27" s="32" t="n"/>
      <c r="T27" s="33" t="n"/>
      <c r="U27" s="40">
        <f>'S46'!T27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'S46'!M28+L28</f>
        <v/>
      </c>
      <c r="N28" s="36">
        <f>IFERROR(M28/K28,0)</f>
        <v/>
      </c>
      <c r="O28" s="42">
        <f>'S46'!N28</f>
        <v/>
      </c>
      <c r="P28" s="36">
        <f>N28-O28</f>
        <v/>
      </c>
      <c r="Q28" s="32" t="n"/>
      <c r="R28" s="32" t="n"/>
      <c r="S28" s="32" t="n"/>
      <c r="T28" s="33" t="n"/>
      <c r="U28" s="42">
        <f>'S46'!T28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'S46'!M29+L29</f>
        <v/>
      </c>
      <c r="N29" s="31">
        <f>IFERROR(M29/K29,0)</f>
        <v/>
      </c>
      <c r="O29" s="40">
        <f>'S46'!N29</f>
        <v/>
      </c>
      <c r="P29" s="31">
        <f>N29-O29</f>
        <v/>
      </c>
      <c r="Q29" s="32" t="n"/>
      <c r="R29" s="32" t="n"/>
      <c r="S29" s="32" t="n"/>
      <c r="T29" s="33" t="n"/>
      <c r="U29" s="40">
        <f>'S46'!T29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'S46'!M30+L30</f>
        <v/>
      </c>
      <c r="N30" s="36">
        <f>IFERROR(M30/K30,0)</f>
        <v/>
      </c>
      <c r="O30" s="42">
        <f>'S46'!N30</f>
        <v/>
      </c>
      <c r="P30" s="36">
        <f>N30-O30</f>
        <v/>
      </c>
      <c r="Q30" s="32" t="n"/>
      <c r="R30" s="32" t="n"/>
      <c r="S30" s="32" t="n"/>
      <c r="T30" s="33" t="n"/>
      <c r="U30" s="42">
        <f>'S46'!T30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'S46'!M31+L31</f>
        <v/>
      </c>
      <c r="N31" s="31">
        <f>IFERROR(M31/K31,0)</f>
        <v/>
      </c>
      <c r="O31" s="40">
        <f>'S46'!N31</f>
        <v/>
      </c>
      <c r="P31" s="31">
        <f>N31-O31</f>
        <v/>
      </c>
      <c r="Q31" s="32" t="n"/>
      <c r="R31" s="32" t="n"/>
      <c r="S31" s="32" t="n"/>
      <c r="T31" s="33" t="n"/>
      <c r="U31" s="40">
        <f>'S46'!T31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'S46'!M32+L32</f>
        <v/>
      </c>
      <c r="N32" s="36">
        <f>IFERROR(M32/K32,0)</f>
        <v/>
      </c>
      <c r="O32" s="42">
        <f>'S46'!N32</f>
        <v/>
      </c>
      <c r="P32" s="36">
        <f>N32-O32</f>
        <v/>
      </c>
      <c r="Q32" s="32" t="n"/>
      <c r="R32" s="32" t="n"/>
      <c r="S32" s="32" t="n"/>
      <c r="T32" s="33" t="n"/>
      <c r="U32" s="42">
        <f>'S46'!T32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'S46'!M33+L33</f>
        <v/>
      </c>
      <c r="N33" s="31">
        <f>IFERROR(M33/K33,0)</f>
        <v/>
      </c>
      <c r="O33" s="40">
        <f>'S46'!N33</f>
        <v/>
      </c>
      <c r="P33" s="31">
        <f>N33-O33</f>
        <v/>
      </c>
      <c r="Q33" s="32" t="n"/>
      <c r="R33" s="32" t="n"/>
      <c r="S33" s="32" t="n"/>
      <c r="T33" s="33" t="n"/>
      <c r="U33" s="40">
        <f>'S46'!T33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'S46'!M34+L34</f>
        <v/>
      </c>
      <c r="N34" s="36">
        <f>IFERROR(M34/K34,0)</f>
        <v/>
      </c>
      <c r="O34" s="42">
        <f>'S46'!N34</f>
        <v/>
      </c>
      <c r="P34" s="36">
        <f>N34-O34</f>
        <v/>
      </c>
      <c r="Q34" s="32" t="n"/>
      <c r="R34" s="32" t="n"/>
      <c r="S34" s="32" t="n"/>
      <c r="T34" s="33" t="n"/>
      <c r="U34" s="42">
        <f>'S46'!T34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'S46'!M35+L35</f>
        <v/>
      </c>
      <c r="N35" s="31">
        <f>IFERROR(M35/K35,0)</f>
        <v/>
      </c>
      <c r="O35" s="40">
        <f>'S46'!N35</f>
        <v/>
      </c>
      <c r="P35" s="31">
        <f>N35-O35</f>
        <v/>
      </c>
      <c r="Q35" s="32" t="n"/>
      <c r="R35" s="32" t="n"/>
      <c r="S35" s="32" t="n"/>
      <c r="T35" s="33" t="n"/>
      <c r="U35" s="40">
        <f>'S46'!T35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'S46'!M36+L36</f>
        <v/>
      </c>
      <c r="N36" s="36">
        <f>IFERROR(M36/K36,0)</f>
        <v/>
      </c>
      <c r="O36" s="42">
        <f>'S46'!N36</f>
        <v/>
      </c>
      <c r="P36" s="36">
        <f>N36-O36</f>
        <v/>
      </c>
      <c r="Q36" s="32" t="n"/>
      <c r="R36" s="32" t="n"/>
      <c r="S36" s="32" t="n"/>
      <c r="T36" s="33" t="n"/>
      <c r="U36" s="42">
        <f>'S46'!T36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'S46'!M37+L37</f>
        <v/>
      </c>
      <c r="N37" s="31">
        <f>IFERROR(M37/K37,0)</f>
        <v/>
      </c>
      <c r="O37" s="40">
        <f>'S46'!N37</f>
        <v/>
      </c>
      <c r="P37" s="31">
        <f>N37-O37</f>
        <v/>
      </c>
      <c r="Q37" s="32" t="n"/>
      <c r="R37" s="32" t="n"/>
      <c r="S37" s="32" t="n"/>
      <c r="T37" s="33" t="n"/>
      <c r="U37" s="40">
        <f>'S46'!T37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'S46'!M38+L38</f>
        <v/>
      </c>
      <c r="N38" s="36">
        <f>IFERROR(M38/K38,0)</f>
        <v/>
      </c>
      <c r="O38" s="42">
        <f>'S46'!N38</f>
        <v/>
      </c>
      <c r="P38" s="36">
        <f>N38-O38</f>
        <v/>
      </c>
      <c r="Q38" s="32" t="n"/>
      <c r="R38" s="32" t="n"/>
      <c r="S38" s="32" t="n"/>
      <c r="T38" s="33" t="n"/>
      <c r="U38" s="42">
        <f>'S46'!T38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'S46'!M39+L39</f>
        <v/>
      </c>
      <c r="N39" s="31">
        <f>IFERROR(M39/K39,0)</f>
        <v/>
      </c>
      <c r="O39" s="40">
        <f>'S46'!N39</f>
        <v/>
      </c>
      <c r="P39" s="31">
        <f>N39-O39</f>
        <v/>
      </c>
      <c r="Q39" s="32" t="n"/>
      <c r="R39" s="32" t="n"/>
      <c r="S39" s="32" t="n"/>
      <c r="T39" s="33" t="n"/>
      <c r="U39" s="40">
        <f>'S46'!T39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'S46'!M40+L40</f>
        <v/>
      </c>
      <c r="N40" s="36">
        <f>IFERROR(M40/K40,0)</f>
        <v/>
      </c>
      <c r="O40" s="42">
        <f>'S46'!N40</f>
        <v/>
      </c>
      <c r="P40" s="36">
        <f>N40-O40</f>
        <v/>
      </c>
      <c r="Q40" s="32" t="n"/>
      <c r="R40" s="32" t="n"/>
      <c r="S40" s="32" t="n"/>
      <c r="T40" s="33" t="n"/>
      <c r="U40" s="42">
        <f>'S46'!T40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'S46'!M41+L41</f>
        <v/>
      </c>
      <c r="N41" s="31">
        <f>IFERROR(M41/K41,0)</f>
        <v/>
      </c>
      <c r="O41" s="40">
        <f>'S46'!N41</f>
        <v/>
      </c>
      <c r="P41" s="31">
        <f>N41-O41</f>
        <v/>
      </c>
      <c r="Q41" s="32" t="n"/>
      <c r="R41" s="32" t="n"/>
      <c r="S41" s="32" t="n"/>
      <c r="T41" s="33" t="n"/>
      <c r="U41" s="40">
        <f>'S46'!T41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'S46'!M42+L42</f>
        <v/>
      </c>
      <c r="N42" s="36">
        <f>IFERROR(M42/K42,0)</f>
        <v/>
      </c>
      <c r="O42" s="42">
        <f>'S46'!N42</f>
        <v/>
      </c>
      <c r="P42" s="36">
        <f>N42-O42</f>
        <v/>
      </c>
      <c r="Q42" s="32" t="n"/>
      <c r="R42" s="32" t="n"/>
      <c r="S42" s="32" t="n"/>
      <c r="T42" s="33" t="n"/>
      <c r="U42" s="42">
        <f>'S46'!T42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'S46'!M43+L43</f>
        <v/>
      </c>
      <c r="N43" s="31">
        <f>IFERROR(M43/K43,0)</f>
        <v/>
      </c>
      <c r="O43" s="40">
        <f>'S46'!N43</f>
        <v/>
      </c>
      <c r="P43" s="31">
        <f>N43-O43</f>
        <v/>
      </c>
      <c r="Q43" s="32" t="n"/>
      <c r="R43" s="32" t="n"/>
      <c r="S43" s="32" t="n"/>
      <c r="T43" s="33" t="n"/>
      <c r="U43" s="40">
        <f>'S46'!T43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'S46'!M44+L44</f>
        <v/>
      </c>
      <c r="N44" s="36">
        <f>IFERROR(M44/K44,0)</f>
        <v/>
      </c>
      <c r="O44" s="42">
        <f>'S46'!N44</f>
        <v/>
      </c>
      <c r="P44" s="36">
        <f>N44-O44</f>
        <v/>
      </c>
      <c r="Q44" s="32" t="n"/>
      <c r="R44" s="32" t="n"/>
      <c r="S44" s="32" t="n"/>
      <c r="T44" s="33" t="n"/>
      <c r="U44" s="42">
        <f>'S46'!T44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'S46'!M45+L45</f>
        <v/>
      </c>
      <c r="N45" s="31">
        <f>IFERROR(M45/K45,0)</f>
        <v/>
      </c>
      <c r="O45" s="40">
        <f>'S46'!N45</f>
        <v/>
      </c>
      <c r="P45" s="31">
        <f>N45-O45</f>
        <v/>
      </c>
      <c r="Q45" s="32" t="n"/>
      <c r="R45" s="32" t="n"/>
      <c r="S45" s="32" t="n"/>
      <c r="T45" s="33" t="n"/>
      <c r="U45" s="40">
        <f>'S46'!T45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'S46'!M46+L46</f>
        <v/>
      </c>
      <c r="N46" s="36">
        <f>IFERROR(M46/K46,0)</f>
        <v/>
      </c>
      <c r="O46" s="42">
        <f>'S46'!N46</f>
        <v/>
      </c>
      <c r="P46" s="36">
        <f>N46-O46</f>
        <v/>
      </c>
      <c r="Q46" s="32" t="n"/>
      <c r="R46" s="32" t="n"/>
      <c r="S46" s="32" t="n"/>
      <c r="T46" s="33" t="n"/>
      <c r="U46" s="42">
        <f>'S46'!T46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'S46'!M47+L47</f>
        <v/>
      </c>
      <c r="N47" s="31">
        <f>IFERROR(M47/K47,0)</f>
        <v/>
      </c>
      <c r="O47" s="40">
        <f>'S46'!N47</f>
        <v/>
      </c>
      <c r="P47" s="31">
        <f>N47-O47</f>
        <v/>
      </c>
      <c r="Q47" s="32" t="n"/>
      <c r="R47" s="32" t="n"/>
      <c r="S47" s="32" t="n"/>
      <c r="T47" s="33" t="n"/>
      <c r="U47" s="40">
        <f>'S46'!T47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'S46'!M48+L48</f>
        <v/>
      </c>
      <c r="N48" s="36">
        <f>IFERROR(M48/K48,0)</f>
        <v/>
      </c>
      <c r="O48" s="42">
        <f>'S46'!N48</f>
        <v/>
      </c>
      <c r="P48" s="36">
        <f>N48-O48</f>
        <v/>
      </c>
      <c r="Q48" s="32" t="n"/>
      <c r="R48" s="32" t="n"/>
      <c r="S48" s="32" t="n"/>
      <c r="T48" s="33" t="n"/>
      <c r="U48" s="42">
        <f>'S46'!T48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'S46'!M49+L49</f>
        <v/>
      </c>
      <c r="N49" s="31">
        <f>IFERROR(M49/K49,0)</f>
        <v/>
      </c>
      <c r="O49" s="40">
        <f>'S46'!N49</f>
        <v/>
      </c>
      <c r="P49" s="31">
        <f>N49-O49</f>
        <v/>
      </c>
      <c r="Q49" s="32" t="n"/>
      <c r="R49" s="32" t="n"/>
      <c r="S49" s="32" t="n"/>
      <c r="T49" s="33" t="n"/>
      <c r="U49" s="40">
        <f>'S46'!T49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'S46'!M50+L50</f>
        <v/>
      </c>
      <c r="N50" s="36">
        <f>IFERROR(M50/K50,0)</f>
        <v/>
      </c>
      <c r="O50" s="42">
        <f>'S46'!N50</f>
        <v/>
      </c>
      <c r="P50" s="36">
        <f>N50-O50</f>
        <v/>
      </c>
      <c r="Q50" s="32" t="n"/>
      <c r="R50" s="32" t="n"/>
      <c r="S50" s="32" t="n"/>
      <c r="T50" s="33" t="n"/>
      <c r="U50" s="42">
        <f>'S46'!T50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'S46'!M51+L51</f>
        <v/>
      </c>
      <c r="N51" s="31">
        <f>IFERROR(M51/K51,0)</f>
        <v/>
      </c>
      <c r="O51" s="40">
        <f>'S46'!N51</f>
        <v/>
      </c>
      <c r="P51" s="31">
        <f>N51-O51</f>
        <v/>
      </c>
      <c r="Q51" s="32" t="n"/>
      <c r="R51" s="32" t="n"/>
      <c r="S51" s="32" t="n"/>
      <c r="T51" s="33" t="n"/>
      <c r="U51" s="40">
        <f>'S46'!T51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'S46'!M52+L52</f>
        <v/>
      </c>
      <c r="N52" s="36">
        <f>IFERROR(M52/K52,0)</f>
        <v/>
      </c>
      <c r="O52" s="42">
        <f>'S46'!N52</f>
        <v/>
      </c>
      <c r="P52" s="36">
        <f>N52-O52</f>
        <v/>
      </c>
      <c r="Q52" s="32" t="n"/>
      <c r="R52" s="32" t="n"/>
      <c r="S52" s="32" t="n"/>
      <c r="T52" s="33" t="n"/>
      <c r="U52" s="42">
        <f>'S46'!T52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'S46'!M53+L53</f>
        <v/>
      </c>
      <c r="N53" s="31">
        <f>IFERROR(M53/K53,0)</f>
        <v/>
      </c>
      <c r="O53" s="40">
        <f>'S46'!N53</f>
        <v/>
      </c>
      <c r="P53" s="31">
        <f>N53-O53</f>
        <v/>
      </c>
      <c r="Q53" s="32" t="n"/>
      <c r="R53" s="32" t="n"/>
      <c r="S53" s="32" t="n"/>
      <c r="T53" s="33" t="n"/>
      <c r="U53" s="40">
        <f>'S46'!T53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'S46'!M54+L54</f>
        <v/>
      </c>
      <c r="N54" s="36">
        <f>IFERROR(M54/K54,0)</f>
        <v/>
      </c>
      <c r="O54" s="42">
        <f>'S46'!N54</f>
        <v/>
      </c>
      <c r="P54" s="36">
        <f>N54-O54</f>
        <v/>
      </c>
      <c r="Q54" s="32" t="n"/>
      <c r="R54" s="32" t="n"/>
      <c r="S54" s="32" t="n"/>
      <c r="T54" s="33" t="n"/>
      <c r="U54" s="42">
        <f>'S46'!T54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'S46'!M55+L55</f>
        <v/>
      </c>
      <c r="N55" s="31">
        <f>IFERROR(M55/K55,0)</f>
        <v/>
      </c>
      <c r="O55" s="40">
        <f>'S46'!N55</f>
        <v/>
      </c>
      <c r="P55" s="31">
        <f>N55-O55</f>
        <v/>
      </c>
      <c r="Q55" s="32" t="n"/>
      <c r="R55" s="32" t="n"/>
      <c r="S55" s="32" t="n"/>
      <c r="T55" s="33" t="n"/>
      <c r="U55" s="40">
        <f>'S46'!T55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'S46'!M56+L56</f>
        <v/>
      </c>
      <c r="N56" s="36">
        <f>IFERROR(M56/K56,0)</f>
        <v/>
      </c>
      <c r="O56" s="42">
        <f>'S46'!N56</f>
        <v/>
      </c>
      <c r="P56" s="36">
        <f>N56-O56</f>
        <v/>
      </c>
      <c r="Q56" s="32" t="n"/>
      <c r="R56" s="32" t="n"/>
      <c r="S56" s="32" t="n"/>
      <c r="T56" s="33" t="n"/>
      <c r="U56" s="42">
        <f>'S46'!T56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'S46'!M57+L57</f>
        <v/>
      </c>
      <c r="N57" s="31">
        <f>IFERROR(M57/K57,0)</f>
        <v/>
      </c>
      <c r="O57" s="40">
        <f>'S46'!N57</f>
        <v/>
      </c>
      <c r="P57" s="31">
        <f>N57-O57</f>
        <v/>
      </c>
      <c r="Q57" s="32" t="n"/>
      <c r="R57" s="32" t="n"/>
      <c r="S57" s="32" t="n"/>
      <c r="T57" s="33" t="n"/>
      <c r="U57" s="40">
        <f>'S46'!T57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'S46'!M58+L58</f>
        <v/>
      </c>
      <c r="N58" s="36">
        <f>IFERROR(M58/K58,0)</f>
        <v/>
      </c>
      <c r="O58" s="42">
        <f>'S46'!N58</f>
        <v/>
      </c>
      <c r="P58" s="36">
        <f>N58-O58</f>
        <v/>
      </c>
      <c r="Q58" s="32" t="n"/>
      <c r="R58" s="32" t="n"/>
      <c r="S58" s="32" t="n"/>
      <c r="T58" s="33" t="n"/>
      <c r="U58" s="42">
        <f>'S46'!T58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'S46'!M59+L59</f>
        <v/>
      </c>
      <c r="N59" s="31">
        <f>IFERROR(M59/K59,0)</f>
        <v/>
      </c>
      <c r="O59" s="40">
        <f>'S46'!N59</f>
        <v/>
      </c>
      <c r="P59" s="31">
        <f>N59-O59</f>
        <v/>
      </c>
      <c r="Q59" s="32" t="n"/>
      <c r="R59" s="32" t="n"/>
      <c r="S59" s="32" t="n"/>
      <c r="T59" s="33" t="n"/>
      <c r="U59" s="40">
        <f>'S46'!T59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'S46'!M60+L60</f>
        <v/>
      </c>
      <c r="N60" s="36">
        <f>IFERROR(M60/K60,0)</f>
        <v/>
      </c>
      <c r="O60" s="42">
        <f>'S46'!N60</f>
        <v/>
      </c>
      <c r="P60" s="36">
        <f>N60-O60</f>
        <v/>
      </c>
      <c r="Q60" s="32" t="n"/>
      <c r="R60" s="32" t="n"/>
      <c r="S60" s="32" t="n"/>
      <c r="T60" s="33" t="n"/>
      <c r="U60" s="42">
        <f>'S46'!T60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'S46'!M61+L61</f>
        <v/>
      </c>
      <c r="N61" s="31">
        <f>IFERROR(M61/K61,0)</f>
        <v/>
      </c>
      <c r="O61" s="40">
        <f>'S46'!N61</f>
        <v/>
      </c>
      <c r="P61" s="31">
        <f>N61-O61</f>
        <v/>
      </c>
      <c r="Q61" s="32" t="n"/>
      <c r="R61" s="32" t="n"/>
      <c r="S61" s="32" t="n"/>
      <c r="T61" s="33" t="n"/>
      <c r="U61" s="40">
        <f>'S46'!T61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'S46'!M62+L62</f>
        <v/>
      </c>
      <c r="N62" s="36">
        <f>IFERROR(M62/K62,0)</f>
        <v/>
      </c>
      <c r="O62" s="42">
        <f>'S46'!N62</f>
        <v/>
      </c>
      <c r="P62" s="36">
        <f>N62-O62</f>
        <v/>
      </c>
      <c r="Q62" s="32" t="n"/>
      <c r="R62" s="32" t="n"/>
      <c r="S62" s="32" t="n"/>
      <c r="T62" s="33" t="n"/>
      <c r="U62" s="42">
        <f>'S46'!T62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'S46'!M63+L63</f>
        <v/>
      </c>
      <c r="N63" s="31">
        <f>IFERROR(M63/K63,0)</f>
        <v/>
      </c>
      <c r="O63" s="40">
        <f>'S46'!N63</f>
        <v/>
      </c>
      <c r="P63" s="31">
        <f>N63-O63</f>
        <v/>
      </c>
      <c r="Q63" s="32" t="n"/>
      <c r="R63" s="32" t="n"/>
      <c r="S63" s="32" t="n"/>
      <c r="T63" s="33" t="n"/>
      <c r="U63" s="40">
        <f>'S46'!T63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'S46'!M64+L64</f>
        <v/>
      </c>
      <c r="N64" s="36">
        <f>IFERROR(M64/K64,0)</f>
        <v/>
      </c>
      <c r="O64" s="42">
        <f>'S46'!N64</f>
        <v/>
      </c>
      <c r="P64" s="36">
        <f>N64-O64</f>
        <v/>
      </c>
      <c r="Q64" s="32" t="n"/>
      <c r="R64" s="32" t="n"/>
      <c r="S64" s="32" t="n"/>
      <c r="T64" s="33" t="n"/>
      <c r="U64" s="42">
        <f>'S46'!T64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'S46'!M65+L65</f>
        <v/>
      </c>
      <c r="N65" s="31">
        <f>IFERROR(M65/K65,0)</f>
        <v/>
      </c>
      <c r="O65" s="40">
        <f>'S46'!N65</f>
        <v/>
      </c>
      <c r="P65" s="31">
        <f>N65-O65</f>
        <v/>
      </c>
      <c r="Q65" s="32" t="n"/>
      <c r="R65" s="32" t="n"/>
      <c r="S65" s="32" t="n"/>
      <c r="T65" s="33" t="n"/>
      <c r="U65" s="40">
        <f>'S46'!T65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'S46'!M66+L66</f>
        <v/>
      </c>
      <c r="N66" s="36">
        <f>IFERROR(M66/K66,0)</f>
        <v/>
      </c>
      <c r="O66" s="42">
        <f>'S46'!N66</f>
        <v/>
      </c>
      <c r="P66" s="36">
        <f>N66-O66</f>
        <v/>
      </c>
      <c r="Q66" s="32" t="n"/>
      <c r="R66" s="32" t="n"/>
      <c r="S66" s="32" t="n"/>
      <c r="T66" s="33" t="n"/>
      <c r="U66" s="42">
        <f>'S46'!T66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'S46'!M67+L67</f>
        <v/>
      </c>
      <c r="N67" s="31">
        <f>IFERROR(M67/K67,0)</f>
        <v/>
      </c>
      <c r="O67" s="40">
        <f>'S46'!N67</f>
        <v/>
      </c>
      <c r="P67" s="31">
        <f>N67-O67</f>
        <v/>
      </c>
      <c r="Q67" s="32" t="n"/>
      <c r="R67" s="32" t="n"/>
      <c r="S67" s="32" t="n"/>
      <c r="T67" s="33" t="n"/>
      <c r="U67" s="40">
        <f>'S46'!T67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'S46'!M68+L68</f>
        <v/>
      </c>
      <c r="N68" s="36">
        <f>IFERROR(M68/K68,0)</f>
        <v/>
      </c>
      <c r="O68" s="42">
        <f>'S46'!N68</f>
        <v/>
      </c>
      <c r="P68" s="36">
        <f>N68-O68</f>
        <v/>
      </c>
      <c r="Q68" s="32" t="n"/>
      <c r="R68" s="32" t="n"/>
      <c r="S68" s="32" t="n"/>
      <c r="T68" s="33" t="n"/>
      <c r="U68" s="42">
        <f>'S46'!T68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'S46'!M69+L69</f>
        <v/>
      </c>
      <c r="N69" s="31">
        <f>IFERROR(M69/K69,0)</f>
        <v/>
      </c>
      <c r="O69" s="40">
        <f>'S46'!N69</f>
        <v/>
      </c>
      <c r="P69" s="31">
        <f>N69-O69</f>
        <v/>
      </c>
      <c r="Q69" s="32" t="n"/>
      <c r="R69" s="32" t="n"/>
      <c r="S69" s="32" t="n"/>
      <c r="T69" s="33" t="n"/>
      <c r="U69" s="40">
        <f>'S46'!T69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'S46'!M70+L70</f>
        <v/>
      </c>
      <c r="N70" s="36">
        <f>IFERROR(M70/K70,0)</f>
        <v/>
      </c>
      <c r="O70" s="42">
        <f>'S46'!N70</f>
        <v/>
      </c>
      <c r="P70" s="36">
        <f>N70-O70</f>
        <v/>
      </c>
      <c r="Q70" s="32" t="n"/>
      <c r="R70" s="32" t="n"/>
      <c r="S70" s="32" t="n"/>
      <c r="T70" s="33" t="n"/>
      <c r="U70" s="42">
        <f>'S46'!T70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'S46'!M71+L71</f>
        <v/>
      </c>
      <c r="N71" s="31">
        <f>IFERROR(M71/K71,0)</f>
        <v/>
      </c>
      <c r="O71" s="40">
        <f>'S46'!N71</f>
        <v/>
      </c>
      <c r="P71" s="31">
        <f>N71-O71</f>
        <v/>
      </c>
      <c r="Q71" s="32" t="n"/>
      <c r="R71" s="32" t="n"/>
      <c r="S71" s="32" t="n"/>
      <c r="T71" s="33" t="n"/>
      <c r="U71" s="40">
        <f>'S46'!T71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'S46'!M72+L72</f>
        <v/>
      </c>
      <c r="N72" s="36">
        <f>IFERROR(M72/K72,0)</f>
        <v/>
      </c>
      <c r="O72" s="42">
        <f>'S46'!N72</f>
        <v/>
      </c>
      <c r="P72" s="36">
        <f>N72-O72</f>
        <v/>
      </c>
      <c r="Q72" s="32" t="n"/>
      <c r="R72" s="32" t="n"/>
      <c r="S72" s="32" t="n"/>
      <c r="T72" s="33" t="n"/>
      <c r="U72" s="42">
        <f>'S46'!T72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'S46'!M73+L73</f>
        <v/>
      </c>
      <c r="N73" s="31">
        <f>IFERROR(M73/K73,0)</f>
        <v/>
      </c>
      <c r="O73" s="40">
        <f>'S46'!N73</f>
        <v/>
      </c>
      <c r="P73" s="31">
        <f>N73-O73</f>
        <v/>
      </c>
      <c r="Q73" s="32" t="n"/>
      <c r="R73" s="32" t="n"/>
      <c r="S73" s="32" t="n"/>
      <c r="T73" s="33" t="n"/>
      <c r="U73" s="40">
        <f>'S46'!T73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'S46'!M74+L74</f>
        <v/>
      </c>
      <c r="N74" s="36">
        <f>IFERROR(M74/K74,0)</f>
        <v/>
      </c>
      <c r="O74" s="42">
        <f>'S46'!N74</f>
        <v/>
      </c>
      <c r="P74" s="36">
        <f>N74-O74</f>
        <v/>
      </c>
      <c r="Q74" s="32" t="n"/>
      <c r="R74" s="32" t="n"/>
      <c r="S74" s="32" t="n"/>
      <c r="T74" s="33" t="n"/>
      <c r="U74" s="42">
        <f>'S46'!T74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'S46'!M75+L75</f>
        <v/>
      </c>
      <c r="N75" s="31">
        <f>IFERROR(M75/K75,0)</f>
        <v/>
      </c>
      <c r="O75" s="40">
        <f>'S46'!N75</f>
        <v/>
      </c>
      <c r="P75" s="31">
        <f>N75-O75</f>
        <v/>
      </c>
      <c r="Q75" s="32" t="n"/>
      <c r="R75" s="32" t="n"/>
      <c r="S75" s="32" t="n"/>
      <c r="T75" s="33" t="n"/>
      <c r="U75" s="40">
        <f>'S46'!T75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'S46'!M76+L76</f>
        <v/>
      </c>
      <c r="N76" s="36">
        <f>IFERROR(M76/K76,0)</f>
        <v/>
      </c>
      <c r="O76" s="42">
        <f>'S46'!N76</f>
        <v/>
      </c>
      <c r="P76" s="36">
        <f>N76-O76</f>
        <v/>
      </c>
      <c r="Q76" s="32" t="n"/>
      <c r="R76" s="32" t="n"/>
      <c r="S76" s="32" t="n"/>
      <c r="T76" s="33" t="n"/>
      <c r="U76" s="42">
        <f>'S46'!T76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50.xml><?xml version="1.0" encoding="utf-8"?>
<worksheet xmlns="http://schemas.openxmlformats.org/spreadsheetml/2006/main">
  <sheetPr>
    <tabColor rgb="00BF8F0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48 (23/11 - 29/11) — Novembre 2026 - Exécution Physique et Financière</t>
        </is>
      </c>
    </row>
    <row r="3" ht="22" customHeight="1">
      <c r="B3" s="20" t="inlineStr">
        <is>
          <t>Date :</t>
        </is>
      </c>
      <c r="C3" s="21" t="n">
        <v>46349</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'S47'!M5+L5</f>
        <v/>
      </c>
      <c r="N5" s="31">
        <f>IFERROR(M5/K5,0)</f>
        <v/>
      </c>
      <c r="O5" s="40">
        <f>'S47'!N5</f>
        <v/>
      </c>
      <c r="P5" s="31">
        <f>N5-O5</f>
        <v/>
      </c>
      <c r="Q5" s="32" t="n"/>
      <c r="R5" s="32" t="n"/>
      <c r="S5" s="32" t="n"/>
      <c r="T5" s="33" t="n"/>
      <c r="U5" s="40">
        <f>'S47'!T5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'S47'!M6+L6</f>
        <v/>
      </c>
      <c r="N6" s="36">
        <f>IFERROR(M6/K6,0)</f>
        <v/>
      </c>
      <c r="O6" s="42">
        <f>'S47'!N6</f>
        <v/>
      </c>
      <c r="P6" s="36">
        <f>N6-O6</f>
        <v/>
      </c>
      <c r="Q6" s="32" t="n"/>
      <c r="R6" s="32" t="n"/>
      <c r="S6" s="32" t="n"/>
      <c r="T6" s="33" t="n"/>
      <c r="U6" s="42">
        <f>'S47'!T6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'S47'!M7+L7</f>
        <v/>
      </c>
      <c r="N7" s="31">
        <f>IFERROR(M7/K7,0)</f>
        <v/>
      </c>
      <c r="O7" s="40">
        <f>'S47'!N7</f>
        <v/>
      </c>
      <c r="P7" s="31">
        <f>N7-O7</f>
        <v/>
      </c>
      <c r="Q7" s="32" t="n"/>
      <c r="R7" s="32" t="n"/>
      <c r="S7" s="32" t="n"/>
      <c r="T7" s="33" t="n"/>
      <c r="U7" s="40">
        <f>'S47'!T7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'S47'!M8+L8</f>
        <v/>
      </c>
      <c r="N8" s="36">
        <f>IFERROR(M8/K8,0)</f>
        <v/>
      </c>
      <c r="O8" s="42">
        <f>'S47'!N8</f>
        <v/>
      </c>
      <c r="P8" s="36">
        <f>N8-O8</f>
        <v/>
      </c>
      <c r="Q8" s="32" t="n"/>
      <c r="R8" s="32" t="n"/>
      <c r="S8" s="32" t="n"/>
      <c r="T8" s="33" t="n"/>
      <c r="U8" s="42">
        <f>'S47'!T8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'S47'!M9+L9</f>
        <v/>
      </c>
      <c r="N9" s="31">
        <f>IFERROR(M9/K9,0)</f>
        <v/>
      </c>
      <c r="O9" s="40">
        <f>'S47'!N9</f>
        <v/>
      </c>
      <c r="P9" s="31">
        <f>N9-O9</f>
        <v/>
      </c>
      <c r="Q9" s="32" t="n"/>
      <c r="R9" s="32" t="n"/>
      <c r="S9" s="32" t="n"/>
      <c r="T9" s="33" t="n"/>
      <c r="U9" s="40">
        <f>'S47'!T9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'S47'!M10+L10</f>
        <v/>
      </c>
      <c r="N10" s="36">
        <f>IFERROR(M10/K10,0)</f>
        <v/>
      </c>
      <c r="O10" s="42">
        <f>'S47'!N10</f>
        <v/>
      </c>
      <c r="P10" s="36">
        <f>N10-O10</f>
        <v/>
      </c>
      <c r="Q10" s="32" t="n"/>
      <c r="R10" s="32" t="n"/>
      <c r="S10" s="32" t="n"/>
      <c r="T10" s="33" t="n"/>
      <c r="U10" s="42">
        <f>'S47'!T10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'S47'!M11+L11</f>
        <v/>
      </c>
      <c r="N11" s="31">
        <f>IFERROR(M11/K11,0)</f>
        <v/>
      </c>
      <c r="O11" s="40">
        <f>'S47'!N11</f>
        <v/>
      </c>
      <c r="P11" s="31">
        <f>N11-O11</f>
        <v/>
      </c>
      <c r="Q11" s="32" t="n"/>
      <c r="R11" s="32" t="n"/>
      <c r="S11" s="32" t="n"/>
      <c r="T11" s="33" t="n"/>
      <c r="U11" s="40">
        <f>'S47'!T11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'S47'!M12+L12</f>
        <v/>
      </c>
      <c r="N12" s="36">
        <f>IFERROR(M12/K12,0)</f>
        <v/>
      </c>
      <c r="O12" s="42">
        <f>'S47'!N12</f>
        <v/>
      </c>
      <c r="P12" s="36">
        <f>N12-O12</f>
        <v/>
      </c>
      <c r="Q12" s="32" t="n"/>
      <c r="R12" s="32" t="n"/>
      <c r="S12" s="32" t="n"/>
      <c r="T12" s="33" t="n"/>
      <c r="U12" s="42">
        <f>'S47'!T12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'S47'!M13+L13</f>
        <v/>
      </c>
      <c r="N13" s="31">
        <f>IFERROR(M13/K13,0)</f>
        <v/>
      </c>
      <c r="O13" s="40">
        <f>'S47'!N13</f>
        <v/>
      </c>
      <c r="P13" s="31">
        <f>N13-O13</f>
        <v/>
      </c>
      <c r="Q13" s="32" t="n"/>
      <c r="R13" s="32" t="n"/>
      <c r="S13" s="32" t="n"/>
      <c r="T13" s="33" t="n"/>
      <c r="U13" s="40">
        <f>'S47'!T13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'S47'!M14+L14</f>
        <v/>
      </c>
      <c r="N14" s="36">
        <f>IFERROR(M14/K14,0)</f>
        <v/>
      </c>
      <c r="O14" s="42">
        <f>'S47'!N14</f>
        <v/>
      </c>
      <c r="P14" s="36">
        <f>N14-O14</f>
        <v/>
      </c>
      <c r="Q14" s="32" t="n"/>
      <c r="R14" s="32" t="n"/>
      <c r="S14" s="32" t="n"/>
      <c r="T14" s="33" t="n"/>
      <c r="U14" s="42">
        <f>'S47'!T14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'S47'!M15+L15</f>
        <v/>
      </c>
      <c r="N15" s="31">
        <f>IFERROR(M15/K15,0)</f>
        <v/>
      </c>
      <c r="O15" s="40">
        <f>'S47'!N15</f>
        <v/>
      </c>
      <c r="P15" s="31">
        <f>N15-O15</f>
        <v/>
      </c>
      <c r="Q15" s="32" t="n"/>
      <c r="R15" s="32" t="n"/>
      <c r="S15" s="32" t="n"/>
      <c r="T15" s="33" t="n"/>
      <c r="U15" s="40">
        <f>'S47'!T15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'S47'!M16+L16</f>
        <v/>
      </c>
      <c r="N16" s="36">
        <f>IFERROR(M16/K16,0)</f>
        <v/>
      </c>
      <c r="O16" s="42">
        <f>'S47'!N16</f>
        <v/>
      </c>
      <c r="P16" s="36">
        <f>N16-O16</f>
        <v/>
      </c>
      <c r="Q16" s="32" t="n"/>
      <c r="R16" s="32" t="n"/>
      <c r="S16" s="32" t="n"/>
      <c r="T16" s="33" t="n"/>
      <c r="U16" s="42">
        <f>'S47'!T16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'S47'!M17+L17</f>
        <v/>
      </c>
      <c r="N17" s="31">
        <f>IFERROR(M17/K17,0)</f>
        <v/>
      </c>
      <c r="O17" s="40">
        <f>'S47'!N17</f>
        <v/>
      </c>
      <c r="P17" s="31">
        <f>N17-O17</f>
        <v/>
      </c>
      <c r="Q17" s="32" t="n"/>
      <c r="R17" s="32" t="n"/>
      <c r="S17" s="32" t="n"/>
      <c r="T17" s="33" t="n"/>
      <c r="U17" s="40">
        <f>'S47'!T17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'S47'!M18+L18</f>
        <v/>
      </c>
      <c r="N18" s="36">
        <f>IFERROR(M18/K18,0)</f>
        <v/>
      </c>
      <c r="O18" s="42">
        <f>'S47'!N18</f>
        <v/>
      </c>
      <c r="P18" s="36">
        <f>N18-O18</f>
        <v/>
      </c>
      <c r="Q18" s="32" t="n"/>
      <c r="R18" s="32" t="n"/>
      <c r="S18" s="32" t="n"/>
      <c r="T18" s="33" t="n"/>
      <c r="U18" s="42">
        <f>'S47'!T18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'S47'!M19+L19</f>
        <v/>
      </c>
      <c r="N19" s="31">
        <f>IFERROR(M19/K19,0)</f>
        <v/>
      </c>
      <c r="O19" s="40">
        <f>'S47'!N19</f>
        <v/>
      </c>
      <c r="P19" s="31">
        <f>N19-O19</f>
        <v/>
      </c>
      <c r="Q19" s="32" t="n"/>
      <c r="R19" s="32" t="n"/>
      <c r="S19" s="32" t="n"/>
      <c r="T19" s="33" t="n"/>
      <c r="U19" s="40">
        <f>'S47'!T19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'S47'!M20+L20</f>
        <v/>
      </c>
      <c r="N20" s="36">
        <f>IFERROR(M20/K20,0)</f>
        <v/>
      </c>
      <c r="O20" s="42">
        <f>'S47'!N20</f>
        <v/>
      </c>
      <c r="P20" s="36">
        <f>N20-O20</f>
        <v/>
      </c>
      <c r="Q20" s="32" t="n"/>
      <c r="R20" s="32" t="n"/>
      <c r="S20" s="32" t="n"/>
      <c r="T20" s="33" t="n"/>
      <c r="U20" s="42">
        <f>'S47'!T20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'S47'!M21+L21</f>
        <v/>
      </c>
      <c r="N21" s="31">
        <f>IFERROR(M21/K21,0)</f>
        <v/>
      </c>
      <c r="O21" s="40">
        <f>'S47'!N21</f>
        <v/>
      </c>
      <c r="P21" s="31">
        <f>N21-O21</f>
        <v/>
      </c>
      <c r="Q21" s="32" t="n"/>
      <c r="R21" s="32" t="n"/>
      <c r="S21" s="32" t="n"/>
      <c r="T21" s="33" t="n"/>
      <c r="U21" s="40">
        <f>'S47'!T21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'S47'!M22+L22</f>
        <v/>
      </c>
      <c r="N22" s="36">
        <f>IFERROR(M22/K22,0)</f>
        <v/>
      </c>
      <c r="O22" s="42">
        <f>'S47'!N22</f>
        <v/>
      </c>
      <c r="P22" s="36">
        <f>N22-O22</f>
        <v/>
      </c>
      <c r="Q22" s="32" t="n"/>
      <c r="R22" s="32" t="n"/>
      <c r="S22" s="32" t="n"/>
      <c r="T22" s="33" t="n"/>
      <c r="U22" s="42">
        <f>'S47'!T22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'S47'!M23+L23</f>
        <v/>
      </c>
      <c r="N23" s="31">
        <f>IFERROR(M23/K23,0)</f>
        <v/>
      </c>
      <c r="O23" s="40">
        <f>'S47'!N23</f>
        <v/>
      </c>
      <c r="P23" s="31">
        <f>N23-O23</f>
        <v/>
      </c>
      <c r="Q23" s="32" t="n"/>
      <c r="R23" s="32" t="n"/>
      <c r="S23" s="32" t="n"/>
      <c r="T23" s="33" t="n"/>
      <c r="U23" s="40">
        <f>'S47'!T23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'S47'!M24+L24</f>
        <v/>
      </c>
      <c r="N24" s="36">
        <f>IFERROR(M24/K24,0)</f>
        <v/>
      </c>
      <c r="O24" s="42">
        <f>'S47'!N24</f>
        <v/>
      </c>
      <c r="P24" s="36">
        <f>N24-O24</f>
        <v/>
      </c>
      <c r="Q24" s="32" t="n"/>
      <c r="R24" s="32" t="n"/>
      <c r="S24" s="32" t="n"/>
      <c r="T24" s="33" t="n"/>
      <c r="U24" s="42">
        <f>'S47'!T24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'S47'!M25+L25</f>
        <v/>
      </c>
      <c r="N25" s="31">
        <f>IFERROR(M25/K25,0)</f>
        <v/>
      </c>
      <c r="O25" s="40">
        <f>'S47'!N25</f>
        <v/>
      </c>
      <c r="P25" s="31">
        <f>N25-O25</f>
        <v/>
      </c>
      <c r="Q25" s="32" t="n"/>
      <c r="R25" s="32" t="n"/>
      <c r="S25" s="32" t="n"/>
      <c r="T25" s="33" t="n"/>
      <c r="U25" s="40">
        <f>'S47'!T25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'S47'!M26+L26</f>
        <v/>
      </c>
      <c r="N26" s="36">
        <f>IFERROR(M26/K26,0)</f>
        <v/>
      </c>
      <c r="O26" s="42">
        <f>'S47'!N26</f>
        <v/>
      </c>
      <c r="P26" s="36">
        <f>N26-O26</f>
        <v/>
      </c>
      <c r="Q26" s="32" t="n"/>
      <c r="R26" s="32" t="n"/>
      <c r="S26" s="32" t="n"/>
      <c r="T26" s="33" t="n"/>
      <c r="U26" s="42">
        <f>'S47'!T26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'S47'!M27+L27</f>
        <v/>
      </c>
      <c r="N27" s="31">
        <f>IFERROR(M27/K27,0)</f>
        <v/>
      </c>
      <c r="O27" s="40">
        <f>'S47'!N27</f>
        <v/>
      </c>
      <c r="P27" s="31">
        <f>N27-O27</f>
        <v/>
      </c>
      <c r="Q27" s="32" t="n"/>
      <c r="R27" s="32" t="n"/>
      <c r="S27" s="32" t="n"/>
      <c r="T27" s="33" t="n"/>
      <c r="U27" s="40">
        <f>'S47'!T27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'S47'!M28+L28</f>
        <v/>
      </c>
      <c r="N28" s="36">
        <f>IFERROR(M28/K28,0)</f>
        <v/>
      </c>
      <c r="O28" s="42">
        <f>'S47'!N28</f>
        <v/>
      </c>
      <c r="P28" s="36">
        <f>N28-O28</f>
        <v/>
      </c>
      <c r="Q28" s="32" t="n"/>
      <c r="R28" s="32" t="n"/>
      <c r="S28" s="32" t="n"/>
      <c r="T28" s="33" t="n"/>
      <c r="U28" s="42">
        <f>'S47'!T28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'S47'!M29+L29</f>
        <v/>
      </c>
      <c r="N29" s="31">
        <f>IFERROR(M29/K29,0)</f>
        <v/>
      </c>
      <c r="O29" s="40">
        <f>'S47'!N29</f>
        <v/>
      </c>
      <c r="P29" s="31">
        <f>N29-O29</f>
        <v/>
      </c>
      <c r="Q29" s="32" t="n"/>
      <c r="R29" s="32" t="n"/>
      <c r="S29" s="32" t="n"/>
      <c r="T29" s="33" t="n"/>
      <c r="U29" s="40">
        <f>'S47'!T29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'S47'!M30+L30</f>
        <v/>
      </c>
      <c r="N30" s="36">
        <f>IFERROR(M30/K30,0)</f>
        <v/>
      </c>
      <c r="O30" s="42">
        <f>'S47'!N30</f>
        <v/>
      </c>
      <c r="P30" s="36">
        <f>N30-O30</f>
        <v/>
      </c>
      <c r="Q30" s="32" t="n"/>
      <c r="R30" s="32" t="n"/>
      <c r="S30" s="32" t="n"/>
      <c r="T30" s="33" t="n"/>
      <c r="U30" s="42">
        <f>'S47'!T30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'S47'!M31+L31</f>
        <v/>
      </c>
      <c r="N31" s="31">
        <f>IFERROR(M31/K31,0)</f>
        <v/>
      </c>
      <c r="O31" s="40">
        <f>'S47'!N31</f>
        <v/>
      </c>
      <c r="P31" s="31">
        <f>N31-O31</f>
        <v/>
      </c>
      <c r="Q31" s="32" t="n"/>
      <c r="R31" s="32" t="n"/>
      <c r="S31" s="32" t="n"/>
      <c r="T31" s="33" t="n"/>
      <c r="U31" s="40">
        <f>'S47'!T31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'S47'!M32+L32</f>
        <v/>
      </c>
      <c r="N32" s="36">
        <f>IFERROR(M32/K32,0)</f>
        <v/>
      </c>
      <c r="O32" s="42">
        <f>'S47'!N32</f>
        <v/>
      </c>
      <c r="P32" s="36">
        <f>N32-O32</f>
        <v/>
      </c>
      <c r="Q32" s="32" t="n"/>
      <c r="R32" s="32" t="n"/>
      <c r="S32" s="32" t="n"/>
      <c r="T32" s="33" t="n"/>
      <c r="U32" s="42">
        <f>'S47'!T32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'S47'!M33+L33</f>
        <v/>
      </c>
      <c r="N33" s="31">
        <f>IFERROR(M33/K33,0)</f>
        <v/>
      </c>
      <c r="O33" s="40">
        <f>'S47'!N33</f>
        <v/>
      </c>
      <c r="P33" s="31">
        <f>N33-O33</f>
        <v/>
      </c>
      <c r="Q33" s="32" t="n"/>
      <c r="R33" s="32" t="n"/>
      <c r="S33" s="32" t="n"/>
      <c r="T33" s="33" t="n"/>
      <c r="U33" s="40">
        <f>'S47'!T33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'S47'!M34+L34</f>
        <v/>
      </c>
      <c r="N34" s="36">
        <f>IFERROR(M34/K34,0)</f>
        <v/>
      </c>
      <c r="O34" s="42">
        <f>'S47'!N34</f>
        <v/>
      </c>
      <c r="P34" s="36">
        <f>N34-O34</f>
        <v/>
      </c>
      <c r="Q34" s="32" t="n"/>
      <c r="R34" s="32" t="n"/>
      <c r="S34" s="32" t="n"/>
      <c r="T34" s="33" t="n"/>
      <c r="U34" s="42">
        <f>'S47'!T34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'S47'!M35+L35</f>
        <v/>
      </c>
      <c r="N35" s="31">
        <f>IFERROR(M35/K35,0)</f>
        <v/>
      </c>
      <c r="O35" s="40">
        <f>'S47'!N35</f>
        <v/>
      </c>
      <c r="P35" s="31">
        <f>N35-O35</f>
        <v/>
      </c>
      <c r="Q35" s="32" t="n"/>
      <c r="R35" s="32" t="n"/>
      <c r="S35" s="32" t="n"/>
      <c r="T35" s="33" t="n"/>
      <c r="U35" s="40">
        <f>'S47'!T35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'S47'!M36+L36</f>
        <v/>
      </c>
      <c r="N36" s="36">
        <f>IFERROR(M36/K36,0)</f>
        <v/>
      </c>
      <c r="O36" s="42">
        <f>'S47'!N36</f>
        <v/>
      </c>
      <c r="P36" s="36">
        <f>N36-O36</f>
        <v/>
      </c>
      <c r="Q36" s="32" t="n"/>
      <c r="R36" s="32" t="n"/>
      <c r="S36" s="32" t="n"/>
      <c r="T36" s="33" t="n"/>
      <c r="U36" s="42">
        <f>'S47'!T36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'S47'!M37+L37</f>
        <v/>
      </c>
      <c r="N37" s="31">
        <f>IFERROR(M37/K37,0)</f>
        <v/>
      </c>
      <c r="O37" s="40">
        <f>'S47'!N37</f>
        <v/>
      </c>
      <c r="P37" s="31">
        <f>N37-O37</f>
        <v/>
      </c>
      <c r="Q37" s="32" t="n"/>
      <c r="R37" s="32" t="n"/>
      <c r="S37" s="32" t="n"/>
      <c r="T37" s="33" t="n"/>
      <c r="U37" s="40">
        <f>'S47'!T37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'S47'!M38+L38</f>
        <v/>
      </c>
      <c r="N38" s="36">
        <f>IFERROR(M38/K38,0)</f>
        <v/>
      </c>
      <c r="O38" s="42">
        <f>'S47'!N38</f>
        <v/>
      </c>
      <c r="P38" s="36">
        <f>N38-O38</f>
        <v/>
      </c>
      <c r="Q38" s="32" t="n"/>
      <c r="R38" s="32" t="n"/>
      <c r="S38" s="32" t="n"/>
      <c r="T38" s="33" t="n"/>
      <c r="U38" s="42">
        <f>'S47'!T38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'S47'!M39+L39</f>
        <v/>
      </c>
      <c r="N39" s="31">
        <f>IFERROR(M39/K39,0)</f>
        <v/>
      </c>
      <c r="O39" s="40">
        <f>'S47'!N39</f>
        <v/>
      </c>
      <c r="P39" s="31">
        <f>N39-O39</f>
        <v/>
      </c>
      <c r="Q39" s="32" t="n"/>
      <c r="R39" s="32" t="n"/>
      <c r="S39" s="32" t="n"/>
      <c r="T39" s="33" t="n"/>
      <c r="U39" s="40">
        <f>'S47'!T39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'S47'!M40+L40</f>
        <v/>
      </c>
      <c r="N40" s="36">
        <f>IFERROR(M40/K40,0)</f>
        <v/>
      </c>
      <c r="O40" s="42">
        <f>'S47'!N40</f>
        <v/>
      </c>
      <c r="P40" s="36">
        <f>N40-O40</f>
        <v/>
      </c>
      <c r="Q40" s="32" t="n"/>
      <c r="R40" s="32" t="n"/>
      <c r="S40" s="32" t="n"/>
      <c r="T40" s="33" t="n"/>
      <c r="U40" s="42">
        <f>'S47'!T40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'S47'!M41+L41</f>
        <v/>
      </c>
      <c r="N41" s="31">
        <f>IFERROR(M41/K41,0)</f>
        <v/>
      </c>
      <c r="O41" s="40">
        <f>'S47'!N41</f>
        <v/>
      </c>
      <c r="P41" s="31">
        <f>N41-O41</f>
        <v/>
      </c>
      <c r="Q41" s="32" t="n"/>
      <c r="R41" s="32" t="n"/>
      <c r="S41" s="32" t="n"/>
      <c r="T41" s="33" t="n"/>
      <c r="U41" s="40">
        <f>'S47'!T41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'S47'!M42+L42</f>
        <v/>
      </c>
      <c r="N42" s="36">
        <f>IFERROR(M42/K42,0)</f>
        <v/>
      </c>
      <c r="O42" s="42">
        <f>'S47'!N42</f>
        <v/>
      </c>
      <c r="P42" s="36">
        <f>N42-O42</f>
        <v/>
      </c>
      <c r="Q42" s="32" t="n"/>
      <c r="R42" s="32" t="n"/>
      <c r="S42" s="32" t="n"/>
      <c r="T42" s="33" t="n"/>
      <c r="U42" s="42">
        <f>'S47'!T42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'S47'!M43+L43</f>
        <v/>
      </c>
      <c r="N43" s="31">
        <f>IFERROR(M43/K43,0)</f>
        <v/>
      </c>
      <c r="O43" s="40">
        <f>'S47'!N43</f>
        <v/>
      </c>
      <c r="P43" s="31">
        <f>N43-O43</f>
        <v/>
      </c>
      <c r="Q43" s="32" t="n"/>
      <c r="R43" s="32" t="n"/>
      <c r="S43" s="32" t="n"/>
      <c r="T43" s="33" t="n"/>
      <c r="U43" s="40">
        <f>'S47'!T43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'S47'!M44+L44</f>
        <v/>
      </c>
      <c r="N44" s="36">
        <f>IFERROR(M44/K44,0)</f>
        <v/>
      </c>
      <c r="O44" s="42">
        <f>'S47'!N44</f>
        <v/>
      </c>
      <c r="P44" s="36">
        <f>N44-O44</f>
        <v/>
      </c>
      <c r="Q44" s="32" t="n"/>
      <c r="R44" s="32" t="n"/>
      <c r="S44" s="32" t="n"/>
      <c r="T44" s="33" t="n"/>
      <c r="U44" s="42">
        <f>'S47'!T44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'S47'!M45+L45</f>
        <v/>
      </c>
      <c r="N45" s="31">
        <f>IFERROR(M45/K45,0)</f>
        <v/>
      </c>
      <c r="O45" s="40">
        <f>'S47'!N45</f>
        <v/>
      </c>
      <c r="P45" s="31">
        <f>N45-O45</f>
        <v/>
      </c>
      <c r="Q45" s="32" t="n"/>
      <c r="R45" s="32" t="n"/>
      <c r="S45" s="32" t="n"/>
      <c r="T45" s="33" t="n"/>
      <c r="U45" s="40">
        <f>'S47'!T45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'S47'!M46+L46</f>
        <v/>
      </c>
      <c r="N46" s="36">
        <f>IFERROR(M46/K46,0)</f>
        <v/>
      </c>
      <c r="O46" s="42">
        <f>'S47'!N46</f>
        <v/>
      </c>
      <c r="P46" s="36">
        <f>N46-O46</f>
        <v/>
      </c>
      <c r="Q46" s="32" t="n"/>
      <c r="R46" s="32" t="n"/>
      <c r="S46" s="32" t="n"/>
      <c r="T46" s="33" t="n"/>
      <c r="U46" s="42">
        <f>'S47'!T46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'S47'!M47+L47</f>
        <v/>
      </c>
      <c r="N47" s="31">
        <f>IFERROR(M47/K47,0)</f>
        <v/>
      </c>
      <c r="O47" s="40">
        <f>'S47'!N47</f>
        <v/>
      </c>
      <c r="P47" s="31">
        <f>N47-O47</f>
        <v/>
      </c>
      <c r="Q47" s="32" t="n"/>
      <c r="R47" s="32" t="n"/>
      <c r="S47" s="32" t="n"/>
      <c r="T47" s="33" t="n"/>
      <c r="U47" s="40">
        <f>'S47'!T47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'S47'!M48+L48</f>
        <v/>
      </c>
      <c r="N48" s="36">
        <f>IFERROR(M48/K48,0)</f>
        <v/>
      </c>
      <c r="O48" s="42">
        <f>'S47'!N48</f>
        <v/>
      </c>
      <c r="P48" s="36">
        <f>N48-O48</f>
        <v/>
      </c>
      <c r="Q48" s="32" t="n"/>
      <c r="R48" s="32" t="n"/>
      <c r="S48" s="32" t="n"/>
      <c r="T48" s="33" t="n"/>
      <c r="U48" s="42">
        <f>'S47'!T48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'S47'!M49+L49</f>
        <v/>
      </c>
      <c r="N49" s="31">
        <f>IFERROR(M49/K49,0)</f>
        <v/>
      </c>
      <c r="O49" s="40">
        <f>'S47'!N49</f>
        <v/>
      </c>
      <c r="P49" s="31">
        <f>N49-O49</f>
        <v/>
      </c>
      <c r="Q49" s="32" t="n"/>
      <c r="R49" s="32" t="n"/>
      <c r="S49" s="32" t="n"/>
      <c r="T49" s="33" t="n"/>
      <c r="U49" s="40">
        <f>'S47'!T49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'S47'!M50+L50</f>
        <v/>
      </c>
      <c r="N50" s="36">
        <f>IFERROR(M50/K50,0)</f>
        <v/>
      </c>
      <c r="O50" s="42">
        <f>'S47'!N50</f>
        <v/>
      </c>
      <c r="P50" s="36">
        <f>N50-O50</f>
        <v/>
      </c>
      <c r="Q50" s="32" t="n"/>
      <c r="R50" s="32" t="n"/>
      <c r="S50" s="32" t="n"/>
      <c r="T50" s="33" t="n"/>
      <c r="U50" s="42">
        <f>'S47'!T50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'S47'!M51+L51</f>
        <v/>
      </c>
      <c r="N51" s="31">
        <f>IFERROR(M51/K51,0)</f>
        <v/>
      </c>
      <c r="O51" s="40">
        <f>'S47'!N51</f>
        <v/>
      </c>
      <c r="P51" s="31">
        <f>N51-O51</f>
        <v/>
      </c>
      <c r="Q51" s="32" t="n"/>
      <c r="R51" s="32" t="n"/>
      <c r="S51" s="32" t="n"/>
      <c r="T51" s="33" t="n"/>
      <c r="U51" s="40">
        <f>'S47'!T51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'S47'!M52+L52</f>
        <v/>
      </c>
      <c r="N52" s="36">
        <f>IFERROR(M52/K52,0)</f>
        <v/>
      </c>
      <c r="O52" s="42">
        <f>'S47'!N52</f>
        <v/>
      </c>
      <c r="P52" s="36">
        <f>N52-O52</f>
        <v/>
      </c>
      <c r="Q52" s="32" t="n"/>
      <c r="R52" s="32" t="n"/>
      <c r="S52" s="32" t="n"/>
      <c r="T52" s="33" t="n"/>
      <c r="U52" s="42">
        <f>'S47'!T52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'S47'!M53+L53</f>
        <v/>
      </c>
      <c r="N53" s="31">
        <f>IFERROR(M53/K53,0)</f>
        <v/>
      </c>
      <c r="O53" s="40">
        <f>'S47'!N53</f>
        <v/>
      </c>
      <c r="P53" s="31">
        <f>N53-O53</f>
        <v/>
      </c>
      <c r="Q53" s="32" t="n"/>
      <c r="R53" s="32" t="n"/>
      <c r="S53" s="32" t="n"/>
      <c r="T53" s="33" t="n"/>
      <c r="U53" s="40">
        <f>'S47'!T53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'S47'!M54+L54</f>
        <v/>
      </c>
      <c r="N54" s="36">
        <f>IFERROR(M54/K54,0)</f>
        <v/>
      </c>
      <c r="O54" s="42">
        <f>'S47'!N54</f>
        <v/>
      </c>
      <c r="P54" s="36">
        <f>N54-O54</f>
        <v/>
      </c>
      <c r="Q54" s="32" t="n"/>
      <c r="R54" s="32" t="n"/>
      <c r="S54" s="32" t="n"/>
      <c r="T54" s="33" t="n"/>
      <c r="U54" s="42">
        <f>'S47'!T54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'S47'!M55+L55</f>
        <v/>
      </c>
      <c r="N55" s="31">
        <f>IFERROR(M55/K55,0)</f>
        <v/>
      </c>
      <c r="O55" s="40">
        <f>'S47'!N55</f>
        <v/>
      </c>
      <c r="P55" s="31">
        <f>N55-O55</f>
        <v/>
      </c>
      <c r="Q55" s="32" t="n"/>
      <c r="R55" s="32" t="n"/>
      <c r="S55" s="32" t="n"/>
      <c r="T55" s="33" t="n"/>
      <c r="U55" s="40">
        <f>'S47'!T55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'S47'!M56+L56</f>
        <v/>
      </c>
      <c r="N56" s="36">
        <f>IFERROR(M56/K56,0)</f>
        <v/>
      </c>
      <c r="O56" s="42">
        <f>'S47'!N56</f>
        <v/>
      </c>
      <c r="P56" s="36">
        <f>N56-O56</f>
        <v/>
      </c>
      <c r="Q56" s="32" t="n"/>
      <c r="R56" s="32" t="n"/>
      <c r="S56" s="32" t="n"/>
      <c r="T56" s="33" t="n"/>
      <c r="U56" s="42">
        <f>'S47'!T56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'S47'!M57+L57</f>
        <v/>
      </c>
      <c r="N57" s="31">
        <f>IFERROR(M57/K57,0)</f>
        <v/>
      </c>
      <c r="O57" s="40">
        <f>'S47'!N57</f>
        <v/>
      </c>
      <c r="P57" s="31">
        <f>N57-O57</f>
        <v/>
      </c>
      <c r="Q57" s="32" t="n"/>
      <c r="R57" s="32" t="n"/>
      <c r="S57" s="32" t="n"/>
      <c r="T57" s="33" t="n"/>
      <c r="U57" s="40">
        <f>'S47'!T57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'S47'!M58+L58</f>
        <v/>
      </c>
      <c r="N58" s="36">
        <f>IFERROR(M58/K58,0)</f>
        <v/>
      </c>
      <c r="O58" s="42">
        <f>'S47'!N58</f>
        <v/>
      </c>
      <c r="P58" s="36">
        <f>N58-O58</f>
        <v/>
      </c>
      <c r="Q58" s="32" t="n"/>
      <c r="R58" s="32" t="n"/>
      <c r="S58" s="32" t="n"/>
      <c r="T58" s="33" t="n"/>
      <c r="U58" s="42">
        <f>'S47'!T58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'S47'!M59+L59</f>
        <v/>
      </c>
      <c r="N59" s="31">
        <f>IFERROR(M59/K59,0)</f>
        <v/>
      </c>
      <c r="O59" s="40">
        <f>'S47'!N59</f>
        <v/>
      </c>
      <c r="P59" s="31">
        <f>N59-O59</f>
        <v/>
      </c>
      <c r="Q59" s="32" t="n"/>
      <c r="R59" s="32" t="n"/>
      <c r="S59" s="32" t="n"/>
      <c r="T59" s="33" t="n"/>
      <c r="U59" s="40">
        <f>'S47'!T59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'S47'!M60+L60</f>
        <v/>
      </c>
      <c r="N60" s="36">
        <f>IFERROR(M60/K60,0)</f>
        <v/>
      </c>
      <c r="O60" s="42">
        <f>'S47'!N60</f>
        <v/>
      </c>
      <c r="P60" s="36">
        <f>N60-O60</f>
        <v/>
      </c>
      <c r="Q60" s="32" t="n"/>
      <c r="R60" s="32" t="n"/>
      <c r="S60" s="32" t="n"/>
      <c r="T60" s="33" t="n"/>
      <c r="U60" s="42">
        <f>'S47'!T60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'S47'!M61+L61</f>
        <v/>
      </c>
      <c r="N61" s="31">
        <f>IFERROR(M61/K61,0)</f>
        <v/>
      </c>
      <c r="O61" s="40">
        <f>'S47'!N61</f>
        <v/>
      </c>
      <c r="P61" s="31">
        <f>N61-O61</f>
        <v/>
      </c>
      <c r="Q61" s="32" t="n"/>
      <c r="R61" s="32" t="n"/>
      <c r="S61" s="32" t="n"/>
      <c r="T61" s="33" t="n"/>
      <c r="U61" s="40">
        <f>'S47'!T61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'S47'!M62+L62</f>
        <v/>
      </c>
      <c r="N62" s="36">
        <f>IFERROR(M62/K62,0)</f>
        <v/>
      </c>
      <c r="O62" s="42">
        <f>'S47'!N62</f>
        <v/>
      </c>
      <c r="P62" s="36">
        <f>N62-O62</f>
        <v/>
      </c>
      <c r="Q62" s="32" t="n"/>
      <c r="R62" s="32" t="n"/>
      <c r="S62" s="32" t="n"/>
      <c r="T62" s="33" t="n"/>
      <c r="U62" s="42">
        <f>'S47'!T62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'S47'!M63+L63</f>
        <v/>
      </c>
      <c r="N63" s="31">
        <f>IFERROR(M63/K63,0)</f>
        <v/>
      </c>
      <c r="O63" s="40">
        <f>'S47'!N63</f>
        <v/>
      </c>
      <c r="P63" s="31">
        <f>N63-O63</f>
        <v/>
      </c>
      <c r="Q63" s="32" t="n"/>
      <c r="R63" s="32" t="n"/>
      <c r="S63" s="32" t="n"/>
      <c r="T63" s="33" t="n"/>
      <c r="U63" s="40">
        <f>'S47'!T63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'S47'!M64+L64</f>
        <v/>
      </c>
      <c r="N64" s="36">
        <f>IFERROR(M64/K64,0)</f>
        <v/>
      </c>
      <c r="O64" s="42">
        <f>'S47'!N64</f>
        <v/>
      </c>
      <c r="P64" s="36">
        <f>N64-O64</f>
        <v/>
      </c>
      <c r="Q64" s="32" t="n"/>
      <c r="R64" s="32" t="n"/>
      <c r="S64" s="32" t="n"/>
      <c r="T64" s="33" t="n"/>
      <c r="U64" s="42">
        <f>'S47'!T64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'S47'!M65+L65</f>
        <v/>
      </c>
      <c r="N65" s="31">
        <f>IFERROR(M65/K65,0)</f>
        <v/>
      </c>
      <c r="O65" s="40">
        <f>'S47'!N65</f>
        <v/>
      </c>
      <c r="P65" s="31">
        <f>N65-O65</f>
        <v/>
      </c>
      <c r="Q65" s="32" t="n"/>
      <c r="R65" s="32" t="n"/>
      <c r="S65" s="32" t="n"/>
      <c r="T65" s="33" t="n"/>
      <c r="U65" s="40">
        <f>'S47'!T65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'S47'!M66+L66</f>
        <v/>
      </c>
      <c r="N66" s="36">
        <f>IFERROR(M66/K66,0)</f>
        <v/>
      </c>
      <c r="O66" s="42">
        <f>'S47'!N66</f>
        <v/>
      </c>
      <c r="P66" s="36">
        <f>N66-O66</f>
        <v/>
      </c>
      <c r="Q66" s="32" t="n"/>
      <c r="R66" s="32" t="n"/>
      <c r="S66" s="32" t="n"/>
      <c r="T66" s="33" t="n"/>
      <c r="U66" s="42">
        <f>'S47'!T66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'S47'!M67+L67</f>
        <v/>
      </c>
      <c r="N67" s="31">
        <f>IFERROR(M67/K67,0)</f>
        <v/>
      </c>
      <c r="O67" s="40">
        <f>'S47'!N67</f>
        <v/>
      </c>
      <c r="P67" s="31">
        <f>N67-O67</f>
        <v/>
      </c>
      <c r="Q67" s="32" t="n"/>
      <c r="R67" s="32" t="n"/>
      <c r="S67" s="32" t="n"/>
      <c r="T67" s="33" t="n"/>
      <c r="U67" s="40">
        <f>'S47'!T67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'S47'!M68+L68</f>
        <v/>
      </c>
      <c r="N68" s="36">
        <f>IFERROR(M68/K68,0)</f>
        <v/>
      </c>
      <c r="O68" s="42">
        <f>'S47'!N68</f>
        <v/>
      </c>
      <c r="P68" s="36">
        <f>N68-O68</f>
        <v/>
      </c>
      <c r="Q68" s="32" t="n"/>
      <c r="R68" s="32" t="n"/>
      <c r="S68" s="32" t="n"/>
      <c r="T68" s="33" t="n"/>
      <c r="U68" s="42">
        <f>'S47'!T68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'S47'!M69+L69</f>
        <v/>
      </c>
      <c r="N69" s="31">
        <f>IFERROR(M69/K69,0)</f>
        <v/>
      </c>
      <c r="O69" s="40">
        <f>'S47'!N69</f>
        <v/>
      </c>
      <c r="P69" s="31">
        <f>N69-O69</f>
        <v/>
      </c>
      <c r="Q69" s="32" t="n"/>
      <c r="R69" s="32" t="n"/>
      <c r="S69" s="32" t="n"/>
      <c r="T69" s="33" t="n"/>
      <c r="U69" s="40">
        <f>'S47'!T69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'S47'!M70+L70</f>
        <v/>
      </c>
      <c r="N70" s="36">
        <f>IFERROR(M70/K70,0)</f>
        <v/>
      </c>
      <c r="O70" s="42">
        <f>'S47'!N70</f>
        <v/>
      </c>
      <c r="P70" s="36">
        <f>N70-O70</f>
        <v/>
      </c>
      <c r="Q70" s="32" t="n"/>
      <c r="R70" s="32" t="n"/>
      <c r="S70" s="32" t="n"/>
      <c r="T70" s="33" t="n"/>
      <c r="U70" s="42">
        <f>'S47'!T70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'S47'!M71+L71</f>
        <v/>
      </c>
      <c r="N71" s="31">
        <f>IFERROR(M71/K71,0)</f>
        <v/>
      </c>
      <c r="O71" s="40">
        <f>'S47'!N71</f>
        <v/>
      </c>
      <c r="P71" s="31">
        <f>N71-O71</f>
        <v/>
      </c>
      <c r="Q71" s="32" t="n"/>
      <c r="R71" s="32" t="n"/>
      <c r="S71" s="32" t="n"/>
      <c r="T71" s="33" t="n"/>
      <c r="U71" s="40">
        <f>'S47'!T71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'S47'!M72+L72</f>
        <v/>
      </c>
      <c r="N72" s="36">
        <f>IFERROR(M72/K72,0)</f>
        <v/>
      </c>
      <c r="O72" s="42">
        <f>'S47'!N72</f>
        <v/>
      </c>
      <c r="P72" s="36">
        <f>N72-O72</f>
        <v/>
      </c>
      <c r="Q72" s="32" t="n"/>
      <c r="R72" s="32" t="n"/>
      <c r="S72" s="32" t="n"/>
      <c r="T72" s="33" t="n"/>
      <c r="U72" s="42">
        <f>'S47'!T72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'S47'!M73+L73</f>
        <v/>
      </c>
      <c r="N73" s="31">
        <f>IFERROR(M73/K73,0)</f>
        <v/>
      </c>
      <c r="O73" s="40">
        <f>'S47'!N73</f>
        <v/>
      </c>
      <c r="P73" s="31">
        <f>N73-O73</f>
        <v/>
      </c>
      <c r="Q73" s="32" t="n"/>
      <c r="R73" s="32" t="n"/>
      <c r="S73" s="32" t="n"/>
      <c r="T73" s="33" t="n"/>
      <c r="U73" s="40">
        <f>'S47'!T73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'S47'!M74+L74</f>
        <v/>
      </c>
      <c r="N74" s="36">
        <f>IFERROR(M74/K74,0)</f>
        <v/>
      </c>
      <c r="O74" s="42">
        <f>'S47'!N74</f>
        <v/>
      </c>
      <c r="P74" s="36">
        <f>N74-O74</f>
        <v/>
      </c>
      <c r="Q74" s="32" t="n"/>
      <c r="R74" s="32" t="n"/>
      <c r="S74" s="32" t="n"/>
      <c r="T74" s="33" t="n"/>
      <c r="U74" s="42">
        <f>'S47'!T74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'S47'!M75+L75</f>
        <v/>
      </c>
      <c r="N75" s="31">
        <f>IFERROR(M75/K75,0)</f>
        <v/>
      </c>
      <c r="O75" s="40">
        <f>'S47'!N75</f>
        <v/>
      </c>
      <c r="P75" s="31">
        <f>N75-O75</f>
        <v/>
      </c>
      <c r="Q75" s="32" t="n"/>
      <c r="R75" s="32" t="n"/>
      <c r="S75" s="32" t="n"/>
      <c r="T75" s="33" t="n"/>
      <c r="U75" s="40">
        <f>'S47'!T75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'S47'!M76+L76</f>
        <v/>
      </c>
      <c r="N76" s="36">
        <f>IFERROR(M76/K76,0)</f>
        <v/>
      </c>
      <c r="O76" s="42">
        <f>'S47'!N76</f>
        <v/>
      </c>
      <c r="P76" s="36">
        <f>N76-O76</f>
        <v/>
      </c>
      <c r="Q76" s="32" t="n"/>
      <c r="R76" s="32" t="n"/>
      <c r="S76" s="32" t="n"/>
      <c r="T76" s="33" t="n"/>
      <c r="U76" s="42">
        <f>'S47'!T76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51.xml><?xml version="1.0" encoding="utf-8"?>
<worksheet xmlns="http://schemas.openxmlformats.org/spreadsheetml/2006/main">
  <sheetPr>
    <tabColor rgb="00BF8F00"/>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49 (30/11 - 06/12) — Novembre 2026 - Exécution Physique et Financière</t>
        </is>
      </c>
    </row>
    <row r="3" ht="22" customHeight="1">
      <c r="B3" s="20" t="inlineStr">
        <is>
          <t>Date :</t>
        </is>
      </c>
      <c r="C3" s="21" t="n">
        <v>46356</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'S48'!M5+L5</f>
        <v/>
      </c>
      <c r="N5" s="31">
        <f>IFERROR(M5/K5,0)</f>
        <v/>
      </c>
      <c r="O5" s="40">
        <f>'S48'!N5</f>
        <v/>
      </c>
      <c r="P5" s="31">
        <f>N5-O5</f>
        <v/>
      </c>
      <c r="Q5" s="32" t="n"/>
      <c r="R5" s="32" t="n"/>
      <c r="S5" s="32" t="n"/>
      <c r="T5" s="33" t="n"/>
      <c r="U5" s="40">
        <f>'S48'!T5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'S48'!M6+L6</f>
        <v/>
      </c>
      <c r="N6" s="36">
        <f>IFERROR(M6/K6,0)</f>
        <v/>
      </c>
      <c r="O6" s="42">
        <f>'S48'!N6</f>
        <v/>
      </c>
      <c r="P6" s="36">
        <f>N6-O6</f>
        <v/>
      </c>
      <c r="Q6" s="32" t="n"/>
      <c r="R6" s="32" t="n"/>
      <c r="S6" s="32" t="n"/>
      <c r="T6" s="33" t="n"/>
      <c r="U6" s="42">
        <f>'S48'!T6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'S48'!M7+L7</f>
        <v/>
      </c>
      <c r="N7" s="31">
        <f>IFERROR(M7/K7,0)</f>
        <v/>
      </c>
      <c r="O7" s="40">
        <f>'S48'!N7</f>
        <v/>
      </c>
      <c r="P7" s="31">
        <f>N7-O7</f>
        <v/>
      </c>
      <c r="Q7" s="32" t="n"/>
      <c r="R7" s="32" t="n"/>
      <c r="S7" s="32" t="n"/>
      <c r="T7" s="33" t="n"/>
      <c r="U7" s="40">
        <f>'S48'!T7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'S48'!M8+L8</f>
        <v/>
      </c>
      <c r="N8" s="36">
        <f>IFERROR(M8/K8,0)</f>
        <v/>
      </c>
      <c r="O8" s="42">
        <f>'S48'!N8</f>
        <v/>
      </c>
      <c r="P8" s="36">
        <f>N8-O8</f>
        <v/>
      </c>
      <c r="Q8" s="32" t="n"/>
      <c r="R8" s="32" t="n"/>
      <c r="S8" s="32" t="n"/>
      <c r="T8" s="33" t="n"/>
      <c r="U8" s="42">
        <f>'S48'!T8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'S48'!M9+L9</f>
        <v/>
      </c>
      <c r="N9" s="31">
        <f>IFERROR(M9/K9,0)</f>
        <v/>
      </c>
      <c r="O9" s="40">
        <f>'S48'!N9</f>
        <v/>
      </c>
      <c r="P9" s="31">
        <f>N9-O9</f>
        <v/>
      </c>
      <c r="Q9" s="32" t="n"/>
      <c r="R9" s="32" t="n"/>
      <c r="S9" s="32" t="n"/>
      <c r="T9" s="33" t="n"/>
      <c r="U9" s="40">
        <f>'S48'!T9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'S48'!M10+L10</f>
        <v/>
      </c>
      <c r="N10" s="36">
        <f>IFERROR(M10/K10,0)</f>
        <v/>
      </c>
      <c r="O10" s="42">
        <f>'S48'!N10</f>
        <v/>
      </c>
      <c r="P10" s="36">
        <f>N10-O10</f>
        <v/>
      </c>
      <c r="Q10" s="32" t="n"/>
      <c r="R10" s="32" t="n"/>
      <c r="S10" s="32" t="n"/>
      <c r="T10" s="33" t="n"/>
      <c r="U10" s="42">
        <f>'S48'!T10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'S48'!M11+L11</f>
        <v/>
      </c>
      <c r="N11" s="31">
        <f>IFERROR(M11/K11,0)</f>
        <v/>
      </c>
      <c r="O11" s="40">
        <f>'S48'!N11</f>
        <v/>
      </c>
      <c r="P11" s="31">
        <f>N11-O11</f>
        <v/>
      </c>
      <c r="Q11" s="32" t="n"/>
      <c r="R11" s="32" t="n"/>
      <c r="S11" s="32" t="n"/>
      <c r="T11" s="33" t="n"/>
      <c r="U11" s="40">
        <f>'S48'!T11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'S48'!M12+L12</f>
        <v/>
      </c>
      <c r="N12" s="36">
        <f>IFERROR(M12/K12,0)</f>
        <v/>
      </c>
      <c r="O12" s="42">
        <f>'S48'!N12</f>
        <v/>
      </c>
      <c r="P12" s="36">
        <f>N12-O12</f>
        <v/>
      </c>
      <c r="Q12" s="32" t="n"/>
      <c r="R12" s="32" t="n"/>
      <c r="S12" s="32" t="n"/>
      <c r="T12" s="33" t="n"/>
      <c r="U12" s="42">
        <f>'S48'!T12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'S48'!M13+L13</f>
        <v/>
      </c>
      <c r="N13" s="31">
        <f>IFERROR(M13/K13,0)</f>
        <v/>
      </c>
      <c r="O13" s="40">
        <f>'S48'!N13</f>
        <v/>
      </c>
      <c r="P13" s="31">
        <f>N13-O13</f>
        <v/>
      </c>
      <c r="Q13" s="32" t="n"/>
      <c r="R13" s="32" t="n"/>
      <c r="S13" s="32" t="n"/>
      <c r="T13" s="33" t="n"/>
      <c r="U13" s="40">
        <f>'S48'!T13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'S48'!M14+L14</f>
        <v/>
      </c>
      <c r="N14" s="36">
        <f>IFERROR(M14/K14,0)</f>
        <v/>
      </c>
      <c r="O14" s="42">
        <f>'S48'!N14</f>
        <v/>
      </c>
      <c r="P14" s="36">
        <f>N14-O14</f>
        <v/>
      </c>
      <c r="Q14" s="32" t="n"/>
      <c r="R14" s="32" t="n"/>
      <c r="S14" s="32" t="n"/>
      <c r="T14" s="33" t="n"/>
      <c r="U14" s="42">
        <f>'S48'!T14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'S48'!M15+L15</f>
        <v/>
      </c>
      <c r="N15" s="31">
        <f>IFERROR(M15/K15,0)</f>
        <v/>
      </c>
      <c r="O15" s="40">
        <f>'S48'!N15</f>
        <v/>
      </c>
      <c r="P15" s="31">
        <f>N15-O15</f>
        <v/>
      </c>
      <c r="Q15" s="32" t="n"/>
      <c r="R15" s="32" t="n"/>
      <c r="S15" s="32" t="n"/>
      <c r="T15" s="33" t="n"/>
      <c r="U15" s="40">
        <f>'S48'!T15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'S48'!M16+L16</f>
        <v/>
      </c>
      <c r="N16" s="36">
        <f>IFERROR(M16/K16,0)</f>
        <v/>
      </c>
      <c r="O16" s="42">
        <f>'S48'!N16</f>
        <v/>
      </c>
      <c r="P16" s="36">
        <f>N16-O16</f>
        <v/>
      </c>
      <c r="Q16" s="32" t="n"/>
      <c r="R16" s="32" t="n"/>
      <c r="S16" s="32" t="n"/>
      <c r="T16" s="33" t="n"/>
      <c r="U16" s="42">
        <f>'S48'!T16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'S48'!M17+L17</f>
        <v/>
      </c>
      <c r="N17" s="31">
        <f>IFERROR(M17/K17,0)</f>
        <v/>
      </c>
      <c r="O17" s="40">
        <f>'S48'!N17</f>
        <v/>
      </c>
      <c r="P17" s="31">
        <f>N17-O17</f>
        <v/>
      </c>
      <c r="Q17" s="32" t="n"/>
      <c r="R17" s="32" t="n"/>
      <c r="S17" s="32" t="n"/>
      <c r="T17" s="33" t="n"/>
      <c r="U17" s="40">
        <f>'S48'!T17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'S48'!M18+L18</f>
        <v/>
      </c>
      <c r="N18" s="36">
        <f>IFERROR(M18/K18,0)</f>
        <v/>
      </c>
      <c r="O18" s="42">
        <f>'S48'!N18</f>
        <v/>
      </c>
      <c r="P18" s="36">
        <f>N18-O18</f>
        <v/>
      </c>
      <c r="Q18" s="32" t="n"/>
      <c r="R18" s="32" t="n"/>
      <c r="S18" s="32" t="n"/>
      <c r="T18" s="33" t="n"/>
      <c r="U18" s="42">
        <f>'S48'!T18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'S48'!M19+L19</f>
        <v/>
      </c>
      <c r="N19" s="31">
        <f>IFERROR(M19/K19,0)</f>
        <v/>
      </c>
      <c r="O19" s="40">
        <f>'S48'!N19</f>
        <v/>
      </c>
      <c r="P19" s="31">
        <f>N19-O19</f>
        <v/>
      </c>
      <c r="Q19" s="32" t="n"/>
      <c r="R19" s="32" t="n"/>
      <c r="S19" s="32" t="n"/>
      <c r="T19" s="33" t="n"/>
      <c r="U19" s="40">
        <f>'S48'!T19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'S48'!M20+L20</f>
        <v/>
      </c>
      <c r="N20" s="36">
        <f>IFERROR(M20/K20,0)</f>
        <v/>
      </c>
      <c r="O20" s="42">
        <f>'S48'!N20</f>
        <v/>
      </c>
      <c r="P20" s="36">
        <f>N20-O20</f>
        <v/>
      </c>
      <c r="Q20" s="32" t="n"/>
      <c r="R20" s="32" t="n"/>
      <c r="S20" s="32" t="n"/>
      <c r="T20" s="33" t="n"/>
      <c r="U20" s="42">
        <f>'S48'!T20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'S48'!M21+L21</f>
        <v/>
      </c>
      <c r="N21" s="31">
        <f>IFERROR(M21/K21,0)</f>
        <v/>
      </c>
      <c r="O21" s="40">
        <f>'S48'!N21</f>
        <v/>
      </c>
      <c r="P21" s="31">
        <f>N21-O21</f>
        <v/>
      </c>
      <c r="Q21" s="32" t="n"/>
      <c r="R21" s="32" t="n"/>
      <c r="S21" s="32" t="n"/>
      <c r="T21" s="33" t="n"/>
      <c r="U21" s="40">
        <f>'S48'!T21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'S48'!M22+L22</f>
        <v/>
      </c>
      <c r="N22" s="36">
        <f>IFERROR(M22/K22,0)</f>
        <v/>
      </c>
      <c r="O22" s="42">
        <f>'S48'!N22</f>
        <v/>
      </c>
      <c r="P22" s="36">
        <f>N22-O22</f>
        <v/>
      </c>
      <c r="Q22" s="32" t="n"/>
      <c r="R22" s="32" t="n"/>
      <c r="S22" s="32" t="n"/>
      <c r="T22" s="33" t="n"/>
      <c r="U22" s="42">
        <f>'S48'!T22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'S48'!M23+L23</f>
        <v/>
      </c>
      <c r="N23" s="31">
        <f>IFERROR(M23/K23,0)</f>
        <v/>
      </c>
      <c r="O23" s="40">
        <f>'S48'!N23</f>
        <v/>
      </c>
      <c r="P23" s="31">
        <f>N23-O23</f>
        <v/>
      </c>
      <c r="Q23" s="32" t="n"/>
      <c r="R23" s="32" t="n"/>
      <c r="S23" s="32" t="n"/>
      <c r="T23" s="33" t="n"/>
      <c r="U23" s="40">
        <f>'S48'!T23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'S48'!M24+L24</f>
        <v/>
      </c>
      <c r="N24" s="36">
        <f>IFERROR(M24/K24,0)</f>
        <v/>
      </c>
      <c r="O24" s="42">
        <f>'S48'!N24</f>
        <v/>
      </c>
      <c r="P24" s="36">
        <f>N24-O24</f>
        <v/>
      </c>
      <c r="Q24" s="32" t="n"/>
      <c r="R24" s="32" t="n"/>
      <c r="S24" s="32" t="n"/>
      <c r="T24" s="33" t="n"/>
      <c r="U24" s="42">
        <f>'S48'!T24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'S48'!M25+L25</f>
        <v/>
      </c>
      <c r="N25" s="31">
        <f>IFERROR(M25/K25,0)</f>
        <v/>
      </c>
      <c r="O25" s="40">
        <f>'S48'!N25</f>
        <v/>
      </c>
      <c r="P25" s="31">
        <f>N25-O25</f>
        <v/>
      </c>
      <c r="Q25" s="32" t="n"/>
      <c r="R25" s="32" t="n"/>
      <c r="S25" s="32" t="n"/>
      <c r="T25" s="33" t="n"/>
      <c r="U25" s="40">
        <f>'S48'!T25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'S48'!M26+L26</f>
        <v/>
      </c>
      <c r="N26" s="36">
        <f>IFERROR(M26/K26,0)</f>
        <v/>
      </c>
      <c r="O26" s="42">
        <f>'S48'!N26</f>
        <v/>
      </c>
      <c r="P26" s="36">
        <f>N26-O26</f>
        <v/>
      </c>
      <c r="Q26" s="32" t="n"/>
      <c r="R26" s="32" t="n"/>
      <c r="S26" s="32" t="n"/>
      <c r="T26" s="33" t="n"/>
      <c r="U26" s="42">
        <f>'S48'!T26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'S48'!M27+L27</f>
        <v/>
      </c>
      <c r="N27" s="31">
        <f>IFERROR(M27/K27,0)</f>
        <v/>
      </c>
      <c r="O27" s="40">
        <f>'S48'!N27</f>
        <v/>
      </c>
      <c r="P27" s="31">
        <f>N27-O27</f>
        <v/>
      </c>
      <c r="Q27" s="32" t="n"/>
      <c r="R27" s="32" t="n"/>
      <c r="S27" s="32" t="n"/>
      <c r="T27" s="33" t="n"/>
      <c r="U27" s="40">
        <f>'S48'!T27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'S48'!M28+L28</f>
        <v/>
      </c>
      <c r="N28" s="36">
        <f>IFERROR(M28/K28,0)</f>
        <v/>
      </c>
      <c r="O28" s="42">
        <f>'S48'!N28</f>
        <v/>
      </c>
      <c r="P28" s="36">
        <f>N28-O28</f>
        <v/>
      </c>
      <c r="Q28" s="32" t="n"/>
      <c r="R28" s="32" t="n"/>
      <c r="S28" s="32" t="n"/>
      <c r="T28" s="33" t="n"/>
      <c r="U28" s="42">
        <f>'S48'!T28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'S48'!M29+L29</f>
        <v/>
      </c>
      <c r="N29" s="31">
        <f>IFERROR(M29/K29,0)</f>
        <v/>
      </c>
      <c r="O29" s="40">
        <f>'S48'!N29</f>
        <v/>
      </c>
      <c r="P29" s="31">
        <f>N29-O29</f>
        <v/>
      </c>
      <c r="Q29" s="32" t="n"/>
      <c r="R29" s="32" t="n"/>
      <c r="S29" s="32" t="n"/>
      <c r="T29" s="33" t="n"/>
      <c r="U29" s="40">
        <f>'S48'!T29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'S48'!M30+L30</f>
        <v/>
      </c>
      <c r="N30" s="36">
        <f>IFERROR(M30/K30,0)</f>
        <v/>
      </c>
      <c r="O30" s="42">
        <f>'S48'!N30</f>
        <v/>
      </c>
      <c r="P30" s="36">
        <f>N30-O30</f>
        <v/>
      </c>
      <c r="Q30" s="32" t="n"/>
      <c r="R30" s="32" t="n"/>
      <c r="S30" s="32" t="n"/>
      <c r="T30" s="33" t="n"/>
      <c r="U30" s="42">
        <f>'S48'!T30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'S48'!M31+L31</f>
        <v/>
      </c>
      <c r="N31" s="31">
        <f>IFERROR(M31/K31,0)</f>
        <v/>
      </c>
      <c r="O31" s="40">
        <f>'S48'!N31</f>
        <v/>
      </c>
      <c r="P31" s="31">
        <f>N31-O31</f>
        <v/>
      </c>
      <c r="Q31" s="32" t="n"/>
      <c r="R31" s="32" t="n"/>
      <c r="S31" s="32" t="n"/>
      <c r="T31" s="33" t="n"/>
      <c r="U31" s="40">
        <f>'S48'!T31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'S48'!M32+L32</f>
        <v/>
      </c>
      <c r="N32" s="36">
        <f>IFERROR(M32/K32,0)</f>
        <v/>
      </c>
      <c r="O32" s="42">
        <f>'S48'!N32</f>
        <v/>
      </c>
      <c r="P32" s="36">
        <f>N32-O32</f>
        <v/>
      </c>
      <c r="Q32" s="32" t="n"/>
      <c r="R32" s="32" t="n"/>
      <c r="S32" s="32" t="n"/>
      <c r="T32" s="33" t="n"/>
      <c r="U32" s="42">
        <f>'S48'!T32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'S48'!M33+L33</f>
        <v/>
      </c>
      <c r="N33" s="31">
        <f>IFERROR(M33/K33,0)</f>
        <v/>
      </c>
      <c r="O33" s="40">
        <f>'S48'!N33</f>
        <v/>
      </c>
      <c r="P33" s="31">
        <f>N33-O33</f>
        <v/>
      </c>
      <c r="Q33" s="32" t="n"/>
      <c r="R33" s="32" t="n"/>
      <c r="S33" s="32" t="n"/>
      <c r="T33" s="33" t="n"/>
      <c r="U33" s="40">
        <f>'S48'!T33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'S48'!M34+L34</f>
        <v/>
      </c>
      <c r="N34" s="36">
        <f>IFERROR(M34/K34,0)</f>
        <v/>
      </c>
      <c r="O34" s="42">
        <f>'S48'!N34</f>
        <v/>
      </c>
      <c r="P34" s="36">
        <f>N34-O34</f>
        <v/>
      </c>
      <c r="Q34" s="32" t="n"/>
      <c r="R34" s="32" t="n"/>
      <c r="S34" s="32" t="n"/>
      <c r="T34" s="33" t="n"/>
      <c r="U34" s="42">
        <f>'S48'!T34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'S48'!M35+L35</f>
        <v/>
      </c>
      <c r="N35" s="31">
        <f>IFERROR(M35/K35,0)</f>
        <v/>
      </c>
      <c r="O35" s="40">
        <f>'S48'!N35</f>
        <v/>
      </c>
      <c r="P35" s="31">
        <f>N35-O35</f>
        <v/>
      </c>
      <c r="Q35" s="32" t="n"/>
      <c r="R35" s="32" t="n"/>
      <c r="S35" s="32" t="n"/>
      <c r="T35" s="33" t="n"/>
      <c r="U35" s="40">
        <f>'S48'!T35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'S48'!M36+L36</f>
        <v/>
      </c>
      <c r="N36" s="36">
        <f>IFERROR(M36/K36,0)</f>
        <v/>
      </c>
      <c r="O36" s="42">
        <f>'S48'!N36</f>
        <v/>
      </c>
      <c r="P36" s="36">
        <f>N36-O36</f>
        <v/>
      </c>
      <c r="Q36" s="32" t="n"/>
      <c r="R36" s="32" t="n"/>
      <c r="S36" s="32" t="n"/>
      <c r="T36" s="33" t="n"/>
      <c r="U36" s="42">
        <f>'S48'!T36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'S48'!M37+L37</f>
        <v/>
      </c>
      <c r="N37" s="31">
        <f>IFERROR(M37/K37,0)</f>
        <v/>
      </c>
      <c r="O37" s="40">
        <f>'S48'!N37</f>
        <v/>
      </c>
      <c r="P37" s="31">
        <f>N37-O37</f>
        <v/>
      </c>
      <c r="Q37" s="32" t="n"/>
      <c r="R37" s="32" t="n"/>
      <c r="S37" s="32" t="n"/>
      <c r="T37" s="33" t="n"/>
      <c r="U37" s="40">
        <f>'S48'!T37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'S48'!M38+L38</f>
        <v/>
      </c>
      <c r="N38" s="36">
        <f>IFERROR(M38/K38,0)</f>
        <v/>
      </c>
      <c r="O38" s="42">
        <f>'S48'!N38</f>
        <v/>
      </c>
      <c r="P38" s="36">
        <f>N38-O38</f>
        <v/>
      </c>
      <c r="Q38" s="32" t="n"/>
      <c r="R38" s="32" t="n"/>
      <c r="S38" s="32" t="n"/>
      <c r="T38" s="33" t="n"/>
      <c r="U38" s="42">
        <f>'S48'!T38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'S48'!M39+L39</f>
        <v/>
      </c>
      <c r="N39" s="31">
        <f>IFERROR(M39/K39,0)</f>
        <v/>
      </c>
      <c r="O39" s="40">
        <f>'S48'!N39</f>
        <v/>
      </c>
      <c r="P39" s="31">
        <f>N39-O39</f>
        <v/>
      </c>
      <c r="Q39" s="32" t="n"/>
      <c r="R39" s="32" t="n"/>
      <c r="S39" s="32" t="n"/>
      <c r="T39" s="33" t="n"/>
      <c r="U39" s="40">
        <f>'S48'!T39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'S48'!M40+L40</f>
        <v/>
      </c>
      <c r="N40" s="36">
        <f>IFERROR(M40/K40,0)</f>
        <v/>
      </c>
      <c r="O40" s="42">
        <f>'S48'!N40</f>
        <v/>
      </c>
      <c r="P40" s="36">
        <f>N40-O40</f>
        <v/>
      </c>
      <c r="Q40" s="32" t="n"/>
      <c r="R40" s="32" t="n"/>
      <c r="S40" s="32" t="n"/>
      <c r="T40" s="33" t="n"/>
      <c r="U40" s="42">
        <f>'S48'!T40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'S48'!M41+L41</f>
        <v/>
      </c>
      <c r="N41" s="31">
        <f>IFERROR(M41/K41,0)</f>
        <v/>
      </c>
      <c r="O41" s="40">
        <f>'S48'!N41</f>
        <v/>
      </c>
      <c r="P41" s="31">
        <f>N41-O41</f>
        <v/>
      </c>
      <c r="Q41" s="32" t="n"/>
      <c r="R41" s="32" t="n"/>
      <c r="S41" s="32" t="n"/>
      <c r="T41" s="33" t="n"/>
      <c r="U41" s="40">
        <f>'S48'!T41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'S48'!M42+L42</f>
        <v/>
      </c>
      <c r="N42" s="36">
        <f>IFERROR(M42/K42,0)</f>
        <v/>
      </c>
      <c r="O42" s="42">
        <f>'S48'!N42</f>
        <v/>
      </c>
      <c r="P42" s="36">
        <f>N42-O42</f>
        <v/>
      </c>
      <c r="Q42" s="32" t="n"/>
      <c r="R42" s="32" t="n"/>
      <c r="S42" s="32" t="n"/>
      <c r="T42" s="33" t="n"/>
      <c r="U42" s="42">
        <f>'S48'!T42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'S48'!M43+L43</f>
        <v/>
      </c>
      <c r="N43" s="31">
        <f>IFERROR(M43/K43,0)</f>
        <v/>
      </c>
      <c r="O43" s="40">
        <f>'S48'!N43</f>
        <v/>
      </c>
      <c r="P43" s="31">
        <f>N43-O43</f>
        <v/>
      </c>
      <c r="Q43" s="32" t="n"/>
      <c r="R43" s="32" t="n"/>
      <c r="S43" s="32" t="n"/>
      <c r="T43" s="33" t="n"/>
      <c r="U43" s="40">
        <f>'S48'!T43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'S48'!M44+L44</f>
        <v/>
      </c>
      <c r="N44" s="36">
        <f>IFERROR(M44/K44,0)</f>
        <v/>
      </c>
      <c r="O44" s="42">
        <f>'S48'!N44</f>
        <v/>
      </c>
      <c r="P44" s="36">
        <f>N44-O44</f>
        <v/>
      </c>
      <c r="Q44" s="32" t="n"/>
      <c r="R44" s="32" t="n"/>
      <c r="S44" s="32" t="n"/>
      <c r="T44" s="33" t="n"/>
      <c r="U44" s="42">
        <f>'S48'!T44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'S48'!M45+L45</f>
        <v/>
      </c>
      <c r="N45" s="31">
        <f>IFERROR(M45/K45,0)</f>
        <v/>
      </c>
      <c r="O45" s="40">
        <f>'S48'!N45</f>
        <v/>
      </c>
      <c r="P45" s="31">
        <f>N45-O45</f>
        <v/>
      </c>
      <c r="Q45" s="32" t="n"/>
      <c r="R45" s="32" t="n"/>
      <c r="S45" s="32" t="n"/>
      <c r="T45" s="33" t="n"/>
      <c r="U45" s="40">
        <f>'S48'!T45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'S48'!M46+L46</f>
        <v/>
      </c>
      <c r="N46" s="36">
        <f>IFERROR(M46/K46,0)</f>
        <v/>
      </c>
      <c r="O46" s="42">
        <f>'S48'!N46</f>
        <v/>
      </c>
      <c r="P46" s="36">
        <f>N46-O46</f>
        <v/>
      </c>
      <c r="Q46" s="32" t="n"/>
      <c r="R46" s="32" t="n"/>
      <c r="S46" s="32" t="n"/>
      <c r="T46" s="33" t="n"/>
      <c r="U46" s="42">
        <f>'S48'!T46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'S48'!M47+L47</f>
        <v/>
      </c>
      <c r="N47" s="31">
        <f>IFERROR(M47/K47,0)</f>
        <v/>
      </c>
      <c r="O47" s="40">
        <f>'S48'!N47</f>
        <v/>
      </c>
      <c r="P47" s="31">
        <f>N47-O47</f>
        <v/>
      </c>
      <c r="Q47" s="32" t="n"/>
      <c r="R47" s="32" t="n"/>
      <c r="S47" s="32" t="n"/>
      <c r="T47" s="33" t="n"/>
      <c r="U47" s="40">
        <f>'S48'!T47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'S48'!M48+L48</f>
        <v/>
      </c>
      <c r="N48" s="36">
        <f>IFERROR(M48/K48,0)</f>
        <v/>
      </c>
      <c r="O48" s="42">
        <f>'S48'!N48</f>
        <v/>
      </c>
      <c r="P48" s="36">
        <f>N48-O48</f>
        <v/>
      </c>
      <c r="Q48" s="32" t="n"/>
      <c r="R48" s="32" t="n"/>
      <c r="S48" s="32" t="n"/>
      <c r="T48" s="33" t="n"/>
      <c r="U48" s="42">
        <f>'S48'!T48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'S48'!M49+L49</f>
        <v/>
      </c>
      <c r="N49" s="31">
        <f>IFERROR(M49/K49,0)</f>
        <v/>
      </c>
      <c r="O49" s="40">
        <f>'S48'!N49</f>
        <v/>
      </c>
      <c r="P49" s="31">
        <f>N49-O49</f>
        <v/>
      </c>
      <c r="Q49" s="32" t="n"/>
      <c r="R49" s="32" t="n"/>
      <c r="S49" s="32" t="n"/>
      <c r="T49" s="33" t="n"/>
      <c r="U49" s="40">
        <f>'S48'!T49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'S48'!M50+L50</f>
        <v/>
      </c>
      <c r="N50" s="36">
        <f>IFERROR(M50/K50,0)</f>
        <v/>
      </c>
      <c r="O50" s="42">
        <f>'S48'!N50</f>
        <v/>
      </c>
      <c r="P50" s="36">
        <f>N50-O50</f>
        <v/>
      </c>
      <c r="Q50" s="32" t="n"/>
      <c r="R50" s="32" t="n"/>
      <c r="S50" s="32" t="n"/>
      <c r="T50" s="33" t="n"/>
      <c r="U50" s="42">
        <f>'S48'!T50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'S48'!M51+L51</f>
        <v/>
      </c>
      <c r="N51" s="31">
        <f>IFERROR(M51/K51,0)</f>
        <v/>
      </c>
      <c r="O51" s="40">
        <f>'S48'!N51</f>
        <v/>
      </c>
      <c r="P51" s="31">
        <f>N51-O51</f>
        <v/>
      </c>
      <c r="Q51" s="32" t="n"/>
      <c r="R51" s="32" t="n"/>
      <c r="S51" s="32" t="n"/>
      <c r="T51" s="33" t="n"/>
      <c r="U51" s="40">
        <f>'S48'!T51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'S48'!M52+L52</f>
        <v/>
      </c>
      <c r="N52" s="36">
        <f>IFERROR(M52/K52,0)</f>
        <v/>
      </c>
      <c r="O52" s="42">
        <f>'S48'!N52</f>
        <v/>
      </c>
      <c r="P52" s="36">
        <f>N52-O52</f>
        <v/>
      </c>
      <c r="Q52" s="32" t="n"/>
      <c r="R52" s="32" t="n"/>
      <c r="S52" s="32" t="n"/>
      <c r="T52" s="33" t="n"/>
      <c r="U52" s="42">
        <f>'S48'!T52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'S48'!M53+L53</f>
        <v/>
      </c>
      <c r="N53" s="31">
        <f>IFERROR(M53/K53,0)</f>
        <v/>
      </c>
      <c r="O53" s="40">
        <f>'S48'!N53</f>
        <v/>
      </c>
      <c r="P53" s="31">
        <f>N53-O53</f>
        <v/>
      </c>
      <c r="Q53" s="32" t="n"/>
      <c r="R53" s="32" t="n"/>
      <c r="S53" s="32" t="n"/>
      <c r="T53" s="33" t="n"/>
      <c r="U53" s="40">
        <f>'S48'!T53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'S48'!M54+L54</f>
        <v/>
      </c>
      <c r="N54" s="36">
        <f>IFERROR(M54/K54,0)</f>
        <v/>
      </c>
      <c r="O54" s="42">
        <f>'S48'!N54</f>
        <v/>
      </c>
      <c r="P54" s="36">
        <f>N54-O54</f>
        <v/>
      </c>
      <c r="Q54" s="32" t="n"/>
      <c r="R54" s="32" t="n"/>
      <c r="S54" s="32" t="n"/>
      <c r="T54" s="33" t="n"/>
      <c r="U54" s="42">
        <f>'S48'!T54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'S48'!M55+L55</f>
        <v/>
      </c>
      <c r="N55" s="31">
        <f>IFERROR(M55/K55,0)</f>
        <v/>
      </c>
      <c r="O55" s="40">
        <f>'S48'!N55</f>
        <v/>
      </c>
      <c r="P55" s="31">
        <f>N55-O55</f>
        <v/>
      </c>
      <c r="Q55" s="32" t="n"/>
      <c r="R55" s="32" t="n"/>
      <c r="S55" s="32" t="n"/>
      <c r="T55" s="33" t="n"/>
      <c r="U55" s="40">
        <f>'S48'!T55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'S48'!M56+L56</f>
        <v/>
      </c>
      <c r="N56" s="36">
        <f>IFERROR(M56/K56,0)</f>
        <v/>
      </c>
      <c r="O56" s="42">
        <f>'S48'!N56</f>
        <v/>
      </c>
      <c r="P56" s="36">
        <f>N56-O56</f>
        <v/>
      </c>
      <c r="Q56" s="32" t="n"/>
      <c r="R56" s="32" t="n"/>
      <c r="S56" s="32" t="n"/>
      <c r="T56" s="33" t="n"/>
      <c r="U56" s="42">
        <f>'S48'!T56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'S48'!M57+L57</f>
        <v/>
      </c>
      <c r="N57" s="31">
        <f>IFERROR(M57/K57,0)</f>
        <v/>
      </c>
      <c r="O57" s="40">
        <f>'S48'!N57</f>
        <v/>
      </c>
      <c r="P57" s="31">
        <f>N57-O57</f>
        <v/>
      </c>
      <c r="Q57" s="32" t="n"/>
      <c r="R57" s="32" t="n"/>
      <c r="S57" s="32" t="n"/>
      <c r="T57" s="33" t="n"/>
      <c r="U57" s="40">
        <f>'S48'!T57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'S48'!M58+L58</f>
        <v/>
      </c>
      <c r="N58" s="36">
        <f>IFERROR(M58/K58,0)</f>
        <v/>
      </c>
      <c r="O58" s="42">
        <f>'S48'!N58</f>
        <v/>
      </c>
      <c r="P58" s="36">
        <f>N58-O58</f>
        <v/>
      </c>
      <c r="Q58" s="32" t="n"/>
      <c r="R58" s="32" t="n"/>
      <c r="S58" s="32" t="n"/>
      <c r="T58" s="33" t="n"/>
      <c r="U58" s="42">
        <f>'S48'!T58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'S48'!M59+L59</f>
        <v/>
      </c>
      <c r="N59" s="31">
        <f>IFERROR(M59/K59,0)</f>
        <v/>
      </c>
      <c r="O59" s="40">
        <f>'S48'!N59</f>
        <v/>
      </c>
      <c r="P59" s="31">
        <f>N59-O59</f>
        <v/>
      </c>
      <c r="Q59" s="32" t="n"/>
      <c r="R59" s="32" t="n"/>
      <c r="S59" s="32" t="n"/>
      <c r="T59" s="33" t="n"/>
      <c r="U59" s="40">
        <f>'S48'!T59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'S48'!M60+L60</f>
        <v/>
      </c>
      <c r="N60" s="36">
        <f>IFERROR(M60/K60,0)</f>
        <v/>
      </c>
      <c r="O60" s="42">
        <f>'S48'!N60</f>
        <v/>
      </c>
      <c r="P60" s="36">
        <f>N60-O60</f>
        <v/>
      </c>
      <c r="Q60" s="32" t="n"/>
      <c r="R60" s="32" t="n"/>
      <c r="S60" s="32" t="n"/>
      <c r="T60" s="33" t="n"/>
      <c r="U60" s="42">
        <f>'S48'!T60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'S48'!M61+L61</f>
        <v/>
      </c>
      <c r="N61" s="31">
        <f>IFERROR(M61/K61,0)</f>
        <v/>
      </c>
      <c r="O61" s="40">
        <f>'S48'!N61</f>
        <v/>
      </c>
      <c r="P61" s="31">
        <f>N61-O61</f>
        <v/>
      </c>
      <c r="Q61" s="32" t="n"/>
      <c r="R61" s="32" t="n"/>
      <c r="S61" s="32" t="n"/>
      <c r="T61" s="33" t="n"/>
      <c r="U61" s="40">
        <f>'S48'!T61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'S48'!M62+L62</f>
        <v/>
      </c>
      <c r="N62" s="36">
        <f>IFERROR(M62/K62,0)</f>
        <v/>
      </c>
      <c r="O62" s="42">
        <f>'S48'!N62</f>
        <v/>
      </c>
      <c r="P62" s="36">
        <f>N62-O62</f>
        <v/>
      </c>
      <c r="Q62" s="32" t="n"/>
      <c r="R62" s="32" t="n"/>
      <c r="S62" s="32" t="n"/>
      <c r="T62" s="33" t="n"/>
      <c r="U62" s="42">
        <f>'S48'!T62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'S48'!M63+L63</f>
        <v/>
      </c>
      <c r="N63" s="31">
        <f>IFERROR(M63/K63,0)</f>
        <v/>
      </c>
      <c r="O63" s="40">
        <f>'S48'!N63</f>
        <v/>
      </c>
      <c r="P63" s="31">
        <f>N63-O63</f>
        <v/>
      </c>
      <c r="Q63" s="32" t="n"/>
      <c r="R63" s="32" t="n"/>
      <c r="S63" s="32" t="n"/>
      <c r="T63" s="33" t="n"/>
      <c r="U63" s="40">
        <f>'S48'!T63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'S48'!M64+L64</f>
        <v/>
      </c>
      <c r="N64" s="36">
        <f>IFERROR(M64/K64,0)</f>
        <v/>
      </c>
      <c r="O64" s="42">
        <f>'S48'!N64</f>
        <v/>
      </c>
      <c r="P64" s="36">
        <f>N64-O64</f>
        <v/>
      </c>
      <c r="Q64" s="32" t="n"/>
      <c r="R64" s="32" t="n"/>
      <c r="S64" s="32" t="n"/>
      <c r="T64" s="33" t="n"/>
      <c r="U64" s="42">
        <f>'S48'!T64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'S48'!M65+L65</f>
        <v/>
      </c>
      <c r="N65" s="31">
        <f>IFERROR(M65/K65,0)</f>
        <v/>
      </c>
      <c r="O65" s="40">
        <f>'S48'!N65</f>
        <v/>
      </c>
      <c r="P65" s="31">
        <f>N65-O65</f>
        <v/>
      </c>
      <c r="Q65" s="32" t="n"/>
      <c r="R65" s="32" t="n"/>
      <c r="S65" s="32" t="n"/>
      <c r="T65" s="33" t="n"/>
      <c r="U65" s="40">
        <f>'S48'!T65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'S48'!M66+L66</f>
        <v/>
      </c>
      <c r="N66" s="36">
        <f>IFERROR(M66/K66,0)</f>
        <v/>
      </c>
      <c r="O66" s="42">
        <f>'S48'!N66</f>
        <v/>
      </c>
      <c r="P66" s="36">
        <f>N66-O66</f>
        <v/>
      </c>
      <c r="Q66" s="32" t="n"/>
      <c r="R66" s="32" t="n"/>
      <c r="S66" s="32" t="n"/>
      <c r="T66" s="33" t="n"/>
      <c r="U66" s="42">
        <f>'S48'!T66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'S48'!M67+L67</f>
        <v/>
      </c>
      <c r="N67" s="31">
        <f>IFERROR(M67/K67,0)</f>
        <v/>
      </c>
      <c r="O67" s="40">
        <f>'S48'!N67</f>
        <v/>
      </c>
      <c r="P67" s="31">
        <f>N67-O67</f>
        <v/>
      </c>
      <c r="Q67" s="32" t="n"/>
      <c r="R67" s="32" t="n"/>
      <c r="S67" s="32" t="n"/>
      <c r="T67" s="33" t="n"/>
      <c r="U67" s="40">
        <f>'S48'!T67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'S48'!M68+L68</f>
        <v/>
      </c>
      <c r="N68" s="36">
        <f>IFERROR(M68/K68,0)</f>
        <v/>
      </c>
      <c r="O68" s="42">
        <f>'S48'!N68</f>
        <v/>
      </c>
      <c r="P68" s="36">
        <f>N68-O68</f>
        <v/>
      </c>
      <c r="Q68" s="32" t="n"/>
      <c r="R68" s="32" t="n"/>
      <c r="S68" s="32" t="n"/>
      <c r="T68" s="33" t="n"/>
      <c r="U68" s="42">
        <f>'S48'!T68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'S48'!M69+L69</f>
        <v/>
      </c>
      <c r="N69" s="31">
        <f>IFERROR(M69/K69,0)</f>
        <v/>
      </c>
      <c r="O69" s="40">
        <f>'S48'!N69</f>
        <v/>
      </c>
      <c r="P69" s="31">
        <f>N69-O69</f>
        <v/>
      </c>
      <c r="Q69" s="32" t="n"/>
      <c r="R69" s="32" t="n"/>
      <c r="S69" s="32" t="n"/>
      <c r="T69" s="33" t="n"/>
      <c r="U69" s="40">
        <f>'S48'!T69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'S48'!M70+L70</f>
        <v/>
      </c>
      <c r="N70" s="36">
        <f>IFERROR(M70/K70,0)</f>
        <v/>
      </c>
      <c r="O70" s="42">
        <f>'S48'!N70</f>
        <v/>
      </c>
      <c r="P70" s="36">
        <f>N70-O70</f>
        <v/>
      </c>
      <c r="Q70" s="32" t="n"/>
      <c r="R70" s="32" t="n"/>
      <c r="S70" s="32" t="n"/>
      <c r="T70" s="33" t="n"/>
      <c r="U70" s="42">
        <f>'S48'!T70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'S48'!M71+L71</f>
        <v/>
      </c>
      <c r="N71" s="31">
        <f>IFERROR(M71/K71,0)</f>
        <v/>
      </c>
      <c r="O71" s="40">
        <f>'S48'!N71</f>
        <v/>
      </c>
      <c r="P71" s="31">
        <f>N71-O71</f>
        <v/>
      </c>
      <c r="Q71" s="32" t="n"/>
      <c r="R71" s="32" t="n"/>
      <c r="S71" s="32" t="n"/>
      <c r="T71" s="33" t="n"/>
      <c r="U71" s="40">
        <f>'S48'!T71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'S48'!M72+L72</f>
        <v/>
      </c>
      <c r="N72" s="36">
        <f>IFERROR(M72/K72,0)</f>
        <v/>
      </c>
      <c r="O72" s="42">
        <f>'S48'!N72</f>
        <v/>
      </c>
      <c r="P72" s="36">
        <f>N72-O72</f>
        <v/>
      </c>
      <c r="Q72" s="32" t="n"/>
      <c r="R72" s="32" t="n"/>
      <c r="S72" s="32" t="n"/>
      <c r="T72" s="33" t="n"/>
      <c r="U72" s="42">
        <f>'S48'!T72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'S48'!M73+L73</f>
        <v/>
      </c>
      <c r="N73" s="31">
        <f>IFERROR(M73/K73,0)</f>
        <v/>
      </c>
      <c r="O73" s="40">
        <f>'S48'!N73</f>
        <v/>
      </c>
      <c r="P73" s="31">
        <f>N73-O73</f>
        <v/>
      </c>
      <c r="Q73" s="32" t="n"/>
      <c r="R73" s="32" t="n"/>
      <c r="S73" s="32" t="n"/>
      <c r="T73" s="33" t="n"/>
      <c r="U73" s="40">
        <f>'S48'!T73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'S48'!M74+L74</f>
        <v/>
      </c>
      <c r="N74" s="36">
        <f>IFERROR(M74/K74,0)</f>
        <v/>
      </c>
      <c r="O74" s="42">
        <f>'S48'!N74</f>
        <v/>
      </c>
      <c r="P74" s="36">
        <f>N74-O74</f>
        <v/>
      </c>
      <c r="Q74" s="32" t="n"/>
      <c r="R74" s="32" t="n"/>
      <c r="S74" s="32" t="n"/>
      <c r="T74" s="33" t="n"/>
      <c r="U74" s="42">
        <f>'S48'!T74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'S48'!M75+L75</f>
        <v/>
      </c>
      <c r="N75" s="31">
        <f>IFERROR(M75/K75,0)</f>
        <v/>
      </c>
      <c r="O75" s="40">
        <f>'S48'!N75</f>
        <v/>
      </c>
      <c r="P75" s="31">
        <f>N75-O75</f>
        <v/>
      </c>
      <c r="Q75" s="32" t="n"/>
      <c r="R75" s="32" t="n"/>
      <c r="S75" s="32" t="n"/>
      <c r="T75" s="33" t="n"/>
      <c r="U75" s="40">
        <f>'S48'!T75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'S48'!M76+L76</f>
        <v/>
      </c>
      <c r="N76" s="36">
        <f>IFERROR(M76/K76,0)</f>
        <v/>
      </c>
      <c r="O76" s="42">
        <f>'S48'!N76</f>
        <v/>
      </c>
      <c r="P76" s="36">
        <f>N76-O76</f>
        <v/>
      </c>
      <c r="Q76" s="32" t="n"/>
      <c r="R76" s="32" t="n"/>
      <c r="S76" s="32" t="n"/>
      <c r="T76" s="33" t="n"/>
      <c r="U76" s="42">
        <f>'S48'!T76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52.xml><?xml version="1.0" encoding="utf-8"?>
<worksheet xmlns="http://schemas.openxmlformats.org/spreadsheetml/2006/main">
  <sheetPr>
    <tabColor rgb="00375623"/>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50 (07/12 - 13/12) — Décembre 2026 - Exécution Physique et Financière</t>
        </is>
      </c>
    </row>
    <row r="3" ht="22" customHeight="1">
      <c r="B3" s="20" t="inlineStr">
        <is>
          <t>Date :</t>
        </is>
      </c>
      <c r="C3" s="21" t="n">
        <v>46363</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'S49'!M5+L5</f>
        <v/>
      </c>
      <c r="N5" s="31">
        <f>IFERROR(M5/K5,0)</f>
        <v/>
      </c>
      <c r="O5" s="40">
        <f>'S49'!N5</f>
        <v/>
      </c>
      <c r="P5" s="31">
        <f>N5-O5</f>
        <v/>
      </c>
      <c r="Q5" s="32" t="n"/>
      <c r="R5" s="32" t="n"/>
      <c r="S5" s="32" t="n"/>
      <c r="T5" s="33" t="n"/>
      <c r="U5" s="40">
        <f>'S49'!T5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'S49'!M6+L6</f>
        <v/>
      </c>
      <c r="N6" s="36">
        <f>IFERROR(M6/K6,0)</f>
        <v/>
      </c>
      <c r="O6" s="42">
        <f>'S49'!N6</f>
        <v/>
      </c>
      <c r="P6" s="36">
        <f>N6-O6</f>
        <v/>
      </c>
      <c r="Q6" s="32" t="n"/>
      <c r="R6" s="32" t="n"/>
      <c r="S6" s="32" t="n"/>
      <c r="T6" s="33" t="n"/>
      <c r="U6" s="42">
        <f>'S49'!T6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'S49'!M7+L7</f>
        <v/>
      </c>
      <c r="N7" s="31">
        <f>IFERROR(M7/K7,0)</f>
        <v/>
      </c>
      <c r="O7" s="40">
        <f>'S49'!N7</f>
        <v/>
      </c>
      <c r="P7" s="31">
        <f>N7-O7</f>
        <v/>
      </c>
      <c r="Q7" s="32" t="n"/>
      <c r="R7" s="32" t="n"/>
      <c r="S7" s="32" t="n"/>
      <c r="T7" s="33" t="n"/>
      <c r="U7" s="40">
        <f>'S49'!T7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'S49'!M8+L8</f>
        <v/>
      </c>
      <c r="N8" s="36">
        <f>IFERROR(M8/K8,0)</f>
        <v/>
      </c>
      <c r="O8" s="42">
        <f>'S49'!N8</f>
        <v/>
      </c>
      <c r="P8" s="36">
        <f>N8-O8</f>
        <v/>
      </c>
      <c r="Q8" s="32" t="n"/>
      <c r="R8" s="32" t="n"/>
      <c r="S8" s="32" t="n"/>
      <c r="T8" s="33" t="n"/>
      <c r="U8" s="42">
        <f>'S49'!T8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'S49'!M9+L9</f>
        <v/>
      </c>
      <c r="N9" s="31">
        <f>IFERROR(M9/K9,0)</f>
        <v/>
      </c>
      <c r="O9" s="40">
        <f>'S49'!N9</f>
        <v/>
      </c>
      <c r="P9" s="31">
        <f>N9-O9</f>
        <v/>
      </c>
      <c r="Q9" s="32" t="n"/>
      <c r="R9" s="32" t="n"/>
      <c r="S9" s="32" t="n"/>
      <c r="T9" s="33" t="n"/>
      <c r="U9" s="40">
        <f>'S49'!T9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'S49'!M10+L10</f>
        <v/>
      </c>
      <c r="N10" s="36">
        <f>IFERROR(M10/K10,0)</f>
        <v/>
      </c>
      <c r="O10" s="42">
        <f>'S49'!N10</f>
        <v/>
      </c>
      <c r="P10" s="36">
        <f>N10-O10</f>
        <v/>
      </c>
      <c r="Q10" s="32" t="n"/>
      <c r="R10" s="32" t="n"/>
      <c r="S10" s="32" t="n"/>
      <c r="T10" s="33" t="n"/>
      <c r="U10" s="42">
        <f>'S49'!T10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'S49'!M11+L11</f>
        <v/>
      </c>
      <c r="N11" s="31">
        <f>IFERROR(M11/K11,0)</f>
        <v/>
      </c>
      <c r="O11" s="40">
        <f>'S49'!N11</f>
        <v/>
      </c>
      <c r="P11" s="31">
        <f>N11-O11</f>
        <v/>
      </c>
      <c r="Q11" s="32" t="n"/>
      <c r="R11" s="32" t="n"/>
      <c r="S11" s="32" t="n"/>
      <c r="T11" s="33" t="n"/>
      <c r="U11" s="40">
        <f>'S49'!T11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'S49'!M12+L12</f>
        <v/>
      </c>
      <c r="N12" s="36">
        <f>IFERROR(M12/K12,0)</f>
        <v/>
      </c>
      <c r="O12" s="42">
        <f>'S49'!N12</f>
        <v/>
      </c>
      <c r="P12" s="36">
        <f>N12-O12</f>
        <v/>
      </c>
      <c r="Q12" s="32" t="n"/>
      <c r="R12" s="32" t="n"/>
      <c r="S12" s="32" t="n"/>
      <c r="T12" s="33" t="n"/>
      <c r="U12" s="42">
        <f>'S49'!T12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'S49'!M13+L13</f>
        <v/>
      </c>
      <c r="N13" s="31">
        <f>IFERROR(M13/K13,0)</f>
        <v/>
      </c>
      <c r="O13" s="40">
        <f>'S49'!N13</f>
        <v/>
      </c>
      <c r="P13" s="31">
        <f>N13-O13</f>
        <v/>
      </c>
      <c r="Q13" s="32" t="n"/>
      <c r="R13" s="32" t="n"/>
      <c r="S13" s="32" t="n"/>
      <c r="T13" s="33" t="n"/>
      <c r="U13" s="40">
        <f>'S49'!T13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'S49'!M14+L14</f>
        <v/>
      </c>
      <c r="N14" s="36">
        <f>IFERROR(M14/K14,0)</f>
        <v/>
      </c>
      <c r="O14" s="42">
        <f>'S49'!N14</f>
        <v/>
      </c>
      <c r="P14" s="36">
        <f>N14-O14</f>
        <v/>
      </c>
      <c r="Q14" s="32" t="n"/>
      <c r="R14" s="32" t="n"/>
      <c r="S14" s="32" t="n"/>
      <c r="T14" s="33" t="n"/>
      <c r="U14" s="42">
        <f>'S49'!T14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'S49'!M15+L15</f>
        <v/>
      </c>
      <c r="N15" s="31">
        <f>IFERROR(M15/K15,0)</f>
        <v/>
      </c>
      <c r="O15" s="40">
        <f>'S49'!N15</f>
        <v/>
      </c>
      <c r="P15" s="31">
        <f>N15-O15</f>
        <v/>
      </c>
      <c r="Q15" s="32" t="n"/>
      <c r="R15" s="32" t="n"/>
      <c r="S15" s="32" t="n"/>
      <c r="T15" s="33" t="n"/>
      <c r="U15" s="40">
        <f>'S49'!T15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'S49'!M16+L16</f>
        <v/>
      </c>
      <c r="N16" s="36">
        <f>IFERROR(M16/K16,0)</f>
        <v/>
      </c>
      <c r="O16" s="42">
        <f>'S49'!N16</f>
        <v/>
      </c>
      <c r="P16" s="36">
        <f>N16-O16</f>
        <v/>
      </c>
      <c r="Q16" s="32" t="n"/>
      <c r="R16" s="32" t="n"/>
      <c r="S16" s="32" t="n"/>
      <c r="T16" s="33" t="n"/>
      <c r="U16" s="42">
        <f>'S49'!T16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'S49'!M17+L17</f>
        <v/>
      </c>
      <c r="N17" s="31">
        <f>IFERROR(M17/K17,0)</f>
        <v/>
      </c>
      <c r="O17" s="40">
        <f>'S49'!N17</f>
        <v/>
      </c>
      <c r="P17" s="31">
        <f>N17-O17</f>
        <v/>
      </c>
      <c r="Q17" s="32" t="n"/>
      <c r="R17" s="32" t="n"/>
      <c r="S17" s="32" t="n"/>
      <c r="T17" s="33" t="n"/>
      <c r="U17" s="40">
        <f>'S49'!T17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'S49'!M18+L18</f>
        <v/>
      </c>
      <c r="N18" s="36">
        <f>IFERROR(M18/K18,0)</f>
        <v/>
      </c>
      <c r="O18" s="42">
        <f>'S49'!N18</f>
        <v/>
      </c>
      <c r="P18" s="36">
        <f>N18-O18</f>
        <v/>
      </c>
      <c r="Q18" s="32" t="n"/>
      <c r="R18" s="32" t="n"/>
      <c r="S18" s="32" t="n"/>
      <c r="T18" s="33" t="n"/>
      <c r="U18" s="42">
        <f>'S49'!T18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'S49'!M19+L19</f>
        <v/>
      </c>
      <c r="N19" s="31">
        <f>IFERROR(M19/K19,0)</f>
        <v/>
      </c>
      <c r="O19" s="40">
        <f>'S49'!N19</f>
        <v/>
      </c>
      <c r="P19" s="31">
        <f>N19-O19</f>
        <v/>
      </c>
      <c r="Q19" s="32" t="n"/>
      <c r="R19" s="32" t="n"/>
      <c r="S19" s="32" t="n"/>
      <c r="T19" s="33" t="n"/>
      <c r="U19" s="40">
        <f>'S49'!T19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'S49'!M20+L20</f>
        <v/>
      </c>
      <c r="N20" s="36">
        <f>IFERROR(M20/K20,0)</f>
        <v/>
      </c>
      <c r="O20" s="42">
        <f>'S49'!N20</f>
        <v/>
      </c>
      <c r="P20" s="36">
        <f>N20-O20</f>
        <v/>
      </c>
      <c r="Q20" s="32" t="n"/>
      <c r="R20" s="32" t="n"/>
      <c r="S20" s="32" t="n"/>
      <c r="T20" s="33" t="n"/>
      <c r="U20" s="42">
        <f>'S49'!T20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'S49'!M21+L21</f>
        <v/>
      </c>
      <c r="N21" s="31">
        <f>IFERROR(M21/K21,0)</f>
        <v/>
      </c>
      <c r="O21" s="40">
        <f>'S49'!N21</f>
        <v/>
      </c>
      <c r="P21" s="31">
        <f>N21-O21</f>
        <v/>
      </c>
      <c r="Q21" s="32" t="n"/>
      <c r="R21" s="32" t="n"/>
      <c r="S21" s="32" t="n"/>
      <c r="T21" s="33" t="n"/>
      <c r="U21" s="40">
        <f>'S49'!T21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'S49'!M22+L22</f>
        <v/>
      </c>
      <c r="N22" s="36">
        <f>IFERROR(M22/K22,0)</f>
        <v/>
      </c>
      <c r="O22" s="42">
        <f>'S49'!N22</f>
        <v/>
      </c>
      <c r="P22" s="36">
        <f>N22-O22</f>
        <v/>
      </c>
      <c r="Q22" s="32" t="n"/>
      <c r="R22" s="32" t="n"/>
      <c r="S22" s="32" t="n"/>
      <c r="T22" s="33" t="n"/>
      <c r="U22" s="42">
        <f>'S49'!T22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'S49'!M23+L23</f>
        <v/>
      </c>
      <c r="N23" s="31">
        <f>IFERROR(M23/K23,0)</f>
        <v/>
      </c>
      <c r="O23" s="40">
        <f>'S49'!N23</f>
        <v/>
      </c>
      <c r="P23" s="31">
        <f>N23-O23</f>
        <v/>
      </c>
      <c r="Q23" s="32" t="n"/>
      <c r="R23" s="32" t="n"/>
      <c r="S23" s="32" t="n"/>
      <c r="T23" s="33" t="n"/>
      <c r="U23" s="40">
        <f>'S49'!T23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'S49'!M24+L24</f>
        <v/>
      </c>
      <c r="N24" s="36">
        <f>IFERROR(M24/K24,0)</f>
        <v/>
      </c>
      <c r="O24" s="42">
        <f>'S49'!N24</f>
        <v/>
      </c>
      <c r="P24" s="36">
        <f>N24-O24</f>
        <v/>
      </c>
      <c r="Q24" s="32" t="n"/>
      <c r="R24" s="32" t="n"/>
      <c r="S24" s="32" t="n"/>
      <c r="T24" s="33" t="n"/>
      <c r="U24" s="42">
        <f>'S49'!T24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'S49'!M25+L25</f>
        <v/>
      </c>
      <c r="N25" s="31">
        <f>IFERROR(M25/K25,0)</f>
        <v/>
      </c>
      <c r="O25" s="40">
        <f>'S49'!N25</f>
        <v/>
      </c>
      <c r="P25" s="31">
        <f>N25-O25</f>
        <v/>
      </c>
      <c r="Q25" s="32" t="n"/>
      <c r="R25" s="32" t="n"/>
      <c r="S25" s="32" t="n"/>
      <c r="T25" s="33" t="n"/>
      <c r="U25" s="40">
        <f>'S49'!T25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'S49'!M26+L26</f>
        <v/>
      </c>
      <c r="N26" s="36">
        <f>IFERROR(M26/K26,0)</f>
        <v/>
      </c>
      <c r="O26" s="42">
        <f>'S49'!N26</f>
        <v/>
      </c>
      <c r="P26" s="36">
        <f>N26-O26</f>
        <v/>
      </c>
      <c r="Q26" s="32" t="n"/>
      <c r="R26" s="32" t="n"/>
      <c r="S26" s="32" t="n"/>
      <c r="T26" s="33" t="n"/>
      <c r="U26" s="42">
        <f>'S49'!T26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'S49'!M27+L27</f>
        <v/>
      </c>
      <c r="N27" s="31">
        <f>IFERROR(M27/K27,0)</f>
        <v/>
      </c>
      <c r="O27" s="40">
        <f>'S49'!N27</f>
        <v/>
      </c>
      <c r="P27" s="31">
        <f>N27-O27</f>
        <v/>
      </c>
      <c r="Q27" s="32" t="n"/>
      <c r="R27" s="32" t="n"/>
      <c r="S27" s="32" t="n"/>
      <c r="T27" s="33" t="n"/>
      <c r="U27" s="40">
        <f>'S49'!T27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'S49'!M28+L28</f>
        <v/>
      </c>
      <c r="N28" s="36">
        <f>IFERROR(M28/K28,0)</f>
        <v/>
      </c>
      <c r="O28" s="42">
        <f>'S49'!N28</f>
        <v/>
      </c>
      <c r="P28" s="36">
        <f>N28-O28</f>
        <v/>
      </c>
      <c r="Q28" s="32" t="n"/>
      <c r="R28" s="32" t="n"/>
      <c r="S28" s="32" t="n"/>
      <c r="T28" s="33" t="n"/>
      <c r="U28" s="42">
        <f>'S49'!T28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'S49'!M29+L29</f>
        <v/>
      </c>
      <c r="N29" s="31">
        <f>IFERROR(M29/K29,0)</f>
        <v/>
      </c>
      <c r="O29" s="40">
        <f>'S49'!N29</f>
        <v/>
      </c>
      <c r="P29" s="31">
        <f>N29-O29</f>
        <v/>
      </c>
      <c r="Q29" s="32" t="n"/>
      <c r="R29" s="32" t="n"/>
      <c r="S29" s="32" t="n"/>
      <c r="T29" s="33" t="n"/>
      <c r="U29" s="40">
        <f>'S49'!T29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'S49'!M30+L30</f>
        <v/>
      </c>
      <c r="N30" s="36">
        <f>IFERROR(M30/K30,0)</f>
        <v/>
      </c>
      <c r="O30" s="42">
        <f>'S49'!N30</f>
        <v/>
      </c>
      <c r="P30" s="36">
        <f>N30-O30</f>
        <v/>
      </c>
      <c r="Q30" s="32" t="n"/>
      <c r="R30" s="32" t="n"/>
      <c r="S30" s="32" t="n"/>
      <c r="T30" s="33" t="n"/>
      <c r="U30" s="42">
        <f>'S49'!T30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'S49'!M31+L31</f>
        <v/>
      </c>
      <c r="N31" s="31">
        <f>IFERROR(M31/K31,0)</f>
        <v/>
      </c>
      <c r="O31" s="40">
        <f>'S49'!N31</f>
        <v/>
      </c>
      <c r="P31" s="31">
        <f>N31-O31</f>
        <v/>
      </c>
      <c r="Q31" s="32" t="n"/>
      <c r="R31" s="32" t="n"/>
      <c r="S31" s="32" t="n"/>
      <c r="T31" s="33" t="n"/>
      <c r="U31" s="40">
        <f>'S49'!T31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'S49'!M32+L32</f>
        <v/>
      </c>
      <c r="N32" s="36">
        <f>IFERROR(M32/K32,0)</f>
        <v/>
      </c>
      <c r="O32" s="42">
        <f>'S49'!N32</f>
        <v/>
      </c>
      <c r="P32" s="36">
        <f>N32-O32</f>
        <v/>
      </c>
      <c r="Q32" s="32" t="n"/>
      <c r="R32" s="32" t="n"/>
      <c r="S32" s="32" t="n"/>
      <c r="T32" s="33" t="n"/>
      <c r="U32" s="42">
        <f>'S49'!T32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'S49'!M33+L33</f>
        <v/>
      </c>
      <c r="N33" s="31">
        <f>IFERROR(M33/K33,0)</f>
        <v/>
      </c>
      <c r="O33" s="40">
        <f>'S49'!N33</f>
        <v/>
      </c>
      <c r="P33" s="31">
        <f>N33-O33</f>
        <v/>
      </c>
      <c r="Q33" s="32" t="n"/>
      <c r="R33" s="32" t="n"/>
      <c r="S33" s="32" t="n"/>
      <c r="T33" s="33" t="n"/>
      <c r="U33" s="40">
        <f>'S49'!T33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'S49'!M34+L34</f>
        <v/>
      </c>
      <c r="N34" s="36">
        <f>IFERROR(M34/K34,0)</f>
        <v/>
      </c>
      <c r="O34" s="42">
        <f>'S49'!N34</f>
        <v/>
      </c>
      <c r="P34" s="36">
        <f>N34-O34</f>
        <v/>
      </c>
      <c r="Q34" s="32" t="n"/>
      <c r="R34" s="32" t="n"/>
      <c r="S34" s="32" t="n"/>
      <c r="T34" s="33" t="n"/>
      <c r="U34" s="42">
        <f>'S49'!T34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'S49'!M35+L35</f>
        <v/>
      </c>
      <c r="N35" s="31">
        <f>IFERROR(M35/K35,0)</f>
        <v/>
      </c>
      <c r="O35" s="40">
        <f>'S49'!N35</f>
        <v/>
      </c>
      <c r="P35" s="31">
        <f>N35-O35</f>
        <v/>
      </c>
      <c r="Q35" s="32" t="n"/>
      <c r="R35" s="32" t="n"/>
      <c r="S35" s="32" t="n"/>
      <c r="T35" s="33" t="n"/>
      <c r="U35" s="40">
        <f>'S49'!T35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'S49'!M36+L36</f>
        <v/>
      </c>
      <c r="N36" s="36">
        <f>IFERROR(M36/K36,0)</f>
        <v/>
      </c>
      <c r="O36" s="42">
        <f>'S49'!N36</f>
        <v/>
      </c>
      <c r="P36" s="36">
        <f>N36-O36</f>
        <v/>
      </c>
      <c r="Q36" s="32" t="n"/>
      <c r="R36" s="32" t="n"/>
      <c r="S36" s="32" t="n"/>
      <c r="T36" s="33" t="n"/>
      <c r="U36" s="42">
        <f>'S49'!T36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'S49'!M37+L37</f>
        <v/>
      </c>
      <c r="N37" s="31">
        <f>IFERROR(M37/K37,0)</f>
        <v/>
      </c>
      <c r="O37" s="40">
        <f>'S49'!N37</f>
        <v/>
      </c>
      <c r="P37" s="31">
        <f>N37-O37</f>
        <v/>
      </c>
      <c r="Q37" s="32" t="n"/>
      <c r="R37" s="32" t="n"/>
      <c r="S37" s="32" t="n"/>
      <c r="T37" s="33" t="n"/>
      <c r="U37" s="40">
        <f>'S49'!T37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'S49'!M38+L38</f>
        <v/>
      </c>
      <c r="N38" s="36">
        <f>IFERROR(M38/K38,0)</f>
        <v/>
      </c>
      <c r="O38" s="42">
        <f>'S49'!N38</f>
        <v/>
      </c>
      <c r="P38" s="36">
        <f>N38-O38</f>
        <v/>
      </c>
      <c r="Q38" s="32" t="n"/>
      <c r="R38" s="32" t="n"/>
      <c r="S38" s="32" t="n"/>
      <c r="T38" s="33" t="n"/>
      <c r="U38" s="42">
        <f>'S49'!T38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'S49'!M39+L39</f>
        <v/>
      </c>
      <c r="N39" s="31">
        <f>IFERROR(M39/K39,0)</f>
        <v/>
      </c>
      <c r="O39" s="40">
        <f>'S49'!N39</f>
        <v/>
      </c>
      <c r="P39" s="31">
        <f>N39-O39</f>
        <v/>
      </c>
      <c r="Q39" s="32" t="n"/>
      <c r="R39" s="32" t="n"/>
      <c r="S39" s="32" t="n"/>
      <c r="T39" s="33" t="n"/>
      <c r="U39" s="40">
        <f>'S49'!T39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'S49'!M40+L40</f>
        <v/>
      </c>
      <c r="N40" s="36">
        <f>IFERROR(M40/K40,0)</f>
        <v/>
      </c>
      <c r="O40" s="42">
        <f>'S49'!N40</f>
        <v/>
      </c>
      <c r="P40" s="36">
        <f>N40-O40</f>
        <v/>
      </c>
      <c r="Q40" s="32" t="n"/>
      <c r="R40" s="32" t="n"/>
      <c r="S40" s="32" t="n"/>
      <c r="T40" s="33" t="n"/>
      <c r="U40" s="42">
        <f>'S49'!T40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'S49'!M41+L41</f>
        <v/>
      </c>
      <c r="N41" s="31">
        <f>IFERROR(M41/K41,0)</f>
        <v/>
      </c>
      <c r="O41" s="40">
        <f>'S49'!N41</f>
        <v/>
      </c>
      <c r="P41" s="31">
        <f>N41-O41</f>
        <v/>
      </c>
      <c r="Q41" s="32" t="n"/>
      <c r="R41" s="32" t="n"/>
      <c r="S41" s="32" t="n"/>
      <c r="T41" s="33" t="n"/>
      <c r="U41" s="40">
        <f>'S49'!T41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'S49'!M42+L42</f>
        <v/>
      </c>
      <c r="N42" s="36">
        <f>IFERROR(M42/K42,0)</f>
        <v/>
      </c>
      <c r="O42" s="42">
        <f>'S49'!N42</f>
        <v/>
      </c>
      <c r="P42" s="36">
        <f>N42-O42</f>
        <v/>
      </c>
      <c r="Q42" s="32" t="n"/>
      <c r="R42" s="32" t="n"/>
      <c r="S42" s="32" t="n"/>
      <c r="T42" s="33" t="n"/>
      <c r="U42" s="42">
        <f>'S49'!T42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'S49'!M43+L43</f>
        <v/>
      </c>
      <c r="N43" s="31">
        <f>IFERROR(M43/K43,0)</f>
        <v/>
      </c>
      <c r="O43" s="40">
        <f>'S49'!N43</f>
        <v/>
      </c>
      <c r="P43" s="31">
        <f>N43-O43</f>
        <v/>
      </c>
      <c r="Q43" s="32" t="n"/>
      <c r="R43" s="32" t="n"/>
      <c r="S43" s="32" t="n"/>
      <c r="T43" s="33" t="n"/>
      <c r="U43" s="40">
        <f>'S49'!T43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'S49'!M44+L44</f>
        <v/>
      </c>
      <c r="N44" s="36">
        <f>IFERROR(M44/K44,0)</f>
        <v/>
      </c>
      <c r="O44" s="42">
        <f>'S49'!N44</f>
        <v/>
      </c>
      <c r="P44" s="36">
        <f>N44-O44</f>
        <v/>
      </c>
      <c r="Q44" s="32" t="n"/>
      <c r="R44" s="32" t="n"/>
      <c r="S44" s="32" t="n"/>
      <c r="T44" s="33" t="n"/>
      <c r="U44" s="42">
        <f>'S49'!T44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'S49'!M45+L45</f>
        <v/>
      </c>
      <c r="N45" s="31">
        <f>IFERROR(M45/K45,0)</f>
        <v/>
      </c>
      <c r="O45" s="40">
        <f>'S49'!N45</f>
        <v/>
      </c>
      <c r="P45" s="31">
        <f>N45-O45</f>
        <v/>
      </c>
      <c r="Q45" s="32" t="n"/>
      <c r="R45" s="32" t="n"/>
      <c r="S45" s="32" t="n"/>
      <c r="T45" s="33" t="n"/>
      <c r="U45" s="40">
        <f>'S49'!T45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'S49'!M46+L46</f>
        <v/>
      </c>
      <c r="N46" s="36">
        <f>IFERROR(M46/K46,0)</f>
        <v/>
      </c>
      <c r="O46" s="42">
        <f>'S49'!N46</f>
        <v/>
      </c>
      <c r="P46" s="36">
        <f>N46-O46</f>
        <v/>
      </c>
      <c r="Q46" s="32" t="n"/>
      <c r="R46" s="32" t="n"/>
      <c r="S46" s="32" t="n"/>
      <c r="T46" s="33" t="n"/>
      <c r="U46" s="42">
        <f>'S49'!T46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'S49'!M47+L47</f>
        <v/>
      </c>
      <c r="N47" s="31">
        <f>IFERROR(M47/K47,0)</f>
        <v/>
      </c>
      <c r="O47" s="40">
        <f>'S49'!N47</f>
        <v/>
      </c>
      <c r="P47" s="31">
        <f>N47-O47</f>
        <v/>
      </c>
      <c r="Q47" s="32" t="n"/>
      <c r="R47" s="32" t="n"/>
      <c r="S47" s="32" t="n"/>
      <c r="T47" s="33" t="n"/>
      <c r="U47" s="40">
        <f>'S49'!T47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'S49'!M48+L48</f>
        <v/>
      </c>
      <c r="N48" s="36">
        <f>IFERROR(M48/K48,0)</f>
        <v/>
      </c>
      <c r="O48" s="42">
        <f>'S49'!N48</f>
        <v/>
      </c>
      <c r="P48" s="36">
        <f>N48-O48</f>
        <v/>
      </c>
      <c r="Q48" s="32" t="n"/>
      <c r="R48" s="32" t="n"/>
      <c r="S48" s="32" t="n"/>
      <c r="T48" s="33" t="n"/>
      <c r="U48" s="42">
        <f>'S49'!T48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'S49'!M49+L49</f>
        <v/>
      </c>
      <c r="N49" s="31">
        <f>IFERROR(M49/K49,0)</f>
        <v/>
      </c>
      <c r="O49" s="40">
        <f>'S49'!N49</f>
        <v/>
      </c>
      <c r="P49" s="31">
        <f>N49-O49</f>
        <v/>
      </c>
      <c r="Q49" s="32" t="n"/>
      <c r="R49" s="32" t="n"/>
      <c r="S49" s="32" t="n"/>
      <c r="T49" s="33" t="n"/>
      <c r="U49" s="40">
        <f>'S49'!T49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'S49'!M50+L50</f>
        <v/>
      </c>
      <c r="N50" s="36">
        <f>IFERROR(M50/K50,0)</f>
        <v/>
      </c>
      <c r="O50" s="42">
        <f>'S49'!N50</f>
        <v/>
      </c>
      <c r="P50" s="36">
        <f>N50-O50</f>
        <v/>
      </c>
      <c r="Q50" s="32" t="n"/>
      <c r="R50" s="32" t="n"/>
      <c r="S50" s="32" t="n"/>
      <c r="T50" s="33" t="n"/>
      <c r="U50" s="42">
        <f>'S49'!T50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'S49'!M51+L51</f>
        <v/>
      </c>
      <c r="N51" s="31">
        <f>IFERROR(M51/K51,0)</f>
        <v/>
      </c>
      <c r="O51" s="40">
        <f>'S49'!N51</f>
        <v/>
      </c>
      <c r="P51" s="31">
        <f>N51-O51</f>
        <v/>
      </c>
      <c r="Q51" s="32" t="n"/>
      <c r="R51" s="32" t="n"/>
      <c r="S51" s="32" t="n"/>
      <c r="T51" s="33" t="n"/>
      <c r="U51" s="40">
        <f>'S49'!T51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'S49'!M52+L52</f>
        <v/>
      </c>
      <c r="N52" s="36">
        <f>IFERROR(M52/K52,0)</f>
        <v/>
      </c>
      <c r="O52" s="42">
        <f>'S49'!N52</f>
        <v/>
      </c>
      <c r="P52" s="36">
        <f>N52-O52</f>
        <v/>
      </c>
      <c r="Q52" s="32" t="n"/>
      <c r="R52" s="32" t="n"/>
      <c r="S52" s="32" t="n"/>
      <c r="T52" s="33" t="n"/>
      <c r="U52" s="42">
        <f>'S49'!T52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'S49'!M53+L53</f>
        <v/>
      </c>
      <c r="N53" s="31">
        <f>IFERROR(M53/K53,0)</f>
        <v/>
      </c>
      <c r="O53" s="40">
        <f>'S49'!N53</f>
        <v/>
      </c>
      <c r="P53" s="31">
        <f>N53-O53</f>
        <v/>
      </c>
      <c r="Q53" s="32" t="n"/>
      <c r="R53" s="32" t="n"/>
      <c r="S53" s="32" t="n"/>
      <c r="T53" s="33" t="n"/>
      <c r="U53" s="40">
        <f>'S49'!T53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'S49'!M54+L54</f>
        <v/>
      </c>
      <c r="N54" s="36">
        <f>IFERROR(M54/K54,0)</f>
        <v/>
      </c>
      <c r="O54" s="42">
        <f>'S49'!N54</f>
        <v/>
      </c>
      <c r="P54" s="36">
        <f>N54-O54</f>
        <v/>
      </c>
      <c r="Q54" s="32" t="n"/>
      <c r="R54" s="32" t="n"/>
      <c r="S54" s="32" t="n"/>
      <c r="T54" s="33" t="n"/>
      <c r="U54" s="42">
        <f>'S49'!T54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'S49'!M55+L55</f>
        <v/>
      </c>
      <c r="N55" s="31">
        <f>IFERROR(M55/K55,0)</f>
        <v/>
      </c>
      <c r="O55" s="40">
        <f>'S49'!N55</f>
        <v/>
      </c>
      <c r="P55" s="31">
        <f>N55-O55</f>
        <v/>
      </c>
      <c r="Q55" s="32" t="n"/>
      <c r="R55" s="32" t="n"/>
      <c r="S55" s="32" t="n"/>
      <c r="T55" s="33" t="n"/>
      <c r="U55" s="40">
        <f>'S49'!T55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'S49'!M56+L56</f>
        <v/>
      </c>
      <c r="N56" s="36">
        <f>IFERROR(M56/K56,0)</f>
        <v/>
      </c>
      <c r="O56" s="42">
        <f>'S49'!N56</f>
        <v/>
      </c>
      <c r="P56" s="36">
        <f>N56-O56</f>
        <v/>
      </c>
      <c r="Q56" s="32" t="n"/>
      <c r="R56" s="32" t="n"/>
      <c r="S56" s="32" t="n"/>
      <c r="T56" s="33" t="n"/>
      <c r="U56" s="42">
        <f>'S49'!T56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'S49'!M57+L57</f>
        <v/>
      </c>
      <c r="N57" s="31">
        <f>IFERROR(M57/K57,0)</f>
        <v/>
      </c>
      <c r="O57" s="40">
        <f>'S49'!N57</f>
        <v/>
      </c>
      <c r="P57" s="31">
        <f>N57-O57</f>
        <v/>
      </c>
      <c r="Q57" s="32" t="n"/>
      <c r="R57" s="32" t="n"/>
      <c r="S57" s="32" t="n"/>
      <c r="T57" s="33" t="n"/>
      <c r="U57" s="40">
        <f>'S49'!T57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'S49'!M58+L58</f>
        <v/>
      </c>
      <c r="N58" s="36">
        <f>IFERROR(M58/K58,0)</f>
        <v/>
      </c>
      <c r="O58" s="42">
        <f>'S49'!N58</f>
        <v/>
      </c>
      <c r="P58" s="36">
        <f>N58-O58</f>
        <v/>
      </c>
      <c r="Q58" s="32" t="n"/>
      <c r="R58" s="32" t="n"/>
      <c r="S58" s="32" t="n"/>
      <c r="T58" s="33" t="n"/>
      <c r="U58" s="42">
        <f>'S49'!T58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'S49'!M59+L59</f>
        <v/>
      </c>
      <c r="N59" s="31">
        <f>IFERROR(M59/K59,0)</f>
        <v/>
      </c>
      <c r="O59" s="40">
        <f>'S49'!N59</f>
        <v/>
      </c>
      <c r="P59" s="31">
        <f>N59-O59</f>
        <v/>
      </c>
      <c r="Q59" s="32" t="n"/>
      <c r="R59" s="32" t="n"/>
      <c r="S59" s="32" t="n"/>
      <c r="T59" s="33" t="n"/>
      <c r="U59" s="40">
        <f>'S49'!T59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'S49'!M60+L60</f>
        <v/>
      </c>
      <c r="N60" s="36">
        <f>IFERROR(M60/K60,0)</f>
        <v/>
      </c>
      <c r="O60" s="42">
        <f>'S49'!N60</f>
        <v/>
      </c>
      <c r="P60" s="36">
        <f>N60-O60</f>
        <v/>
      </c>
      <c r="Q60" s="32" t="n"/>
      <c r="R60" s="32" t="n"/>
      <c r="S60" s="32" t="n"/>
      <c r="T60" s="33" t="n"/>
      <c r="U60" s="42">
        <f>'S49'!T60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'S49'!M61+L61</f>
        <v/>
      </c>
      <c r="N61" s="31">
        <f>IFERROR(M61/K61,0)</f>
        <v/>
      </c>
      <c r="O61" s="40">
        <f>'S49'!N61</f>
        <v/>
      </c>
      <c r="P61" s="31">
        <f>N61-O61</f>
        <v/>
      </c>
      <c r="Q61" s="32" t="n"/>
      <c r="R61" s="32" t="n"/>
      <c r="S61" s="32" t="n"/>
      <c r="T61" s="33" t="n"/>
      <c r="U61" s="40">
        <f>'S49'!T61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'S49'!M62+L62</f>
        <v/>
      </c>
      <c r="N62" s="36">
        <f>IFERROR(M62/K62,0)</f>
        <v/>
      </c>
      <c r="O62" s="42">
        <f>'S49'!N62</f>
        <v/>
      </c>
      <c r="P62" s="36">
        <f>N62-O62</f>
        <v/>
      </c>
      <c r="Q62" s="32" t="n"/>
      <c r="R62" s="32" t="n"/>
      <c r="S62" s="32" t="n"/>
      <c r="T62" s="33" t="n"/>
      <c r="U62" s="42">
        <f>'S49'!T62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'S49'!M63+L63</f>
        <v/>
      </c>
      <c r="N63" s="31">
        <f>IFERROR(M63/K63,0)</f>
        <v/>
      </c>
      <c r="O63" s="40">
        <f>'S49'!N63</f>
        <v/>
      </c>
      <c r="P63" s="31">
        <f>N63-O63</f>
        <v/>
      </c>
      <c r="Q63" s="32" t="n"/>
      <c r="R63" s="32" t="n"/>
      <c r="S63" s="32" t="n"/>
      <c r="T63" s="33" t="n"/>
      <c r="U63" s="40">
        <f>'S49'!T63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'S49'!M64+L64</f>
        <v/>
      </c>
      <c r="N64" s="36">
        <f>IFERROR(M64/K64,0)</f>
        <v/>
      </c>
      <c r="O64" s="42">
        <f>'S49'!N64</f>
        <v/>
      </c>
      <c r="P64" s="36">
        <f>N64-O64</f>
        <v/>
      </c>
      <c r="Q64" s="32" t="n"/>
      <c r="R64" s="32" t="n"/>
      <c r="S64" s="32" t="n"/>
      <c r="T64" s="33" t="n"/>
      <c r="U64" s="42">
        <f>'S49'!T64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'S49'!M65+L65</f>
        <v/>
      </c>
      <c r="N65" s="31">
        <f>IFERROR(M65/K65,0)</f>
        <v/>
      </c>
      <c r="O65" s="40">
        <f>'S49'!N65</f>
        <v/>
      </c>
      <c r="P65" s="31">
        <f>N65-O65</f>
        <v/>
      </c>
      <c r="Q65" s="32" t="n"/>
      <c r="R65" s="32" t="n"/>
      <c r="S65" s="32" t="n"/>
      <c r="T65" s="33" t="n"/>
      <c r="U65" s="40">
        <f>'S49'!T65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'S49'!M66+L66</f>
        <v/>
      </c>
      <c r="N66" s="36">
        <f>IFERROR(M66/K66,0)</f>
        <v/>
      </c>
      <c r="O66" s="42">
        <f>'S49'!N66</f>
        <v/>
      </c>
      <c r="P66" s="36">
        <f>N66-O66</f>
        <v/>
      </c>
      <c r="Q66" s="32" t="n"/>
      <c r="R66" s="32" t="n"/>
      <c r="S66" s="32" t="n"/>
      <c r="T66" s="33" t="n"/>
      <c r="U66" s="42">
        <f>'S49'!T66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'S49'!M67+L67</f>
        <v/>
      </c>
      <c r="N67" s="31">
        <f>IFERROR(M67/K67,0)</f>
        <v/>
      </c>
      <c r="O67" s="40">
        <f>'S49'!N67</f>
        <v/>
      </c>
      <c r="P67" s="31">
        <f>N67-O67</f>
        <v/>
      </c>
      <c r="Q67" s="32" t="n"/>
      <c r="R67" s="32" t="n"/>
      <c r="S67" s="32" t="n"/>
      <c r="T67" s="33" t="n"/>
      <c r="U67" s="40">
        <f>'S49'!T67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'S49'!M68+L68</f>
        <v/>
      </c>
      <c r="N68" s="36">
        <f>IFERROR(M68/K68,0)</f>
        <v/>
      </c>
      <c r="O68" s="42">
        <f>'S49'!N68</f>
        <v/>
      </c>
      <c r="P68" s="36">
        <f>N68-O68</f>
        <v/>
      </c>
      <c r="Q68" s="32" t="n"/>
      <c r="R68" s="32" t="n"/>
      <c r="S68" s="32" t="n"/>
      <c r="T68" s="33" t="n"/>
      <c r="U68" s="42">
        <f>'S49'!T68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'S49'!M69+L69</f>
        <v/>
      </c>
      <c r="N69" s="31">
        <f>IFERROR(M69/K69,0)</f>
        <v/>
      </c>
      <c r="O69" s="40">
        <f>'S49'!N69</f>
        <v/>
      </c>
      <c r="P69" s="31">
        <f>N69-O69</f>
        <v/>
      </c>
      <c r="Q69" s="32" t="n"/>
      <c r="R69" s="32" t="n"/>
      <c r="S69" s="32" t="n"/>
      <c r="T69" s="33" t="n"/>
      <c r="U69" s="40">
        <f>'S49'!T69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'S49'!M70+L70</f>
        <v/>
      </c>
      <c r="N70" s="36">
        <f>IFERROR(M70/K70,0)</f>
        <v/>
      </c>
      <c r="O70" s="42">
        <f>'S49'!N70</f>
        <v/>
      </c>
      <c r="P70" s="36">
        <f>N70-O70</f>
        <v/>
      </c>
      <c r="Q70" s="32" t="n"/>
      <c r="R70" s="32" t="n"/>
      <c r="S70" s="32" t="n"/>
      <c r="T70" s="33" t="n"/>
      <c r="U70" s="42">
        <f>'S49'!T70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'S49'!M71+L71</f>
        <v/>
      </c>
      <c r="N71" s="31">
        <f>IFERROR(M71/K71,0)</f>
        <v/>
      </c>
      <c r="O71" s="40">
        <f>'S49'!N71</f>
        <v/>
      </c>
      <c r="P71" s="31">
        <f>N71-O71</f>
        <v/>
      </c>
      <c r="Q71" s="32" t="n"/>
      <c r="R71" s="32" t="n"/>
      <c r="S71" s="32" t="n"/>
      <c r="T71" s="33" t="n"/>
      <c r="U71" s="40">
        <f>'S49'!T71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'S49'!M72+L72</f>
        <v/>
      </c>
      <c r="N72" s="36">
        <f>IFERROR(M72/K72,0)</f>
        <v/>
      </c>
      <c r="O72" s="42">
        <f>'S49'!N72</f>
        <v/>
      </c>
      <c r="P72" s="36">
        <f>N72-O72</f>
        <v/>
      </c>
      <c r="Q72" s="32" t="n"/>
      <c r="R72" s="32" t="n"/>
      <c r="S72" s="32" t="n"/>
      <c r="T72" s="33" t="n"/>
      <c r="U72" s="42">
        <f>'S49'!T72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'S49'!M73+L73</f>
        <v/>
      </c>
      <c r="N73" s="31">
        <f>IFERROR(M73/K73,0)</f>
        <v/>
      </c>
      <c r="O73" s="40">
        <f>'S49'!N73</f>
        <v/>
      </c>
      <c r="P73" s="31">
        <f>N73-O73</f>
        <v/>
      </c>
      <c r="Q73" s="32" t="n"/>
      <c r="R73" s="32" t="n"/>
      <c r="S73" s="32" t="n"/>
      <c r="T73" s="33" t="n"/>
      <c r="U73" s="40">
        <f>'S49'!T73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'S49'!M74+L74</f>
        <v/>
      </c>
      <c r="N74" s="36">
        <f>IFERROR(M74/K74,0)</f>
        <v/>
      </c>
      <c r="O74" s="42">
        <f>'S49'!N74</f>
        <v/>
      </c>
      <c r="P74" s="36">
        <f>N74-O74</f>
        <v/>
      </c>
      <c r="Q74" s="32" t="n"/>
      <c r="R74" s="32" t="n"/>
      <c r="S74" s="32" t="n"/>
      <c r="T74" s="33" t="n"/>
      <c r="U74" s="42">
        <f>'S49'!T74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'S49'!M75+L75</f>
        <v/>
      </c>
      <c r="N75" s="31">
        <f>IFERROR(M75/K75,0)</f>
        <v/>
      </c>
      <c r="O75" s="40">
        <f>'S49'!N75</f>
        <v/>
      </c>
      <c r="P75" s="31">
        <f>N75-O75</f>
        <v/>
      </c>
      <c r="Q75" s="32" t="n"/>
      <c r="R75" s="32" t="n"/>
      <c r="S75" s="32" t="n"/>
      <c r="T75" s="33" t="n"/>
      <c r="U75" s="40">
        <f>'S49'!T75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'S49'!M76+L76</f>
        <v/>
      </c>
      <c r="N76" s="36">
        <f>IFERROR(M76/K76,0)</f>
        <v/>
      </c>
      <c r="O76" s="42">
        <f>'S49'!N76</f>
        <v/>
      </c>
      <c r="P76" s="36">
        <f>N76-O76</f>
        <v/>
      </c>
      <c r="Q76" s="32" t="n"/>
      <c r="R76" s="32" t="n"/>
      <c r="S76" s="32" t="n"/>
      <c r="T76" s="33" t="n"/>
      <c r="U76" s="42">
        <f>'S49'!T76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53.xml><?xml version="1.0" encoding="utf-8"?>
<worksheet xmlns="http://schemas.openxmlformats.org/spreadsheetml/2006/main">
  <sheetPr>
    <tabColor rgb="00375623"/>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51 (14/12 - 20/12) — Décembre 2026 - Exécution Physique et Financière</t>
        </is>
      </c>
    </row>
    <row r="3" ht="22" customHeight="1">
      <c r="B3" s="20" t="inlineStr">
        <is>
          <t>Date :</t>
        </is>
      </c>
      <c r="C3" s="21" t="n">
        <v>46370</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'S50'!M5+L5</f>
        <v/>
      </c>
      <c r="N5" s="31">
        <f>IFERROR(M5/K5,0)</f>
        <v/>
      </c>
      <c r="O5" s="40">
        <f>'S50'!N5</f>
        <v/>
      </c>
      <c r="P5" s="31">
        <f>N5-O5</f>
        <v/>
      </c>
      <c r="Q5" s="32" t="n"/>
      <c r="R5" s="32" t="n"/>
      <c r="S5" s="32" t="n"/>
      <c r="T5" s="33" t="n"/>
      <c r="U5" s="40">
        <f>'S50'!T5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'S50'!M6+L6</f>
        <v/>
      </c>
      <c r="N6" s="36">
        <f>IFERROR(M6/K6,0)</f>
        <v/>
      </c>
      <c r="O6" s="42">
        <f>'S50'!N6</f>
        <v/>
      </c>
      <c r="P6" s="36">
        <f>N6-O6</f>
        <v/>
      </c>
      <c r="Q6" s="32" t="n"/>
      <c r="R6" s="32" t="n"/>
      <c r="S6" s="32" t="n"/>
      <c r="T6" s="33" t="n"/>
      <c r="U6" s="42">
        <f>'S50'!T6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'S50'!M7+L7</f>
        <v/>
      </c>
      <c r="N7" s="31">
        <f>IFERROR(M7/K7,0)</f>
        <v/>
      </c>
      <c r="O7" s="40">
        <f>'S50'!N7</f>
        <v/>
      </c>
      <c r="P7" s="31">
        <f>N7-O7</f>
        <v/>
      </c>
      <c r="Q7" s="32" t="n"/>
      <c r="R7" s="32" t="n"/>
      <c r="S7" s="32" t="n"/>
      <c r="T7" s="33" t="n"/>
      <c r="U7" s="40">
        <f>'S50'!T7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'S50'!M8+L8</f>
        <v/>
      </c>
      <c r="N8" s="36">
        <f>IFERROR(M8/K8,0)</f>
        <v/>
      </c>
      <c r="O8" s="42">
        <f>'S50'!N8</f>
        <v/>
      </c>
      <c r="P8" s="36">
        <f>N8-O8</f>
        <v/>
      </c>
      <c r="Q8" s="32" t="n"/>
      <c r="R8" s="32" t="n"/>
      <c r="S8" s="32" t="n"/>
      <c r="T8" s="33" t="n"/>
      <c r="U8" s="42">
        <f>'S50'!T8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'S50'!M9+L9</f>
        <v/>
      </c>
      <c r="N9" s="31">
        <f>IFERROR(M9/K9,0)</f>
        <v/>
      </c>
      <c r="O9" s="40">
        <f>'S50'!N9</f>
        <v/>
      </c>
      <c r="P9" s="31">
        <f>N9-O9</f>
        <v/>
      </c>
      <c r="Q9" s="32" t="n"/>
      <c r="R9" s="32" t="n"/>
      <c r="S9" s="32" t="n"/>
      <c r="T9" s="33" t="n"/>
      <c r="U9" s="40">
        <f>'S50'!T9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'S50'!M10+L10</f>
        <v/>
      </c>
      <c r="N10" s="36">
        <f>IFERROR(M10/K10,0)</f>
        <v/>
      </c>
      <c r="O10" s="42">
        <f>'S50'!N10</f>
        <v/>
      </c>
      <c r="P10" s="36">
        <f>N10-O10</f>
        <v/>
      </c>
      <c r="Q10" s="32" t="n"/>
      <c r="R10" s="32" t="n"/>
      <c r="S10" s="32" t="n"/>
      <c r="T10" s="33" t="n"/>
      <c r="U10" s="42">
        <f>'S50'!T10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'S50'!M11+L11</f>
        <v/>
      </c>
      <c r="N11" s="31">
        <f>IFERROR(M11/K11,0)</f>
        <v/>
      </c>
      <c r="O11" s="40">
        <f>'S50'!N11</f>
        <v/>
      </c>
      <c r="P11" s="31">
        <f>N11-O11</f>
        <v/>
      </c>
      <c r="Q11" s="32" t="n"/>
      <c r="R11" s="32" t="n"/>
      <c r="S11" s="32" t="n"/>
      <c r="T11" s="33" t="n"/>
      <c r="U11" s="40">
        <f>'S50'!T11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'S50'!M12+L12</f>
        <v/>
      </c>
      <c r="N12" s="36">
        <f>IFERROR(M12/K12,0)</f>
        <v/>
      </c>
      <c r="O12" s="42">
        <f>'S50'!N12</f>
        <v/>
      </c>
      <c r="P12" s="36">
        <f>N12-O12</f>
        <v/>
      </c>
      <c r="Q12" s="32" t="n"/>
      <c r="R12" s="32" t="n"/>
      <c r="S12" s="32" t="n"/>
      <c r="T12" s="33" t="n"/>
      <c r="U12" s="42">
        <f>'S50'!T12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'S50'!M13+L13</f>
        <v/>
      </c>
      <c r="N13" s="31">
        <f>IFERROR(M13/K13,0)</f>
        <v/>
      </c>
      <c r="O13" s="40">
        <f>'S50'!N13</f>
        <v/>
      </c>
      <c r="P13" s="31">
        <f>N13-O13</f>
        <v/>
      </c>
      <c r="Q13" s="32" t="n"/>
      <c r="R13" s="32" t="n"/>
      <c r="S13" s="32" t="n"/>
      <c r="T13" s="33" t="n"/>
      <c r="U13" s="40">
        <f>'S50'!T13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'S50'!M14+L14</f>
        <v/>
      </c>
      <c r="N14" s="36">
        <f>IFERROR(M14/K14,0)</f>
        <v/>
      </c>
      <c r="O14" s="42">
        <f>'S50'!N14</f>
        <v/>
      </c>
      <c r="P14" s="36">
        <f>N14-O14</f>
        <v/>
      </c>
      <c r="Q14" s="32" t="n"/>
      <c r="R14" s="32" t="n"/>
      <c r="S14" s="32" t="n"/>
      <c r="T14" s="33" t="n"/>
      <c r="U14" s="42">
        <f>'S50'!T14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'S50'!M15+L15</f>
        <v/>
      </c>
      <c r="N15" s="31">
        <f>IFERROR(M15/K15,0)</f>
        <v/>
      </c>
      <c r="O15" s="40">
        <f>'S50'!N15</f>
        <v/>
      </c>
      <c r="P15" s="31">
        <f>N15-O15</f>
        <v/>
      </c>
      <c r="Q15" s="32" t="n"/>
      <c r="R15" s="32" t="n"/>
      <c r="S15" s="32" t="n"/>
      <c r="T15" s="33" t="n"/>
      <c r="U15" s="40">
        <f>'S50'!T15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'S50'!M16+L16</f>
        <v/>
      </c>
      <c r="N16" s="36">
        <f>IFERROR(M16/K16,0)</f>
        <v/>
      </c>
      <c r="O16" s="42">
        <f>'S50'!N16</f>
        <v/>
      </c>
      <c r="P16" s="36">
        <f>N16-O16</f>
        <v/>
      </c>
      <c r="Q16" s="32" t="n"/>
      <c r="R16" s="32" t="n"/>
      <c r="S16" s="32" t="n"/>
      <c r="T16" s="33" t="n"/>
      <c r="U16" s="42">
        <f>'S50'!T16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'S50'!M17+L17</f>
        <v/>
      </c>
      <c r="N17" s="31">
        <f>IFERROR(M17/K17,0)</f>
        <v/>
      </c>
      <c r="O17" s="40">
        <f>'S50'!N17</f>
        <v/>
      </c>
      <c r="P17" s="31">
        <f>N17-O17</f>
        <v/>
      </c>
      <c r="Q17" s="32" t="n"/>
      <c r="R17" s="32" t="n"/>
      <c r="S17" s="32" t="n"/>
      <c r="T17" s="33" t="n"/>
      <c r="U17" s="40">
        <f>'S50'!T17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'S50'!M18+L18</f>
        <v/>
      </c>
      <c r="N18" s="36">
        <f>IFERROR(M18/K18,0)</f>
        <v/>
      </c>
      <c r="O18" s="42">
        <f>'S50'!N18</f>
        <v/>
      </c>
      <c r="P18" s="36">
        <f>N18-O18</f>
        <v/>
      </c>
      <c r="Q18" s="32" t="n"/>
      <c r="R18" s="32" t="n"/>
      <c r="S18" s="32" t="n"/>
      <c r="T18" s="33" t="n"/>
      <c r="U18" s="42">
        <f>'S50'!T18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'S50'!M19+L19</f>
        <v/>
      </c>
      <c r="N19" s="31">
        <f>IFERROR(M19/K19,0)</f>
        <v/>
      </c>
      <c r="O19" s="40">
        <f>'S50'!N19</f>
        <v/>
      </c>
      <c r="P19" s="31">
        <f>N19-O19</f>
        <v/>
      </c>
      <c r="Q19" s="32" t="n"/>
      <c r="R19" s="32" t="n"/>
      <c r="S19" s="32" t="n"/>
      <c r="T19" s="33" t="n"/>
      <c r="U19" s="40">
        <f>'S50'!T19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'S50'!M20+L20</f>
        <v/>
      </c>
      <c r="N20" s="36">
        <f>IFERROR(M20/K20,0)</f>
        <v/>
      </c>
      <c r="O20" s="42">
        <f>'S50'!N20</f>
        <v/>
      </c>
      <c r="P20" s="36">
        <f>N20-O20</f>
        <v/>
      </c>
      <c r="Q20" s="32" t="n"/>
      <c r="R20" s="32" t="n"/>
      <c r="S20" s="32" t="n"/>
      <c r="T20" s="33" t="n"/>
      <c r="U20" s="42">
        <f>'S50'!T20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'S50'!M21+L21</f>
        <v/>
      </c>
      <c r="N21" s="31">
        <f>IFERROR(M21/K21,0)</f>
        <v/>
      </c>
      <c r="O21" s="40">
        <f>'S50'!N21</f>
        <v/>
      </c>
      <c r="P21" s="31">
        <f>N21-O21</f>
        <v/>
      </c>
      <c r="Q21" s="32" t="n"/>
      <c r="R21" s="32" t="n"/>
      <c r="S21" s="32" t="n"/>
      <c r="T21" s="33" t="n"/>
      <c r="U21" s="40">
        <f>'S50'!T21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'S50'!M22+L22</f>
        <v/>
      </c>
      <c r="N22" s="36">
        <f>IFERROR(M22/K22,0)</f>
        <v/>
      </c>
      <c r="O22" s="42">
        <f>'S50'!N22</f>
        <v/>
      </c>
      <c r="P22" s="36">
        <f>N22-O22</f>
        <v/>
      </c>
      <c r="Q22" s="32" t="n"/>
      <c r="R22" s="32" t="n"/>
      <c r="S22" s="32" t="n"/>
      <c r="T22" s="33" t="n"/>
      <c r="U22" s="42">
        <f>'S50'!T22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'S50'!M23+L23</f>
        <v/>
      </c>
      <c r="N23" s="31">
        <f>IFERROR(M23/K23,0)</f>
        <v/>
      </c>
      <c r="O23" s="40">
        <f>'S50'!N23</f>
        <v/>
      </c>
      <c r="P23" s="31">
        <f>N23-O23</f>
        <v/>
      </c>
      <c r="Q23" s="32" t="n"/>
      <c r="R23" s="32" t="n"/>
      <c r="S23" s="32" t="n"/>
      <c r="T23" s="33" t="n"/>
      <c r="U23" s="40">
        <f>'S50'!T23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'S50'!M24+L24</f>
        <v/>
      </c>
      <c r="N24" s="36">
        <f>IFERROR(M24/K24,0)</f>
        <v/>
      </c>
      <c r="O24" s="42">
        <f>'S50'!N24</f>
        <v/>
      </c>
      <c r="P24" s="36">
        <f>N24-O24</f>
        <v/>
      </c>
      <c r="Q24" s="32" t="n"/>
      <c r="R24" s="32" t="n"/>
      <c r="S24" s="32" t="n"/>
      <c r="T24" s="33" t="n"/>
      <c r="U24" s="42">
        <f>'S50'!T24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'S50'!M25+L25</f>
        <v/>
      </c>
      <c r="N25" s="31">
        <f>IFERROR(M25/K25,0)</f>
        <v/>
      </c>
      <c r="O25" s="40">
        <f>'S50'!N25</f>
        <v/>
      </c>
      <c r="P25" s="31">
        <f>N25-O25</f>
        <v/>
      </c>
      <c r="Q25" s="32" t="n"/>
      <c r="R25" s="32" t="n"/>
      <c r="S25" s="32" t="n"/>
      <c r="T25" s="33" t="n"/>
      <c r="U25" s="40">
        <f>'S50'!T25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'S50'!M26+L26</f>
        <v/>
      </c>
      <c r="N26" s="36">
        <f>IFERROR(M26/K26,0)</f>
        <v/>
      </c>
      <c r="O26" s="42">
        <f>'S50'!N26</f>
        <v/>
      </c>
      <c r="P26" s="36">
        <f>N26-O26</f>
        <v/>
      </c>
      <c r="Q26" s="32" t="n"/>
      <c r="R26" s="32" t="n"/>
      <c r="S26" s="32" t="n"/>
      <c r="T26" s="33" t="n"/>
      <c r="U26" s="42">
        <f>'S50'!T26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'S50'!M27+L27</f>
        <v/>
      </c>
      <c r="N27" s="31">
        <f>IFERROR(M27/K27,0)</f>
        <v/>
      </c>
      <c r="O27" s="40">
        <f>'S50'!N27</f>
        <v/>
      </c>
      <c r="P27" s="31">
        <f>N27-O27</f>
        <v/>
      </c>
      <c r="Q27" s="32" t="n"/>
      <c r="R27" s="32" t="n"/>
      <c r="S27" s="32" t="n"/>
      <c r="T27" s="33" t="n"/>
      <c r="U27" s="40">
        <f>'S50'!T27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'S50'!M28+L28</f>
        <v/>
      </c>
      <c r="N28" s="36">
        <f>IFERROR(M28/K28,0)</f>
        <v/>
      </c>
      <c r="O28" s="42">
        <f>'S50'!N28</f>
        <v/>
      </c>
      <c r="P28" s="36">
        <f>N28-O28</f>
        <v/>
      </c>
      <c r="Q28" s="32" t="n"/>
      <c r="R28" s="32" t="n"/>
      <c r="S28" s="32" t="n"/>
      <c r="T28" s="33" t="n"/>
      <c r="U28" s="42">
        <f>'S50'!T28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'S50'!M29+L29</f>
        <v/>
      </c>
      <c r="N29" s="31">
        <f>IFERROR(M29/K29,0)</f>
        <v/>
      </c>
      <c r="O29" s="40">
        <f>'S50'!N29</f>
        <v/>
      </c>
      <c r="P29" s="31">
        <f>N29-O29</f>
        <v/>
      </c>
      <c r="Q29" s="32" t="n"/>
      <c r="R29" s="32" t="n"/>
      <c r="S29" s="32" t="n"/>
      <c r="T29" s="33" t="n"/>
      <c r="U29" s="40">
        <f>'S50'!T29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'S50'!M30+L30</f>
        <v/>
      </c>
      <c r="N30" s="36">
        <f>IFERROR(M30/K30,0)</f>
        <v/>
      </c>
      <c r="O30" s="42">
        <f>'S50'!N30</f>
        <v/>
      </c>
      <c r="P30" s="36">
        <f>N30-O30</f>
        <v/>
      </c>
      <c r="Q30" s="32" t="n"/>
      <c r="R30" s="32" t="n"/>
      <c r="S30" s="32" t="n"/>
      <c r="T30" s="33" t="n"/>
      <c r="U30" s="42">
        <f>'S50'!T30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'S50'!M31+L31</f>
        <v/>
      </c>
      <c r="N31" s="31">
        <f>IFERROR(M31/K31,0)</f>
        <v/>
      </c>
      <c r="O31" s="40">
        <f>'S50'!N31</f>
        <v/>
      </c>
      <c r="P31" s="31">
        <f>N31-O31</f>
        <v/>
      </c>
      <c r="Q31" s="32" t="n"/>
      <c r="R31" s="32" t="n"/>
      <c r="S31" s="32" t="n"/>
      <c r="T31" s="33" t="n"/>
      <c r="U31" s="40">
        <f>'S50'!T31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'S50'!M32+L32</f>
        <v/>
      </c>
      <c r="N32" s="36">
        <f>IFERROR(M32/K32,0)</f>
        <v/>
      </c>
      <c r="O32" s="42">
        <f>'S50'!N32</f>
        <v/>
      </c>
      <c r="P32" s="36">
        <f>N32-O32</f>
        <v/>
      </c>
      <c r="Q32" s="32" t="n"/>
      <c r="R32" s="32" t="n"/>
      <c r="S32" s="32" t="n"/>
      <c r="T32" s="33" t="n"/>
      <c r="U32" s="42">
        <f>'S50'!T32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'S50'!M33+L33</f>
        <v/>
      </c>
      <c r="N33" s="31">
        <f>IFERROR(M33/K33,0)</f>
        <v/>
      </c>
      <c r="O33" s="40">
        <f>'S50'!N33</f>
        <v/>
      </c>
      <c r="P33" s="31">
        <f>N33-O33</f>
        <v/>
      </c>
      <c r="Q33" s="32" t="n"/>
      <c r="R33" s="32" t="n"/>
      <c r="S33" s="32" t="n"/>
      <c r="T33" s="33" t="n"/>
      <c r="U33" s="40">
        <f>'S50'!T33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'S50'!M34+L34</f>
        <v/>
      </c>
      <c r="N34" s="36">
        <f>IFERROR(M34/K34,0)</f>
        <v/>
      </c>
      <c r="O34" s="42">
        <f>'S50'!N34</f>
        <v/>
      </c>
      <c r="P34" s="36">
        <f>N34-O34</f>
        <v/>
      </c>
      <c r="Q34" s="32" t="n"/>
      <c r="R34" s="32" t="n"/>
      <c r="S34" s="32" t="n"/>
      <c r="T34" s="33" t="n"/>
      <c r="U34" s="42">
        <f>'S50'!T34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'S50'!M35+L35</f>
        <v/>
      </c>
      <c r="N35" s="31">
        <f>IFERROR(M35/K35,0)</f>
        <v/>
      </c>
      <c r="O35" s="40">
        <f>'S50'!N35</f>
        <v/>
      </c>
      <c r="P35" s="31">
        <f>N35-O35</f>
        <v/>
      </c>
      <c r="Q35" s="32" t="n"/>
      <c r="R35" s="32" t="n"/>
      <c r="S35" s="32" t="n"/>
      <c r="T35" s="33" t="n"/>
      <c r="U35" s="40">
        <f>'S50'!T35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'S50'!M36+L36</f>
        <v/>
      </c>
      <c r="N36" s="36">
        <f>IFERROR(M36/K36,0)</f>
        <v/>
      </c>
      <c r="O36" s="42">
        <f>'S50'!N36</f>
        <v/>
      </c>
      <c r="P36" s="36">
        <f>N36-O36</f>
        <v/>
      </c>
      <c r="Q36" s="32" t="n"/>
      <c r="R36" s="32" t="n"/>
      <c r="S36" s="32" t="n"/>
      <c r="T36" s="33" t="n"/>
      <c r="U36" s="42">
        <f>'S50'!T36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'S50'!M37+L37</f>
        <v/>
      </c>
      <c r="N37" s="31">
        <f>IFERROR(M37/K37,0)</f>
        <v/>
      </c>
      <c r="O37" s="40">
        <f>'S50'!N37</f>
        <v/>
      </c>
      <c r="P37" s="31">
        <f>N37-O37</f>
        <v/>
      </c>
      <c r="Q37" s="32" t="n"/>
      <c r="R37" s="32" t="n"/>
      <c r="S37" s="32" t="n"/>
      <c r="T37" s="33" t="n"/>
      <c r="U37" s="40">
        <f>'S50'!T37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'S50'!M38+L38</f>
        <v/>
      </c>
      <c r="N38" s="36">
        <f>IFERROR(M38/K38,0)</f>
        <v/>
      </c>
      <c r="O38" s="42">
        <f>'S50'!N38</f>
        <v/>
      </c>
      <c r="P38" s="36">
        <f>N38-O38</f>
        <v/>
      </c>
      <c r="Q38" s="32" t="n"/>
      <c r="R38" s="32" t="n"/>
      <c r="S38" s="32" t="n"/>
      <c r="T38" s="33" t="n"/>
      <c r="U38" s="42">
        <f>'S50'!T38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'S50'!M39+L39</f>
        <v/>
      </c>
      <c r="N39" s="31">
        <f>IFERROR(M39/K39,0)</f>
        <v/>
      </c>
      <c r="O39" s="40">
        <f>'S50'!N39</f>
        <v/>
      </c>
      <c r="P39" s="31">
        <f>N39-O39</f>
        <v/>
      </c>
      <c r="Q39" s="32" t="n"/>
      <c r="R39" s="32" t="n"/>
      <c r="S39" s="32" t="n"/>
      <c r="T39" s="33" t="n"/>
      <c r="U39" s="40">
        <f>'S50'!T39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'S50'!M40+L40</f>
        <v/>
      </c>
      <c r="N40" s="36">
        <f>IFERROR(M40/K40,0)</f>
        <v/>
      </c>
      <c r="O40" s="42">
        <f>'S50'!N40</f>
        <v/>
      </c>
      <c r="P40" s="36">
        <f>N40-O40</f>
        <v/>
      </c>
      <c r="Q40" s="32" t="n"/>
      <c r="R40" s="32" t="n"/>
      <c r="S40" s="32" t="n"/>
      <c r="T40" s="33" t="n"/>
      <c r="U40" s="42">
        <f>'S50'!T40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'S50'!M41+L41</f>
        <v/>
      </c>
      <c r="N41" s="31">
        <f>IFERROR(M41/K41,0)</f>
        <v/>
      </c>
      <c r="O41" s="40">
        <f>'S50'!N41</f>
        <v/>
      </c>
      <c r="P41" s="31">
        <f>N41-O41</f>
        <v/>
      </c>
      <c r="Q41" s="32" t="n"/>
      <c r="R41" s="32" t="n"/>
      <c r="S41" s="32" t="n"/>
      <c r="T41" s="33" t="n"/>
      <c r="U41" s="40">
        <f>'S50'!T41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'S50'!M42+L42</f>
        <v/>
      </c>
      <c r="N42" s="36">
        <f>IFERROR(M42/K42,0)</f>
        <v/>
      </c>
      <c r="O42" s="42">
        <f>'S50'!N42</f>
        <v/>
      </c>
      <c r="P42" s="36">
        <f>N42-O42</f>
        <v/>
      </c>
      <c r="Q42" s="32" t="n"/>
      <c r="R42" s="32" t="n"/>
      <c r="S42" s="32" t="n"/>
      <c r="T42" s="33" t="n"/>
      <c r="U42" s="42">
        <f>'S50'!T42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'S50'!M43+L43</f>
        <v/>
      </c>
      <c r="N43" s="31">
        <f>IFERROR(M43/K43,0)</f>
        <v/>
      </c>
      <c r="O43" s="40">
        <f>'S50'!N43</f>
        <v/>
      </c>
      <c r="P43" s="31">
        <f>N43-O43</f>
        <v/>
      </c>
      <c r="Q43" s="32" t="n"/>
      <c r="R43" s="32" t="n"/>
      <c r="S43" s="32" t="n"/>
      <c r="T43" s="33" t="n"/>
      <c r="U43" s="40">
        <f>'S50'!T43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'S50'!M44+L44</f>
        <v/>
      </c>
      <c r="N44" s="36">
        <f>IFERROR(M44/K44,0)</f>
        <v/>
      </c>
      <c r="O44" s="42">
        <f>'S50'!N44</f>
        <v/>
      </c>
      <c r="P44" s="36">
        <f>N44-O44</f>
        <v/>
      </c>
      <c r="Q44" s="32" t="n"/>
      <c r="R44" s="32" t="n"/>
      <c r="S44" s="32" t="n"/>
      <c r="T44" s="33" t="n"/>
      <c r="U44" s="42">
        <f>'S50'!T44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'S50'!M45+L45</f>
        <v/>
      </c>
      <c r="N45" s="31">
        <f>IFERROR(M45/K45,0)</f>
        <v/>
      </c>
      <c r="O45" s="40">
        <f>'S50'!N45</f>
        <v/>
      </c>
      <c r="P45" s="31">
        <f>N45-O45</f>
        <v/>
      </c>
      <c r="Q45" s="32" t="n"/>
      <c r="R45" s="32" t="n"/>
      <c r="S45" s="32" t="n"/>
      <c r="T45" s="33" t="n"/>
      <c r="U45" s="40">
        <f>'S50'!T45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'S50'!M46+L46</f>
        <v/>
      </c>
      <c r="N46" s="36">
        <f>IFERROR(M46/K46,0)</f>
        <v/>
      </c>
      <c r="O46" s="42">
        <f>'S50'!N46</f>
        <v/>
      </c>
      <c r="P46" s="36">
        <f>N46-O46</f>
        <v/>
      </c>
      <c r="Q46" s="32" t="n"/>
      <c r="R46" s="32" t="n"/>
      <c r="S46" s="32" t="n"/>
      <c r="T46" s="33" t="n"/>
      <c r="U46" s="42">
        <f>'S50'!T46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'S50'!M47+L47</f>
        <v/>
      </c>
      <c r="N47" s="31">
        <f>IFERROR(M47/K47,0)</f>
        <v/>
      </c>
      <c r="O47" s="40">
        <f>'S50'!N47</f>
        <v/>
      </c>
      <c r="P47" s="31">
        <f>N47-O47</f>
        <v/>
      </c>
      <c r="Q47" s="32" t="n"/>
      <c r="R47" s="32" t="n"/>
      <c r="S47" s="32" t="n"/>
      <c r="T47" s="33" t="n"/>
      <c r="U47" s="40">
        <f>'S50'!T47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'S50'!M48+L48</f>
        <v/>
      </c>
      <c r="N48" s="36">
        <f>IFERROR(M48/K48,0)</f>
        <v/>
      </c>
      <c r="O48" s="42">
        <f>'S50'!N48</f>
        <v/>
      </c>
      <c r="P48" s="36">
        <f>N48-O48</f>
        <v/>
      </c>
      <c r="Q48" s="32" t="n"/>
      <c r="R48" s="32" t="n"/>
      <c r="S48" s="32" t="n"/>
      <c r="T48" s="33" t="n"/>
      <c r="U48" s="42">
        <f>'S50'!T48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'S50'!M49+L49</f>
        <v/>
      </c>
      <c r="N49" s="31">
        <f>IFERROR(M49/K49,0)</f>
        <v/>
      </c>
      <c r="O49" s="40">
        <f>'S50'!N49</f>
        <v/>
      </c>
      <c r="P49" s="31">
        <f>N49-O49</f>
        <v/>
      </c>
      <c r="Q49" s="32" t="n"/>
      <c r="R49" s="32" t="n"/>
      <c r="S49" s="32" t="n"/>
      <c r="T49" s="33" t="n"/>
      <c r="U49" s="40">
        <f>'S50'!T49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'S50'!M50+L50</f>
        <v/>
      </c>
      <c r="N50" s="36">
        <f>IFERROR(M50/K50,0)</f>
        <v/>
      </c>
      <c r="O50" s="42">
        <f>'S50'!N50</f>
        <v/>
      </c>
      <c r="P50" s="36">
        <f>N50-O50</f>
        <v/>
      </c>
      <c r="Q50" s="32" t="n"/>
      <c r="R50" s="32" t="n"/>
      <c r="S50" s="32" t="n"/>
      <c r="T50" s="33" t="n"/>
      <c r="U50" s="42">
        <f>'S50'!T50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'S50'!M51+L51</f>
        <v/>
      </c>
      <c r="N51" s="31">
        <f>IFERROR(M51/K51,0)</f>
        <v/>
      </c>
      <c r="O51" s="40">
        <f>'S50'!N51</f>
        <v/>
      </c>
      <c r="P51" s="31">
        <f>N51-O51</f>
        <v/>
      </c>
      <c r="Q51" s="32" t="n"/>
      <c r="R51" s="32" t="n"/>
      <c r="S51" s="32" t="n"/>
      <c r="T51" s="33" t="n"/>
      <c r="U51" s="40">
        <f>'S50'!T51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'S50'!M52+L52</f>
        <v/>
      </c>
      <c r="N52" s="36">
        <f>IFERROR(M52/K52,0)</f>
        <v/>
      </c>
      <c r="O52" s="42">
        <f>'S50'!N52</f>
        <v/>
      </c>
      <c r="P52" s="36">
        <f>N52-O52</f>
        <v/>
      </c>
      <c r="Q52" s="32" t="n"/>
      <c r="R52" s="32" t="n"/>
      <c r="S52" s="32" t="n"/>
      <c r="T52" s="33" t="n"/>
      <c r="U52" s="42">
        <f>'S50'!T52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'S50'!M53+L53</f>
        <v/>
      </c>
      <c r="N53" s="31">
        <f>IFERROR(M53/K53,0)</f>
        <v/>
      </c>
      <c r="O53" s="40">
        <f>'S50'!N53</f>
        <v/>
      </c>
      <c r="P53" s="31">
        <f>N53-O53</f>
        <v/>
      </c>
      <c r="Q53" s="32" t="n"/>
      <c r="R53" s="32" t="n"/>
      <c r="S53" s="32" t="n"/>
      <c r="T53" s="33" t="n"/>
      <c r="U53" s="40">
        <f>'S50'!T53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'S50'!M54+L54</f>
        <v/>
      </c>
      <c r="N54" s="36">
        <f>IFERROR(M54/K54,0)</f>
        <v/>
      </c>
      <c r="O54" s="42">
        <f>'S50'!N54</f>
        <v/>
      </c>
      <c r="P54" s="36">
        <f>N54-O54</f>
        <v/>
      </c>
      <c r="Q54" s="32" t="n"/>
      <c r="R54" s="32" t="n"/>
      <c r="S54" s="32" t="n"/>
      <c r="T54" s="33" t="n"/>
      <c r="U54" s="42">
        <f>'S50'!T54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'S50'!M55+L55</f>
        <v/>
      </c>
      <c r="N55" s="31">
        <f>IFERROR(M55/K55,0)</f>
        <v/>
      </c>
      <c r="O55" s="40">
        <f>'S50'!N55</f>
        <v/>
      </c>
      <c r="P55" s="31">
        <f>N55-O55</f>
        <v/>
      </c>
      <c r="Q55" s="32" t="n"/>
      <c r="R55" s="32" t="n"/>
      <c r="S55" s="32" t="n"/>
      <c r="T55" s="33" t="n"/>
      <c r="U55" s="40">
        <f>'S50'!T55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'S50'!M56+L56</f>
        <v/>
      </c>
      <c r="N56" s="36">
        <f>IFERROR(M56/K56,0)</f>
        <v/>
      </c>
      <c r="O56" s="42">
        <f>'S50'!N56</f>
        <v/>
      </c>
      <c r="P56" s="36">
        <f>N56-O56</f>
        <v/>
      </c>
      <c r="Q56" s="32" t="n"/>
      <c r="R56" s="32" t="n"/>
      <c r="S56" s="32" t="n"/>
      <c r="T56" s="33" t="n"/>
      <c r="U56" s="42">
        <f>'S50'!T56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'S50'!M57+L57</f>
        <v/>
      </c>
      <c r="N57" s="31">
        <f>IFERROR(M57/K57,0)</f>
        <v/>
      </c>
      <c r="O57" s="40">
        <f>'S50'!N57</f>
        <v/>
      </c>
      <c r="P57" s="31">
        <f>N57-O57</f>
        <v/>
      </c>
      <c r="Q57" s="32" t="n"/>
      <c r="R57" s="32" t="n"/>
      <c r="S57" s="32" t="n"/>
      <c r="T57" s="33" t="n"/>
      <c r="U57" s="40">
        <f>'S50'!T57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'S50'!M58+L58</f>
        <v/>
      </c>
      <c r="N58" s="36">
        <f>IFERROR(M58/K58,0)</f>
        <v/>
      </c>
      <c r="O58" s="42">
        <f>'S50'!N58</f>
        <v/>
      </c>
      <c r="P58" s="36">
        <f>N58-O58</f>
        <v/>
      </c>
      <c r="Q58" s="32" t="n"/>
      <c r="R58" s="32" t="n"/>
      <c r="S58" s="32" t="n"/>
      <c r="T58" s="33" t="n"/>
      <c r="U58" s="42">
        <f>'S50'!T58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'S50'!M59+L59</f>
        <v/>
      </c>
      <c r="N59" s="31">
        <f>IFERROR(M59/K59,0)</f>
        <v/>
      </c>
      <c r="O59" s="40">
        <f>'S50'!N59</f>
        <v/>
      </c>
      <c r="P59" s="31">
        <f>N59-O59</f>
        <v/>
      </c>
      <c r="Q59" s="32" t="n"/>
      <c r="R59" s="32" t="n"/>
      <c r="S59" s="32" t="n"/>
      <c r="T59" s="33" t="n"/>
      <c r="U59" s="40">
        <f>'S50'!T59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'S50'!M60+L60</f>
        <v/>
      </c>
      <c r="N60" s="36">
        <f>IFERROR(M60/K60,0)</f>
        <v/>
      </c>
      <c r="O60" s="42">
        <f>'S50'!N60</f>
        <v/>
      </c>
      <c r="P60" s="36">
        <f>N60-O60</f>
        <v/>
      </c>
      <c r="Q60" s="32" t="n"/>
      <c r="R60" s="32" t="n"/>
      <c r="S60" s="32" t="n"/>
      <c r="T60" s="33" t="n"/>
      <c r="U60" s="42">
        <f>'S50'!T60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'S50'!M61+L61</f>
        <v/>
      </c>
      <c r="N61" s="31">
        <f>IFERROR(M61/K61,0)</f>
        <v/>
      </c>
      <c r="O61" s="40">
        <f>'S50'!N61</f>
        <v/>
      </c>
      <c r="P61" s="31">
        <f>N61-O61</f>
        <v/>
      </c>
      <c r="Q61" s="32" t="n"/>
      <c r="R61" s="32" t="n"/>
      <c r="S61" s="32" t="n"/>
      <c r="T61" s="33" t="n"/>
      <c r="U61" s="40">
        <f>'S50'!T61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'S50'!M62+L62</f>
        <v/>
      </c>
      <c r="N62" s="36">
        <f>IFERROR(M62/K62,0)</f>
        <v/>
      </c>
      <c r="O62" s="42">
        <f>'S50'!N62</f>
        <v/>
      </c>
      <c r="P62" s="36">
        <f>N62-O62</f>
        <v/>
      </c>
      <c r="Q62" s="32" t="n"/>
      <c r="R62" s="32" t="n"/>
      <c r="S62" s="32" t="n"/>
      <c r="T62" s="33" t="n"/>
      <c r="U62" s="42">
        <f>'S50'!T62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'S50'!M63+L63</f>
        <v/>
      </c>
      <c r="N63" s="31">
        <f>IFERROR(M63/K63,0)</f>
        <v/>
      </c>
      <c r="O63" s="40">
        <f>'S50'!N63</f>
        <v/>
      </c>
      <c r="P63" s="31">
        <f>N63-O63</f>
        <v/>
      </c>
      <c r="Q63" s="32" t="n"/>
      <c r="R63" s="32" t="n"/>
      <c r="S63" s="32" t="n"/>
      <c r="T63" s="33" t="n"/>
      <c r="U63" s="40">
        <f>'S50'!T63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'S50'!M64+L64</f>
        <v/>
      </c>
      <c r="N64" s="36">
        <f>IFERROR(M64/K64,0)</f>
        <v/>
      </c>
      <c r="O64" s="42">
        <f>'S50'!N64</f>
        <v/>
      </c>
      <c r="P64" s="36">
        <f>N64-O64</f>
        <v/>
      </c>
      <c r="Q64" s="32" t="n"/>
      <c r="R64" s="32" t="n"/>
      <c r="S64" s="32" t="n"/>
      <c r="T64" s="33" t="n"/>
      <c r="U64" s="42">
        <f>'S50'!T64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'S50'!M65+L65</f>
        <v/>
      </c>
      <c r="N65" s="31">
        <f>IFERROR(M65/K65,0)</f>
        <v/>
      </c>
      <c r="O65" s="40">
        <f>'S50'!N65</f>
        <v/>
      </c>
      <c r="P65" s="31">
        <f>N65-O65</f>
        <v/>
      </c>
      <c r="Q65" s="32" t="n"/>
      <c r="R65" s="32" t="n"/>
      <c r="S65" s="32" t="n"/>
      <c r="T65" s="33" t="n"/>
      <c r="U65" s="40">
        <f>'S50'!T65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'S50'!M66+L66</f>
        <v/>
      </c>
      <c r="N66" s="36">
        <f>IFERROR(M66/K66,0)</f>
        <v/>
      </c>
      <c r="O66" s="42">
        <f>'S50'!N66</f>
        <v/>
      </c>
      <c r="P66" s="36">
        <f>N66-O66</f>
        <v/>
      </c>
      <c r="Q66" s="32" t="n"/>
      <c r="R66" s="32" t="n"/>
      <c r="S66" s="32" t="n"/>
      <c r="T66" s="33" t="n"/>
      <c r="U66" s="42">
        <f>'S50'!T66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'S50'!M67+L67</f>
        <v/>
      </c>
      <c r="N67" s="31">
        <f>IFERROR(M67/K67,0)</f>
        <v/>
      </c>
      <c r="O67" s="40">
        <f>'S50'!N67</f>
        <v/>
      </c>
      <c r="P67" s="31">
        <f>N67-O67</f>
        <v/>
      </c>
      <c r="Q67" s="32" t="n"/>
      <c r="R67" s="32" t="n"/>
      <c r="S67" s="32" t="n"/>
      <c r="T67" s="33" t="n"/>
      <c r="U67" s="40">
        <f>'S50'!T67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'S50'!M68+L68</f>
        <v/>
      </c>
      <c r="N68" s="36">
        <f>IFERROR(M68/K68,0)</f>
        <v/>
      </c>
      <c r="O68" s="42">
        <f>'S50'!N68</f>
        <v/>
      </c>
      <c r="P68" s="36">
        <f>N68-O68</f>
        <v/>
      </c>
      <c r="Q68" s="32" t="n"/>
      <c r="R68" s="32" t="n"/>
      <c r="S68" s="32" t="n"/>
      <c r="T68" s="33" t="n"/>
      <c r="U68" s="42">
        <f>'S50'!T68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'S50'!M69+L69</f>
        <v/>
      </c>
      <c r="N69" s="31">
        <f>IFERROR(M69/K69,0)</f>
        <v/>
      </c>
      <c r="O69" s="40">
        <f>'S50'!N69</f>
        <v/>
      </c>
      <c r="P69" s="31">
        <f>N69-O69</f>
        <v/>
      </c>
      <c r="Q69" s="32" t="n"/>
      <c r="R69" s="32" t="n"/>
      <c r="S69" s="32" t="n"/>
      <c r="T69" s="33" t="n"/>
      <c r="U69" s="40">
        <f>'S50'!T69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'S50'!M70+L70</f>
        <v/>
      </c>
      <c r="N70" s="36">
        <f>IFERROR(M70/K70,0)</f>
        <v/>
      </c>
      <c r="O70" s="42">
        <f>'S50'!N70</f>
        <v/>
      </c>
      <c r="P70" s="36">
        <f>N70-O70</f>
        <v/>
      </c>
      <c r="Q70" s="32" t="n"/>
      <c r="R70" s="32" t="n"/>
      <c r="S70" s="32" t="n"/>
      <c r="T70" s="33" t="n"/>
      <c r="U70" s="42">
        <f>'S50'!T70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'S50'!M71+L71</f>
        <v/>
      </c>
      <c r="N71" s="31">
        <f>IFERROR(M71/K71,0)</f>
        <v/>
      </c>
      <c r="O71" s="40">
        <f>'S50'!N71</f>
        <v/>
      </c>
      <c r="P71" s="31">
        <f>N71-O71</f>
        <v/>
      </c>
      <c r="Q71" s="32" t="n"/>
      <c r="R71" s="32" t="n"/>
      <c r="S71" s="32" t="n"/>
      <c r="T71" s="33" t="n"/>
      <c r="U71" s="40">
        <f>'S50'!T71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'S50'!M72+L72</f>
        <v/>
      </c>
      <c r="N72" s="36">
        <f>IFERROR(M72/K72,0)</f>
        <v/>
      </c>
      <c r="O72" s="42">
        <f>'S50'!N72</f>
        <v/>
      </c>
      <c r="P72" s="36">
        <f>N72-O72</f>
        <v/>
      </c>
      <c r="Q72" s="32" t="n"/>
      <c r="R72" s="32" t="n"/>
      <c r="S72" s="32" t="n"/>
      <c r="T72" s="33" t="n"/>
      <c r="U72" s="42">
        <f>'S50'!T72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'S50'!M73+L73</f>
        <v/>
      </c>
      <c r="N73" s="31">
        <f>IFERROR(M73/K73,0)</f>
        <v/>
      </c>
      <c r="O73" s="40">
        <f>'S50'!N73</f>
        <v/>
      </c>
      <c r="P73" s="31">
        <f>N73-O73</f>
        <v/>
      </c>
      <c r="Q73" s="32" t="n"/>
      <c r="R73" s="32" t="n"/>
      <c r="S73" s="32" t="n"/>
      <c r="T73" s="33" t="n"/>
      <c r="U73" s="40">
        <f>'S50'!T73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'S50'!M74+L74</f>
        <v/>
      </c>
      <c r="N74" s="36">
        <f>IFERROR(M74/K74,0)</f>
        <v/>
      </c>
      <c r="O74" s="42">
        <f>'S50'!N74</f>
        <v/>
      </c>
      <c r="P74" s="36">
        <f>N74-O74</f>
        <v/>
      </c>
      <c r="Q74" s="32" t="n"/>
      <c r="R74" s="32" t="n"/>
      <c r="S74" s="32" t="n"/>
      <c r="T74" s="33" t="n"/>
      <c r="U74" s="42">
        <f>'S50'!T74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'S50'!M75+L75</f>
        <v/>
      </c>
      <c r="N75" s="31">
        <f>IFERROR(M75/K75,0)</f>
        <v/>
      </c>
      <c r="O75" s="40">
        <f>'S50'!N75</f>
        <v/>
      </c>
      <c r="P75" s="31">
        <f>N75-O75</f>
        <v/>
      </c>
      <c r="Q75" s="32" t="n"/>
      <c r="R75" s="32" t="n"/>
      <c r="S75" s="32" t="n"/>
      <c r="T75" s="33" t="n"/>
      <c r="U75" s="40">
        <f>'S50'!T75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'S50'!M76+L76</f>
        <v/>
      </c>
      <c r="N76" s="36">
        <f>IFERROR(M76/K76,0)</f>
        <v/>
      </c>
      <c r="O76" s="42">
        <f>'S50'!N76</f>
        <v/>
      </c>
      <c r="P76" s="36">
        <f>N76-O76</f>
        <v/>
      </c>
      <c r="Q76" s="32" t="n"/>
      <c r="R76" s="32" t="n"/>
      <c r="S76" s="32" t="n"/>
      <c r="T76" s="33" t="n"/>
      <c r="U76" s="42">
        <f>'S50'!T76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54.xml><?xml version="1.0" encoding="utf-8"?>
<worksheet xmlns="http://schemas.openxmlformats.org/spreadsheetml/2006/main">
  <sheetPr>
    <tabColor rgb="00375623"/>
    <outlinePr summaryBelow="1" summaryRight="1"/>
    <pageSetUpPr/>
  </sheetPr>
  <dimension ref="B2:X7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4" customWidth="1" min="3" max="3"/>
    <col width="18" customWidth="1" min="4" max="4"/>
    <col width="9" customWidth="1" min="5" max="5"/>
    <col width="32" customWidth="1" min="6" max="6"/>
    <col width="28" customWidth="1" min="7" max="7"/>
    <col width="34" customWidth="1" min="8" max="8"/>
    <col width="14" customWidth="1" min="9" max="9"/>
    <col width="8" customWidth="1" min="10" max="10"/>
    <col width="12" customWidth="1" min="11" max="11"/>
    <col width="14" customWidth="1" min="12" max="12"/>
    <col width="14" customWidth="1" min="13" max="13"/>
    <col width="14" customWidth="1" min="14" max="14"/>
    <col width="14" customWidth="1" min="15" max="15"/>
    <col width="14" customWidth="1" min="16" max="16"/>
    <col width="16" customWidth="1" min="17" max="17"/>
    <col width="16" customWidth="1" min="18" max="18"/>
    <col width="16" customWidth="1" min="19" max="19"/>
    <col width="14" customWidth="1" min="20" max="20"/>
    <col width="14" customWidth="1" min="21" max="21"/>
    <col width="14" customWidth="1" min="22" max="22"/>
    <col width="14" customWidth="1" min="23" max="23"/>
    <col width="24" customWidth="1" min="24" max="24"/>
  </cols>
  <sheetData>
    <row r="1" ht="15" customHeight="1"/>
    <row r="2" ht="32" customHeight="1">
      <c r="B2" s="1" t="inlineStr">
        <is>
          <t>Suivi Hebdomadaire - Semaine 52 (21/12 - 27/12) — Décembre 2026 - Exécution Physique et Financière</t>
        </is>
      </c>
    </row>
    <row r="3" ht="22" customHeight="1">
      <c r="B3" s="20" t="inlineStr">
        <is>
          <t>Date :</t>
        </is>
      </c>
      <c r="C3" s="21" t="n">
        <v>46377</v>
      </c>
      <c r="E3" s="22" t="inlineStr">
        <is>
          <t>IDENTIFICATION</t>
        </is>
      </c>
      <c r="J3" s="23" t="inlineStr">
        <is>
          <t>INDICATEURS PHYSIQUES</t>
        </is>
      </c>
      <c r="Q3" s="24" t="inlineStr">
        <is>
          <t>INDICATEURS FINANCIERS</t>
        </is>
      </c>
      <c r="W3" s="25" t="inlineStr">
        <is>
          <t>SYNTHÈSE</t>
        </is>
      </c>
    </row>
    <row r="4" ht="28" customHeight="1">
      <c r="B4" s="4" t="inlineStr">
        <is>
          <t>N°</t>
        </is>
      </c>
      <c r="C4" s="4" t="inlineStr">
        <is>
          <t>Province</t>
        </is>
      </c>
      <c r="D4" s="4" t="inlineStr">
        <is>
          <t>Commune</t>
        </is>
      </c>
      <c r="E4" s="4" t="inlineStr">
        <is>
          <t>Rubrique</t>
        </is>
      </c>
      <c r="F4" s="4" t="inlineStr">
        <is>
          <t>Intitulé Rubrique</t>
        </is>
      </c>
      <c r="G4" s="4" t="inlineStr">
        <is>
          <t>Projet</t>
        </is>
      </c>
      <c r="H4" s="4" t="inlineStr">
        <is>
          <t>Consistance</t>
        </is>
      </c>
      <c r="I4" s="4" t="inlineStr">
        <is>
          <t>Coût Total (DH)</t>
        </is>
      </c>
      <c r="J4" s="26" t="inlineStr">
        <is>
          <t>Unité</t>
        </is>
      </c>
      <c r="K4" s="26" t="inlineStr">
        <is>
          <t>Qté Prévue</t>
        </is>
      </c>
      <c r="L4" s="26" t="inlineStr">
        <is>
          <t>Qté Réalisée Sem.</t>
        </is>
      </c>
      <c r="M4" s="26" t="inlineStr">
        <is>
          <t>Qté Réalisée Cumul</t>
        </is>
      </c>
      <c r="N4" s="26" t="inlineStr">
        <is>
          <t>Avancement Physique %</t>
        </is>
      </c>
      <c r="O4" s="26" t="inlineStr">
        <is>
          <t>% Phys. Sem. Préc.</t>
        </is>
      </c>
      <c r="P4" s="26" t="inlineStr">
        <is>
          <t>Accroissement Phys. %</t>
        </is>
      </c>
      <c r="Q4" s="27" t="inlineStr">
        <is>
          <t>Montant Décaissé (DH)</t>
        </is>
      </c>
      <c r="R4" s="27" t="inlineStr">
        <is>
          <t>Montant Payé (DH)</t>
        </is>
      </c>
      <c r="S4" s="27" t="inlineStr">
        <is>
          <t>Montant Ordonné (DH)</t>
        </is>
      </c>
      <c r="T4" s="27" t="inlineStr">
        <is>
          <t>Avancement Financier %</t>
        </is>
      </c>
      <c r="U4" s="27" t="inlineStr">
        <is>
          <t>% Fin. Sem. Préc.</t>
        </is>
      </c>
      <c r="V4" s="27" t="inlineStr">
        <is>
          <t>Accroissement Fin. %</t>
        </is>
      </c>
      <c r="W4" s="28" t="inlineStr">
        <is>
          <t>Écart Phys.-Fin.</t>
        </is>
      </c>
      <c r="X4" s="28" t="inlineStr">
        <is>
          <t>Observations</t>
        </is>
      </c>
    </row>
    <row r="5" ht="22" customHeight="1">
      <c r="B5" s="5" t="n">
        <v>1</v>
      </c>
      <c r="C5" s="6" t="inlineStr">
        <is>
          <t>Sidi Kacem</t>
        </is>
      </c>
      <c r="D5" s="5" t="inlineStr">
        <is>
          <t>KHENICHET</t>
        </is>
      </c>
      <c r="E5" s="5" t="inlineStr">
        <is>
          <t>50-23</t>
        </is>
      </c>
      <c r="F5" s="5" t="inlineStr">
        <is>
          <t>Entretien et réparation du réseau d'assainissement et de drainage</t>
        </is>
      </c>
      <c r="G5" s="5" t="inlineStr">
        <is>
          <t>Travaux de curage des canaux en terre</t>
        </is>
      </c>
      <c r="H5" s="5" t="inlineStr">
        <is>
          <t>Curage des collecteurs d'assainissement du secteur EST2</t>
        </is>
      </c>
      <c r="I5" s="7" t="n">
        <v>2091568</v>
      </c>
      <c r="J5" s="8" t="inlineStr">
        <is>
          <t>ml</t>
        </is>
      </c>
      <c r="K5" s="9" t="n">
        <v>1046</v>
      </c>
      <c r="L5" s="29" t="n"/>
      <c r="M5" s="39">
        <f>'S51'!M5+L5</f>
        <v/>
      </c>
      <c r="N5" s="31">
        <f>IFERROR(M5/K5,0)</f>
        <v/>
      </c>
      <c r="O5" s="40">
        <f>'S51'!N5</f>
        <v/>
      </c>
      <c r="P5" s="31">
        <f>N5-O5</f>
        <v/>
      </c>
      <c r="Q5" s="32" t="n"/>
      <c r="R5" s="32" t="n"/>
      <c r="S5" s="32" t="n"/>
      <c r="T5" s="33" t="n"/>
      <c r="U5" s="40">
        <f>'S51'!T5</f>
        <v/>
      </c>
      <c r="V5" s="31">
        <f>T5-U5</f>
        <v/>
      </c>
      <c r="W5" s="31">
        <f>N5-T5</f>
        <v/>
      </c>
      <c r="X5" s="34" t="n"/>
    </row>
    <row r="6" ht="22" customHeight="1">
      <c r="B6" s="10" t="n">
        <v>2</v>
      </c>
      <c r="C6" s="6" t="inlineStr">
        <is>
          <t>Sidi Kacem</t>
        </is>
      </c>
      <c r="D6" s="10" t="inlineStr">
        <is>
          <t>KHENICHET</t>
        </is>
      </c>
      <c r="E6" s="10" t="inlineStr">
        <is>
          <t>40-21</t>
        </is>
      </c>
      <c r="F6" s="10" t="inlineStr">
        <is>
          <t>Travaux de pistes</t>
        </is>
      </c>
      <c r="G6" s="10" t="inlineStr">
        <is>
          <t>Travaux de réhabilitation des pistes agricoles</t>
        </is>
      </c>
      <c r="H6" s="10" t="inlineStr">
        <is>
          <t>Entretien des pistes agricoles Douar Nouagra et Douar ouled Salem</t>
        </is>
      </c>
      <c r="I6" s="11" t="n">
        <v>78000</v>
      </c>
      <c r="J6" s="12" t="inlineStr">
        <is>
          <t>km</t>
        </is>
      </c>
      <c r="K6" s="13" t="n">
        <v>1</v>
      </c>
      <c r="L6" s="29" t="n"/>
      <c r="M6" s="41">
        <f>'S51'!M6+L6</f>
        <v/>
      </c>
      <c r="N6" s="36">
        <f>IFERROR(M6/K6,0)</f>
        <v/>
      </c>
      <c r="O6" s="42">
        <f>'S51'!N6</f>
        <v/>
      </c>
      <c r="P6" s="36">
        <f>N6-O6</f>
        <v/>
      </c>
      <c r="Q6" s="32" t="n"/>
      <c r="R6" s="32" t="n"/>
      <c r="S6" s="32" t="n"/>
      <c r="T6" s="33" t="n"/>
      <c r="U6" s="42">
        <f>'S51'!T6</f>
        <v/>
      </c>
      <c r="V6" s="36">
        <f>T6-U6</f>
        <v/>
      </c>
      <c r="W6" s="36">
        <f>N6-T6</f>
        <v/>
      </c>
      <c r="X6" s="34" t="n"/>
    </row>
    <row r="7" ht="22" customHeight="1">
      <c r="B7" s="5" t="n">
        <v>3</v>
      </c>
      <c r="C7" s="6" t="inlineStr">
        <is>
          <t>Sidi Kacem</t>
        </is>
      </c>
      <c r="D7" s="5" t="inlineStr">
        <is>
          <t>KHENICHET</t>
        </is>
      </c>
      <c r="E7" s="5" t="inlineStr">
        <is>
          <t>50-23</t>
        </is>
      </c>
      <c r="F7" s="5" t="inlineStr">
        <is>
          <t>Entretien et réparation du réseau d'assainissement et de drainage</t>
        </is>
      </c>
      <c r="G7" s="5" t="inlineStr">
        <is>
          <t>Curage des prises sur l’oued, bâche d’aspiration et bassin de régulation.</t>
        </is>
      </c>
      <c r="H7" s="5" t="inlineStr">
        <is>
          <t>Curage de la chambre des joints de démontage des siphonnes  de la station de pompage EST2.</t>
        </is>
      </c>
      <c r="I7" s="7" t="n">
        <v>126000</v>
      </c>
      <c r="J7" s="8" t="inlineStr">
        <is>
          <t>ml</t>
        </is>
      </c>
      <c r="K7" s="9" t="n">
        <v>42</v>
      </c>
      <c r="L7" s="29" t="n"/>
      <c r="M7" s="39">
        <f>'S51'!M7+L7</f>
        <v/>
      </c>
      <c r="N7" s="31">
        <f>IFERROR(M7/K7,0)</f>
        <v/>
      </c>
      <c r="O7" s="40">
        <f>'S51'!N7</f>
        <v/>
      </c>
      <c r="P7" s="31">
        <f>N7-O7</f>
        <v/>
      </c>
      <c r="Q7" s="32" t="n"/>
      <c r="R7" s="32" t="n"/>
      <c r="S7" s="32" t="n"/>
      <c r="T7" s="33" t="n"/>
      <c r="U7" s="40">
        <f>'S51'!T7</f>
        <v/>
      </c>
      <c r="V7" s="31">
        <f>T7-U7</f>
        <v/>
      </c>
      <c r="W7" s="31">
        <f>N7-T7</f>
        <v/>
      </c>
      <c r="X7" s="34" t="n"/>
    </row>
    <row r="8" ht="22" customHeight="1">
      <c r="B8" s="10" t="n">
        <v>4</v>
      </c>
      <c r="C8" s="6" t="inlineStr">
        <is>
          <t>Sidi Kacem</t>
        </is>
      </c>
      <c r="D8" s="10" t="inlineStr">
        <is>
          <t>KHENICHET</t>
        </is>
      </c>
      <c r="E8" s="10" t="inlineStr">
        <is>
          <t>50-21</t>
        </is>
      </c>
      <c r="F8" s="10" t="inlineStr">
        <is>
          <t>Entretien et réparation des stations de pompage</t>
        </is>
      </c>
      <c r="G8" s="10" t="inlineStr">
        <is>
          <t>Prestation de maintenance des débitmètres et leurs équipements annexes installés au niveau des station de pompage</t>
        </is>
      </c>
      <c r="H8" s="10" t="inlineStr">
        <is>
          <t>Changement trois débitmètre Ø 600mm inondés de la station de pompage EST 2 et deux capteurs VEGASON 62</t>
        </is>
      </c>
      <c r="I8" s="11" t="n">
        <v>165500</v>
      </c>
      <c r="J8" s="12" t="inlineStr">
        <is>
          <t>U</t>
        </is>
      </c>
      <c r="K8" s="13" t="n">
        <v>3</v>
      </c>
      <c r="L8" s="29" t="n"/>
      <c r="M8" s="41">
        <f>'S51'!M8+L8</f>
        <v/>
      </c>
      <c r="N8" s="36">
        <f>IFERROR(M8/K8,0)</f>
        <v/>
      </c>
      <c r="O8" s="42">
        <f>'S51'!N8</f>
        <v/>
      </c>
      <c r="P8" s="36">
        <f>N8-O8</f>
        <v/>
      </c>
      <c r="Q8" s="32" t="n"/>
      <c r="R8" s="32" t="n"/>
      <c r="S8" s="32" t="n"/>
      <c r="T8" s="33" t="n"/>
      <c r="U8" s="42">
        <f>'S51'!T8</f>
        <v/>
      </c>
      <c r="V8" s="36">
        <f>T8-U8</f>
        <v/>
      </c>
      <c r="W8" s="36">
        <f>N8-T8</f>
        <v/>
      </c>
      <c r="X8" s="34" t="n"/>
    </row>
    <row r="9" ht="22" customHeight="1">
      <c r="B9" s="5" t="n">
        <v>5</v>
      </c>
      <c r="C9" s="6" t="inlineStr">
        <is>
          <t>Sidi Kacem</t>
        </is>
      </c>
      <c r="D9" s="5" t="inlineStr">
        <is>
          <t>BIR TALEB</t>
        </is>
      </c>
      <c r="E9" s="5" t="inlineStr">
        <is>
          <t>50-23</t>
        </is>
      </c>
      <c r="F9" s="5" t="inlineStr">
        <is>
          <t>Entretien et réparation du réseau d'assainissement et de drainage</t>
        </is>
      </c>
      <c r="G9" s="5" t="inlineStr">
        <is>
          <t>Travaux de curage des canaux en terre</t>
        </is>
      </c>
      <c r="H9" s="5" t="inlineStr">
        <is>
          <t>Curage du canal d'assainisement Tihli Aval</t>
        </is>
      </c>
      <c r="I9" s="7" t="n">
        <v>1000000</v>
      </c>
      <c r="J9" s="8" t="inlineStr">
        <is>
          <t>ml</t>
        </is>
      </c>
      <c r="K9" s="9" t="n">
        <v>500</v>
      </c>
      <c r="L9" s="29" t="n"/>
      <c r="M9" s="39">
        <f>'S51'!M9+L9</f>
        <v/>
      </c>
      <c r="N9" s="31">
        <f>IFERROR(M9/K9,0)</f>
        <v/>
      </c>
      <c r="O9" s="40">
        <f>'S51'!N9</f>
        <v/>
      </c>
      <c r="P9" s="31">
        <f>N9-O9</f>
        <v/>
      </c>
      <c r="Q9" s="32" t="n"/>
      <c r="R9" s="32" t="n"/>
      <c r="S9" s="32" t="n"/>
      <c r="T9" s="33" t="n"/>
      <c r="U9" s="40">
        <f>'S51'!T9</f>
        <v/>
      </c>
      <c r="V9" s="31">
        <f>T9-U9</f>
        <v/>
      </c>
      <c r="W9" s="31">
        <f>N9-T9</f>
        <v/>
      </c>
      <c r="X9" s="34" t="n"/>
    </row>
    <row r="10" ht="22" customHeight="1">
      <c r="B10" s="10" t="n">
        <v>6</v>
      </c>
      <c r="C10" s="6" t="inlineStr">
        <is>
          <t>Sidi Kacem</t>
        </is>
      </c>
      <c r="D10" s="10" t="inlineStr">
        <is>
          <t>BIR TALEB</t>
        </is>
      </c>
      <c r="E10" s="10" t="inlineStr">
        <is>
          <t>50-23</t>
        </is>
      </c>
      <c r="F10" s="10" t="inlineStr">
        <is>
          <t>Entretien et réparation du réseau d'assainissement et de drainage</t>
        </is>
      </c>
      <c r="G10" s="10" t="inlineStr"/>
      <c r="H10" s="10" t="inlineStr">
        <is>
          <t>Curage des collecteurs d'assainissement du secteur P11/1</t>
        </is>
      </c>
      <c r="I10" s="11" t="n">
        <v>846731</v>
      </c>
      <c r="J10" s="12" t="inlineStr">
        <is>
          <t>ml</t>
        </is>
      </c>
      <c r="K10" s="13" t="n">
        <v>423</v>
      </c>
      <c r="L10" s="29" t="n"/>
      <c r="M10" s="41">
        <f>'S51'!M10+L10</f>
        <v/>
      </c>
      <c r="N10" s="36">
        <f>IFERROR(M10/K10,0)</f>
        <v/>
      </c>
      <c r="O10" s="42">
        <f>'S51'!N10</f>
        <v/>
      </c>
      <c r="P10" s="36">
        <f>N10-O10</f>
        <v/>
      </c>
      <c r="Q10" s="32" t="n"/>
      <c r="R10" s="32" t="n"/>
      <c r="S10" s="32" t="n"/>
      <c r="T10" s="33" t="n"/>
      <c r="U10" s="42">
        <f>'S51'!T10</f>
        <v/>
      </c>
      <c r="V10" s="36">
        <f>T10-U10</f>
        <v/>
      </c>
      <c r="W10" s="36">
        <f>N10-T10</f>
        <v/>
      </c>
      <c r="X10" s="34" t="n"/>
    </row>
    <row r="11" ht="22" customHeight="1">
      <c r="B11" s="5" t="n">
        <v>7</v>
      </c>
      <c r="C11" s="6" t="inlineStr">
        <is>
          <t>Sidi Kacem</t>
        </is>
      </c>
      <c r="D11" s="5" t="inlineStr">
        <is>
          <t>BIR TALEB</t>
        </is>
      </c>
      <c r="E11" s="5" t="inlineStr">
        <is>
          <t>50-23</t>
        </is>
      </c>
      <c r="F11" s="5" t="inlineStr">
        <is>
          <t>Entretien et réparation du réseau d'assainissement et de drainage</t>
        </is>
      </c>
      <c r="G11" s="5" t="inlineStr">
        <is>
          <t>Curage des prises sur l’oued, bâche d’aspiration et bassin de régulation.</t>
        </is>
      </c>
      <c r="H11" s="5" t="inlineStr">
        <is>
          <t>Curage des prises sur l’oued de la station de pompage P11/1.</t>
        </is>
      </c>
      <c r="I11" s="7" t="n">
        <v>200000</v>
      </c>
      <c r="J11" s="8" t="inlineStr">
        <is>
          <t>ml</t>
        </is>
      </c>
      <c r="K11" s="9" t="n">
        <v>67</v>
      </c>
      <c r="L11" s="29" t="n"/>
      <c r="M11" s="39">
        <f>'S51'!M11+L11</f>
        <v/>
      </c>
      <c r="N11" s="31">
        <f>IFERROR(M11/K11,0)</f>
        <v/>
      </c>
      <c r="O11" s="40">
        <f>'S51'!N11</f>
        <v/>
      </c>
      <c r="P11" s="31">
        <f>N11-O11</f>
        <v/>
      </c>
      <c r="Q11" s="32" t="n"/>
      <c r="R11" s="32" t="n"/>
      <c r="S11" s="32" t="n"/>
      <c r="T11" s="33" t="n"/>
      <c r="U11" s="40">
        <f>'S51'!T11</f>
        <v/>
      </c>
      <c r="V11" s="31">
        <f>T11-U11</f>
        <v/>
      </c>
      <c r="W11" s="31">
        <f>N11-T11</f>
        <v/>
      </c>
      <c r="X11" s="34" t="n"/>
    </row>
    <row r="12" ht="22" customHeight="1">
      <c r="B12" s="10" t="n">
        <v>8</v>
      </c>
      <c r="C12" s="6" t="inlineStr">
        <is>
          <t>Sidi Kacem</t>
        </is>
      </c>
      <c r="D12" s="10" t="inlineStr">
        <is>
          <t>BIR TALEB</t>
        </is>
      </c>
      <c r="E12" s="10" t="inlineStr">
        <is>
          <t>50-21</t>
        </is>
      </c>
      <c r="F12" s="10" t="inlineStr">
        <is>
          <t>Entretien et réparation des stations de pompage</t>
        </is>
      </c>
      <c r="G12" s="10" t="inlineStr">
        <is>
          <t>Prestation de maintenance des débitmètres et leurs équipements annexes installés au niveau des station de pompage</t>
        </is>
      </c>
      <c r="H12" s="10" t="inlineStr">
        <is>
          <t>Changement trois débitmètre Ø 400mm inondés de la station de pompage P11/1</t>
        </is>
      </c>
      <c r="I12" s="11" t="n">
        <v>141900</v>
      </c>
      <c r="J12" s="12" t="inlineStr">
        <is>
          <t>U</t>
        </is>
      </c>
      <c r="K12" s="13" t="n">
        <v>3</v>
      </c>
      <c r="L12" s="29" t="n"/>
      <c r="M12" s="41">
        <f>'S51'!M12+L12</f>
        <v/>
      </c>
      <c r="N12" s="36">
        <f>IFERROR(M12/K12,0)</f>
        <v/>
      </c>
      <c r="O12" s="42">
        <f>'S51'!N12</f>
        <v/>
      </c>
      <c r="P12" s="36">
        <f>N12-O12</f>
        <v/>
      </c>
      <c r="Q12" s="32" t="n"/>
      <c r="R12" s="32" t="n"/>
      <c r="S12" s="32" t="n"/>
      <c r="T12" s="33" t="n"/>
      <c r="U12" s="42">
        <f>'S51'!T12</f>
        <v/>
      </c>
      <c r="V12" s="36">
        <f>T12-U12</f>
        <v/>
      </c>
      <c r="W12" s="36">
        <f>N12-T12</f>
        <v/>
      </c>
      <c r="X12" s="34" t="n"/>
    </row>
    <row r="13" ht="22" customHeight="1">
      <c r="B13" s="5" t="n">
        <v>9</v>
      </c>
      <c r="C13" s="6" t="inlineStr">
        <is>
          <t>Sidi Kacem</t>
        </is>
      </c>
      <c r="D13" s="5" t="inlineStr">
        <is>
          <t>BIR TALEB</t>
        </is>
      </c>
      <c r="E13" s="5" t="inlineStr">
        <is>
          <t>50-21</t>
        </is>
      </c>
      <c r="F13" s="5" t="inlineStr">
        <is>
          <t>Entretien et réparation des stations de pompage</t>
        </is>
      </c>
      <c r="G13" s="5" t="inlineStr">
        <is>
          <t>Prestations de maintenance et de réparation mécanique des pompes et des groupes motopompes submersibles des stations de pompage.</t>
        </is>
      </c>
      <c r="H13" s="5" t="inlineStr">
        <is>
          <t>Démontage et expertise des roues des  pompes principaux et pompes a vide de la station P11/1
Changement des roulements, tresses et organes d’effectués de la station P11/1</t>
        </is>
      </c>
      <c r="I13" s="7" t="n">
        <v>26700</v>
      </c>
      <c r="J13" s="8" t="inlineStr">
        <is>
          <t>U</t>
        </is>
      </c>
      <c r="K13" s="9" t="n">
        <v>1</v>
      </c>
      <c r="L13" s="29" t="n"/>
      <c r="M13" s="39">
        <f>'S51'!M13+L13</f>
        <v/>
      </c>
      <c r="N13" s="31">
        <f>IFERROR(M13/K13,0)</f>
        <v/>
      </c>
      <c r="O13" s="40">
        <f>'S51'!N13</f>
        <v/>
      </c>
      <c r="P13" s="31">
        <f>N13-O13</f>
        <v/>
      </c>
      <c r="Q13" s="32" t="n"/>
      <c r="R13" s="32" t="n"/>
      <c r="S13" s="32" t="n"/>
      <c r="T13" s="33" t="n"/>
      <c r="U13" s="40">
        <f>'S51'!T13</f>
        <v/>
      </c>
      <c r="V13" s="31">
        <f>T13-U13</f>
        <v/>
      </c>
      <c r="W13" s="31">
        <f>N13-T13</f>
        <v/>
      </c>
      <c r="X13" s="34" t="n"/>
    </row>
    <row r="14" ht="22" customHeight="1">
      <c r="B14" s="10" t="n">
        <v>10</v>
      </c>
      <c r="C14" s="6" t="inlineStr">
        <is>
          <t>Sidi Kacem</t>
        </is>
      </c>
      <c r="D14" s="10" t="inlineStr">
        <is>
          <t>BIR TALEB</t>
        </is>
      </c>
      <c r="E14" s="10" t="inlineStr">
        <is>
          <t>50-21</t>
        </is>
      </c>
      <c r="F14" s="10" t="inlineStr">
        <is>
          <t>Entretien et réparation des stations de pompage</t>
        </is>
      </c>
      <c r="G14" s="10" t="inlineStr">
        <is>
          <t>Stabilisation Berge oued</t>
        </is>
      </c>
      <c r="H14" s="10" t="inlineStr">
        <is>
          <t>Pose de  gabions et recouvrement du talus par matelas Reno des stations de pompage P11/1.</t>
        </is>
      </c>
      <c r="I14" s="11" t="n">
        <v>480000</v>
      </c>
      <c r="J14" s="12" t="inlineStr">
        <is>
          <t>m³</t>
        </is>
      </c>
      <c r="K14" s="13" t="n">
        <v>320</v>
      </c>
      <c r="L14" s="29" t="n"/>
      <c r="M14" s="41">
        <f>'S51'!M14+L14</f>
        <v/>
      </c>
      <c r="N14" s="36">
        <f>IFERROR(M14/K14,0)</f>
        <v/>
      </c>
      <c r="O14" s="42">
        <f>'S51'!N14</f>
        <v/>
      </c>
      <c r="P14" s="36">
        <f>N14-O14</f>
        <v/>
      </c>
      <c r="Q14" s="32" t="n"/>
      <c r="R14" s="32" t="n"/>
      <c r="S14" s="32" t="n"/>
      <c r="T14" s="33" t="n"/>
      <c r="U14" s="42">
        <f>'S51'!T14</f>
        <v/>
      </c>
      <c r="V14" s="36">
        <f>T14-U14</f>
        <v/>
      </c>
      <c r="W14" s="36">
        <f>N14-T14</f>
        <v/>
      </c>
      <c r="X14" s="34" t="n"/>
    </row>
    <row r="15" ht="22" customHeight="1">
      <c r="B15" s="5" t="n">
        <v>11</v>
      </c>
      <c r="C15" s="6" t="inlineStr">
        <is>
          <t>Sidi Kacem</t>
        </is>
      </c>
      <c r="D15" s="5" t="inlineStr">
        <is>
          <t>BIR TALEB</t>
        </is>
      </c>
      <c r="E15" s="5" t="inlineStr">
        <is>
          <t>50-21</t>
        </is>
      </c>
      <c r="F15" s="5" t="inlineStr">
        <is>
          <t>Entretien et réparation des stations de pompage</t>
        </is>
      </c>
      <c r="G15" s="5" t="inlineStr">
        <is>
          <t>Génie civile des locaux des stations de pompage.</t>
        </is>
      </c>
      <c r="H15" s="5" t="inlineStr">
        <is>
          <t>Expertise d’état et d’étanchéité des locaux pompes.
Renforcement d’étanchéité des locaux pompe sous niveau des oueds des stations de pompage P11/1.
Entretien des supports en béton des conduites d’aspiration.</t>
        </is>
      </c>
      <c r="I15" s="7" t="n">
        <v>300000</v>
      </c>
      <c r="J15" s="8" t="inlineStr">
        <is>
          <t>U</t>
        </is>
      </c>
      <c r="K15" s="9" t="n">
        <v>1</v>
      </c>
      <c r="L15" s="29" t="n"/>
      <c r="M15" s="39">
        <f>'S51'!M15+L15</f>
        <v/>
      </c>
      <c r="N15" s="31">
        <f>IFERROR(M15/K15,0)</f>
        <v/>
      </c>
      <c r="O15" s="40">
        <f>'S51'!N15</f>
        <v/>
      </c>
      <c r="P15" s="31">
        <f>N15-O15</f>
        <v/>
      </c>
      <c r="Q15" s="32" t="n"/>
      <c r="R15" s="32" t="n"/>
      <c r="S15" s="32" t="n"/>
      <c r="T15" s="33" t="n"/>
      <c r="U15" s="40">
        <f>'S51'!T15</f>
        <v/>
      </c>
      <c r="V15" s="31">
        <f>T15-U15</f>
        <v/>
      </c>
      <c r="W15" s="31">
        <f>N15-T15</f>
        <v/>
      </c>
      <c r="X15" s="34" t="n"/>
    </row>
    <row r="16" ht="22" customHeight="1">
      <c r="B16" s="10" t="n">
        <v>12</v>
      </c>
      <c r="C16" s="6" t="inlineStr">
        <is>
          <t>Sidi Kacem</t>
        </is>
      </c>
      <c r="D16" s="10" t="inlineStr">
        <is>
          <t>CHEBANAT</t>
        </is>
      </c>
      <c r="E16" s="10" t="inlineStr">
        <is>
          <t>50-23</t>
        </is>
      </c>
      <c r="F16" s="10" t="inlineStr">
        <is>
          <t>Entretien et réparation du réseau d'assainissement et de drainage</t>
        </is>
      </c>
      <c r="G16" s="10" t="inlineStr">
        <is>
          <t>Travaux de curage des canaux en terre</t>
        </is>
      </c>
      <c r="H16" s="10" t="inlineStr">
        <is>
          <t>Curage des collecteurs d'assainissement des secteur SH5 et SH6.</t>
        </is>
      </c>
      <c r="I16" s="11" t="n">
        <v>1000000</v>
      </c>
      <c r="J16" s="12" t="inlineStr">
        <is>
          <t>ml</t>
        </is>
      </c>
      <c r="K16" s="13" t="n">
        <v>500</v>
      </c>
      <c r="L16" s="29" t="n"/>
      <c r="M16" s="41">
        <f>'S51'!M16+L16</f>
        <v/>
      </c>
      <c r="N16" s="36">
        <f>IFERROR(M16/K16,0)</f>
        <v/>
      </c>
      <c r="O16" s="42">
        <f>'S51'!N16</f>
        <v/>
      </c>
      <c r="P16" s="36">
        <f>N16-O16</f>
        <v/>
      </c>
      <c r="Q16" s="32" t="n"/>
      <c r="R16" s="32" t="n"/>
      <c r="S16" s="32" t="n"/>
      <c r="T16" s="33" t="n"/>
      <c r="U16" s="42">
        <f>'S51'!T16</f>
        <v/>
      </c>
      <c r="V16" s="36">
        <f>T16-U16</f>
        <v/>
      </c>
      <c r="W16" s="36">
        <f>N16-T16</f>
        <v/>
      </c>
      <c r="X16" s="34" t="n"/>
    </row>
    <row r="17" ht="22" customHeight="1">
      <c r="B17" s="5" t="n">
        <v>13</v>
      </c>
      <c r="C17" s="6" t="inlineStr">
        <is>
          <t>Sidi Kacem</t>
        </is>
      </c>
      <c r="D17" s="5" t="inlineStr">
        <is>
          <t>CHEBANAT</t>
        </is>
      </c>
      <c r="E17" s="5" t="inlineStr">
        <is>
          <t>50-23</t>
        </is>
      </c>
      <c r="F17" s="5" t="inlineStr">
        <is>
          <t>Entretien et réparation du réseau d'assainissement et de drainage</t>
        </is>
      </c>
      <c r="G17" s="5" t="inlineStr">
        <is>
          <t>Travaux de curage des canaux révetus</t>
        </is>
      </c>
      <c r="H17" s="5" t="inlineStr">
        <is>
          <t>Curage du canal principal d'irrigation beht partie aval 1.</t>
        </is>
      </c>
      <c r="I17" s="7" t="n">
        <v>739200</v>
      </c>
      <c r="J17" s="8" t="inlineStr">
        <is>
          <t>ml</t>
        </is>
      </c>
      <c r="K17" s="9" t="n">
        <v>370</v>
      </c>
      <c r="L17" s="29" t="n"/>
      <c r="M17" s="39">
        <f>'S51'!M17+L17</f>
        <v/>
      </c>
      <c r="N17" s="31">
        <f>IFERROR(M17/K17,0)</f>
        <v/>
      </c>
      <c r="O17" s="40">
        <f>'S51'!N17</f>
        <v/>
      </c>
      <c r="P17" s="31">
        <f>N17-O17</f>
        <v/>
      </c>
      <c r="Q17" s="32" t="n"/>
      <c r="R17" s="32" t="n"/>
      <c r="S17" s="32" t="n"/>
      <c r="T17" s="33" t="n"/>
      <c r="U17" s="40">
        <f>'S51'!T17</f>
        <v/>
      </c>
      <c r="V17" s="31">
        <f>T17-U17</f>
        <v/>
      </c>
      <c r="W17" s="31">
        <f>N17-T17</f>
        <v/>
      </c>
      <c r="X17" s="34" t="n"/>
    </row>
    <row r="18" ht="22" customHeight="1">
      <c r="B18" s="10" t="n">
        <v>14</v>
      </c>
      <c r="C18" s="6" t="inlineStr">
        <is>
          <t>Sidi Kacem</t>
        </is>
      </c>
      <c r="D18" s="10" t="inlineStr">
        <is>
          <t>ZIRARA</t>
        </is>
      </c>
      <c r="E18" s="10" t="inlineStr">
        <is>
          <t>50-23</t>
        </is>
      </c>
      <c r="F18" s="10" t="inlineStr">
        <is>
          <t>Entretien et réparation du réseau d'assainissement et de drainage</t>
        </is>
      </c>
      <c r="G18" s="10" t="inlineStr">
        <is>
          <t>Travaux de curage des canaux révetus</t>
        </is>
      </c>
      <c r="H18" s="10" t="inlineStr">
        <is>
          <t>Curage du canal principal d'irrigation beht partie aval 2.</t>
        </is>
      </c>
      <c r="I18" s="11" t="n">
        <v>1276800</v>
      </c>
      <c r="J18" s="12" t="inlineStr">
        <is>
          <t>ml</t>
        </is>
      </c>
      <c r="K18" s="13" t="n">
        <v>638</v>
      </c>
      <c r="L18" s="29" t="n"/>
      <c r="M18" s="41">
        <f>'S51'!M18+L18</f>
        <v/>
      </c>
      <c r="N18" s="36">
        <f>IFERROR(M18/K18,0)</f>
        <v/>
      </c>
      <c r="O18" s="42">
        <f>'S51'!N18</f>
        <v/>
      </c>
      <c r="P18" s="36">
        <f>N18-O18</f>
        <v/>
      </c>
      <c r="Q18" s="32" t="n"/>
      <c r="R18" s="32" t="n"/>
      <c r="S18" s="32" t="n"/>
      <c r="T18" s="33" t="n"/>
      <c r="U18" s="42">
        <f>'S51'!T18</f>
        <v/>
      </c>
      <c r="V18" s="36">
        <f>T18-U18</f>
        <v/>
      </c>
      <c r="W18" s="36">
        <f>N18-T18</f>
        <v/>
      </c>
      <c r="X18" s="34" t="n"/>
    </row>
    <row r="19" ht="22" customHeight="1">
      <c r="B19" s="5" t="n">
        <v>15</v>
      </c>
      <c r="C19" s="6" t="inlineStr">
        <is>
          <t>Sidi Kacem</t>
        </is>
      </c>
      <c r="D19" s="5" t="inlineStr">
        <is>
          <t>DAR LAASLOUJI</t>
        </is>
      </c>
      <c r="E19" s="5" t="inlineStr">
        <is>
          <t>50-23</t>
        </is>
      </c>
      <c r="F19" s="5" t="inlineStr">
        <is>
          <t>Entretien et réparation du réseau d'assainissement et de drainage</t>
        </is>
      </c>
      <c r="G19" s="5" t="inlineStr">
        <is>
          <t>Travaux de curage des canaux en terre</t>
        </is>
      </c>
      <c r="H19" s="5" t="inlineStr">
        <is>
          <t>Curage des collecteurs d'assainissement des secteurs P8-1 et P8-2</t>
        </is>
      </c>
      <c r="I19" s="7" t="n">
        <v>5796360</v>
      </c>
      <c r="J19" s="8" t="inlineStr">
        <is>
          <t>ml</t>
        </is>
      </c>
      <c r="K19" s="9" t="n">
        <v>2898</v>
      </c>
      <c r="L19" s="29" t="n"/>
      <c r="M19" s="39">
        <f>'S51'!M19+L19</f>
        <v/>
      </c>
      <c r="N19" s="31">
        <f>IFERROR(M19/K19,0)</f>
        <v/>
      </c>
      <c r="O19" s="40">
        <f>'S51'!N19</f>
        <v/>
      </c>
      <c r="P19" s="31">
        <f>N19-O19</f>
        <v/>
      </c>
      <c r="Q19" s="32" t="n"/>
      <c r="R19" s="32" t="n"/>
      <c r="S19" s="32" t="n"/>
      <c r="T19" s="33" t="n"/>
      <c r="U19" s="40">
        <f>'S51'!T19</f>
        <v/>
      </c>
      <c r="V19" s="31">
        <f>T19-U19</f>
        <v/>
      </c>
      <c r="W19" s="31">
        <f>N19-T19</f>
        <v/>
      </c>
      <c r="X19" s="34" t="n"/>
    </row>
    <row r="20" ht="22" customHeight="1">
      <c r="B20" s="10" t="n">
        <v>16</v>
      </c>
      <c r="C20" s="6" t="inlineStr">
        <is>
          <t>Sidi Kacem</t>
        </is>
      </c>
      <c r="D20" s="10" t="inlineStr">
        <is>
          <t>DAR LAASLOUJI</t>
        </is>
      </c>
      <c r="E20" s="10" t="inlineStr">
        <is>
          <t>40-21</t>
        </is>
      </c>
      <c r="F20" s="10" t="inlineStr">
        <is>
          <t>Travaux de pistes</t>
        </is>
      </c>
      <c r="G20" s="10" t="inlineStr">
        <is>
          <t>Entretien des pistes agricoles</t>
        </is>
      </c>
      <c r="H20" s="10" t="inlineStr">
        <is>
          <t>Entretien des pistes agricoles</t>
        </is>
      </c>
      <c r="I20" s="11" t="n">
        <v>340000</v>
      </c>
      <c r="J20" s="12" t="inlineStr">
        <is>
          <t>km</t>
        </is>
      </c>
      <c r="K20" s="13" t="n">
        <v>1</v>
      </c>
      <c r="L20" s="29" t="n"/>
      <c r="M20" s="41">
        <f>'S51'!M20+L20</f>
        <v/>
      </c>
      <c r="N20" s="36">
        <f>IFERROR(M20/K20,0)</f>
        <v/>
      </c>
      <c r="O20" s="42">
        <f>'S51'!N20</f>
        <v/>
      </c>
      <c r="P20" s="36">
        <f>N20-O20</f>
        <v/>
      </c>
      <c r="Q20" s="32" t="n"/>
      <c r="R20" s="32" t="n"/>
      <c r="S20" s="32" t="n"/>
      <c r="T20" s="33" t="n"/>
      <c r="U20" s="42">
        <f>'S51'!T20</f>
        <v/>
      </c>
      <c r="V20" s="36">
        <f>T20-U20</f>
        <v/>
      </c>
      <c r="W20" s="36">
        <f>N20-T20</f>
        <v/>
      </c>
      <c r="X20" s="34" t="n"/>
    </row>
    <row r="21" ht="22" customHeight="1">
      <c r="B21" s="5" t="n">
        <v>17</v>
      </c>
      <c r="C21" s="6" t="inlineStr">
        <is>
          <t>Sidi Kacem</t>
        </is>
      </c>
      <c r="D21" s="5" t="inlineStr">
        <is>
          <t>HOUAFATE</t>
        </is>
      </c>
      <c r="E21" s="5" t="inlineStr">
        <is>
          <t>20-11</t>
        </is>
      </c>
      <c r="F21" s="5" t="inlineStr">
        <is>
          <t>Travaux de réhabilitation des équipements</t>
        </is>
      </c>
      <c r="G21" s="5" t="inlineStr">
        <is>
          <t>Travaux de réhabilitation des canaux portés d'irrigation</t>
        </is>
      </c>
      <c r="H21" s="5" t="inlineStr">
        <is>
          <t>Fourniture et de pose de canaux porté et accessoires du réseau S3 du secteur S13</t>
        </is>
      </c>
      <c r="I21" s="7" t="n">
        <v>397934</v>
      </c>
      <c r="J21" s="8" t="inlineStr">
        <is>
          <t>ml</t>
        </is>
      </c>
      <c r="K21" s="9" t="n">
        <v>133</v>
      </c>
      <c r="L21" s="29" t="n"/>
      <c r="M21" s="39">
        <f>'S51'!M21+L21</f>
        <v/>
      </c>
      <c r="N21" s="31">
        <f>IFERROR(M21/K21,0)</f>
        <v/>
      </c>
      <c r="O21" s="40">
        <f>'S51'!N21</f>
        <v/>
      </c>
      <c r="P21" s="31">
        <f>N21-O21</f>
        <v/>
      </c>
      <c r="Q21" s="32" t="n"/>
      <c r="R21" s="32" t="n"/>
      <c r="S21" s="32" t="n"/>
      <c r="T21" s="33" t="n"/>
      <c r="U21" s="40">
        <f>'S51'!T21</f>
        <v/>
      </c>
      <c r="V21" s="31">
        <f>T21-U21</f>
        <v/>
      </c>
      <c r="W21" s="31">
        <f>N21-T21</f>
        <v/>
      </c>
      <c r="X21" s="34" t="n"/>
    </row>
    <row r="22" ht="22" customHeight="1">
      <c r="B22" s="10" t="n">
        <v>18</v>
      </c>
      <c r="C22" s="6" t="inlineStr">
        <is>
          <t>Sidi Kacem</t>
        </is>
      </c>
      <c r="D22" s="10" t="inlineStr">
        <is>
          <t>HOUAFATE</t>
        </is>
      </c>
      <c r="E22" s="10" t="inlineStr">
        <is>
          <t>20-11</t>
        </is>
      </c>
      <c r="F22" s="10" t="inlineStr">
        <is>
          <t>Travaux de réhabilitation des équipements</t>
        </is>
      </c>
      <c r="G22" s="10" t="inlineStr"/>
      <c r="H22" s="10" t="inlineStr">
        <is>
          <t>Fourniture et de pose de canaux porté et accessoires du réseau T2S1 du secteur S13</t>
        </is>
      </c>
      <c r="I22" s="11" t="n">
        <v>207575</v>
      </c>
      <c r="J22" s="12" t="inlineStr">
        <is>
          <t>ml</t>
        </is>
      </c>
      <c r="K22" s="13" t="n">
        <v>69</v>
      </c>
      <c r="L22" s="29" t="n"/>
      <c r="M22" s="41">
        <f>'S51'!M22+L22</f>
        <v/>
      </c>
      <c r="N22" s="36">
        <f>IFERROR(M22/K22,0)</f>
        <v/>
      </c>
      <c r="O22" s="42">
        <f>'S51'!N22</f>
        <v/>
      </c>
      <c r="P22" s="36">
        <f>N22-O22</f>
        <v/>
      </c>
      <c r="Q22" s="32" t="n"/>
      <c r="R22" s="32" t="n"/>
      <c r="S22" s="32" t="n"/>
      <c r="T22" s="33" t="n"/>
      <c r="U22" s="42">
        <f>'S51'!T22</f>
        <v/>
      </c>
      <c r="V22" s="36">
        <f>T22-U22</f>
        <v/>
      </c>
      <c r="W22" s="36">
        <f>N22-T22</f>
        <v/>
      </c>
      <c r="X22" s="34" t="n"/>
    </row>
    <row r="23" ht="22" customHeight="1">
      <c r="B23" s="5" t="n">
        <v>19</v>
      </c>
      <c r="C23" s="6" t="inlineStr">
        <is>
          <t>Sidi Kacem</t>
        </is>
      </c>
      <c r="D23" s="5" t="inlineStr">
        <is>
          <t>HOUAFATE</t>
        </is>
      </c>
      <c r="E23" s="5" t="inlineStr">
        <is>
          <t>40-21</t>
        </is>
      </c>
      <c r="F23" s="5" t="inlineStr">
        <is>
          <t>Travaux de pistes</t>
        </is>
      </c>
      <c r="G23" s="5" t="inlineStr">
        <is>
          <t>Entretien des pistes agricoles</t>
        </is>
      </c>
      <c r="H23" s="5" t="inlineStr">
        <is>
          <t>Entretien des pistes agricoles</t>
        </is>
      </c>
      <c r="I23" s="7" t="n">
        <v>2200000</v>
      </c>
      <c r="J23" s="8" t="inlineStr">
        <is>
          <t>km</t>
        </is>
      </c>
      <c r="K23" s="9" t="n">
        <v>4</v>
      </c>
      <c r="L23" s="29" t="n"/>
      <c r="M23" s="39">
        <f>'S51'!M23+L23</f>
        <v/>
      </c>
      <c r="N23" s="31">
        <f>IFERROR(M23/K23,0)</f>
        <v/>
      </c>
      <c r="O23" s="40">
        <f>'S51'!N23</f>
        <v/>
      </c>
      <c r="P23" s="31">
        <f>N23-O23</f>
        <v/>
      </c>
      <c r="Q23" s="32" t="n"/>
      <c r="R23" s="32" t="n"/>
      <c r="S23" s="32" t="n"/>
      <c r="T23" s="33" t="n"/>
      <c r="U23" s="40">
        <f>'S51'!T23</f>
        <v/>
      </c>
      <c r="V23" s="31">
        <f>T23-U23</f>
        <v/>
      </c>
      <c r="W23" s="31">
        <f>N23-T23</f>
        <v/>
      </c>
      <c r="X23" s="34" t="n"/>
    </row>
    <row r="24" ht="22" customHeight="1">
      <c r="B24" s="10" t="n">
        <v>20</v>
      </c>
      <c r="C24" s="6" t="inlineStr">
        <is>
          <t>Sidi Kacem</t>
        </is>
      </c>
      <c r="D24" s="10" t="inlineStr">
        <is>
          <t>HOUAFATE</t>
        </is>
      </c>
      <c r="E24" s="10" t="inlineStr">
        <is>
          <t>50-23</t>
        </is>
      </c>
      <c r="F24" s="10" t="inlineStr">
        <is>
          <t>Entretien et réparation du réseau d'assainissement et de drainage</t>
        </is>
      </c>
      <c r="G24" s="10" t="inlineStr">
        <is>
          <t>Curage des prises sur l’oued, bâche d’aspiration et bassin de régulation.</t>
        </is>
      </c>
      <c r="H24" s="10" t="inlineStr">
        <is>
          <t>Curage des prises sur l’oued de la station de pompage S17 et S13.
Nettoyage des grilles de préfiltration des boues colmaté de la station de pompage S17 et S13.
Curage de la bâche d’aspiration de la station S17 et S13.</t>
        </is>
      </c>
      <c r="I24" s="11" t="n">
        <v>300000</v>
      </c>
      <c r="J24" s="12" t="inlineStr">
        <is>
          <t>ml</t>
        </is>
      </c>
      <c r="K24" s="13" t="n">
        <v>100</v>
      </c>
      <c r="L24" s="29" t="n"/>
      <c r="M24" s="41">
        <f>'S51'!M24+L24</f>
        <v/>
      </c>
      <c r="N24" s="36">
        <f>IFERROR(M24/K24,0)</f>
        <v/>
      </c>
      <c r="O24" s="42">
        <f>'S51'!N24</f>
        <v/>
      </c>
      <c r="P24" s="36">
        <f>N24-O24</f>
        <v/>
      </c>
      <c r="Q24" s="32" t="n"/>
      <c r="R24" s="32" t="n"/>
      <c r="S24" s="32" t="n"/>
      <c r="T24" s="33" t="n"/>
      <c r="U24" s="42">
        <f>'S51'!T24</f>
        <v/>
      </c>
      <c r="V24" s="36">
        <f>T24-U24</f>
        <v/>
      </c>
      <c r="W24" s="36">
        <f>N24-T24</f>
        <v/>
      </c>
      <c r="X24" s="34" t="n"/>
    </row>
    <row r="25" ht="22" customHeight="1">
      <c r="B25" s="5" t="n">
        <v>21</v>
      </c>
      <c r="C25" s="6" t="inlineStr">
        <is>
          <t>Sidi Kacem</t>
        </is>
      </c>
      <c r="D25" s="5" t="inlineStr">
        <is>
          <t>HOUAFATE</t>
        </is>
      </c>
      <c r="E25" s="5" t="inlineStr">
        <is>
          <t>50-21</t>
        </is>
      </c>
      <c r="F25" s="5" t="inlineStr">
        <is>
          <t>Entretien et réparation des stations de pompage</t>
        </is>
      </c>
      <c r="G25" s="5" t="inlineStr">
        <is>
          <t>Prestation de maintenance des débitmètres et leurs équipements annexes installés au niveau des station de pompage</t>
        </is>
      </c>
      <c r="H25" s="5" t="inlineStr">
        <is>
          <t>Changement trois débitmètre Ø 600mm inondés de la station de pompage S13.</t>
        </is>
      </c>
      <c r="I25" s="7" t="n">
        <v>250000</v>
      </c>
      <c r="J25" s="8" t="inlineStr">
        <is>
          <t>U</t>
        </is>
      </c>
      <c r="K25" s="9" t="n">
        <v>3</v>
      </c>
      <c r="L25" s="29" t="n"/>
      <c r="M25" s="39">
        <f>'S51'!M25+L25</f>
        <v/>
      </c>
      <c r="N25" s="31">
        <f>IFERROR(M25/K25,0)</f>
        <v/>
      </c>
      <c r="O25" s="40">
        <f>'S51'!N25</f>
        <v/>
      </c>
      <c r="P25" s="31">
        <f>N25-O25</f>
        <v/>
      </c>
      <c r="Q25" s="32" t="n"/>
      <c r="R25" s="32" t="n"/>
      <c r="S25" s="32" t="n"/>
      <c r="T25" s="33" t="n"/>
      <c r="U25" s="40">
        <f>'S51'!T25</f>
        <v/>
      </c>
      <c r="V25" s="31">
        <f>T25-U25</f>
        <v/>
      </c>
      <c r="W25" s="31">
        <f>N25-T25</f>
        <v/>
      </c>
      <c r="X25" s="34" t="n"/>
    </row>
    <row r="26" ht="22" customHeight="1">
      <c r="B26" s="10" t="n">
        <v>22</v>
      </c>
      <c r="C26" s="6" t="inlineStr">
        <is>
          <t>Sidi Kacem</t>
        </is>
      </c>
      <c r="D26" s="10" t="inlineStr">
        <is>
          <t>HOUAFATE</t>
        </is>
      </c>
      <c r="E26" s="10" t="inlineStr">
        <is>
          <t>50-21</t>
        </is>
      </c>
      <c r="F26" s="10" t="inlineStr">
        <is>
          <t>Entretien et réparation des stations de pompage</t>
        </is>
      </c>
      <c r="G26" s="10" t="inlineStr">
        <is>
          <t>Prestations de maintenance des moteurs électriques des stations de pompage.</t>
        </is>
      </c>
      <c r="H26" s="10" t="inlineStr">
        <is>
          <t>Révision des trois moteurs électriques 200 KW principaux de la station S13. 
Révision des deux moteurs électriques 5,5 KW groupes vide de la station S13.</t>
        </is>
      </c>
      <c r="I26" s="11" t="n">
        <v>25000</v>
      </c>
      <c r="J26" s="12" t="inlineStr">
        <is>
          <t>U</t>
        </is>
      </c>
      <c r="K26" s="13" t="n">
        <v>3</v>
      </c>
      <c r="L26" s="29" t="n"/>
      <c r="M26" s="41">
        <f>'S51'!M26+L26</f>
        <v/>
      </c>
      <c r="N26" s="36">
        <f>IFERROR(M26/K26,0)</f>
        <v/>
      </c>
      <c r="O26" s="42">
        <f>'S51'!N26</f>
        <v/>
      </c>
      <c r="P26" s="36">
        <f>N26-O26</f>
        <v/>
      </c>
      <c r="Q26" s="32" t="n"/>
      <c r="R26" s="32" t="n"/>
      <c r="S26" s="32" t="n"/>
      <c r="T26" s="33" t="n"/>
      <c r="U26" s="42">
        <f>'S51'!T26</f>
        <v/>
      </c>
      <c r="V26" s="36">
        <f>T26-U26</f>
        <v/>
      </c>
      <c r="W26" s="36">
        <f>N26-T26</f>
        <v/>
      </c>
      <c r="X26" s="34" t="n"/>
    </row>
    <row r="27" ht="22" customHeight="1">
      <c r="B27" s="5" t="n">
        <v>23</v>
      </c>
      <c r="C27" s="6" t="inlineStr">
        <is>
          <t>Sidi Kacem</t>
        </is>
      </c>
      <c r="D27" s="5" t="inlineStr">
        <is>
          <t>HOUAFATE</t>
        </is>
      </c>
      <c r="E27" s="5" t="inlineStr">
        <is>
          <t>50-21</t>
        </is>
      </c>
      <c r="F27" s="5" t="inlineStr">
        <is>
          <t>Entretien et réparation des stations de pompage</t>
        </is>
      </c>
      <c r="G27" s="5" t="inlineStr">
        <is>
          <t>Prestations de maintenance et de réparation mécanique des pompes et des groupes motopompes submersibles des stations de pompage.</t>
        </is>
      </c>
      <c r="H27" s="5" t="inlineStr">
        <is>
          <t>Démontage et expertise des roues des  pompes principaux et pompes a vide de la station S13.
Changement des roulements, tresses et organes d’effectués de la station S13.</t>
        </is>
      </c>
      <c r="I27" s="7" t="n">
        <v>38000</v>
      </c>
      <c r="J27" s="8" t="inlineStr">
        <is>
          <t>U</t>
        </is>
      </c>
      <c r="K27" s="9" t="n">
        <v>1</v>
      </c>
      <c r="L27" s="29" t="n"/>
      <c r="M27" s="39">
        <f>'S51'!M27+L27</f>
        <v/>
      </c>
      <c r="N27" s="31">
        <f>IFERROR(M27/K27,0)</f>
        <v/>
      </c>
      <c r="O27" s="40">
        <f>'S51'!N27</f>
        <v/>
      </c>
      <c r="P27" s="31">
        <f>N27-O27</f>
        <v/>
      </c>
      <c r="Q27" s="32" t="n"/>
      <c r="R27" s="32" t="n"/>
      <c r="S27" s="32" t="n"/>
      <c r="T27" s="33" t="n"/>
      <c r="U27" s="40">
        <f>'S51'!T27</f>
        <v/>
      </c>
      <c r="V27" s="31">
        <f>T27-U27</f>
        <v/>
      </c>
      <c r="W27" s="31">
        <f>N27-T27</f>
        <v/>
      </c>
      <c r="X27" s="34" t="n"/>
    </row>
    <row r="28" ht="22" customHeight="1">
      <c r="B28" s="10" t="n">
        <v>24</v>
      </c>
      <c r="C28" s="6" t="inlineStr">
        <is>
          <t>Sidi Kacem</t>
        </is>
      </c>
      <c r="D28" s="10" t="inlineStr">
        <is>
          <t>HOUAFATE</t>
        </is>
      </c>
      <c r="E28" s="10" t="inlineStr">
        <is>
          <t>50-21</t>
        </is>
      </c>
      <c r="F28" s="10" t="inlineStr">
        <is>
          <t>Entretien et réparation des stations de pompage</t>
        </is>
      </c>
      <c r="G28" s="10" t="inlineStr">
        <is>
          <t>Stabilisation Berge oued</t>
        </is>
      </c>
      <c r="H28" s="10" t="inlineStr">
        <is>
          <t>Pose de  gabions et recouvrement du talus par matelas Reno des stations de pompage S13.</t>
        </is>
      </c>
      <c r="I28" s="11" t="n">
        <v>10560000</v>
      </c>
      <c r="J28" s="12" t="inlineStr">
        <is>
          <t>m³</t>
        </is>
      </c>
      <c r="K28" s="13" t="n">
        <v>7040</v>
      </c>
      <c r="L28" s="29" t="n"/>
      <c r="M28" s="41">
        <f>'S51'!M28+L28</f>
        <v/>
      </c>
      <c r="N28" s="36">
        <f>IFERROR(M28/K28,0)</f>
        <v/>
      </c>
      <c r="O28" s="42">
        <f>'S51'!N28</f>
        <v/>
      </c>
      <c r="P28" s="36">
        <f>N28-O28</f>
        <v/>
      </c>
      <c r="Q28" s="32" t="n"/>
      <c r="R28" s="32" t="n"/>
      <c r="S28" s="32" t="n"/>
      <c r="T28" s="33" t="n"/>
      <c r="U28" s="42">
        <f>'S51'!T28</f>
        <v/>
      </c>
      <c r="V28" s="36">
        <f>T28-U28</f>
        <v/>
      </c>
      <c r="W28" s="36">
        <f>N28-T28</f>
        <v/>
      </c>
      <c r="X28" s="34" t="n"/>
    </row>
    <row r="29" ht="22" customHeight="1">
      <c r="B29" s="5" t="n">
        <v>25</v>
      </c>
      <c r="C29" s="6" t="inlineStr">
        <is>
          <t>Sidi Kacem</t>
        </is>
      </c>
      <c r="D29" s="5" t="inlineStr">
        <is>
          <t>HOUAFATE</t>
        </is>
      </c>
      <c r="E29" s="5" t="inlineStr">
        <is>
          <t>50-21</t>
        </is>
      </c>
      <c r="F29" s="5" t="inlineStr">
        <is>
          <t>Entretien et réparation des stations de pompage</t>
        </is>
      </c>
      <c r="G29" s="5" t="inlineStr">
        <is>
          <t>Mur clôture des stations de pompage.</t>
        </is>
      </c>
      <c r="H29" s="5" t="inlineStr">
        <is>
          <t>Stabilisation du sol et reconstruction des murs clôture (270m) cote oued de la station S17.</t>
        </is>
      </c>
      <c r="I29" s="7" t="n">
        <v>144000</v>
      </c>
      <c r="J29" s="8" t="inlineStr">
        <is>
          <t>ml</t>
        </is>
      </c>
      <c r="K29" s="9" t="n">
        <v>270</v>
      </c>
      <c r="L29" s="29" t="n"/>
      <c r="M29" s="39">
        <f>'S51'!M29+L29</f>
        <v/>
      </c>
      <c r="N29" s="31">
        <f>IFERROR(M29/K29,0)</f>
        <v/>
      </c>
      <c r="O29" s="40">
        <f>'S51'!N29</f>
        <v/>
      </c>
      <c r="P29" s="31">
        <f>N29-O29</f>
        <v/>
      </c>
      <c r="Q29" s="32" t="n"/>
      <c r="R29" s="32" t="n"/>
      <c r="S29" s="32" t="n"/>
      <c r="T29" s="33" t="n"/>
      <c r="U29" s="40">
        <f>'S51'!T29</f>
        <v/>
      </c>
      <c r="V29" s="31">
        <f>T29-U29</f>
        <v/>
      </c>
      <c r="W29" s="31">
        <f>N29-T29</f>
        <v/>
      </c>
      <c r="X29" s="34" t="n"/>
    </row>
    <row r="30" ht="22" customHeight="1">
      <c r="B30" s="10" t="n">
        <v>26</v>
      </c>
      <c r="C30" s="6" t="inlineStr">
        <is>
          <t>Sidi Kacem</t>
        </is>
      </c>
      <c r="D30" s="10" t="inlineStr">
        <is>
          <t>HOUAFATE</t>
        </is>
      </c>
      <c r="E30" s="10" t="inlineStr">
        <is>
          <t>50-21</t>
        </is>
      </c>
      <c r="F30" s="10" t="inlineStr">
        <is>
          <t>Entretien et réparation des stations de pompage</t>
        </is>
      </c>
      <c r="G30" s="10" t="inlineStr">
        <is>
          <t>Génie civile des locaux des stations de pompage.</t>
        </is>
      </c>
      <c r="H30" s="10" t="inlineStr">
        <is>
          <t>Expertise d’état et d’étanchéité des locaux pompes, commande, puissance des stations de pompage S17 et S13.
Renforcement d’étanchéité des locaux pompe sous niveau des oueds des stations de pompage S17 et S13.</t>
        </is>
      </c>
      <c r="I30" s="11" t="n">
        <v>800000</v>
      </c>
      <c r="J30" s="12" t="inlineStr">
        <is>
          <t>U</t>
        </is>
      </c>
      <c r="K30" s="13" t="n">
        <v>1</v>
      </c>
      <c r="L30" s="29" t="n"/>
      <c r="M30" s="41">
        <f>'S51'!M30+L30</f>
        <v/>
      </c>
      <c r="N30" s="36">
        <f>IFERROR(M30/K30,0)</f>
        <v/>
      </c>
      <c r="O30" s="42">
        <f>'S51'!N30</f>
        <v/>
      </c>
      <c r="P30" s="36">
        <f>N30-O30</f>
        <v/>
      </c>
      <c r="Q30" s="32" t="n"/>
      <c r="R30" s="32" t="n"/>
      <c r="S30" s="32" t="n"/>
      <c r="T30" s="33" t="n"/>
      <c r="U30" s="42">
        <f>'S51'!T30</f>
        <v/>
      </c>
      <c r="V30" s="36">
        <f>T30-U30</f>
        <v/>
      </c>
      <c r="W30" s="36">
        <f>N30-T30</f>
        <v/>
      </c>
      <c r="X30" s="34" t="n"/>
    </row>
    <row r="31" ht="22" customHeight="1">
      <c r="B31" s="5" t="n">
        <v>27</v>
      </c>
      <c r="C31" s="6" t="inlineStr">
        <is>
          <t>Sidi Kacem</t>
        </is>
      </c>
      <c r="D31" s="5" t="inlineStr">
        <is>
          <t>NOUIRAT</t>
        </is>
      </c>
      <c r="E31" s="5" t="inlineStr">
        <is>
          <t>50-23</t>
        </is>
      </c>
      <c r="F31" s="5" t="inlineStr">
        <is>
          <t>Entretien et réparation du réseau d'assainissement et de drainage</t>
        </is>
      </c>
      <c r="G31" s="5" t="inlineStr">
        <is>
          <t>Travaux de curage des canaux en terre</t>
        </is>
      </c>
      <c r="H31" s="5" t="inlineStr">
        <is>
          <t>Curage des collecteurs d'assainissement des secteurs EST1 et N5</t>
        </is>
      </c>
      <c r="I31" s="7" t="n">
        <v>1733306</v>
      </c>
      <c r="J31" s="8" t="inlineStr">
        <is>
          <t>ml</t>
        </is>
      </c>
      <c r="K31" s="9" t="n">
        <v>867</v>
      </c>
      <c r="L31" s="29" t="n"/>
      <c r="M31" s="39">
        <f>'S51'!M31+L31</f>
        <v/>
      </c>
      <c r="N31" s="31">
        <f>IFERROR(M31/K31,0)</f>
        <v/>
      </c>
      <c r="O31" s="40">
        <f>'S51'!N31</f>
        <v/>
      </c>
      <c r="P31" s="31">
        <f>N31-O31</f>
        <v/>
      </c>
      <c r="Q31" s="32" t="n"/>
      <c r="R31" s="32" t="n"/>
      <c r="S31" s="32" t="n"/>
      <c r="T31" s="33" t="n"/>
      <c r="U31" s="40">
        <f>'S51'!T31</f>
        <v/>
      </c>
      <c r="V31" s="31">
        <f>T31-U31</f>
        <v/>
      </c>
      <c r="W31" s="31">
        <f>N31-T31</f>
        <v/>
      </c>
      <c r="X31" s="34" t="n"/>
    </row>
    <row r="32" ht="22" customHeight="1">
      <c r="B32" s="10" t="n">
        <v>28</v>
      </c>
      <c r="C32" s="6" t="inlineStr">
        <is>
          <t>Sidi Kacem</t>
        </is>
      </c>
      <c r="D32" s="10" t="inlineStr">
        <is>
          <t>NOUIRAT</t>
        </is>
      </c>
      <c r="E32" s="10" t="inlineStr">
        <is>
          <t>40-21</t>
        </is>
      </c>
      <c r="F32" s="10" t="inlineStr">
        <is>
          <t>Travaux de pistes</t>
        </is>
      </c>
      <c r="G32" s="10" t="inlineStr">
        <is>
          <t>Entretien des pistes agricoles</t>
        </is>
      </c>
      <c r="H32" s="10" t="inlineStr">
        <is>
          <t>Entretien des pistes agricoles</t>
        </is>
      </c>
      <c r="I32" s="11" t="n">
        <v>670000</v>
      </c>
      <c r="J32" s="12" t="inlineStr">
        <is>
          <t>km</t>
        </is>
      </c>
      <c r="K32" s="13" t="n">
        <v>1</v>
      </c>
      <c r="L32" s="29" t="n"/>
      <c r="M32" s="41">
        <f>'S51'!M32+L32</f>
        <v/>
      </c>
      <c r="N32" s="36">
        <f>IFERROR(M32/K32,0)</f>
        <v/>
      </c>
      <c r="O32" s="42">
        <f>'S51'!N32</f>
        <v/>
      </c>
      <c r="P32" s="36">
        <f>N32-O32</f>
        <v/>
      </c>
      <c r="Q32" s="32" t="n"/>
      <c r="R32" s="32" t="n"/>
      <c r="S32" s="32" t="n"/>
      <c r="T32" s="33" t="n"/>
      <c r="U32" s="42">
        <f>'S51'!T32</f>
        <v/>
      </c>
      <c r="V32" s="36">
        <f>T32-U32</f>
        <v/>
      </c>
      <c r="W32" s="36">
        <f>N32-T32</f>
        <v/>
      </c>
      <c r="X32" s="34" t="n"/>
    </row>
    <row r="33" ht="22" customHeight="1">
      <c r="B33" s="5" t="n">
        <v>29</v>
      </c>
      <c r="C33" s="6" t="inlineStr">
        <is>
          <t>Sidi Kacem</t>
        </is>
      </c>
      <c r="D33" s="5" t="inlineStr">
        <is>
          <t>NOUIRAT</t>
        </is>
      </c>
      <c r="E33" s="5" t="inlineStr">
        <is>
          <t>20-11</t>
        </is>
      </c>
      <c r="F33" s="5" t="inlineStr">
        <is>
          <t>Travaux de réhabilitation des équipements</t>
        </is>
      </c>
      <c r="G33" s="5" t="inlineStr">
        <is>
          <t>Travaux de réhabilitation des ouvrages de génie civil</t>
        </is>
      </c>
      <c r="H33" s="5" t="inlineStr">
        <is>
          <t>Réhabilitation de l'ouvrage( genie civil ,gabiollannage,clapet anti retour et buse) de l'ouvrage de débouche SE1</t>
        </is>
      </c>
      <c r="I33" s="7" t="n">
        <v>2500000</v>
      </c>
      <c r="J33" s="8" t="inlineStr">
        <is>
          <t>U</t>
        </is>
      </c>
      <c r="K33" s="9" t="n">
        <v>5</v>
      </c>
      <c r="L33" s="29" t="n"/>
      <c r="M33" s="39">
        <f>'S51'!M33+L33</f>
        <v/>
      </c>
      <c r="N33" s="31">
        <f>IFERROR(M33/K33,0)</f>
        <v/>
      </c>
      <c r="O33" s="40">
        <f>'S51'!N33</f>
        <v/>
      </c>
      <c r="P33" s="31">
        <f>N33-O33</f>
        <v/>
      </c>
      <c r="Q33" s="32" t="n"/>
      <c r="R33" s="32" t="n"/>
      <c r="S33" s="32" t="n"/>
      <c r="T33" s="33" t="n"/>
      <c r="U33" s="40">
        <f>'S51'!T33</f>
        <v/>
      </c>
      <c r="V33" s="31">
        <f>T33-U33</f>
        <v/>
      </c>
      <c r="W33" s="31">
        <f>N33-T33</f>
        <v/>
      </c>
      <c r="X33" s="34" t="n"/>
    </row>
    <row r="34" ht="22" customHeight="1">
      <c r="B34" s="10" t="n">
        <v>30</v>
      </c>
      <c r="C34" s="6" t="inlineStr">
        <is>
          <t>Sidi Kacem</t>
        </is>
      </c>
      <c r="D34" s="10" t="inlineStr">
        <is>
          <t>NOUIRAT</t>
        </is>
      </c>
      <c r="E34" s="10" t="inlineStr">
        <is>
          <t>50-23</t>
        </is>
      </c>
      <c r="F34" s="10" t="inlineStr">
        <is>
          <t>Entretien et réparation du réseau d'assainissement et de drainage</t>
        </is>
      </c>
      <c r="G34" s="10" t="inlineStr">
        <is>
          <t>Curage des prises sur l’oued, bâche d’aspiration et bassin de régulation.</t>
        </is>
      </c>
      <c r="H34" s="10" t="inlineStr">
        <is>
          <t>Curage des prises sur l’oued de la station de pompage E1.
Nettoyage des grilles de préfiltration des boues colmaté de la station de pompage E1.
Curage de la bâche d’aspiration de la station E1.</t>
        </is>
      </c>
      <c r="I34" s="11" t="n">
        <v>800000</v>
      </c>
      <c r="J34" s="12" t="inlineStr">
        <is>
          <t>ml</t>
        </is>
      </c>
      <c r="K34" s="13" t="n">
        <v>267</v>
      </c>
      <c r="L34" s="29" t="n"/>
      <c r="M34" s="41">
        <f>'S51'!M34+L34</f>
        <v/>
      </c>
      <c r="N34" s="36">
        <f>IFERROR(M34/K34,0)</f>
        <v/>
      </c>
      <c r="O34" s="42">
        <f>'S51'!N34</f>
        <v/>
      </c>
      <c r="P34" s="36">
        <f>N34-O34</f>
        <v/>
      </c>
      <c r="Q34" s="32" t="n"/>
      <c r="R34" s="32" t="n"/>
      <c r="S34" s="32" t="n"/>
      <c r="T34" s="33" t="n"/>
      <c r="U34" s="42">
        <f>'S51'!T34</f>
        <v/>
      </c>
      <c r="V34" s="36">
        <f>T34-U34</f>
        <v/>
      </c>
      <c r="W34" s="36">
        <f>N34-T34</f>
        <v/>
      </c>
      <c r="X34" s="34" t="n"/>
    </row>
    <row r="35" ht="22" customHeight="1">
      <c r="B35" s="5" t="n">
        <v>31</v>
      </c>
      <c r="C35" s="6" t="inlineStr">
        <is>
          <t>Sidi Kacem</t>
        </is>
      </c>
      <c r="D35" s="5" t="inlineStr">
        <is>
          <t>NOUIRAT</t>
        </is>
      </c>
      <c r="E35" s="5" t="inlineStr">
        <is>
          <t>50-21</t>
        </is>
      </c>
      <c r="F35" s="5" t="inlineStr">
        <is>
          <t>Entretien et réparation des stations de pompage</t>
        </is>
      </c>
      <c r="G35" s="5" t="inlineStr">
        <is>
          <t>Prestation de maintenance des débitmètres et leurs équipements annexes installés au niveau des station de pompage</t>
        </is>
      </c>
      <c r="H35" s="5" t="inlineStr">
        <is>
          <t>Changement du débitmètre Ø 1200mm inondé de la station de pompage E1.</t>
        </is>
      </c>
      <c r="I35" s="7" t="n">
        <v>195000</v>
      </c>
      <c r="J35" s="8" t="inlineStr">
        <is>
          <t>U</t>
        </is>
      </c>
      <c r="K35" s="9" t="n">
        <v>2</v>
      </c>
      <c r="L35" s="29" t="n"/>
      <c r="M35" s="39">
        <f>'S51'!M35+L35</f>
        <v/>
      </c>
      <c r="N35" s="31">
        <f>IFERROR(M35/K35,0)</f>
        <v/>
      </c>
      <c r="O35" s="40">
        <f>'S51'!N35</f>
        <v/>
      </c>
      <c r="P35" s="31">
        <f>N35-O35</f>
        <v/>
      </c>
      <c r="Q35" s="32" t="n"/>
      <c r="R35" s="32" t="n"/>
      <c r="S35" s="32" t="n"/>
      <c r="T35" s="33" t="n"/>
      <c r="U35" s="40">
        <f>'S51'!T35</f>
        <v/>
      </c>
      <c r="V35" s="31">
        <f>T35-U35</f>
        <v/>
      </c>
      <c r="W35" s="31">
        <f>N35-T35</f>
        <v/>
      </c>
      <c r="X35" s="34" t="n"/>
    </row>
    <row r="36" ht="22" customHeight="1">
      <c r="B36" s="10" t="n">
        <v>32</v>
      </c>
      <c r="C36" s="6" t="inlineStr">
        <is>
          <t>Sidi Kacem</t>
        </is>
      </c>
      <c r="D36" s="10" t="inlineStr">
        <is>
          <t>NOUIRAT</t>
        </is>
      </c>
      <c r="E36" s="10" t="inlineStr">
        <is>
          <t>50-21</t>
        </is>
      </c>
      <c r="F36" s="10" t="inlineStr">
        <is>
          <t>Entretien et réparation des stations de pompage</t>
        </is>
      </c>
      <c r="G36" s="10" t="inlineStr">
        <is>
          <t>Prestations de maintenance des moteurs électriques des stations de pompage.</t>
        </is>
      </c>
      <c r="H36" s="10" t="inlineStr">
        <is>
          <t>Révision des deux moteurs électriques principaux de la station E1.</t>
        </is>
      </c>
      <c r="I36" s="11" t="n">
        <v>50000</v>
      </c>
      <c r="J36" s="12" t="inlineStr">
        <is>
          <t>U</t>
        </is>
      </c>
      <c r="K36" s="13" t="n">
        <v>2</v>
      </c>
      <c r="L36" s="29" t="n"/>
      <c r="M36" s="41">
        <f>'S51'!M36+L36</f>
        <v/>
      </c>
      <c r="N36" s="36">
        <f>IFERROR(M36/K36,0)</f>
        <v/>
      </c>
      <c r="O36" s="42">
        <f>'S51'!N36</f>
        <v/>
      </c>
      <c r="P36" s="36">
        <f>N36-O36</f>
        <v/>
      </c>
      <c r="Q36" s="32" t="n"/>
      <c r="R36" s="32" t="n"/>
      <c r="S36" s="32" t="n"/>
      <c r="T36" s="33" t="n"/>
      <c r="U36" s="42">
        <f>'S51'!T36</f>
        <v/>
      </c>
      <c r="V36" s="36">
        <f>T36-U36</f>
        <v/>
      </c>
      <c r="W36" s="36">
        <f>N36-T36</f>
        <v/>
      </c>
      <c r="X36" s="34" t="n"/>
    </row>
    <row r="37" ht="22" customHeight="1">
      <c r="B37" s="5" t="n">
        <v>33</v>
      </c>
      <c r="C37" s="6" t="inlineStr">
        <is>
          <t>Sidi Kacem</t>
        </is>
      </c>
      <c r="D37" s="5" t="inlineStr">
        <is>
          <t>NOUIRAT</t>
        </is>
      </c>
      <c r="E37" s="5" t="inlineStr">
        <is>
          <t>50-21</t>
        </is>
      </c>
      <c r="F37" s="5" t="inlineStr">
        <is>
          <t>Entretien et réparation des stations de pompage</t>
        </is>
      </c>
      <c r="G37" s="5" t="inlineStr">
        <is>
          <t>Prestations de maintenance et de réparation mécanique des pompes et des groupes motopompes submersibles des stations de pompage.</t>
        </is>
      </c>
      <c r="H37" s="5" t="inlineStr">
        <is>
          <t>Démontage et expertise des cinq pompes principaux et pompes a vide de la station E1.
Changement des roulements, tresses et organes d’effectués de la station E1.</t>
        </is>
      </c>
      <c r="I37" s="7" t="n">
        <v>245000</v>
      </c>
      <c r="J37" s="8" t="inlineStr">
        <is>
          <t>U</t>
        </is>
      </c>
      <c r="K37" s="9" t="n">
        <v>5</v>
      </c>
      <c r="L37" s="29" t="n"/>
      <c r="M37" s="39">
        <f>'S51'!M37+L37</f>
        <v/>
      </c>
      <c r="N37" s="31">
        <f>IFERROR(M37/K37,0)</f>
        <v/>
      </c>
      <c r="O37" s="40">
        <f>'S51'!N37</f>
        <v/>
      </c>
      <c r="P37" s="31">
        <f>N37-O37</f>
        <v/>
      </c>
      <c r="Q37" s="32" t="n"/>
      <c r="R37" s="32" t="n"/>
      <c r="S37" s="32" t="n"/>
      <c r="T37" s="33" t="n"/>
      <c r="U37" s="40">
        <f>'S51'!T37</f>
        <v/>
      </c>
      <c r="V37" s="31">
        <f>T37-U37</f>
        <v/>
      </c>
      <c r="W37" s="31">
        <f>N37-T37</f>
        <v/>
      </c>
      <c r="X37" s="34" t="n"/>
    </row>
    <row r="38" ht="22" customHeight="1">
      <c r="B38" s="10" t="n">
        <v>34</v>
      </c>
      <c r="C38" s="6" t="inlineStr">
        <is>
          <t>Sidi Kacem</t>
        </is>
      </c>
      <c r="D38" s="10" t="inlineStr">
        <is>
          <t>NOUIRAT</t>
        </is>
      </c>
      <c r="E38" s="10" t="inlineStr">
        <is>
          <t>50-21</t>
        </is>
      </c>
      <c r="F38" s="10" t="inlineStr">
        <is>
          <t>Entretien et réparation des stations de pompage</t>
        </is>
      </c>
      <c r="G38" s="10" t="inlineStr">
        <is>
          <t>Génie civile des locaux des stations de pompage.</t>
        </is>
      </c>
      <c r="H38" s="10" t="inlineStr">
        <is>
          <t>Expertise d’état et d’étanchéité des locaux pompes, commande, puissance de la station de pompage E1.
Renforcement d’étanchéité des locaux pompe sous niveau des oueds de la station de pompage E1.</t>
        </is>
      </c>
      <c r="I38" s="11" t="n">
        <v>1000000</v>
      </c>
      <c r="J38" s="12" t="inlineStr">
        <is>
          <t>U</t>
        </is>
      </c>
      <c r="K38" s="13" t="n">
        <v>1</v>
      </c>
      <c r="L38" s="29" t="n"/>
      <c r="M38" s="41">
        <f>'S51'!M38+L38</f>
        <v/>
      </c>
      <c r="N38" s="36">
        <f>IFERROR(M38/K38,0)</f>
        <v/>
      </c>
      <c r="O38" s="42">
        <f>'S51'!N38</f>
        <v/>
      </c>
      <c r="P38" s="36">
        <f>N38-O38</f>
        <v/>
      </c>
      <c r="Q38" s="32" t="n"/>
      <c r="R38" s="32" t="n"/>
      <c r="S38" s="32" t="n"/>
      <c r="T38" s="33" t="n"/>
      <c r="U38" s="42">
        <f>'S51'!T38</f>
        <v/>
      </c>
      <c r="V38" s="36">
        <f>T38-U38</f>
        <v/>
      </c>
      <c r="W38" s="36">
        <f>N38-T38</f>
        <v/>
      </c>
      <c r="X38" s="34" t="n"/>
    </row>
    <row r="39" ht="22" customHeight="1">
      <c r="B39" s="5" t="n">
        <v>35</v>
      </c>
      <c r="C39" s="6" t="inlineStr">
        <is>
          <t>Sidi Kacem</t>
        </is>
      </c>
      <c r="D39" s="5" t="inlineStr">
        <is>
          <t>RMILAT</t>
        </is>
      </c>
      <c r="E39" s="5" t="inlineStr">
        <is>
          <t>50-23</t>
        </is>
      </c>
      <c r="F39" s="5" t="inlineStr">
        <is>
          <t>Entretien et réparation du réseau d'assainissement et de drainage</t>
        </is>
      </c>
      <c r="G39" s="5" t="inlineStr">
        <is>
          <t>Travaux de curage des canaux en terre</t>
        </is>
      </c>
      <c r="H39" s="5" t="inlineStr">
        <is>
          <t>Curage des collecteurs d'assainissement des secteurs P7</t>
        </is>
      </c>
      <c r="I39" s="7" t="n">
        <v>5024032</v>
      </c>
      <c r="J39" s="8" t="inlineStr">
        <is>
          <t>ml</t>
        </is>
      </c>
      <c r="K39" s="9" t="n">
        <v>2512</v>
      </c>
      <c r="L39" s="29" t="n"/>
      <c r="M39" s="39">
        <f>'S51'!M39+L39</f>
        <v/>
      </c>
      <c r="N39" s="31">
        <f>IFERROR(M39/K39,0)</f>
        <v/>
      </c>
      <c r="O39" s="40">
        <f>'S51'!N39</f>
        <v/>
      </c>
      <c r="P39" s="31">
        <f>N39-O39</f>
        <v/>
      </c>
      <c r="Q39" s="32" t="n"/>
      <c r="R39" s="32" t="n"/>
      <c r="S39" s="32" t="n"/>
      <c r="T39" s="33" t="n"/>
      <c r="U39" s="40">
        <f>'S51'!T39</f>
        <v/>
      </c>
      <c r="V39" s="31">
        <f>T39-U39</f>
        <v/>
      </c>
      <c r="W39" s="31">
        <f>N39-T39</f>
        <v/>
      </c>
      <c r="X39" s="34" t="n"/>
    </row>
    <row r="40" ht="22" customHeight="1">
      <c r="B40" s="10" t="n">
        <v>36</v>
      </c>
      <c r="C40" s="6" t="inlineStr">
        <is>
          <t>Sidi Kacem</t>
        </is>
      </c>
      <c r="D40" s="10" t="inlineStr">
        <is>
          <t>RMILAT</t>
        </is>
      </c>
      <c r="E40" s="10" t="inlineStr">
        <is>
          <t>40-21</t>
        </is>
      </c>
      <c r="F40" s="10" t="inlineStr">
        <is>
          <t>Travaux de pistes</t>
        </is>
      </c>
      <c r="G40" s="10" t="inlineStr">
        <is>
          <t>Entretien des pistes agricoles</t>
        </is>
      </c>
      <c r="H40" s="10" t="inlineStr">
        <is>
          <t>Entretien des pistes agricoles</t>
        </is>
      </c>
      <c r="I40" s="11" t="n">
        <v>400000</v>
      </c>
      <c r="J40" s="12" t="inlineStr">
        <is>
          <t>km</t>
        </is>
      </c>
      <c r="K40" s="13" t="n">
        <v>1</v>
      </c>
      <c r="L40" s="29" t="n"/>
      <c r="M40" s="41">
        <f>'S51'!M40+L40</f>
        <v/>
      </c>
      <c r="N40" s="36">
        <f>IFERROR(M40/K40,0)</f>
        <v/>
      </c>
      <c r="O40" s="42">
        <f>'S51'!N40</f>
        <v/>
      </c>
      <c r="P40" s="36">
        <f>N40-O40</f>
        <v/>
      </c>
      <c r="Q40" s="32" t="n"/>
      <c r="R40" s="32" t="n"/>
      <c r="S40" s="32" t="n"/>
      <c r="T40" s="33" t="n"/>
      <c r="U40" s="42">
        <f>'S51'!T40</f>
        <v/>
      </c>
      <c r="V40" s="36">
        <f>T40-U40</f>
        <v/>
      </c>
      <c r="W40" s="36">
        <f>N40-T40</f>
        <v/>
      </c>
      <c r="X40" s="34" t="n"/>
    </row>
    <row r="41" ht="22" customHeight="1">
      <c r="B41" s="5" t="n">
        <v>37</v>
      </c>
      <c r="C41" s="6" t="inlineStr">
        <is>
          <t>Sidi Kacem</t>
        </is>
      </c>
      <c r="D41" s="5" t="inlineStr">
        <is>
          <t>SAFSAF</t>
        </is>
      </c>
      <c r="E41" s="5" t="inlineStr">
        <is>
          <t>50-23</t>
        </is>
      </c>
      <c r="F41" s="5" t="inlineStr">
        <is>
          <t>Entretien et réparation du réseau d'assainissement et de drainage</t>
        </is>
      </c>
      <c r="G41" s="5" t="inlineStr">
        <is>
          <t>Travaux de curage des canaux en terre</t>
        </is>
      </c>
      <c r="H41" s="5" t="inlineStr">
        <is>
          <t>Curage des collecteurs d'assainissement des secteurs S7, S9 et S11</t>
        </is>
      </c>
      <c r="I41" s="7" t="n">
        <v>6000000</v>
      </c>
      <c r="J41" s="8" t="inlineStr">
        <is>
          <t>ml</t>
        </is>
      </c>
      <c r="K41" s="9" t="n">
        <v>3000</v>
      </c>
      <c r="L41" s="29" t="n"/>
      <c r="M41" s="39">
        <f>'S51'!M41+L41</f>
        <v/>
      </c>
      <c r="N41" s="31">
        <f>IFERROR(M41/K41,0)</f>
        <v/>
      </c>
      <c r="O41" s="40">
        <f>'S51'!N41</f>
        <v/>
      </c>
      <c r="P41" s="31">
        <f>N41-O41</f>
        <v/>
      </c>
      <c r="Q41" s="32" t="n"/>
      <c r="R41" s="32" t="n"/>
      <c r="S41" s="32" t="n"/>
      <c r="T41" s="33" t="n"/>
      <c r="U41" s="40">
        <f>'S51'!T41</f>
        <v/>
      </c>
      <c r="V41" s="31">
        <f>T41-U41</f>
        <v/>
      </c>
      <c r="W41" s="31">
        <f>N41-T41</f>
        <v/>
      </c>
      <c r="X41" s="34" t="n"/>
    </row>
    <row r="42" ht="22" customHeight="1">
      <c r="B42" s="10" t="n">
        <v>38</v>
      </c>
      <c r="C42" s="6" t="inlineStr">
        <is>
          <t>Sidi Kacem</t>
        </is>
      </c>
      <c r="D42" s="10" t="inlineStr">
        <is>
          <t>SAFSAF</t>
        </is>
      </c>
      <c r="E42" s="10" t="inlineStr">
        <is>
          <t>20-11</t>
        </is>
      </c>
      <c r="F42" s="10" t="inlineStr">
        <is>
          <t>Travaux de réhabilitation des équipements</t>
        </is>
      </c>
      <c r="G42" s="10" t="inlineStr">
        <is>
          <t>Travaux de réhabilitation des canaux portés d'irrigation</t>
        </is>
      </c>
      <c r="H42" s="10" t="inlineStr">
        <is>
          <t>Fourniture et  pose de canaux porté et accessoires du réseau S4 du secteur S11</t>
        </is>
      </c>
      <c r="I42" s="11" t="n">
        <v>232266</v>
      </c>
      <c r="J42" s="12" t="inlineStr">
        <is>
          <t>ml</t>
        </is>
      </c>
      <c r="K42" s="13" t="n">
        <v>77</v>
      </c>
      <c r="L42" s="29" t="n"/>
      <c r="M42" s="41">
        <f>'S51'!M42+L42</f>
        <v/>
      </c>
      <c r="N42" s="36">
        <f>IFERROR(M42/K42,0)</f>
        <v/>
      </c>
      <c r="O42" s="42">
        <f>'S51'!N42</f>
        <v/>
      </c>
      <c r="P42" s="36">
        <f>N42-O42</f>
        <v/>
      </c>
      <c r="Q42" s="32" t="n"/>
      <c r="R42" s="32" t="n"/>
      <c r="S42" s="32" t="n"/>
      <c r="T42" s="33" t="n"/>
      <c r="U42" s="42">
        <f>'S51'!T42</f>
        <v/>
      </c>
      <c r="V42" s="36">
        <f>T42-U42</f>
        <v/>
      </c>
      <c r="W42" s="36">
        <f>N42-T42</f>
        <v/>
      </c>
      <c r="X42" s="34" t="n"/>
    </row>
    <row r="43" ht="22" customHeight="1">
      <c r="B43" s="5" t="n">
        <v>39</v>
      </c>
      <c r="C43" s="6" t="inlineStr">
        <is>
          <t>Sidi Kacem</t>
        </is>
      </c>
      <c r="D43" s="5" t="inlineStr">
        <is>
          <t>SAFSAF</t>
        </is>
      </c>
      <c r="E43" s="5" t="inlineStr">
        <is>
          <t>20-11</t>
        </is>
      </c>
      <c r="F43" s="5" t="inlineStr">
        <is>
          <t>Travaux de réhabilitation des équipements</t>
        </is>
      </c>
      <c r="G43" s="5" t="inlineStr"/>
      <c r="H43" s="5" t="inlineStr">
        <is>
          <t>Recalage des canaux portés du réseau T5S5 du secteur S9</t>
        </is>
      </c>
      <c r="I43" s="7" t="n">
        <v>1055025</v>
      </c>
      <c r="J43" s="8" t="inlineStr">
        <is>
          <t>ml</t>
        </is>
      </c>
      <c r="K43" s="9" t="n">
        <v>352</v>
      </c>
      <c r="L43" s="29" t="n"/>
      <c r="M43" s="39">
        <f>'S51'!M43+L43</f>
        <v/>
      </c>
      <c r="N43" s="31">
        <f>IFERROR(M43/K43,0)</f>
        <v/>
      </c>
      <c r="O43" s="40">
        <f>'S51'!N43</f>
        <v/>
      </c>
      <c r="P43" s="31">
        <f>N43-O43</f>
        <v/>
      </c>
      <c r="Q43" s="32" t="n"/>
      <c r="R43" s="32" t="n"/>
      <c r="S43" s="32" t="n"/>
      <c r="T43" s="33" t="n"/>
      <c r="U43" s="40">
        <f>'S51'!T43</f>
        <v/>
      </c>
      <c r="V43" s="31">
        <f>T43-U43</f>
        <v/>
      </c>
      <c r="W43" s="31">
        <f>N43-T43</f>
        <v/>
      </c>
      <c r="X43" s="34" t="n"/>
    </row>
    <row r="44" ht="22" customHeight="1">
      <c r="B44" s="10" t="n">
        <v>40</v>
      </c>
      <c r="C44" s="6" t="inlineStr">
        <is>
          <t>Sidi Kacem</t>
        </is>
      </c>
      <c r="D44" s="10" t="inlineStr">
        <is>
          <t>SAFSAF</t>
        </is>
      </c>
      <c r="E44" s="10" t="inlineStr">
        <is>
          <t>20-11</t>
        </is>
      </c>
      <c r="F44" s="10" t="inlineStr">
        <is>
          <t>Travaux de réhabilitation des équipements</t>
        </is>
      </c>
      <c r="G44" s="10" t="inlineStr"/>
      <c r="H44" s="10" t="inlineStr">
        <is>
          <t>Recalage des canaux portés du réseau T7S5 du secteur S9</t>
        </is>
      </c>
      <c r="I44" s="11" t="n">
        <v>1004535</v>
      </c>
      <c r="J44" s="12" t="inlineStr">
        <is>
          <t>ml</t>
        </is>
      </c>
      <c r="K44" s="13" t="n">
        <v>335</v>
      </c>
      <c r="L44" s="29" t="n"/>
      <c r="M44" s="41">
        <f>'S51'!M44+L44</f>
        <v/>
      </c>
      <c r="N44" s="36">
        <f>IFERROR(M44/K44,0)</f>
        <v/>
      </c>
      <c r="O44" s="42">
        <f>'S51'!N44</f>
        <v/>
      </c>
      <c r="P44" s="36">
        <f>N44-O44</f>
        <v/>
      </c>
      <c r="Q44" s="32" t="n"/>
      <c r="R44" s="32" t="n"/>
      <c r="S44" s="32" t="n"/>
      <c r="T44" s="33" t="n"/>
      <c r="U44" s="42">
        <f>'S51'!T44</f>
        <v/>
      </c>
      <c r="V44" s="36">
        <f>T44-U44</f>
        <v/>
      </c>
      <c r="W44" s="36">
        <f>N44-T44</f>
        <v/>
      </c>
      <c r="X44" s="34" t="n"/>
    </row>
    <row r="45" ht="22" customHeight="1">
      <c r="B45" s="5" t="n">
        <v>41</v>
      </c>
      <c r="C45" s="6" t="inlineStr">
        <is>
          <t>Sidi Kacem</t>
        </is>
      </c>
      <c r="D45" s="5" t="inlineStr">
        <is>
          <t>SAFSAF</t>
        </is>
      </c>
      <c r="E45" s="5" t="inlineStr">
        <is>
          <t>20-11</t>
        </is>
      </c>
      <c r="F45" s="5" t="inlineStr">
        <is>
          <t>Travaux de réhabilitation des équipements</t>
        </is>
      </c>
      <c r="G45" s="5" t="inlineStr"/>
      <c r="H45" s="5" t="inlineStr">
        <is>
          <t>Recalage des canaux portés du réseau T2S5 du secteur S9</t>
        </is>
      </c>
      <c r="I45" s="7" t="n">
        <v>793830</v>
      </c>
      <c r="J45" s="8" t="inlineStr">
        <is>
          <t>ml</t>
        </is>
      </c>
      <c r="K45" s="9" t="n">
        <v>265</v>
      </c>
      <c r="L45" s="29" t="n"/>
      <c r="M45" s="39">
        <f>'S51'!M45+L45</f>
        <v/>
      </c>
      <c r="N45" s="31">
        <f>IFERROR(M45/K45,0)</f>
        <v/>
      </c>
      <c r="O45" s="40">
        <f>'S51'!N45</f>
        <v/>
      </c>
      <c r="P45" s="31">
        <f>N45-O45</f>
        <v/>
      </c>
      <c r="Q45" s="32" t="n"/>
      <c r="R45" s="32" t="n"/>
      <c r="S45" s="32" t="n"/>
      <c r="T45" s="33" t="n"/>
      <c r="U45" s="40">
        <f>'S51'!T45</f>
        <v/>
      </c>
      <c r="V45" s="31">
        <f>T45-U45</f>
        <v/>
      </c>
      <c r="W45" s="31">
        <f>N45-T45</f>
        <v/>
      </c>
      <c r="X45" s="34" t="n"/>
    </row>
    <row r="46" ht="22" customHeight="1">
      <c r="B46" s="10" t="n">
        <v>42</v>
      </c>
      <c r="C46" s="6" t="inlineStr">
        <is>
          <t>Sidi Kacem</t>
        </is>
      </c>
      <c r="D46" s="10" t="inlineStr">
        <is>
          <t>SAFSAF</t>
        </is>
      </c>
      <c r="E46" s="10" t="inlineStr">
        <is>
          <t>40-21</t>
        </is>
      </c>
      <c r="F46" s="10" t="inlineStr">
        <is>
          <t>Travaux de pistes</t>
        </is>
      </c>
      <c r="G46" s="10" t="inlineStr">
        <is>
          <t>Entretien des pistes agricoles</t>
        </is>
      </c>
      <c r="H46" s="10" t="inlineStr">
        <is>
          <t>Entretien des pistes agricoles</t>
        </is>
      </c>
      <c r="I46" s="11" t="n">
        <v>2000000</v>
      </c>
      <c r="J46" s="12" t="inlineStr">
        <is>
          <t>km</t>
        </is>
      </c>
      <c r="K46" s="13" t="n">
        <v>4</v>
      </c>
      <c r="L46" s="29" t="n"/>
      <c r="M46" s="41">
        <f>'S51'!M46+L46</f>
        <v/>
      </c>
      <c r="N46" s="36">
        <f>IFERROR(M46/K46,0)</f>
        <v/>
      </c>
      <c r="O46" s="42">
        <f>'S51'!N46</f>
        <v/>
      </c>
      <c r="P46" s="36">
        <f>N46-O46</f>
        <v/>
      </c>
      <c r="Q46" s="32" t="n"/>
      <c r="R46" s="32" t="n"/>
      <c r="S46" s="32" t="n"/>
      <c r="T46" s="33" t="n"/>
      <c r="U46" s="42">
        <f>'S51'!T46</f>
        <v/>
      </c>
      <c r="V46" s="36">
        <f>T46-U46</f>
        <v/>
      </c>
      <c r="W46" s="36">
        <f>N46-T46</f>
        <v/>
      </c>
      <c r="X46" s="34" t="n"/>
    </row>
    <row r="47" ht="22" customHeight="1">
      <c r="B47" s="5" t="n">
        <v>43</v>
      </c>
      <c r="C47" s="6" t="inlineStr">
        <is>
          <t>Sidi Kacem</t>
        </is>
      </c>
      <c r="D47" s="5" t="inlineStr">
        <is>
          <t>SAFSAF</t>
        </is>
      </c>
      <c r="E47" s="5" t="inlineStr">
        <is>
          <t>50-23</t>
        </is>
      </c>
      <c r="F47" s="5" t="inlineStr">
        <is>
          <t>Entretien et réparation du réseau d'assainissement et de drainage</t>
        </is>
      </c>
      <c r="G47" s="5" t="inlineStr">
        <is>
          <t>Curage des prises sur l’oued, bâche d’aspiration et bassin de régulation.</t>
        </is>
      </c>
      <c r="H47" s="5" t="inlineStr">
        <is>
          <t>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is>
      </c>
      <c r="I47" s="7" t="n">
        <v>200000</v>
      </c>
      <c r="J47" s="8" t="inlineStr">
        <is>
          <t>ml</t>
        </is>
      </c>
      <c r="K47" s="9" t="n">
        <v>67</v>
      </c>
      <c r="L47" s="29" t="n"/>
      <c r="M47" s="39">
        <f>'S51'!M47+L47</f>
        <v/>
      </c>
      <c r="N47" s="31">
        <f>IFERROR(M47/K47,0)</f>
        <v/>
      </c>
      <c r="O47" s="40">
        <f>'S51'!N47</f>
        <v/>
      </c>
      <c r="P47" s="31">
        <f>N47-O47</f>
        <v/>
      </c>
      <c r="Q47" s="32" t="n"/>
      <c r="R47" s="32" t="n"/>
      <c r="S47" s="32" t="n"/>
      <c r="T47" s="33" t="n"/>
      <c r="U47" s="40">
        <f>'S51'!T47</f>
        <v/>
      </c>
      <c r="V47" s="31">
        <f>T47-U47</f>
        <v/>
      </c>
      <c r="W47" s="31">
        <f>N47-T47</f>
        <v/>
      </c>
      <c r="X47" s="34" t="n"/>
    </row>
    <row r="48" ht="22" customHeight="1">
      <c r="B48" s="10" t="n">
        <v>44</v>
      </c>
      <c r="C48" s="6" t="inlineStr">
        <is>
          <t>Sidi Kacem</t>
        </is>
      </c>
      <c r="D48" s="10" t="inlineStr">
        <is>
          <t>SAFSAF</t>
        </is>
      </c>
      <c r="E48" s="10" t="inlineStr">
        <is>
          <t>50-21</t>
        </is>
      </c>
      <c r="F48" s="10" t="inlineStr">
        <is>
          <t>Entretien et réparation des stations de pompage</t>
        </is>
      </c>
      <c r="G48" s="10" t="inlineStr">
        <is>
          <t>Prestation de maintenance des débitmètres et leurs équipements annexes installés au niveau des station de pompage</t>
        </is>
      </c>
      <c r="H48" s="10" t="inlineStr">
        <is>
          <t>Changements Sept des débitmètres Ø 600mm inondé des deux stations de pompage S11 et S9.</t>
        </is>
      </c>
      <c r="I48" s="11" t="n">
        <v>580000</v>
      </c>
      <c r="J48" s="12" t="inlineStr">
        <is>
          <t>U</t>
        </is>
      </c>
      <c r="K48" s="13" t="n">
        <v>7</v>
      </c>
      <c r="L48" s="29" t="n"/>
      <c r="M48" s="41">
        <f>'S51'!M48+L48</f>
        <v/>
      </c>
      <c r="N48" s="36">
        <f>IFERROR(M48/K48,0)</f>
        <v/>
      </c>
      <c r="O48" s="42">
        <f>'S51'!N48</f>
        <v/>
      </c>
      <c r="P48" s="36">
        <f>N48-O48</f>
        <v/>
      </c>
      <c r="Q48" s="32" t="n"/>
      <c r="R48" s="32" t="n"/>
      <c r="S48" s="32" t="n"/>
      <c r="T48" s="33" t="n"/>
      <c r="U48" s="42">
        <f>'S51'!T48</f>
        <v/>
      </c>
      <c r="V48" s="36">
        <f>T48-U48</f>
        <v/>
      </c>
      <c r="W48" s="36">
        <f>N48-T48</f>
        <v/>
      </c>
      <c r="X48" s="34" t="n"/>
    </row>
    <row r="49" ht="22" customHeight="1">
      <c r="B49" s="5" t="n">
        <v>45</v>
      </c>
      <c r="C49" s="6" t="inlineStr">
        <is>
          <t>Sidi Kacem</t>
        </is>
      </c>
      <c r="D49" s="5" t="inlineStr">
        <is>
          <t>SAFSAF</t>
        </is>
      </c>
      <c r="E49" s="5" t="inlineStr">
        <is>
          <t>50-21</t>
        </is>
      </c>
      <c r="F49" s="5" t="inlineStr">
        <is>
          <t>Entretien et réparation des stations de pompage</t>
        </is>
      </c>
      <c r="G49" s="5" t="inlineStr">
        <is>
          <t>Stabilisation Berge oued</t>
        </is>
      </c>
      <c r="H49" s="5" t="inlineStr">
        <is>
          <t>Pose de murs en gabions et recouvrement du talus par matelas Reno des stations de pompage S11, S9, 7D et 7B .</t>
        </is>
      </c>
      <c r="I49" s="7" t="n">
        <v>4000000</v>
      </c>
      <c r="J49" s="8" t="inlineStr">
        <is>
          <t>m³</t>
        </is>
      </c>
      <c r="K49" s="9" t="n">
        <v>2667</v>
      </c>
      <c r="L49" s="29" t="n"/>
      <c r="M49" s="39">
        <f>'S51'!M49+L49</f>
        <v/>
      </c>
      <c r="N49" s="31">
        <f>IFERROR(M49/K49,0)</f>
        <v/>
      </c>
      <c r="O49" s="40">
        <f>'S51'!N49</f>
        <v/>
      </c>
      <c r="P49" s="31">
        <f>N49-O49</f>
        <v/>
      </c>
      <c r="Q49" s="32" t="n"/>
      <c r="R49" s="32" t="n"/>
      <c r="S49" s="32" t="n"/>
      <c r="T49" s="33" t="n"/>
      <c r="U49" s="40">
        <f>'S51'!T49</f>
        <v/>
      </c>
      <c r="V49" s="31">
        <f>T49-U49</f>
        <v/>
      </c>
      <c r="W49" s="31">
        <f>N49-T49</f>
        <v/>
      </c>
      <c r="X49" s="34" t="n"/>
    </row>
    <row r="50" ht="22" customHeight="1">
      <c r="B50" s="10" t="n">
        <v>46</v>
      </c>
      <c r="C50" s="6" t="inlineStr">
        <is>
          <t>Sidi Kacem</t>
        </is>
      </c>
      <c r="D50" s="10" t="inlineStr">
        <is>
          <t>SIDI AZZOUZ</t>
        </is>
      </c>
      <c r="E50" s="10" t="inlineStr">
        <is>
          <t>40-21</t>
        </is>
      </c>
      <c r="F50" s="10" t="inlineStr">
        <is>
          <t>Travaux de pistes</t>
        </is>
      </c>
      <c r="G50" s="10" t="inlineStr">
        <is>
          <t>Entretien des pistes agricoles</t>
        </is>
      </c>
      <c r="H50" s="10" t="inlineStr">
        <is>
          <t>Entretien des pistes agricoles</t>
        </is>
      </c>
      <c r="I50" s="11" t="n">
        <v>655000</v>
      </c>
      <c r="J50" s="12" t="inlineStr">
        <is>
          <t>km</t>
        </is>
      </c>
      <c r="K50" s="13" t="n">
        <v>1</v>
      </c>
      <c r="L50" s="29" t="n"/>
      <c r="M50" s="41">
        <f>'S51'!M50+L50</f>
        <v/>
      </c>
      <c r="N50" s="36">
        <f>IFERROR(M50/K50,0)</f>
        <v/>
      </c>
      <c r="O50" s="42">
        <f>'S51'!N50</f>
        <v/>
      </c>
      <c r="P50" s="36">
        <f>N50-O50</f>
        <v/>
      </c>
      <c r="Q50" s="32" t="n"/>
      <c r="R50" s="32" t="n"/>
      <c r="S50" s="32" t="n"/>
      <c r="T50" s="33" t="n"/>
      <c r="U50" s="42">
        <f>'S51'!T50</f>
        <v/>
      </c>
      <c r="V50" s="36">
        <f>T50-U50</f>
        <v/>
      </c>
      <c r="W50" s="36">
        <f>N50-T50</f>
        <v/>
      </c>
      <c r="X50" s="34" t="n"/>
    </row>
    <row r="51" ht="22" customHeight="1">
      <c r="B51" s="5" t="n">
        <v>47</v>
      </c>
      <c r="C51" s="6" t="inlineStr">
        <is>
          <t>Sidi Kacem</t>
        </is>
      </c>
      <c r="D51" s="5" t="inlineStr">
        <is>
          <t>SIDI EL KAMEL</t>
        </is>
      </c>
      <c r="E51" s="5" t="inlineStr">
        <is>
          <t>20-11</t>
        </is>
      </c>
      <c r="F51" s="5" t="inlineStr">
        <is>
          <t>Travaux de réhabilitation des équipements</t>
        </is>
      </c>
      <c r="G51" s="5" t="inlineStr">
        <is>
          <t>Travaux de réhabilitation des canaux portés d'irrigation</t>
        </is>
      </c>
      <c r="H51" s="5" t="inlineStr">
        <is>
          <t>Fourniture et de pose de canaux porté et accessoires du réseau SR4 du secteur S3R</t>
        </is>
      </c>
      <c r="I51" s="7" t="n">
        <v>5182920</v>
      </c>
      <c r="J51" s="8" t="inlineStr">
        <is>
          <t>ml</t>
        </is>
      </c>
      <c r="K51" s="9" t="n">
        <v>1728</v>
      </c>
      <c r="L51" s="29" t="n"/>
      <c r="M51" s="39">
        <f>'S51'!M51+L51</f>
        <v/>
      </c>
      <c r="N51" s="31">
        <f>IFERROR(M51/K51,0)</f>
        <v/>
      </c>
      <c r="O51" s="40">
        <f>'S51'!N51</f>
        <v/>
      </c>
      <c r="P51" s="31">
        <f>N51-O51</f>
        <v/>
      </c>
      <c r="Q51" s="32" t="n"/>
      <c r="R51" s="32" t="n"/>
      <c r="S51" s="32" t="n"/>
      <c r="T51" s="33" t="n"/>
      <c r="U51" s="40">
        <f>'S51'!T51</f>
        <v/>
      </c>
      <c r="V51" s="31">
        <f>T51-U51</f>
        <v/>
      </c>
      <c r="W51" s="31">
        <f>N51-T51</f>
        <v/>
      </c>
      <c r="X51" s="34" t="n"/>
    </row>
    <row r="52" ht="22" customHeight="1">
      <c r="B52" s="10" t="n">
        <v>48</v>
      </c>
      <c r="C52" s="6" t="inlineStr">
        <is>
          <t>Sidi Kacem</t>
        </is>
      </c>
      <c r="D52" s="10" t="inlineStr">
        <is>
          <t>SIDI EL KAMEL</t>
        </is>
      </c>
      <c r="E52" s="10" t="inlineStr">
        <is>
          <t>20-11</t>
        </is>
      </c>
      <c r="F52" s="10" t="inlineStr">
        <is>
          <t>Travaux de réhabilitation des équipements</t>
        </is>
      </c>
      <c r="G52" s="10" t="inlineStr"/>
      <c r="H52" s="10" t="inlineStr">
        <is>
          <t>Fourniture et de pose de canaux porté et accessoires du réseau SR6 du secteur S1RIZ</t>
        </is>
      </c>
      <c r="I52" s="11" t="n">
        <v>152818</v>
      </c>
      <c r="J52" s="12" t="inlineStr">
        <is>
          <t>ml</t>
        </is>
      </c>
      <c r="K52" s="13" t="n">
        <v>51</v>
      </c>
      <c r="L52" s="29" t="n"/>
      <c r="M52" s="41">
        <f>'S51'!M52+L52</f>
        <v/>
      </c>
      <c r="N52" s="36">
        <f>IFERROR(M52/K52,0)</f>
        <v/>
      </c>
      <c r="O52" s="42">
        <f>'S51'!N52</f>
        <v/>
      </c>
      <c r="P52" s="36">
        <f>N52-O52</f>
        <v/>
      </c>
      <c r="Q52" s="32" t="n"/>
      <c r="R52" s="32" t="n"/>
      <c r="S52" s="32" t="n"/>
      <c r="T52" s="33" t="n"/>
      <c r="U52" s="42">
        <f>'S51'!T52</f>
        <v/>
      </c>
      <c r="V52" s="36">
        <f>T52-U52</f>
        <v/>
      </c>
      <c r="W52" s="36">
        <f>N52-T52</f>
        <v/>
      </c>
      <c r="X52" s="34" t="n"/>
    </row>
    <row r="53" ht="22" customHeight="1">
      <c r="B53" s="5" t="n">
        <v>49</v>
      </c>
      <c r="C53" s="6" t="inlineStr">
        <is>
          <t>Sidi Kacem</t>
        </is>
      </c>
      <c r="D53" s="5" t="inlineStr">
        <is>
          <t>SIDI EL KAMEL</t>
        </is>
      </c>
      <c r="E53" s="5" t="inlineStr">
        <is>
          <t>20-11</t>
        </is>
      </c>
      <c r="F53" s="5" t="inlineStr">
        <is>
          <t>Travaux de réhabilitation des équipements</t>
        </is>
      </c>
      <c r="G53" s="5" t="inlineStr"/>
      <c r="H53" s="5" t="inlineStr">
        <is>
          <t>Recalage des canaux portés du réseau SR4 du secteur S3R</t>
        </is>
      </c>
      <c r="I53" s="7" t="n">
        <v>1418000</v>
      </c>
      <c r="J53" s="8" t="inlineStr">
        <is>
          <t>ml</t>
        </is>
      </c>
      <c r="K53" s="9" t="n">
        <v>473</v>
      </c>
      <c r="L53" s="29" t="n"/>
      <c r="M53" s="39">
        <f>'S51'!M53+L53</f>
        <v/>
      </c>
      <c r="N53" s="31">
        <f>IFERROR(M53/K53,0)</f>
        <v/>
      </c>
      <c r="O53" s="40">
        <f>'S51'!N53</f>
        <v/>
      </c>
      <c r="P53" s="31">
        <f>N53-O53</f>
        <v/>
      </c>
      <c r="Q53" s="32" t="n"/>
      <c r="R53" s="32" t="n"/>
      <c r="S53" s="32" t="n"/>
      <c r="T53" s="33" t="n"/>
      <c r="U53" s="40">
        <f>'S51'!T53</f>
        <v/>
      </c>
      <c r="V53" s="31">
        <f>T53-U53</f>
        <v/>
      </c>
      <c r="W53" s="31">
        <f>N53-T53</f>
        <v/>
      </c>
      <c r="X53" s="34" t="n"/>
    </row>
    <row r="54" ht="22" customHeight="1">
      <c r="B54" s="10" t="n">
        <v>50</v>
      </c>
      <c r="C54" s="6" t="inlineStr">
        <is>
          <t>Sidi Kacem</t>
        </is>
      </c>
      <c r="D54" s="10" t="inlineStr">
        <is>
          <t>SIDI EL KAMEL</t>
        </is>
      </c>
      <c r="E54" s="10" t="inlineStr">
        <is>
          <t>20-11</t>
        </is>
      </c>
      <c r="F54" s="10" t="inlineStr">
        <is>
          <t>Travaux de réhabilitation des équipements</t>
        </is>
      </c>
      <c r="G54" s="10" t="inlineStr">
        <is>
          <t>Travaux de réhabilitation des ouvrages de génie civil</t>
        </is>
      </c>
      <c r="H54" s="10" t="inlineStr">
        <is>
          <t>Réhabilitation des murs de soutènements des ouvrages de franchissements du canal d'assainissement CS3 secteur S3 et de l’ouvrage de franchissement du canal primaire d’irrigation du secteur S1R au niveau de la route provinciale P4234</t>
        </is>
      </c>
      <c r="I54" s="11" t="n">
        <v>800000</v>
      </c>
      <c r="J54" s="12" t="inlineStr">
        <is>
          <t>ml</t>
        </is>
      </c>
      <c r="K54" s="13" t="n">
        <v>400</v>
      </c>
      <c r="L54" s="29" t="n"/>
      <c r="M54" s="41">
        <f>'S51'!M54+L54</f>
        <v/>
      </c>
      <c r="N54" s="36">
        <f>IFERROR(M54/K54,0)</f>
        <v/>
      </c>
      <c r="O54" s="42">
        <f>'S51'!N54</f>
        <v/>
      </c>
      <c r="P54" s="36">
        <f>N54-O54</f>
        <v/>
      </c>
      <c r="Q54" s="32" t="n"/>
      <c r="R54" s="32" t="n"/>
      <c r="S54" s="32" t="n"/>
      <c r="T54" s="33" t="n"/>
      <c r="U54" s="42">
        <f>'S51'!T54</f>
        <v/>
      </c>
      <c r="V54" s="36">
        <f>T54-U54</f>
        <v/>
      </c>
      <c r="W54" s="36">
        <f>N54-T54</f>
        <v/>
      </c>
      <c r="X54" s="34" t="n"/>
    </row>
    <row r="55" ht="22" customHeight="1">
      <c r="B55" s="5" t="n">
        <v>51</v>
      </c>
      <c r="C55" s="6" t="inlineStr">
        <is>
          <t>Sidi Kacem</t>
        </is>
      </c>
      <c r="D55" s="5" t="inlineStr">
        <is>
          <t>SIDI EL KAMEL</t>
        </is>
      </c>
      <c r="E55" s="5" t="inlineStr">
        <is>
          <t>40-21</t>
        </is>
      </c>
      <c r="F55" s="5" t="inlineStr">
        <is>
          <t>Travaux de pistes</t>
        </is>
      </c>
      <c r="G55" s="5" t="inlineStr">
        <is>
          <t>Entretien des pistes agricoles</t>
        </is>
      </c>
      <c r="H55" s="5" t="inlineStr">
        <is>
          <t>Entretien des pistes agricoles</t>
        </is>
      </c>
      <c r="I55" s="7" t="n">
        <v>3700000</v>
      </c>
      <c r="J55" s="8" t="inlineStr">
        <is>
          <t>km</t>
        </is>
      </c>
      <c r="K55" s="9" t="n">
        <v>7</v>
      </c>
      <c r="L55" s="29" t="n"/>
      <c r="M55" s="39">
        <f>'S51'!M55+L55</f>
        <v/>
      </c>
      <c r="N55" s="31">
        <f>IFERROR(M55/K55,0)</f>
        <v/>
      </c>
      <c r="O55" s="40">
        <f>'S51'!N55</f>
        <v/>
      </c>
      <c r="P55" s="31">
        <f>N55-O55</f>
        <v/>
      </c>
      <c r="Q55" s="32" t="n"/>
      <c r="R55" s="32" t="n"/>
      <c r="S55" s="32" t="n"/>
      <c r="T55" s="33" t="n"/>
      <c r="U55" s="40">
        <f>'S51'!T55</f>
        <v/>
      </c>
      <c r="V55" s="31">
        <f>T55-U55</f>
        <v/>
      </c>
      <c r="W55" s="31">
        <f>N55-T55</f>
        <v/>
      </c>
      <c r="X55" s="34" t="n"/>
    </row>
    <row r="56" ht="22" customHeight="1">
      <c r="B56" s="10" t="n">
        <v>52</v>
      </c>
      <c r="C56" s="6" t="inlineStr">
        <is>
          <t>Sidi Kacem</t>
        </is>
      </c>
      <c r="D56" s="10" t="inlineStr">
        <is>
          <t>SIDI EL KAMEL</t>
        </is>
      </c>
      <c r="E56" s="10" t="inlineStr">
        <is>
          <t>50-21</t>
        </is>
      </c>
      <c r="F56" s="10" t="inlineStr">
        <is>
          <t>Entretien et réparation des stations de pompage</t>
        </is>
      </c>
      <c r="G56" s="10" t="inlineStr">
        <is>
          <t>Prestation de maintenance des débitmètres et leurs équipements annexes installés au niveau des station de pompage</t>
        </is>
      </c>
      <c r="H56" s="10" t="inlineStr">
        <is>
          <t>Changement de quatre débitmètres Ø 500mm et trois Ø 800mm inondé des stations de pompage 1R, 3R et 5R.</t>
        </is>
      </c>
      <c r="I56" s="11" t="n">
        <v>705000</v>
      </c>
      <c r="J56" s="12" t="inlineStr">
        <is>
          <t>U</t>
        </is>
      </c>
      <c r="K56" s="13" t="n">
        <v>3</v>
      </c>
      <c r="L56" s="29" t="n"/>
      <c r="M56" s="41">
        <f>'S51'!M56+L56</f>
        <v/>
      </c>
      <c r="N56" s="36">
        <f>IFERROR(M56/K56,0)</f>
        <v/>
      </c>
      <c r="O56" s="42">
        <f>'S51'!N56</f>
        <v/>
      </c>
      <c r="P56" s="36">
        <f>N56-O56</f>
        <v/>
      </c>
      <c r="Q56" s="32" t="n"/>
      <c r="R56" s="32" t="n"/>
      <c r="S56" s="32" t="n"/>
      <c r="T56" s="33" t="n"/>
      <c r="U56" s="42">
        <f>'S51'!T56</f>
        <v/>
      </c>
      <c r="V56" s="36">
        <f>T56-U56</f>
        <v/>
      </c>
      <c r="W56" s="36">
        <f>N56-T56</f>
        <v/>
      </c>
      <c r="X56" s="34" t="n"/>
    </row>
    <row r="57" ht="22" customHeight="1">
      <c r="B57" s="5" t="n">
        <v>53</v>
      </c>
      <c r="C57" s="6" t="inlineStr">
        <is>
          <t>Sidi Kacem</t>
        </is>
      </c>
      <c r="D57" s="5" t="inlineStr">
        <is>
          <t>SIDI EL KAMEL</t>
        </is>
      </c>
      <c r="E57" s="5" t="inlineStr">
        <is>
          <t>50-21</t>
        </is>
      </c>
      <c r="F57" s="5" t="inlineStr">
        <is>
          <t>Entretien et réparation des stations de pompage</t>
        </is>
      </c>
      <c r="G57" s="5" t="inlineStr">
        <is>
          <t>Mur clôture des stations de pompage.</t>
        </is>
      </c>
      <c r="H57" s="5" t="inlineStr">
        <is>
          <t>Stabilisation et reconstruction des murs clôture cote oued des stations de pompage 7A, 3R et 1R.</t>
        </is>
      </c>
      <c r="I57" s="7" t="n">
        <v>372000</v>
      </c>
      <c r="J57" s="8" t="inlineStr">
        <is>
          <t>ml</t>
        </is>
      </c>
      <c r="K57" s="9" t="n">
        <v>124</v>
      </c>
      <c r="L57" s="29" t="n"/>
      <c r="M57" s="39">
        <f>'S51'!M57+L57</f>
        <v/>
      </c>
      <c r="N57" s="31">
        <f>IFERROR(M57/K57,0)</f>
        <v/>
      </c>
      <c r="O57" s="40">
        <f>'S51'!N57</f>
        <v/>
      </c>
      <c r="P57" s="31">
        <f>N57-O57</f>
        <v/>
      </c>
      <c r="Q57" s="32" t="n"/>
      <c r="R57" s="32" t="n"/>
      <c r="S57" s="32" t="n"/>
      <c r="T57" s="33" t="n"/>
      <c r="U57" s="40">
        <f>'S51'!T57</f>
        <v/>
      </c>
      <c r="V57" s="31">
        <f>T57-U57</f>
        <v/>
      </c>
      <c r="W57" s="31">
        <f>N57-T57</f>
        <v/>
      </c>
      <c r="X57" s="34" t="n"/>
    </row>
    <row r="58" ht="22" customHeight="1">
      <c r="B58" s="10" t="n">
        <v>54</v>
      </c>
      <c r="C58" s="14" t="inlineStr">
        <is>
          <t>Kénitra</t>
        </is>
      </c>
      <c r="D58" s="10" t="inlineStr">
        <is>
          <t>Bni malek</t>
        </is>
      </c>
      <c r="E58" s="10" t="inlineStr">
        <is>
          <t>50-23</t>
        </is>
      </c>
      <c r="F58" s="10" t="inlineStr">
        <is>
          <t>Entretien et réparation du réseau d'assainissement et de drainage</t>
        </is>
      </c>
      <c r="G58" s="10" t="inlineStr">
        <is>
          <t>Travaux de curage des canaux en terre</t>
        </is>
      </c>
      <c r="H58" s="10" t="inlineStr">
        <is>
          <t>Curage des emissaires et colatures secondaire au niveau des secteurs MDA ET N9</t>
        </is>
      </c>
      <c r="I58" s="11" t="n">
        <v>10000000</v>
      </c>
      <c r="J58" s="12" t="inlineStr">
        <is>
          <t>ml</t>
        </is>
      </c>
      <c r="K58" s="13" t="n">
        <v>5000</v>
      </c>
      <c r="L58" s="29" t="n"/>
      <c r="M58" s="41">
        <f>'S51'!M58+L58</f>
        <v/>
      </c>
      <c r="N58" s="36">
        <f>IFERROR(M58/K58,0)</f>
        <v/>
      </c>
      <c r="O58" s="42">
        <f>'S51'!N58</f>
        <v/>
      </c>
      <c r="P58" s="36">
        <f>N58-O58</f>
        <v/>
      </c>
      <c r="Q58" s="32" t="n"/>
      <c r="R58" s="32" t="n"/>
      <c r="S58" s="32" t="n"/>
      <c r="T58" s="33" t="n"/>
      <c r="U58" s="42">
        <f>'S51'!T58</f>
        <v/>
      </c>
      <c r="V58" s="36">
        <f>T58-U58</f>
        <v/>
      </c>
      <c r="W58" s="36">
        <f>N58-T58</f>
        <v/>
      </c>
      <c r="X58" s="34" t="n"/>
    </row>
    <row r="59" ht="22" customHeight="1">
      <c r="B59" s="5" t="n">
        <v>55</v>
      </c>
      <c r="C59" s="14" t="inlineStr">
        <is>
          <t>Kénitra</t>
        </is>
      </c>
      <c r="D59" s="5" t="inlineStr">
        <is>
          <t>Bni malek</t>
        </is>
      </c>
      <c r="E59" s="5" t="inlineStr">
        <is>
          <t>40-21</t>
        </is>
      </c>
      <c r="F59" s="5" t="inlineStr">
        <is>
          <t>Travaux de pistes</t>
        </is>
      </c>
      <c r="G59" s="5" t="inlineStr">
        <is>
          <t>Travaux de réhabilitation des pistes agricoles</t>
        </is>
      </c>
      <c r="H59" s="5" t="inlineStr">
        <is>
          <t>Entretien des pistes agricoles des secteurs MDA et N3</t>
        </is>
      </c>
      <c r="I59" s="7" t="n">
        <v>2000000</v>
      </c>
      <c r="J59" s="8" t="inlineStr">
        <is>
          <t>km</t>
        </is>
      </c>
      <c r="K59" s="9" t="n">
        <v>4</v>
      </c>
      <c r="L59" s="29" t="n"/>
      <c r="M59" s="39">
        <f>'S51'!M59+L59</f>
        <v/>
      </c>
      <c r="N59" s="31">
        <f>IFERROR(M59/K59,0)</f>
        <v/>
      </c>
      <c r="O59" s="40">
        <f>'S51'!N59</f>
        <v/>
      </c>
      <c r="P59" s="31">
        <f>N59-O59</f>
        <v/>
      </c>
      <c r="Q59" s="32" t="n"/>
      <c r="R59" s="32" t="n"/>
      <c r="S59" s="32" t="n"/>
      <c r="T59" s="33" t="n"/>
      <c r="U59" s="40">
        <f>'S51'!T59</f>
        <v/>
      </c>
      <c r="V59" s="31">
        <f>T59-U59</f>
        <v/>
      </c>
      <c r="W59" s="31">
        <f>N59-T59</f>
        <v/>
      </c>
      <c r="X59" s="34" t="n"/>
    </row>
    <row r="60" ht="22" customHeight="1">
      <c r="B60" s="10" t="n">
        <v>56</v>
      </c>
      <c r="C60" s="14" t="inlineStr">
        <is>
          <t>Kénitra</t>
        </is>
      </c>
      <c r="D60" s="10" t="inlineStr">
        <is>
          <t>Bni malek</t>
        </is>
      </c>
      <c r="E60" s="10" t="inlineStr">
        <is>
          <t>50-21</t>
        </is>
      </c>
      <c r="F60" s="10" t="inlineStr">
        <is>
          <t>Entretien et réparation des stations de pompage</t>
        </is>
      </c>
      <c r="G60" s="10" t="inlineStr">
        <is>
          <t>Prestations de maintenance et de réparation mécanique des pompes et des groupes motopompes submersibles des stations de pompage.</t>
        </is>
      </c>
      <c r="H60" s="10" t="inlineStr">
        <is>
          <t>station de pompage MDA secteur MDA</t>
        </is>
      </c>
      <c r="I60" s="11" t="n">
        <v>300000</v>
      </c>
      <c r="J60" s="12" t="inlineStr">
        <is>
          <t>U</t>
        </is>
      </c>
      <c r="K60" s="13" t="n">
        <v>1</v>
      </c>
      <c r="L60" s="29" t="n"/>
      <c r="M60" s="41">
        <f>'S51'!M60+L60</f>
        <v/>
      </c>
      <c r="N60" s="36">
        <f>IFERROR(M60/K60,0)</f>
        <v/>
      </c>
      <c r="O60" s="42">
        <f>'S51'!N60</f>
        <v/>
      </c>
      <c r="P60" s="36">
        <f>N60-O60</f>
        <v/>
      </c>
      <c r="Q60" s="32" t="n"/>
      <c r="R60" s="32" t="n"/>
      <c r="S60" s="32" t="n"/>
      <c r="T60" s="33" t="n"/>
      <c r="U60" s="42">
        <f>'S51'!T60</f>
        <v/>
      </c>
      <c r="V60" s="36">
        <f>T60-U60</f>
        <v/>
      </c>
      <c r="W60" s="36">
        <f>N60-T60</f>
        <v/>
      </c>
      <c r="X60" s="34" t="n"/>
    </row>
    <row r="61" ht="22" customHeight="1">
      <c r="B61" s="5" t="n">
        <v>57</v>
      </c>
      <c r="C61" s="14" t="inlineStr">
        <is>
          <t>Kénitra</t>
        </is>
      </c>
      <c r="D61" s="5" t="inlineStr">
        <is>
          <t>Bni malek</t>
        </is>
      </c>
      <c r="E61" s="5" t="inlineStr">
        <is>
          <t>20-11</t>
        </is>
      </c>
      <c r="F61" s="5" t="inlineStr">
        <is>
          <t>Travaux de réhabilitation des équipements</t>
        </is>
      </c>
      <c r="G61" s="5" t="inlineStr">
        <is>
          <t>Travaux de réhabilitation des ouvrages de génie civil</t>
        </is>
      </c>
      <c r="H61" s="5" t="inlineStr">
        <is>
          <t>Rétablissement des bornes affaissées des secteurs N2 et N3</t>
        </is>
      </c>
      <c r="I61" s="7" t="n">
        <v>100000</v>
      </c>
      <c r="J61" s="8" t="inlineStr">
        <is>
          <t>U</t>
        </is>
      </c>
      <c r="K61" s="9" t="n">
        <v>200</v>
      </c>
      <c r="L61" s="29" t="n"/>
      <c r="M61" s="39">
        <f>'S51'!M61+L61</f>
        <v/>
      </c>
      <c r="N61" s="31">
        <f>IFERROR(M61/K61,0)</f>
        <v/>
      </c>
      <c r="O61" s="40">
        <f>'S51'!N61</f>
        <v/>
      </c>
      <c r="P61" s="31">
        <f>N61-O61</f>
        <v/>
      </c>
      <c r="Q61" s="32" t="n"/>
      <c r="R61" s="32" t="n"/>
      <c r="S61" s="32" t="n"/>
      <c r="T61" s="33" t="n"/>
      <c r="U61" s="40">
        <f>'S51'!T61</f>
        <v/>
      </c>
      <c r="V61" s="31">
        <f>T61-U61</f>
        <v/>
      </c>
      <c r="W61" s="31">
        <f>N61-T61</f>
        <v/>
      </c>
      <c r="X61" s="34" t="n"/>
    </row>
    <row r="62" ht="22" customHeight="1">
      <c r="B62" s="10" t="n">
        <v>58</v>
      </c>
      <c r="C62" s="14" t="inlineStr">
        <is>
          <t>Kénitra</t>
        </is>
      </c>
      <c r="D62" s="10" t="inlineStr">
        <is>
          <t>SOUK TLET</t>
        </is>
      </c>
      <c r="E62" s="10" t="inlineStr">
        <is>
          <t>50-23</t>
        </is>
      </c>
      <c r="F62" s="10" t="inlineStr">
        <is>
          <t>Entretien et réparation du réseau d'assainissement et de drainage</t>
        </is>
      </c>
      <c r="G62" s="10" t="inlineStr">
        <is>
          <t>Travaux de curage des canaux en terre</t>
        </is>
      </c>
      <c r="H62" s="10" t="inlineStr">
        <is>
          <t>curage des emissaires et colatures secondaire au niveau des secteurs N2,N3 ET N4,</t>
        </is>
      </c>
      <c r="I62" s="11" t="n">
        <v>3000000</v>
      </c>
      <c r="J62" s="12" t="inlineStr">
        <is>
          <t>ml</t>
        </is>
      </c>
      <c r="K62" s="13" t="n">
        <v>1500</v>
      </c>
      <c r="L62" s="29" t="n"/>
      <c r="M62" s="41">
        <f>'S51'!M62+L62</f>
        <v/>
      </c>
      <c r="N62" s="36">
        <f>IFERROR(M62/K62,0)</f>
        <v/>
      </c>
      <c r="O62" s="42">
        <f>'S51'!N62</f>
        <v/>
      </c>
      <c r="P62" s="36">
        <f>N62-O62</f>
        <v/>
      </c>
      <c r="Q62" s="32" t="n"/>
      <c r="R62" s="32" t="n"/>
      <c r="S62" s="32" t="n"/>
      <c r="T62" s="33" t="n"/>
      <c r="U62" s="42">
        <f>'S51'!T62</f>
        <v/>
      </c>
      <c r="V62" s="36">
        <f>T62-U62</f>
        <v/>
      </c>
      <c r="W62" s="36">
        <f>N62-T62</f>
        <v/>
      </c>
      <c r="X62" s="34" t="n"/>
    </row>
    <row r="63" ht="22" customHeight="1">
      <c r="B63" s="5" t="n">
        <v>59</v>
      </c>
      <c r="C63" s="14" t="inlineStr">
        <is>
          <t>Kénitra</t>
        </is>
      </c>
      <c r="D63" s="5" t="inlineStr">
        <is>
          <t>SOUK TLET</t>
        </is>
      </c>
      <c r="E63" s="5" t="inlineStr">
        <is>
          <t>40-21</t>
        </is>
      </c>
      <c r="F63" s="5" t="inlineStr">
        <is>
          <t>Travaux de pistes</t>
        </is>
      </c>
      <c r="G63" s="5" t="inlineStr">
        <is>
          <t>Travaux de réhabilitation des pistes agricoles</t>
        </is>
      </c>
      <c r="H63" s="5" t="inlineStr">
        <is>
          <t>Entretien des pistes des secteurs N2,N3,N4 et C4R,</t>
        </is>
      </c>
      <c r="I63" s="7" t="n">
        <v>5000000</v>
      </c>
      <c r="J63" s="8" t="inlineStr">
        <is>
          <t>U</t>
        </is>
      </c>
      <c r="K63" s="9" t="n">
        <v>1</v>
      </c>
      <c r="L63" s="29" t="n"/>
      <c r="M63" s="39">
        <f>'S51'!M63+L63</f>
        <v/>
      </c>
      <c r="N63" s="31">
        <f>IFERROR(M63/K63,0)</f>
        <v/>
      </c>
      <c r="O63" s="40">
        <f>'S51'!N63</f>
        <v/>
      </c>
      <c r="P63" s="31">
        <f>N63-O63</f>
        <v/>
      </c>
      <c r="Q63" s="32" t="n"/>
      <c r="R63" s="32" t="n"/>
      <c r="S63" s="32" t="n"/>
      <c r="T63" s="33" t="n"/>
      <c r="U63" s="40">
        <f>'S51'!T63</f>
        <v/>
      </c>
      <c r="V63" s="31">
        <f>T63-U63</f>
        <v/>
      </c>
      <c r="W63" s="31">
        <f>N63-T63</f>
        <v/>
      </c>
      <c r="X63" s="34" t="n"/>
    </row>
    <row r="64" ht="22" customHeight="1">
      <c r="B64" s="10" t="n">
        <v>60</v>
      </c>
      <c r="C64" s="14" t="inlineStr">
        <is>
          <t>Kénitra</t>
        </is>
      </c>
      <c r="D64" s="10" t="inlineStr">
        <is>
          <t>Sidi Med Lahmar</t>
        </is>
      </c>
      <c r="E64" s="10" t="inlineStr">
        <is>
          <t>50-23</t>
        </is>
      </c>
      <c r="F64" s="10" t="inlineStr">
        <is>
          <t>Entretien et réparation du réseau d'assainissement et de drainage</t>
        </is>
      </c>
      <c r="G64" s="10" t="inlineStr">
        <is>
          <t>Travaux de curage des canaux en terre</t>
        </is>
      </c>
      <c r="H64" s="10" t="inlineStr">
        <is>
          <t>Curage des emissaires et colatures secondaires secteurs N1</t>
        </is>
      </c>
      <c r="I64" s="11" t="n">
        <v>3000000</v>
      </c>
      <c r="J64" s="12" t="inlineStr">
        <is>
          <t>ml</t>
        </is>
      </c>
      <c r="K64" s="13" t="n">
        <v>1500</v>
      </c>
      <c r="L64" s="29" t="n"/>
      <c r="M64" s="41">
        <f>'S51'!M64+L64</f>
        <v/>
      </c>
      <c r="N64" s="36">
        <f>IFERROR(M64/K64,0)</f>
        <v/>
      </c>
      <c r="O64" s="42">
        <f>'S51'!N64</f>
        <v/>
      </c>
      <c r="P64" s="36">
        <f>N64-O64</f>
        <v/>
      </c>
      <c r="Q64" s="32" t="n"/>
      <c r="R64" s="32" t="n"/>
      <c r="S64" s="32" t="n"/>
      <c r="T64" s="33" t="n"/>
      <c r="U64" s="42">
        <f>'S51'!T64</f>
        <v/>
      </c>
      <c r="V64" s="36">
        <f>T64-U64</f>
        <v/>
      </c>
      <c r="W64" s="36">
        <f>N64-T64</f>
        <v/>
      </c>
      <c r="X64" s="34" t="n"/>
    </row>
    <row r="65" ht="22" customHeight="1">
      <c r="B65" s="5" t="n">
        <v>61</v>
      </c>
      <c r="C65" s="14" t="inlineStr">
        <is>
          <t>Kénitra</t>
        </is>
      </c>
      <c r="D65" s="5" t="inlineStr">
        <is>
          <t>Sidi Med Lahmar</t>
        </is>
      </c>
      <c r="E65" s="5" t="inlineStr">
        <is>
          <t>40-21</t>
        </is>
      </c>
      <c r="F65" s="5" t="inlineStr">
        <is>
          <t>Travaux de pistes</t>
        </is>
      </c>
      <c r="G65" s="5" t="inlineStr">
        <is>
          <t>Travaux de réhabilitation des pistes agricoles</t>
        </is>
      </c>
      <c r="H65" s="5" t="inlineStr">
        <is>
          <t>Entretien des pistes agricoles des secteurs N9 et N1</t>
        </is>
      </c>
      <c r="I65" s="7" t="n">
        <v>3000000</v>
      </c>
      <c r="J65" s="8" t="inlineStr">
        <is>
          <t>km</t>
        </is>
      </c>
      <c r="K65" s="9" t="n">
        <v>6</v>
      </c>
      <c r="L65" s="29" t="n"/>
      <c r="M65" s="39">
        <f>'S51'!M65+L65</f>
        <v/>
      </c>
      <c r="N65" s="31">
        <f>IFERROR(M65/K65,0)</f>
        <v/>
      </c>
      <c r="O65" s="40">
        <f>'S51'!N65</f>
        <v/>
      </c>
      <c r="P65" s="31">
        <f>N65-O65</f>
        <v/>
      </c>
      <c r="Q65" s="32" t="n"/>
      <c r="R65" s="32" t="n"/>
      <c r="S65" s="32" t="n"/>
      <c r="T65" s="33" t="n"/>
      <c r="U65" s="40">
        <f>'S51'!T65</f>
        <v/>
      </c>
      <c r="V65" s="31">
        <f>T65-U65</f>
        <v/>
      </c>
      <c r="W65" s="31">
        <f>N65-T65</f>
        <v/>
      </c>
      <c r="X65" s="34" t="n"/>
    </row>
    <row r="66" ht="22" customHeight="1">
      <c r="B66" s="10" t="n">
        <v>62</v>
      </c>
      <c r="C66" s="14" t="inlineStr">
        <is>
          <t>Kénitra</t>
        </is>
      </c>
      <c r="D66" s="10" t="inlineStr">
        <is>
          <t>Mograne</t>
        </is>
      </c>
      <c r="E66" s="10" t="inlineStr">
        <is>
          <t>50-23</t>
        </is>
      </c>
      <c r="F66" s="10" t="inlineStr">
        <is>
          <t>Entretien et réparation du réseau d'assainissement et de drainage</t>
        </is>
      </c>
      <c r="G66" s="10" t="inlineStr">
        <is>
          <t>Travaux de curage des canaux en terre</t>
        </is>
      </c>
      <c r="H66" s="10" t="inlineStr">
        <is>
          <t>Curage des canaux d'assainissement Hors secteur équipé ghoufera et laison beht sebou ,</t>
        </is>
      </c>
      <c r="I66" s="11" t="n">
        <v>6000000</v>
      </c>
      <c r="J66" s="12" t="inlineStr">
        <is>
          <t>ml</t>
        </is>
      </c>
      <c r="K66" s="13" t="n">
        <v>3000</v>
      </c>
      <c r="L66" s="29" t="n"/>
      <c r="M66" s="41">
        <f>'S51'!M66+L66</f>
        <v/>
      </c>
      <c r="N66" s="36">
        <f>IFERROR(M66/K66,0)</f>
        <v/>
      </c>
      <c r="O66" s="42">
        <f>'S51'!N66</f>
        <v/>
      </c>
      <c r="P66" s="36">
        <f>N66-O66</f>
        <v/>
      </c>
      <c r="Q66" s="32" t="n"/>
      <c r="R66" s="32" t="n"/>
      <c r="S66" s="32" t="n"/>
      <c r="T66" s="33" t="n"/>
      <c r="U66" s="42">
        <f>'S51'!T66</f>
        <v/>
      </c>
      <c r="V66" s="36">
        <f>T66-U66</f>
        <v/>
      </c>
      <c r="W66" s="36">
        <f>N66-T66</f>
        <v/>
      </c>
      <c r="X66" s="34" t="n"/>
    </row>
    <row r="67" ht="22" customHeight="1">
      <c r="B67" s="5" t="n">
        <v>63</v>
      </c>
      <c r="C67" s="14" t="inlineStr">
        <is>
          <t>Kénitra</t>
        </is>
      </c>
      <c r="D67" s="5" t="inlineStr">
        <is>
          <t>Mograne</t>
        </is>
      </c>
      <c r="E67" s="5" t="inlineStr">
        <is>
          <t>40-21</t>
        </is>
      </c>
      <c r="F67" s="5" t="inlineStr">
        <is>
          <t>Travaux de pistes</t>
        </is>
      </c>
      <c r="G67" s="5" t="inlineStr">
        <is>
          <t>Travaux de réhabilitation des pistes agricoles</t>
        </is>
      </c>
      <c r="H67" s="5" t="inlineStr">
        <is>
          <t>Entretien des pistes agricoles des secteurs SEBOU1,SEBOU2? BEHT3 et BEHT4</t>
        </is>
      </c>
      <c r="I67" s="7" t="n">
        <v>6000000</v>
      </c>
      <c r="J67" s="8" t="inlineStr">
        <is>
          <t>km</t>
        </is>
      </c>
      <c r="K67" s="9" t="n">
        <v>12</v>
      </c>
      <c r="L67" s="29" t="n"/>
      <c r="M67" s="39">
        <f>'S51'!M67+L67</f>
        <v/>
      </c>
      <c r="N67" s="31">
        <f>IFERROR(M67/K67,0)</f>
        <v/>
      </c>
      <c r="O67" s="40">
        <f>'S51'!N67</f>
        <v/>
      </c>
      <c r="P67" s="31">
        <f>N67-O67</f>
        <v/>
      </c>
      <c r="Q67" s="32" t="n"/>
      <c r="R67" s="32" t="n"/>
      <c r="S67" s="32" t="n"/>
      <c r="T67" s="33" t="n"/>
      <c r="U67" s="40">
        <f>'S51'!T67</f>
        <v/>
      </c>
      <c r="V67" s="31">
        <f>T67-U67</f>
        <v/>
      </c>
      <c r="W67" s="31">
        <f>N67-T67</f>
        <v/>
      </c>
      <c r="X67" s="34" t="n"/>
    </row>
    <row r="68" ht="22" customHeight="1">
      <c r="B68" s="10" t="n">
        <v>64</v>
      </c>
      <c r="C68" s="14" t="inlineStr">
        <is>
          <t>Kénitra</t>
        </is>
      </c>
      <c r="D68" s="10" t="inlineStr">
        <is>
          <t>Sidi allal tazi</t>
        </is>
      </c>
      <c r="E68" s="10" t="inlineStr">
        <is>
          <t>50-23</t>
        </is>
      </c>
      <c r="F68" s="10" t="inlineStr">
        <is>
          <t>Entretien et réparation du réseau d'assainissement et de drainage</t>
        </is>
      </c>
      <c r="G68" s="10" t="inlineStr">
        <is>
          <t>Travaux de curage des canaux en terre</t>
        </is>
      </c>
      <c r="H68" s="10" t="inlineStr">
        <is>
          <t>Curage du canaL d'assainissement CK,</t>
        </is>
      </c>
      <c r="I68" s="11" t="n">
        <v>3000000</v>
      </c>
      <c r="J68" s="12" t="inlineStr">
        <is>
          <t>ml</t>
        </is>
      </c>
      <c r="K68" s="13" t="n">
        <v>1500</v>
      </c>
      <c r="L68" s="29" t="n"/>
      <c r="M68" s="41">
        <f>'S51'!M68+L68</f>
        <v/>
      </c>
      <c r="N68" s="36">
        <f>IFERROR(M68/K68,0)</f>
        <v/>
      </c>
      <c r="O68" s="42">
        <f>'S51'!N68</f>
        <v/>
      </c>
      <c r="P68" s="36">
        <f>N68-O68</f>
        <v/>
      </c>
      <c r="Q68" s="32" t="n"/>
      <c r="R68" s="32" t="n"/>
      <c r="S68" s="32" t="n"/>
      <c r="T68" s="33" t="n"/>
      <c r="U68" s="42">
        <f>'S51'!T68</f>
        <v/>
      </c>
      <c r="V68" s="36">
        <f>T68-U68</f>
        <v/>
      </c>
      <c r="W68" s="36">
        <f>N68-T68</f>
        <v/>
      </c>
      <c r="X68" s="34" t="n"/>
    </row>
    <row r="69" ht="22" customHeight="1">
      <c r="B69" s="5" t="n">
        <v>65</v>
      </c>
      <c r="C69" s="14" t="inlineStr">
        <is>
          <t>Kénitra</t>
        </is>
      </c>
      <c r="D69" s="5" t="inlineStr">
        <is>
          <t>AMEUR SAFLIA</t>
        </is>
      </c>
      <c r="E69" s="5" t="inlineStr">
        <is>
          <t>50-23</t>
        </is>
      </c>
      <c r="F69" s="5" t="inlineStr">
        <is>
          <t>Entretien et réparation du réseau d'assainissement et de drainage</t>
        </is>
      </c>
      <c r="G69" s="5" t="inlineStr">
        <is>
          <t>Travaux de curage des canaux en terre</t>
        </is>
      </c>
      <c r="H69" s="5" t="inlineStr">
        <is>
          <t>Curage des canaux d'assainissement amontTtiflt Sebou,</t>
        </is>
      </c>
      <c r="I69" s="7" t="n">
        <v>1000000</v>
      </c>
      <c r="J69" s="8" t="inlineStr">
        <is>
          <t>ml</t>
        </is>
      </c>
      <c r="K69" s="9" t="n">
        <v>500</v>
      </c>
      <c r="L69" s="29" t="n"/>
      <c r="M69" s="39">
        <f>'S51'!M69+L69</f>
        <v/>
      </c>
      <c r="N69" s="31">
        <f>IFERROR(M69/K69,0)</f>
        <v/>
      </c>
      <c r="O69" s="40">
        <f>'S51'!N69</f>
        <v/>
      </c>
      <c r="P69" s="31">
        <f>N69-O69</f>
        <v/>
      </c>
      <c r="Q69" s="32" t="n"/>
      <c r="R69" s="32" t="n"/>
      <c r="S69" s="32" t="n"/>
      <c r="T69" s="33" t="n"/>
      <c r="U69" s="40">
        <f>'S51'!T69</f>
        <v/>
      </c>
      <c r="V69" s="31">
        <f>T69-U69</f>
        <v/>
      </c>
      <c r="W69" s="31">
        <f>N69-T69</f>
        <v/>
      </c>
      <c r="X69" s="34" t="n"/>
    </row>
    <row r="70" ht="22" customHeight="1">
      <c r="B70" s="10" t="n">
        <v>66</v>
      </c>
      <c r="C70" s="14" t="inlineStr">
        <is>
          <t>Kénitra</t>
        </is>
      </c>
      <c r="D70" s="10" t="inlineStr">
        <is>
          <t>Oulad SLAMA</t>
        </is>
      </c>
      <c r="E70" s="10" t="inlineStr">
        <is>
          <t>50-23</t>
        </is>
      </c>
      <c r="F70" s="10" t="inlineStr">
        <is>
          <t>Entretien et réparation du réseau d'assainissement et de drainage</t>
        </is>
      </c>
      <c r="G70" s="10" t="inlineStr">
        <is>
          <t>Travaux de curage des canaux en terre</t>
        </is>
      </c>
      <c r="H70" s="10" t="inlineStr">
        <is>
          <t>Curage des canaux d'assainissement debouche Tiflt aval,</t>
        </is>
      </c>
      <c r="I70" s="11" t="n">
        <v>1000000</v>
      </c>
      <c r="J70" s="12" t="inlineStr">
        <is>
          <t>ml</t>
        </is>
      </c>
      <c r="K70" s="13" t="n">
        <v>500</v>
      </c>
      <c r="L70" s="29" t="n"/>
      <c r="M70" s="41">
        <f>'S51'!M70+L70</f>
        <v/>
      </c>
      <c r="N70" s="36">
        <f>IFERROR(M70/K70,0)</f>
        <v/>
      </c>
      <c r="O70" s="42">
        <f>'S51'!N70</f>
        <v/>
      </c>
      <c r="P70" s="36">
        <f>N70-O70</f>
        <v/>
      </c>
      <c r="Q70" s="32" t="n"/>
      <c r="R70" s="32" t="n"/>
      <c r="S70" s="32" t="n"/>
      <c r="T70" s="33" t="n"/>
      <c r="U70" s="42">
        <f>'S51'!T70</f>
        <v/>
      </c>
      <c r="V70" s="36">
        <f>T70-U70</f>
        <v/>
      </c>
      <c r="W70" s="36">
        <f>N70-T70</f>
        <v/>
      </c>
      <c r="X70" s="34" t="n"/>
    </row>
    <row r="71" ht="22" customHeight="1">
      <c r="B71" s="5" t="n">
        <v>67</v>
      </c>
      <c r="C71" s="14" t="inlineStr">
        <is>
          <t>Kénitra</t>
        </is>
      </c>
      <c r="D71" s="5" t="inlineStr">
        <is>
          <t>BHARA Oulad AYAD</t>
        </is>
      </c>
      <c r="E71" s="5" t="inlineStr">
        <is>
          <t>50-23</t>
        </is>
      </c>
      <c r="F71" s="5" t="inlineStr">
        <is>
          <t>Entretien et réparation du réseau d'assainissement et de drainage</t>
        </is>
      </c>
      <c r="G71" s="5" t="inlineStr">
        <is>
          <t>Travaux de curage des canaux en terre</t>
        </is>
      </c>
      <c r="H71" s="5" t="inlineStr">
        <is>
          <t>Curage des canaux d'assainissement canal nador bas et haut segmet,</t>
        </is>
      </c>
      <c r="I71" s="7" t="n">
        <v>6600000</v>
      </c>
      <c r="J71" s="8" t="inlineStr">
        <is>
          <t>ml</t>
        </is>
      </c>
      <c r="K71" s="9" t="n">
        <v>3300</v>
      </c>
      <c r="L71" s="29" t="n"/>
      <c r="M71" s="39">
        <f>'S51'!M71+L71</f>
        <v/>
      </c>
      <c r="N71" s="31">
        <f>IFERROR(M71/K71,0)</f>
        <v/>
      </c>
      <c r="O71" s="40">
        <f>'S51'!N71</f>
        <v/>
      </c>
      <c r="P71" s="31">
        <f>N71-O71</f>
        <v/>
      </c>
      <c r="Q71" s="32" t="n"/>
      <c r="R71" s="32" t="n"/>
      <c r="S71" s="32" t="n"/>
      <c r="T71" s="33" t="n"/>
      <c r="U71" s="40">
        <f>'S51'!T71</f>
        <v/>
      </c>
      <c r="V71" s="31">
        <f>T71-U71</f>
        <v/>
      </c>
      <c r="W71" s="31">
        <f>N71-T71</f>
        <v/>
      </c>
      <c r="X71" s="34" t="n"/>
    </row>
    <row r="72" ht="22" customHeight="1">
      <c r="B72" s="10" t="n">
        <v>68</v>
      </c>
      <c r="C72" s="15" t="inlineStr">
        <is>
          <t>Sidi Slimane</t>
        </is>
      </c>
      <c r="D72" s="10" t="inlineStr">
        <is>
          <t>OULED HCEINE</t>
        </is>
      </c>
      <c r="E72" s="10" t="inlineStr">
        <is>
          <t>50-23</t>
        </is>
      </c>
      <c r="F72" s="10" t="inlineStr">
        <is>
          <t>Entretien et réparation du réseau d'assainissement et de drainage</t>
        </is>
      </c>
      <c r="G72" s="10" t="inlineStr">
        <is>
          <t>Travaux de curage des canaux en terre</t>
        </is>
      </c>
      <c r="H72" s="10" t="inlineStr">
        <is>
          <t>Curage des collecteurs d'assainissement du secteur EST4.</t>
        </is>
      </c>
      <c r="I72" s="11" t="n">
        <v>1805475</v>
      </c>
      <c r="J72" s="12" t="inlineStr">
        <is>
          <t>ml</t>
        </is>
      </c>
      <c r="K72" s="13" t="n">
        <v>903</v>
      </c>
      <c r="L72" s="29" t="n"/>
      <c r="M72" s="41">
        <f>'S51'!M72+L72</f>
        <v/>
      </c>
      <c r="N72" s="36">
        <f>IFERROR(M72/K72,0)</f>
        <v/>
      </c>
      <c r="O72" s="42">
        <f>'S51'!N72</f>
        <v/>
      </c>
      <c r="P72" s="36">
        <f>N72-O72</f>
        <v/>
      </c>
      <c r="Q72" s="32" t="n"/>
      <c r="R72" s="32" t="n"/>
      <c r="S72" s="32" t="n"/>
      <c r="T72" s="33" t="n"/>
      <c r="U72" s="42">
        <f>'S51'!T72</f>
        <v/>
      </c>
      <c r="V72" s="36">
        <f>T72-U72</f>
        <v/>
      </c>
      <c r="W72" s="36">
        <f>N72-T72</f>
        <v/>
      </c>
      <c r="X72" s="34" t="n"/>
    </row>
    <row r="73" ht="22" customHeight="1">
      <c r="B73" s="5" t="n">
        <v>69</v>
      </c>
      <c r="C73" s="15" t="inlineStr">
        <is>
          <t>Sidi Slimane</t>
        </is>
      </c>
      <c r="D73" s="5" t="inlineStr">
        <is>
          <t>OULED HCEINE</t>
        </is>
      </c>
      <c r="E73" s="5" t="inlineStr">
        <is>
          <t>50-23</t>
        </is>
      </c>
      <c r="F73" s="5" t="inlineStr">
        <is>
          <t>Entretien et réparation du réseau d'assainissement et de drainage</t>
        </is>
      </c>
      <c r="G73" s="5" t="inlineStr">
        <is>
          <t>Travaux de curage des canaux en terre</t>
        </is>
      </c>
      <c r="H73" s="5" t="inlineStr">
        <is>
          <t>Curage du canal d'assainissement Tihli central.</t>
        </is>
      </c>
      <c r="I73" s="7" t="n">
        <v>2587200</v>
      </c>
      <c r="J73" s="8" t="inlineStr">
        <is>
          <t>ml</t>
        </is>
      </c>
      <c r="K73" s="9" t="n">
        <v>1294</v>
      </c>
      <c r="L73" s="29" t="n"/>
      <c r="M73" s="39">
        <f>'S51'!M73+L73</f>
        <v/>
      </c>
      <c r="N73" s="31">
        <f>IFERROR(M73/K73,0)</f>
        <v/>
      </c>
      <c r="O73" s="40">
        <f>'S51'!N73</f>
        <v/>
      </c>
      <c r="P73" s="31">
        <f>N73-O73</f>
        <v/>
      </c>
      <c r="Q73" s="32" t="n"/>
      <c r="R73" s="32" t="n"/>
      <c r="S73" s="32" t="n"/>
      <c r="T73" s="33" t="n"/>
      <c r="U73" s="40">
        <f>'S51'!T73</f>
        <v/>
      </c>
      <c r="V73" s="31">
        <f>T73-U73</f>
        <v/>
      </c>
      <c r="W73" s="31">
        <f>N73-T73</f>
        <v/>
      </c>
      <c r="X73" s="34" t="n"/>
    </row>
    <row r="74" ht="22" customHeight="1">
      <c r="B74" s="10" t="n">
        <v>70</v>
      </c>
      <c r="C74" s="15" t="inlineStr">
        <is>
          <t>Sidi Slimane</t>
        </is>
      </c>
      <c r="D74" s="10" t="inlineStr">
        <is>
          <t>OULED HCEINE</t>
        </is>
      </c>
      <c r="E74" s="10" t="inlineStr">
        <is>
          <t>40-21</t>
        </is>
      </c>
      <c r="F74" s="10" t="inlineStr">
        <is>
          <t>Travaux de pistes</t>
        </is>
      </c>
      <c r="G74" s="10" t="inlineStr">
        <is>
          <t>Travaux de réhabilitation des pistes agricoles</t>
        </is>
      </c>
      <c r="H74" s="10" t="inlineStr">
        <is>
          <t>Entretien des pistes agricoles</t>
        </is>
      </c>
      <c r="I74" s="11" t="n">
        <v>3500000</v>
      </c>
      <c r="J74" s="12" t="inlineStr">
        <is>
          <t>km</t>
        </is>
      </c>
      <c r="K74" s="13" t="n">
        <v>7</v>
      </c>
      <c r="L74" s="29" t="n"/>
      <c r="M74" s="41">
        <f>'S51'!M74+L74</f>
        <v/>
      </c>
      <c r="N74" s="36">
        <f>IFERROR(M74/K74,0)</f>
        <v/>
      </c>
      <c r="O74" s="42">
        <f>'S51'!N74</f>
        <v/>
      </c>
      <c r="P74" s="36">
        <f>N74-O74</f>
        <v/>
      </c>
      <c r="Q74" s="32" t="n"/>
      <c r="R74" s="32" t="n"/>
      <c r="S74" s="32" t="n"/>
      <c r="T74" s="33" t="n"/>
      <c r="U74" s="42">
        <f>'S51'!T74</f>
        <v/>
      </c>
      <c r="V74" s="36">
        <f>T74-U74</f>
        <v/>
      </c>
      <c r="W74" s="36">
        <f>N74-T74</f>
        <v/>
      </c>
      <c r="X74" s="34" t="n"/>
    </row>
    <row r="75" ht="22" customHeight="1">
      <c r="B75" s="5" t="n">
        <v>71</v>
      </c>
      <c r="C75" s="15" t="inlineStr">
        <is>
          <t>Sidi Slimane</t>
        </is>
      </c>
      <c r="D75" s="5" t="inlineStr">
        <is>
          <t>OULED HCEINE</t>
        </is>
      </c>
      <c r="E75" s="5" t="inlineStr">
        <is>
          <t>50-21</t>
        </is>
      </c>
      <c r="F75" s="5" t="inlineStr">
        <is>
          <t>Entretien et réparation des stations de pompage</t>
        </is>
      </c>
      <c r="G75" s="5" t="inlineStr">
        <is>
          <t>Travaux de réparation des équipements hydromécaniques et éléctriques et entretien de la partie génie civil des stations de pompage.</t>
        </is>
      </c>
      <c r="H75" s="5" t="inlineStr">
        <is>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is>
      </c>
      <c r="I75" s="7" t="n">
        <v>870000</v>
      </c>
      <c r="J75" s="8" t="inlineStr">
        <is>
          <t>U</t>
        </is>
      </c>
      <c r="K75" s="9" t="n">
        <v>4</v>
      </c>
      <c r="L75" s="29" t="n"/>
      <c r="M75" s="39">
        <f>'S51'!M75+L75</f>
        <v/>
      </c>
      <c r="N75" s="31">
        <f>IFERROR(M75/K75,0)</f>
        <v/>
      </c>
      <c r="O75" s="40">
        <f>'S51'!N75</f>
        <v/>
      </c>
      <c r="P75" s="31">
        <f>N75-O75</f>
        <v/>
      </c>
      <c r="Q75" s="32" t="n"/>
      <c r="R75" s="32" t="n"/>
      <c r="S75" s="32" t="n"/>
      <c r="T75" s="33" t="n"/>
      <c r="U75" s="40">
        <f>'S51'!T75</f>
        <v/>
      </c>
      <c r="V75" s="31">
        <f>T75-U75</f>
        <v/>
      </c>
      <c r="W75" s="31">
        <f>N75-T75</f>
        <v/>
      </c>
      <c r="X75" s="34" t="n"/>
    </row>
    <row r="76" ht="22" customHeight="1">
      <c r="B76" s="10" t="n">
        <v>72</v>
      </c>
      <c r="C76" s="15" t="inlineStr">
        <is>
          <t>Sidi Slimane</t>
        </is>
      </c>
      <c r="D76" s="10" t="inlineStr">
        <is>
          <t>OULED HCEINE</t>
        </is>
      </c>
      <c r="E76" s="10" t="inlineStr">
        <is>
          <t>50-23</t>
        </is>
      </c>
      <c r="F76" s="10" t="inlineStr">
        <is>
          <t>Entretien et réparation du réseau d'assainissement et de drainage</t>
        </is>
      </c>
      <c r="G76" s="10" t="inlineStr">
        <is>
          <t>Travaux de curage des prises des stations de pompage.</t>
        </is>
      </c>
      <c r="H76" s="10" t="inlineStr">
        <is>
          <t>Curage des siphones des station de pompage EST2 et P11/2.</t>
        </is>
      </c>
      <c r="I76" s="11" t="n">
        <v>500000</v>
      </c>
      <c r="J76" s="12" t="inlineStr">
        <is>
          <t>ml</t>
        </is>
      </c>
      <c r="K76" s="13" t="n">
        <v>167</v>
      </c>
      <c r="L76" s="29" t="n"/>
      <c r="M76" s="41">
        <f>'S51'!M76+L76</f>
        <v/>
      </c>
      <c r="N76" s="36">
        <f>IFERROR(M76/K76,0)</f>
        <v/>
      </c>
      <c r="O76" s="42">
        <f>'S51'!N76</f>
        <v/>
      </c>
      <c r="P76" s="36">
        <f>N76-O76</f>
        <v/>
      </c>
      <c r="Q76" s="32" t="n"/>
      <c r="R76" s="32" t="n"/>
      <c r="S76" s="32" t="n"/>
      <c r="T76" s="33" t="n"/>
      <c r="U76" s="42">
        <f>'S51'!T76</f>
        <v/>
      </c>
      <c r="V76" s="36">
        <f>T76-U76</f>
        <v/>
      </c>
      <c r="W76" s="36">
        <f>N76-T76</f>
        <v/>
      </c>
      <c r="X76" s="34" t="n"/>
    </row>
    <row r="77" ht="26" customHeight="1">
      <c r="B77" s="16" t="inlineStr">
        <is>
          <t>TOTAL</t>
        </is>
      </c>
      <c r="C77" s="16" t="n"/>
      <c r="D77" s="16" t="n"/>
      <c r="E77" s="16" t="n"/>
      <c r="F77" s="16" t="n"/>
      <c r="G77" s="16" t="n"/>
      <c r="H77" s="16" t="n"/>
      <c r="I77" s="17">
        <f>SUM(I5:I76)</f>
        <v/>
      </c>
      <c r="J77" s="16" t="n"/>
      <c r="K77" s="16" t="n"/>
      <c r="L77" s="37">
        <f>SUM(L5:L76)</f>
        <v/>
      </c>
      <c r="M77" s="37">
        <f>SUM(M5:M76)</f>
        <v/>
      </c>
      <c r="N77" s="38">
        <f>IFERROR(SUMPRODUCT(N5:N76,I5:I76)/I77,0)</f>
        <v/>
      </c>
      <c r="O77" s="38">
        <f>IFERROR(SUMPRODUCT(O5:O76,I5:I76)/I77,0)</f>
        <v/>
      </c>
      <c r="P77" s="38">
        <f>N77-O77</f>
        <v/>
      </c>
      <c r="Q77" s="17">
        <f>SUM(Q5:Q76)</f>
        <v/>
      </c>
      <c r="R77" s="17">
        <f>SUM(R5:R76)</f>
        <v/>
      </c>
      <c r="S77" s="17">
        <f>SUM(S5:S76)</f>
        <v/>
      </c>
      <c r="T77" s="38">
        <f>IFERROR(SUMPRODUCT(T5:T76,I5:I76)/I77,0)</f>
        <v/>
      </c>
      <c r="U77" s="38">
        <f>IFERROR(SUMPRODUCT(U5:U76,I5:I76)/I77,0)</f>
        <v/>
      </c>
      <c r="V77" s="38">
        <f>T77-U77</f>
        <v/>
      </c>
      <c r="W77" s="38">
        <f>N77-T77</f>
        <v/>
      </c>
      <c r="X77" s="16" t="n"/>
    </row>
  </sheetData>
  <sheetProtection selectLockedCells="0" selectUnlockedCells="0" sheet="1" objects="0" insertRows="1" insertHyperlinks="1" autoFilter="1" scenarios="0" formatColumns="1" deleteColumns="1" insertColumns="1" pivotTables="1" deleteRows="1" formatCells="1" formatRows="1" sort="1" password="CBBE"/>
  <mergeCells count="6">
    <mergeCell ref="E3:I3"/>
    <mergeCell ref="W3:X3"/>
    <mergeCell ref="J3:P3"/>
    <mergeCell ref="B2:X2"/>
    <mergeCell ref="C3:D3"/>
    <mergeCell ref="Q3:V3"/>
  </mergeCells>
  <conditionalFormatting sqref="P5:P76">
    <cfRule type="cellIs" priority="1" operator="greaterThan" dxfId="0">
      <formula>0</formula>
    </cfRule>
    <cfRule type="cellIs" priority="2" operator="lessThan" dxfId="1">
      <formula>0</formula>
    </cfRule>
  </conditionalFormatting>
  <conditionalFormatting sqref="V5:V76">
    <cfRule type="cellIs" priority="3" operator="greaterThan" dxfId="0">
      <formula>0</formula>
    </cfRule>
    <cfRule type="cellIs" priority="4" operator="lessThan" dxfId="1">
      <formula>0</formula>
    </cfRule>
  </conditionalFormatting>
  <conditionalFormatting sqref="W5:W76">
    <cfRule type="cellIs" priority="5" operator="greaterThan" dxfId="0">
      <formula>0.05</formula>
    </cfRule>
    <cfRule type="cellIs" priority="6" operator="lessThan" dxfId="1">
      <formula>-0.05</formula>
    </cfRule>
    <cfRule type="cellIs" priority="7" operator="between" dxfId="2">
      <formula>-0.05</formula>
      <formula>0.05</formula>
    </cfRule>
  </conditionalFormatting>
  <conditionalFormatting sqref="N5:N76">
    <cfRule type="dataBar" priority="8">
      <dataBar showValue="1">
        <cfvo type="num" val="0"/>
        <cfvo type="num" val="1"/>
        <color rgb="001B7D46"/>
      </dataBar>
    </cfRule>
  </conditionalFormatting>
  <conditionalFormatting sqref="T5:T76">
    <cfRule type="dataBar" priority="9">
      <dataBar showValue="1">
        <cfvo type="num" val="0"/>
        <cfvo type="num" val="1"/>
        <color rgb="00D4820A"/>
      </dataBar>
    </cfRule>
  </conditionalFormatting>
  <dataValidations count="2">
    <dataValidation sqref="T5:T76" showDropDown="0" showInputMessage="0" showErrorMessage="0" allowBlank="1" errorTitle="Invalide" error="Valeur entre 0% et 100%" promptTitle="Avancement %" prompt="Entrez 0.25 pour 25%" type="decimal" operator="between">
      <formula1>0</formula1>
      <formula2>1</formula2>
    </dataValidation>
    <dataValidation sqref="L5:L76" showDropDown="0" showInputMessage="0" showErrorMessage="0" allowBlank="1" errorTitle="Invalide" error="Quantité doit être &gt;= 0" promptTitle="Qté Réalisée" prompt="Entrez la quantité réalisée cette semaine" type="decimal" operator="greaterThanOrEqual">
      <formula1>0</formula1>
    </dataValidation>
  </dataValidations>
  <pageMargins left="0.75" right="0.75" top="1" bottom="1" header="0.5" footer="0.5"/>
</worksheet>
</file>

<file path=xl/worksheets/sheet55.xml><?xml version="1.0" encoding="utf-8"?>
<worksheet xmlns="http://schemas.openxmlformats.org/spreadsheetml/2006/main">
  <sheetPr>
    <tabColor rgb="007030A0"/>
    <outlinePr summaryBelow="1" summaryRight="1"/>
    <pageSetUpPr/>
  </sheetPr>
  <dimension ref="B2:N9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24" customWidth="1" min="2" max="2"/>
    <col width="14" customWidth="1" min="3" max="3"/>
    <col width="18" customWidth="1" min="4" max="4"/>
    <col width="18" customWidth="1" min="5" max="5"/>
    <col width="18" customWidth="1" min="6" max="6"/>
    <col width="18" customWidth="1" min="7" max="7"/>
    <col width="18" customWidth="1" min="8" max="8"/>
    <col width="16" customWidth="1" min="9" max="9"/>
    <col width="16" customWidth="1" min="10" max="10"/>
  </cols>
  <sheetData>
    <row r="1" ht="15" customHeight="1"/>
    <row r="2" ht="32" customHeight="1">
      <c r="B2" s="1" t="inlineStr">
        <is>
          <t>Récapitulatif Hebdomadaire - Suivi d'Exécution 2026</t>
        </is>
      </c>
    </row>
    <row r="3" ht="8" customHeight="1"/>
    <row r="4" ht="28" customHeight="1">
      <c r="B4" s="4" t="inlineStr">
        <is>
          <t>Indicateur</t>
        </is>
      </c>
      <c r="C4" s="4" t="inlineStr">
        <is>
          <t>Valeur</t>
        </is>
      </c>
    </row>
    <row r="5">
      <c r="B5" s="43" t="inlineStr">
        <is>
          <t>Total Projets</t>
        </is>
      </c>
      <c r="C5" s="44" t="n">
        <v>72</v>
      </c>
    </row>
    <row r="6">
      <c r="B6" s="43" t="inlineStr">
        <is>
          <t>Coût Total (DH)</t>
        </is>
      </c>
      <c r="C6" s="45">
        <f>'S52'!I77</f>
        <v/>
      </c>
    </row>
    <row r="7">
      <c r="B7" s="43" t="inlineStr">
        <is>
          <t>Avancement Physique Moy. %</t>
        </is>
      </c>
      <c r="C7" s="46">
        <f>'S52'!N77</f>
        <v/>
      </c>
    </row>
    <row r="8">
      <c r="B8" s="43" t="inlineStr">
        <is>
          <t>Avancement Financier Moy. %</t>
        </is>
      </c>
      <c r="C8" s="46">
        <f>'S52'!T77</f>
        <v/>
      </c>
    </row>
    <row r="9">
      <c r="B9" s="43" t="inlineStr">
        <is>
          <t>Montant Décaissé Total (DH)</t>
        </is>
      </c>
      <c r="C9" s="45">
        <f>'S52'!Q77</f>
        <v/>
      </c>
    </row>
    <row r="10">
      <c r="B10" s="43" t="inlineStr">
        <is>
          <t>Montant Payé Total (DH)</t>
        </is>
      </c>
      <c r="C10" s="45">
        <f>'S52'!R77</f>
        <v/>
      </c>
    </row>
    <row r="11">
      <c r="B11" s="43" t="inlineStr">
        <is>
          <t>Écart Physique-Financier</t>
        </is>
      </c>
      <c r="C11" s="44">
        <f>'S52'!W77</f>
        <v/>
      </c>
    </row>
    <row r="14">
      <c r="B14" s="18" t="inlineStr">
        <is>
          <t>Évolution Hebdomadaire 2026 — Toutes les Semaines</t>
        </is>
      </c>
    </row>
    <row r="15" ht="28" customHeight="1">
      <c r="B15" s="4" t="inlineStr">
        <is>
          <t>Semaine</t>
        </is>
      </c>
      <c r="C15" s="4" t="inlineStr">
        <is>
          <t>Période</t>
        </is>
      </c>
      <c r="D15" s="4" t="inlineStr">
        <is>
          <t>Avanc. Phys. %</t>
        </is>
      </c>
      <c r="E15" s="4" t="inlineStr">
        <is>
          <t>Accroiss. Phys. %</t>
        </is>
      </c>
      <c r="F15" s="4" t="inlineStr">
        <is>
          <t>Qté Réalisée Cumul</t>
        </is>
      </c>
      <c r="G15" s="4" t="inlineStr">
        <is>
          <t>Avanc. Fin. %</t>
        </is>
      </c>
      <c r="H15" s="4" t="inlineStr">
        <is>
          <t>Accroiss. Fin. %</t>
        </is>
      </c>
      <c r="I15" s="4" t="inlineStr">
        <is>
          <t>Décaissé (DH)</t>
        </is>
      </c>
      <c r="J15" s="4" t="inlineStr">
        <is>
          <t>Écart Phys.-Fin.</t>
        </is>
      </c>
    </row>
    <row r="16" ht="22" customHeight="1">
      <c r="B16" s="5" t="inlineStr">
        <is>
          <t>S01</t>
        </is>
      </c>
      <c r="C16" s="5" t="inlineStr">
        <is>
          <t>29/12-04/01</t>
        </is>
      </c>
      <c r="D16" s="40">
        <f>'S01'!N77</f>
        <v/>
      </c>
      <c r="E16" s="40">
        <f>'S01'!P77</f>
        <v/>
      </c>
      <c r="F16" s="39">
        <f>'S01'!M77</f>
        <v/>
      </c>
      <c r="G16" s="40">
        <f>'S01'!T77</f>
        <v/>
      </c>
      <c r="H16" s="40">
        <f>'S01'!V77</f>
        <v/>
      </c>
      <c r="I16" s="47">
        <f>'S01'!Q77</f>
        <v/>
      </c>
      <c r="J16" s="40">
        <f>'S01'!W77</f>
        <v/>
      </c>
    </row>
    <row r="17" ht="22" customHeight="1">
      <c r="B17" s="10" t="inlineStr">
        <is>
          <t>S02</t>
        </is>
      </c>
      <c r="C17" s="10" t="inlineStr">
        <is>
          <t>05/01-11/01</t>
        </is>
      </c>
      <c r="D17" s="42">
        <f>'S02'!N77</f>
        <v/>
      </c>
      <c r="E17" s="42">
        <f>'S02'!P77</f>
        <v/>
      </c>
      <c r="F17" s="41">
        <f>'S02'!M77</f>
        <v/>
      </c>
      <c r="G17" s="42">
        <f>'S02'!T77</f>
        <v/>
      </c>
      <c r="H17" s="42">
        <f>'S02'!V77</f>
        <v/>
      </c>
      <c r="I17" s="48">
        <f>'S02'!Q77</f>
        <v/>
      </c>
      <c r="J17" s="42">
        <f>'S02'!W77</f>
        <v/>
      </c>
    </row>
    <row r="18" ht="22" customHeight="1">
      <c r="B18" s="5" t="inlineStr">
        <is>
          <t>S03</t>
        </is>
      </c>
      <c r="C18" s="5" t="inlineStr">
        <is>
          <t>12/01-18/01</t>
        </is>
      </c>
      <c r="D18" s="40">
        <f>'S03'!N77</f>
        <v/>
      </c>
      <c r="E18" s="40">
        <f>'S03'!P77</f>
        <v/>
      </c>
      <c r="F18" s="39">
        <f>'S03'!M77</f>
        <v/>
      </c>
      <c r="G18" s="40">
        <f>'S03'!T77</f>
        <v/>
      </c>
      <c r="H18" s="40">
        <f>'S03'!V77</f>
        <v/>
      </c>
      <c r="I18" s="47">
        <f>'S03'!Q77</f>
        <v/>
      </c>
      <c r="J18" s="40">
        <f>'S03'!W77</f>
        <v/>
      </c>
    </row>
    <row r="19" ht="22" customHeight="1">
      <c r="B19" s="10" t="inlineStr">
        <is>
          <t>S04</t>
        </is>
      </c>
      <c r="C19" s="10" t="inlineStr">
        <is>
          <t>19/01-25/01</t>
        </is>
      </c>
      <c r="D19" s="42">
        <f>'S04'!N77</f>
        <v/>
      </c>
      <c r="E19" s="42">
        <f>'S04'!P77</f>
        <v/>
      </c>
      <c r="F19" s="41">
        <f>'S04'!M77</f>
        <v/>
      </c>
      <c r="G19" s="42">
        <f>'S04'!T77</f>
        <v/>
      </c>
      <c r="H19" s="42">
        <f>'S04'!V77</f>
        <v/>
      </c>
      <c r="I19" s="48">
        <f>'S04'!Q77</f>
        <v/>
      </c>
      <c r="J19" s="42">
        <f>'S04'!W77</f>
        <v/>
      </c>
    </row>
    <row r="20" ht="22" customHeight="1">
      <c r="B20" s="5" t="inlineStr">
        <is>
          <t>S05</t>
        </is>
      </c>
      <c r="C20" s="5" t="inlineStr">
        <is>
          <t>26/01-01/02</t>
        </is>
      </c>
      <c r="D20" s="40">
        <f>'S05'!N77</f>
        <v/>
      </c>
      <c r="E20" s="40">
        <f>'S05'!P77</f>
        <v/>
      </c>
      <c r="F20" s="39">
        <f>'S05'!M77</f>
        <v/>
      </c>
      <c r="G20" s="40">
        <f>'S05'!T77</f>
        <v/>
      </c>
      <c r="H20" s="40">
        <f>'S05'!V77</f>
        <v/>
      </c>
      <c r="I20" s="47">
        <f>'S05'!Q77</f>
        <v/>
      </c>
      <c r="J20" s="40">
        <f>'S05'!W77</f>
        <v/>
      </c>
    </row>
    <row r="21" ht="22" customHeight="1">
      <c r="B21" s="10" t="inlineStr">
        <is>
          <t>S06</t>
        </is>
      </c>
      <c r="C21" s="10" t="inlineStr">
        <is>
          <t>02/02-08/02</t>
        </is>
      </c>
      <c r="D21" s="42">
        <f>'S06'!N77</f>
        <v/>
      </c>
      <c r="E21" s="42">
        <f>'S06'!P77</f>
        <v/>
      </c>
      <c r="F21" s="41">
        <f>'S06'!M77</f>
        <v/>
      </c>
      <c r="G21" s="42">
        <f>'S06'!T77</f>
        <v/>
      </c>
      <c r="H21" s="42">
        <f>'S06'!V77</f>
        <v/>
      </c>
      <c r="I21" s="48">
        <f>'S06'!Q77</f>
        <v/>
      </c>
      <c r="J21" s="42">
        <f>'S06'!W77</f>
        <v/>
      </c>
    </row>
    <row r="22" ht="22" customHeight="1">
      <c r="B22" s="5" t="inlineStr">
        <is>
          <t>S07</t>
        </is>
      </c>
      <c r="C22" s="5" t="inlineStr">
        <is>
          <t>09/02-15/02</t>
        </is>
      </c>
      <c r="D22" s="40">
        <f>'S07'!N77</f>
        <v/>
      </c>
      <c r="E22" s="40">
        <f>'S07'!P77</f>
        <v/>
      </c>
      <c r="F22" s="39">
        <f>'S07'!M77</f>
        <v/>
      </c>
      <c r="G22" s="40">
        <f>'S07'!T77</f>
        <v/>
      </c>
      <c r="H22" s="40">
        <f>'S07'!V77</f>
        <v/>
      </c>
      <c r="I22" s="47">
        <f>'S07'!Q77</f>
        <v/>
      </c>
      <c r="J22" s="40">
        <f>'S07'!W77</f>
        <v/>
      </c>
    </row>
    <row r="23" ht="22" customHeight="1">
      <c r="B23" s="10" t="inlineStr">
        <is>
          <t>S08</t>
        </is>
      </c>
      <c r="C23" s="10" t="inlineStr">
        <is>
          <t>16/02-22/02</t>
        </is>
      </c>
      <c r="D23" s="42">
        <f>'S08'!N77</f>
        <v/>
      </c>
      <c r="E23" s="42">
        <f>'S08'!P77</f>
        <v/>
      </c>
      <c r="F23" s="41">
        <f>'S08'!M77</f>
        <v/>
      </c>
      <c r="G23" s="42">
        <f>'S08'!T77</f>
        <v/>
      </c>
      <c r="H23" s="42">
        <f>'S08'!V77</f>
        <v/>
      </c>
      <c r="I23" s="48">
        <f>'S08'!Q77</f>
        <v/>
      </c>
      <c r="J23" s="42">
        <f>'S08'!W77</f>
        <v/>
      </c>
    </row>
    <row r="24" ht="22" customHeight="1">
      <c r="B24" s="5" t="inlineStr">
        <is>
          <t>S09</t>
        </is>
      </c>
      <c r="C24" s="5" t="inlineStr">
        <is>
          <t>23/02-01/03</t>
        </is>
      </c>
      <c r="D24" s="40">
        <f>'S09'!N77</f>
        <v/>
      </c>
      <c r="E24" s="40">
        <f>'S09'!P77</f>
        <v/>
      </c>
      <c r="F24" s="39">
        <f>'S09'!M77</f>
        <v/>
      </c>
      <c r="G24" s="40">
        <f>'S09'!T77</f>
        <v/>
      </c>
      <c r="H24" s="40">
        <f>'S09'!V77</f>
        <v/>
      </c>
      <c r="I24" s="47">
        <f>'S09'!Q77</f>
        <v/>
      </c>
      <c r="J24" s="40">
        <f>'S09'!W77</f>
        <v/>
      </c>
    </row>
    <row r="25" ht="22" customHeight="1">
      <c r="B25" s="10" t="inlineStr">
        <is>
          <t>S10</t>
        </is>
      </c>
      <c r="C25" s="10" t="inlineStr">
        <is>
          <t>02/03-08/03</t>
        </is>
      </c>
      <c r="D25" s="42">
        <f>'S10'!N77</f>
        <v/>
      </c>
      <c r="E25" s="42">
        <f>'S10'!P77</f>
        <v/>
      </c>
      <c r="F25" s="41">
        <f>'S10'!M77</f>
        <v/>
      </c>
      <c r="G25" s="42">
        <f>'S10'!T77</f>
        <v/>
      </c>
      <c r="H25" s="42">
        <f>'S10'!V77</f>
        <v/>
      </c>
      <c r="I25" s="48">
        <f>'S10'!Q77</f>
        <v/>
      </c>
      <c r="J25" s="42">
        <f>'S10'!W77</f>
        <v/>
      </c>
    </row>
    <row r="26" ht="22" customHeight="1">
      <c r="B26" s="5" t="inlineStr">
        <is>
          <t>S11</t>
        </is>
      </c>
      <c r="C26" s="5" t="inlineStr">
        <is>
          <t>09/03-15/03</t>
        </is>
      </c>
      <c r="D26" s="40">
        <f>'S11'!N77</f>
        <v/>
      </c>
      <c r="E26" s="40">
        <f>'S11'!P77</f>
        <v/>
      </c>
      <c r="F26" s="39">
        <f>'S11'!M77</f>
        <v/>
      </c>
      <c r="G26" s="40">
        <f>'S11'!T77</f>
        <v/>
      </c>
      <c r="H26" s="40">
        <f>'S11'!V77</f>
        <v/>
      </c>
      <c r="I26" s="47">
        <f>'S11'!Q77</f>
        <v/>
      </c>
      <c r="J26" s="40">
        <f>'S11'!W77</f>
        <v/>
      </c>
    </row>
    <row r="27" ht="22" customHeight="1">
      <c r="B27" s="10" t="inlineStr">
        <is>
          <t>S12</t>
        </is>
      </c>
      <c r="C27" s="10" t="inlineStr">
        <is>
          <t>16/03-22/03</t>
        </is>
      </c>
      <c r="D27" s="42">
        <f>'S12'!N77</f>
        <v/>
      </c>
      <c r="E27" s="42">
        <f>'S12'!P77</f>
        <v/>
      </c>
      <c r="F27" s="41">
        <f>'S12'!M77</f>
        <v/>
      </c>
      <c r="G27" s="42">
        <f>'S12'!T77</f>
        <v/>
      </c>
      <c r="H27" s="42">
        <f>'S12'!V77</f>
        <v/>
      </c>
      <c r="I27" s="48">
        <f>'S12'!Q77</f>
        <v/>
      </c>
      <c r="J27" s="42">
        <f>'S12'!W77</f>
        <v/>
      </c>
    </row>
    <row r="28" ht="22" customHeight="1">
      <c r="B28" s="5" t="inlineStr">
        <is>
          <t>S13</t>
        </is>
      </c>
      <c r="C28" s="5" t="inlineStr">
        <is>
          <t>23/03-29/03</t>
        </is>
      </c>
      <c r="D28" s="40">
        <f>'S13'!N77</f>
        <v/>
      </c>
      <c r="E28" s="40">
        <f>'S13'!P77</f>
        <v/>
      </c>
      <c r="F28" s="39">
        <f>'S13'!M77</f>
        <v/>
      </c>
      <c r="G28" s="40">
        <f>'S13'!T77</f>
        <v/>
      </c>
      <c r="H28" s="40">
        <f>'S13'!V77</f>
        <v/>
      </c>
      <c r="I28" s="47">
        <f>'S13'!Q77</f>
        <v/>
      </c>
      <c r="J28" s="40">
        <f>'S13'!W77</f>
        <v/>
      </c>
    </row>
    <row r="29" ht="22" customHeight="1">
      <c r="B29" s="10" t="inlineStr">
        <is>
          <t>S14</t>
        </is>
      </c>
      <c r="C29" s="10" t="inlineStr">
        <is>
          <t>30/03-05/04</t>
        </is>
      </c>
      <c r="D29" s="42">
        <f>'S14'!N77</f>
        <v/>
      </c>
      <c r="E29" s="42">
        <f>'S14'!P77</f>
        <v/>
      </c>
      <c r="F29" s="41">
        <f>'S14'!M77</f>
        <v/>
      </c>
      <c r="G29" s="42">
        <f>'S14'!T77</f>
        <v/>
      </c>
      <c r="H29" s="42">
        <f>'S14'!V77</f>
        <v/>
      </c>
      <c r="I29" s="48">
        <f>'S14'!Q77</f>
        <v/>
      </c>
      <c r="J29" s="42">
        <f>'S14'!W77</f>
        <v/>
      </c>
    </row>
    <row r="30" ht="22" customHeight="1">
      <c r="B30" s="5" t="inlineStr">
        <is>
          <t>S15</t>
        </is>
      </c>
      <c r="C30" s="5" t="inlineStr">
        <is>
          <t>06/04-12/04</t>
        </is>
      </c>
      <c r="D30" s="40">
        <f>'S15'!N77</f>
        <v/>
      </c>
      <c r="E30" s="40">
        <f>'S15'!P77</f>
        <v/>
      </c>
      <c r="F30" s="39">
        <f>'S15'!M77</f>
        <v/>
      </c>
      <c r="G30" s="40">
        <f>'S15'!T77</f>
        <v/>
      </c>
      <c r="H30" s="40">
        <f>'S15'!V77</f>
        <v/>
      </c>
      <c r="I30" s="47">
        <f>'S15'!Q77</f>
        <v/>
      </c>
      <c r="J30" s="40">
        <f>'S15'!W77</f>
        <v/>
      </c>
    </row>
    <row r="31" ht="22" customHeight="1">
      <c r="B31" s="10" t="inlineStr">
        <is>
          <t>S16</t>
        </is>
      </c>
      <c r="C31" s="10" t="inlineStr">
        <is>
          <t>13/04-19/04</t>
        </is>
      </c>
      <c r="D31" s="42">
        <f>'S16'!N77</f>
        <v/>
      </c>
      <c r="E31" s="42">
        <f>'S16'!P77</f>
        <v/>
      </c>
      <c r="F31" s="41">
        <f>'S16'!M77</f>
        <v/>
      </c>
      <c r="G31" s="42">
        <f>'S16'!T77</f>
        <v/>
      </c>
      <c r="H31" s="42">
        <f>'S16'!V77</f>
        <v/>
      </c>
      <c r="I31" s="48">
        <f>'S16'!Q77</f>
        <v/>
      </c>
      <c r="J31" s="42">
        <f>'S16'!W77</f>
        <v/>
      </c>
    </row>
    <row r="32" ht="22" customHeight="1">
      <c r="B32" s="5" t="inlineStr">
        <is>
          <t>S17</t>
        </is>
      </c>
      <c r="C32" s="5" t="inlineStr">
        <is>
          <t>20/04-26/04</t>
        </is>
      </c>
      <c r="D32" s="40">
        <f>'S17'!N77</f>
        <v/>
      </c>
      <c r="E32" s="40">
        <f>'S17'!P77</f>
        <v/>
      </c>
      <c r="F32" s="39">
        <f>'S17'!M77</f>
        <v/>
      </c>
      <c r="G32" s="40">
        <f>'S17'!T77</f>
        <v/>
      </c>
      <c r="H32" s="40">
        <f>'S17'!V77</f>
        <v/>
      </c>
      <c r="I32" s="47">
        <f>'S17'!Q77</f>
        <v/>
      </c>
      <c r="J32" s="40">
        <f>'S17'!W77</f>
        <v/>
      </c>
    </row>
    <row r="33" ht="22" customHeight="1">
      <c r="B33" s="10" t="inlineStr">
        <is>
          <t>S18</t>
        </is>
      </c>
      <c r="C33" s="10" t="inlineStr">
        <is>
          <t>27/04-03/05</t>
        </is>
      </c>
      <c r="D33" s="42">
        <f>'S18'!N77</f>
        <v/>
      </c>
      <c r="E33" s="42">
        <f>'S18'!P77</f>
        <v/>
      </c>
      <c r="F33" s="41">
        <f>'S18'!M77</f>
        <v/>
      </c>
      <c r="G33" s="42">
        <f>'S18'!T77</f>
        <v/>
      </c>
      <c r="H33" s="42">
        <f>'S18'!V77</f>
        <v/>
      </c>
      <c r="I33" s="48">
        <f>'S18'!Q77</f>
        <v/>
      </c>
      <c r="J33" s="42">
        <f>'S18'!W77</f>
        <v/>
      </c>
    </row>
    <row r="34" ht="22" customHeight="1">
      <c r="B34" s="5" t="inlineStr">
        <is>
          <t>S19</t>
        </is>
      </c>
      <c r="C34" s="5" t="inlineStr">
        <is>
          <t>04/05-10/05</t>
        </is>
      </c>
      <c r="D34" s="40">
        <f>'S19'!N77</f>
        <v/>
      </c>
      <c r="E34" s="40">
        <f>'S19'!P77</f>
        <v/>
      </c>
      <c r="F34" s="39">
        <f>'S19'!M77</f>
        <v/>
      </c>
      <c r="G34" s="40">
        <f>'S19'!T77</f>
        <v/>
      </c>
      <c r="H34" s="40">
        <f>'S19'!V77</f>
        <v/>
      </c>
      <c r="I34" s="47">
        <f>'S19'!Q77</f>
        <v/>
      </c>
      <c r="J34" s="40">
        <f>'S19'!W77</f>
        <v/>
      </c>
    </row>
    <row r="35" ht="22" customHeight="1">
      <c r="B35" s="10" t="inlineStr">
        <is>
          <t>S20</t>
        </is>
      </c>
      <c r="C35" s="10" t="inlineStr">
        <is>
          <t>11/05-17/05</t>
        </is>
      </c>
      <c r="D35" s="42">
        <f>'S20'!N77</f>
        <v/>
      </c>
      <c r="E35" s="42">
        <f>'S20'!P77</f>
        <v/>
      </c>
      <c r="F35" s="41">
        <f>'S20'!M77</f>
        <v/>
      </c>
      <c r="G35" s="42">
        <f>'S20'!T77</f>
        <v/>
      </c>
      <c r="H35" s="42">
        <f>'S20'!V77</f>
        <v/>
      </c>
      <c r="I35" s="48">
        <f>'S20'!Q77</f>
        <v/>
      </c>
      <c r="J35" s="42">
        <f>'S20'!W77</f>
        <v/>
      </c>
    </row>
    <row r="36" ht="22" customHeight="1">
      <c r="B36" s="5" t="inlineStr">
        <is>
          <t>S21</t>
        </is>
      </c>
      <c r="C36" s="5" t="inlineStr">
        <is>
          <t>18/05-24/05</t>
        </is>
      </c>
      <c r="D36" s="40">
        <f>'S21'!N77</f>
        <v/>
      </c>
      <c r="E36" s="40">
        <f>'S21'!P77</f>
        <v/>
      </c>
      <c r="F36" s="39">
        <f>'S21'!M77</f>
        <v/>
      </c>
      <c r="G36" s="40">
        <f>'S21'!T77</f>
        <v/>
      </c>
      <c r="H36" s="40">
        <f>'S21'!V77</f>
        <v/>
      </c>
      <c r="I36" s="47">
        <f>'S21'!Q77</f>
        <v/>
      </c>
      <c r="J36" s="40">
        <f>'S21'!W77</f>
        <v/>
      </c>
    </row>
    <row r="37" ht="22" customHeight="1">
      <c r="B37" s="10" t="inlineStr">
        <is>
          <t>S22</t>
        </is>
      </c>
      <c r="C37" s="10" t="inlineStr">
        <is>
          <t>25/05-31/05</t>
        </is>
      </c>
      <c r="D37" s="42">
        <f>'S22'!N77</f>
        <v/>
      </c>
      <c r="E37" s="42">
        <f>'S22'!P77</f>
        <v/>
      </c>
      <c r="F37" s="41">
        <f>'S22'!M77</f>
        <v/>
      </c>
      <c r="G37" s="42">
        <f>'S22'!T77</f>
        <v/>
      </c>
      <c r="H37" s="42">
        <f>'S22'!V77</f>
        <v/>
      </c>
      <c r="I37" s="48">
        <f>'S22'!Q77</f>
        <v/>
      </c>
      <c r="J37" s="42">
        <f>'S22'!W77</f>
        <v/>
      </c>
    </row>
    <row r="38" ht="22" customHeight="1">
      <c r="B38" s="5" t="inlineStr">
        <is>
          <t>S23</t>
        </is>
      </c>
      <c r="C38" s="5" t="inlineStr">
        <is>
          <t>01/06-07/06</t>
        </is>
      </c>
      <c r="D38" s="40">
        <f>'S23'!N77</f>
        <v/>
      </c>
      <c r="E38" s="40">
        <f>'S23'!P77</f>
        <v/>
      </c>
      <c r="F38" s="39">
        <f>'S23'!M77</f>
        <v/>
      </c>
      <c r="G38" s="40">
        <f>'S23'!T77</f>
        <v/>
      </c>
      <c r="H38" s="40">
        <f>'S23'!V77</f>
        <v/>
      </c>
      <c r="I38" s="47">
        <f>'S23'!Q77</f>
        <v/>
      </c>
      <c r="J38" s="40">
        <f>'S23'!W77</f>
        <v/>
      </c>
    </row>
    <row r="39" ht="22" customHeight="1">
      <c r="B39" s="10" t="inlineStr">
        <is>
          <t>S24</t>
        </is>
      </c>
      <c r="C39" s="10" t="inlineStr">
        <is>
          <t>08/06-14/06</t>
        </is>
      </c>
      <c r="D39" s="42">
        <f>'S24'!N77</f>
        <v/>
      </c>
      <c r="E39" s="42">
        <f>'S24'!P77</f>
        <v/>
      </c>
      <c r="F39" s="41">
        <f>'S24'!M77</f>
        <v/>
      </c>
      <c r="G39" s="42">
        <f>'S24'!T77</f>
        <v/>
      </c>
      <c r="H39" s="42">
        <f>'S24'!V77</f>
        <v/>
      </c>
      <c r="I39" s="48">
        <f>'S24'!Q77</f>
        <v/>
      </c>
      <c r="J39" s="42">
        <f>'S24'!W77</f>
        <v/>
      </c>
    </row>
    <row r="40" ht="22" customHeight="1">
      <c r="B40" s="5" t="inlineStr">
        <is>
          <t>S25</t>
        </is>
      </c>
      <c r="C40" s="5" t="inlineStr">
        <is>
          <t>15/06-21/06</t>
        </is>
      </c>
      <c r="D40" s="40">
        <f>'S25'!N77</f>
        <v/>
      </c>
      <c r="E40" s="40">
        <f>'S25'!P77</f>
        <v/>
      </c>
      <c r="F40" s="39">
        <f>'S25'!M77</f>
        <v/>
      </c>
      <c r="G40" s="40">
        <f>'S25'!T77</f>
        <v/>
      </c>
      <c r="H40" s="40">
        <f>'S25'!V77</f>
        <v/>
      </c>
      <c r="I40" s="47">
        <f>'S25'!Q77</f>
        <v/>
      </c>
      <c r="J40" s="40">
        <f>'S25'!W77</f>
        <v/>
      </c>
    </row>
    <row r="41" ht="22" customHeight="1">
      <c r="B41" s="10" t="inlineStr">
        <is>
          <t>S26</t>
        </is>
      </c>
      <c r="C41" s="10" t="inlineStr">
        <is>
          <t>22/06-28/06</t>
        </is>
      </c>
      <c r="D41" s="42">
        <f>'S26'!N77</f>
        <v/>
      </c>
      <c r="E41" s="42">
        <f>'S26'!P77</f>
        <v/>
      </c>
      <c r="F41" s="41">
        <f>'S26'!M77</f>
        <v/>
      </c>
      <c r="G41" s="42">
        <f>'S26'!T77</f>
        <v/>
      </c>
      <c r="H41" s="42">
        <f>'S26'!V77</f>
        <v/>
      </c>
      <c r="I41" s="48">
        <f>'S26'!Q77</f>
        <v/>
      </c>
      <c r="J41" s="42">
        <f>'S26'!W77</f>
        <v/>
      </c>
    </row>
    <row r="42" ht="22" customHeight="1">
      <c r="B42" s="5" t="inlineStr">
        <is>
          <t>S27</t>
        </is>
      </c>
      <c r="C42" s="5" t="inlineStr">
        <is>
          <t>29/06-05/07</t>
        </is>
      </c>
      <c r="D42" s="40">
        <f>'S27'!N77</f>
        <v/>
      </c>
      <c r="E42" s="40">
        <f>'S27'!P77</f>
        <v/>
      </c>
      <c r="F42" s="39">
        <f>'S27'!M77</f>
        <v/>
      </c>
      <c r="G42" s="40">
        <f>'S27'!T77</f>
        <v/>
      </c>
      <c r="H42" s="40">
        <f>'S27'!V77</f>
        <v/>
      </c>
      <c r="I42" s="47">
        <f>'S27'!Q77</f>
        <v/>
      </c>
      <c r="J42" s="40">
        <f>'S27'!W77</f>
        <v/>
      </c>
    </row>
    <row r="43" ht="22" customHeight="1">
      <c r="B43" s="10" t="inlineStr">
        <is>
          <t>S28</t>
        </is>
      </c>
      <c r="C43" s="10" t="inlineStr">
        <is>
          <t>06/07-12/07</t>
        </is>
      </c>
      <c r="D43" s="42">
        <f>'S28'!N77</f>
        <v/>
      </c>
      <c r="E43" s="42">
        <f>'S28'!P77</f>
        <v/>
      </c>
      <c r="F43" s="41">
        <f>'S28'!M77</f>
        <v/>
      </c>
      <c r="G43" s="42">
        <f>'S28'!T77</f>
        <v/>
      </c>
      <c r="H43" s="42">
        <f>'S28'!V77</f>
        <v/>
      </c>
      <c r="I43" s="48">
        <f>'S28'!Q77</f>
        <v/>
      </c>
      <c r="J43" s="42">
        <f>'S28'!W77</f>
        <v/>
      </c>
    </row>
    <row r="44" ht="22" customHeight="1">
      <c r="B44" s="5" t="inlineStr">
        <is>
          <t>S29</t>
        </is>
      </c>
      <c r="C44" s="5" t="inlineStr">
        <is>
          <t>13/07-19/07</t>
        </is>
      </c>
      <c r="D44" s="40">
        <f>'S29'!N77</f>
        <v/>
      </c>
      <c r="E44" s="40">
        <f>'S29'!P77</f>
        <v/>
      </c>
      <c r="F44" s="39">
        <f>'S29'!M77</f>
        <v/>
      </c>
      <c r="G44" s="40">
        <f>'S29'!T77</f>
        <v/>
      </c>
      <c r="H44" s="40">
        <f>'S29'!V77</f>
        <v/>
      </c>
      <c r="I44" s="47">
        <f>'S29'!Q77</f>
        <v/>
      </c>
      <c r="J44" s="40">
        <f>'S29'!W77</f>
        <v/>
      </c>
    </row>
    <row r="45" ht="22" customHeight="1">
      <c r="B45" s="10" t="inlineStr">
        <is>
          <t>S30</t>
        </is>
      </c>
      <c r="C45" s="10" t="inlineStr">
        <is>
          <t>20/07-26/07</t>
        </is>
      </c>
      <c r="D45" s="42">
        <f>'S30'!N77</f>
        <v/>
      </c>
      <c r="E45" s="42">
        <f>'S30'!P77</f>
        <v/>
      </c>
      <c r="F45" s="41">
        <f>'S30'!M77</f>
        <v/>
      </c>
      <c r="G45" s="42">
        <f>'S30'!T77</f>
        <v/>
      </c>
      <c r="H45" s="42">
        <f>'S30'!V77</f>
        <v/>
      </c>
      <c r="I45" s="48">
        <f>'S30'!Q77</f>
        <v/>
      </c>
      <c r="J45" s="42">
        <f>'S30'!W77</f>
        <v/>
      </c>
    </row>
    <row r="46" ht="22" customHeight="1">
      <c r="B46" s="5" t="inlineStr">
        <is>
          <t>S31</t>
        </is>
      </c>
      <c r="C46" s="5" t="inlineStr">
        <is>
          <t>27/07-02/08</t>
        </is>
      </c>
      <c r="D46" s="40">
        <f>'S31'!N77</f>
        <v/>
      </c>
      <c r="E46" s="40">
        <f>'S31'!P77</f>
        <v/>
      </c>
      <c r="F46" s="39">
        <f>'S31'!M77</f>
        <v/>
      </c>
      <c r="G46" s="40">
        <f>'S31'!T77</f>
        <v/>
      </c>
      <c r="H46" s="40">
        <f>'S31'!V77</f>
        <v/>
      </c>
      <c r="I46" s="47">
        <f>'S31'!Q77</f>
        <v/>
      </c>
      <c r="J46" s="40">
        <f>'S31'!W77</f>
        <v/>
      </c>
    </row>
    <row r="47" ht="22" customHeight="1">
      <c r="B47" s="10" t="inlineStr">
        <is>
          <t>S32</t>
        </is>
      </c>
      <c r="C47" s="10" t="inlineStr">
        <is>
          <t>03/08-09/08</t>
        </is>
      </c>
      <c r="D47" s="42">
        <f>'S32'!N77</f>
        <v/>
      </c>
      <c r="E47" s="42">
        <f>'S32'!P77</f>
        <v/>
      </c>
      <c r="F47" s="41">
        <f>'S32'!M77</f>
        <v/>
      </c>
      <c r="G47" s="42">
        <f>'S32'!T77</f>
        <v/>
      </c>
      <c r="H47" s="42">
        <f>'S32'!V77</f>
        <v/>
      </c>
      <c r="I47" s="48">
        <f>'S32'!Q77</f>
        <v/>
      </c>
      <c r="J47" s="42">
        <f>'S32'!W77</f>
        <v/>
      </c>
    </row>
    <row r="48" ht="22" customHeight="1">
      <c r="B48" s="5" t="inlineStr">
        <is>
          <t>S33</t>
        </is>
      </c>
      <c r="C48" s="5" t="inlineStr">
        <is>
          <t>10/08-16/08</t>
        </is>
      </c>
      <c r="D48" s="40">
        <f>'S33'!N77</f>
        <v/>
      </c>
      <c r="E48" s="40">
        <f>'S33'!P77</f>
        <v/>
      </c>
      <c r="F48" s="39">
        <f>'S33'!M77</f>
        <v/>
      </c>
      <c r="G48" s="40">
        <f>'S33'!T77</f>
        <v/>
      </c>
      <c r="H48" s="40">
        <f>'S33'!V77</f>
        <v/>
      </c>
      <c r="I48" s="47">
        <f>'S33'!Q77</f>
        <v/>
      </c>
      <c r="J48" s="40">
        <f>'S33'!W77</f>
        <v/>
      </c>
    </row>
    <row r="49" ht="22" customHeight="1">
      <c r="B49" s="10" t="inlineStr">
        <is>
          <t>S34</t>
        </is>
      </c>
      <c r="C49" s="10" t="inlineStr">
        <is>
          <t>17/08-23/08</t>
        </is>
      </c>
      <c r="D49" s="42">
        <f>'S34'!N77</f>
        <v/>
      </c>
      <c r="E49" s="42">
        <f>'S34'!P77</f>
        <v/>
      </c>
      <c r="F49" s="41">
        <f>'S34'!M77</f>
        <v/>
      </c>
      <c r="G49" s="42">
        <f>'S34'!T77</f>
        <v/>
      </c>
      <c r="H49" s="42">
        <f>'S34'!V77</f>
        <v/>
      </c>
      <c r="I49" s="48">
        <f>'S34'!Q77</f>
        <v/>
      </c>
      <c r="J49" s="42">
        <f>'S34'!W77</f>
        <v/>
      </c>
    </row>
    <row r="50" ht="22" customHeight="1">
      <c r="B50" s="5" t="inlineStr">
        <is>
          <t>S35</t>
        </is>
      </c>
      <c r="C50" s="5" t="inlineStr">
        <is>
          <t>24/08-30/08</t>
        </is>
      </c>
      <c r="D50" s="40">
        <f>'S35'!N77</f>
        <v/>
      </c>
      <c r="E50" s="40">
        <f>'S35'!P77</f>
        <v/>
      </c>
      <c r="F50" s="39">
        <f>'S35'!M77</f>
        <v/>
      </c>
      <c r="G50" s="40">
        <f>'S35'!T77</f>
        <v/>
      </c>
      <c r="H50" s="40">
        <f>'S35'!V77</f>
        <v/>
      </c>
      <c r="I50" s="47">
        <f>'S35'!Q77</f>
        <v/>
      </c>
      <c r="J50" s="40">
        <f>'S35'!W77</f>
        <v/>
      </c>
    </row>
    <row r="51" ht="22" customHeight="1">
      <c r="B51" s="10" t="inlineStr">
        <is>
          <t>S36</t>
        </is>
      </c>
      <c r="C51" s="10" t="inlineStr">
        <is>
          <t>31/08-06/09</t>
        </is>
      </c>
      <c r="D51" s="42">
        <f>'S36'!N77</f>
        <v/>
      </c>
      <c r="E51" s="42">
        <f>'S36'!P77</f>
        <v/>
      </c>
      <c r="F51" s="41">
        <f>'S36'!M77</f>
        <v/>
      </c>
      <c r="G51" s="42">
        <f>'S36'!T77</f>
        <v/>
      </c>
      <c r="H51" s="42">
        <f>'S36'!V77</f>
        <v/>
      </c>
      <c r="I51" s="48">
        <f>'S36'!Q77</f>
        <v/>
      </c>
      <c r="J51" s="42">
        <f>'S36'!W77</f>
        <v/>
      </c>
    </row>
    <row r="52" ht="22" customHeight="1">
      <c r="B52" s="5" t="inlineStr">
        <is>
          <t>S37</t>
        </is>
      </c>
      <c r="C52" s="5" t="inlineStr">
        <is>
          <t>07/09-13/09</t>
        </is>
      </c>
      <c r="D52" s="40">
        <f>'S37'!N77</f>
        <v/>
      </c>
      <c r="E52" s="40">
        <f>'S37'!P77</f>
        <v/>
      </c>
      <c r="F52" s="39">
        <f>'S37'!M77</f>
        <v/>
      </c>
      <c r="G52" s="40">
        <f>'S37'!T77</f>
        <v/>
      </c>
      <c r="H52" s="40">
        <f>'S37'!V77</f>
        <v/>
      </c>
      <c r="I52" s="47">
        <f>'S37'!Q77</f>
        <v/>
      </c>
      <c r="J52" s="40">
        <f>'S37'!W77</f>
        <v/>
      </c>
    </row>
    <row r="53" ht="22" customHeight="1">
      <c r="B53" s="10" t="inlineStr">
        <is>
          <t>S38</t>
        </is>
      </c>
      <c r="C53" s="10" t="inlineStr">
        <is>
          <t>14/09-20/09</t>
        </is>
      </c>
      <c r="D53" s="42">
        <f>'S38'!N77</f>
        <v/>
      </c>
      <c r="E53" s="42">
        <f>'S38'!P77</f>
        <v/>
      </c>
      <c r="F53" s="41">
        <f>'S38'!M77</f>
        <v/>
      </c>
      <c r="G53" s="42">
        <f>'S38'!T77</f>
        <v/>
      </c>
      <c r="H53" s="42">
        <f>'S38'!V77</f>
        <v/>
      </c>
      <c r="I53" s="48">
        <f>'S38'!Q77</f>
        <v/>
      </c>
      <c r="J53" s="42">
        <f>'S38'!W77</f>
        <v/>
      </c>
    </row>
    <row r="54" ht="22" customHeight="1">
      <c r="B54" s="5" t="inlineStr">
        <is>
          <t>S39</t>
        </is>
      </c>
      <c r="C54" s="5" t="inlineStr">
        <is>
          <t>21/09-27/09</t>
        </is>
      </c>
      <c r="D54" s="40">
        <f>'S39'!N77</f>
        <v/>
      </c>
      <c r="E54" s="40">
        <f>'S39'!P77</f>
        <v/>
      </c>
      <c r="F54" s="39">
        <f>'S39'!M77</f>
        <v/>
      </c>
      <c r="G54" s="40">
        <f>'S39'!T77</f>
        <v/>
      </c>
      <c r="H54" s="40">
        <f>'S39'!V77</f>
        <v/>
      </c>
      <c r="I54" s="47">
        <f>'S39'!Q77</f>
        <v/>
      </c>
      <c r="J54" s="40">
        <f>'S39'!W77</f>
        <v/>
      </c>
    </row>
    <row r="55" ht="22" customHeight="1">
      <c r="B55" s="10" t="inlineStr">
        <is>
          <t>S40</t>
        </is>
      </c>
      <c r="C55" s="10" t="inlineStr">
        <is>
          <t>28/09-04/10</t>
        </is>
      </c>
      <c r="D55" s="42">
        <f>'S40'!N77</f>
        <v/>
      </c>
      <c r="E55" s="42">
        <f>'S40'!P77</f>
        <v/>
      </c>
      <c r="F55" s="41">
        <f>'S40'!M77</f>
        <v/>
      </c>
      <c r="G55" s="42">
        <f>'S40'!T77</f>
        <v/>
      </c>
      <c r="H55" s="42">
        <f>'S40'!V77</f>
        <v/>
      </c>
      <c r="I55" s="48">
        <f>'S40'!Q77</f>
        <v/>
      </c>
      <c r="J55" s="42">
        <f>'S40'!W77</f>
        <v/>
      </c>
    </row>
    <row r="56" ht="22" customHeight="1">
      <c r="B56" s="5" t="inlineStr">
        <is>
          <t>S41</t>
        </is>
      </c>
      <c r="C56" s="5" t="inlineStr">
        <is>
          <t>05/10-11/10</t>
        </is>
      </c>
      <c r="D56" s="40">
        <f>'S41'!N77</f>
        <v/>
      </c>
      <c r="E56" s="40">
        <f>'S41'!P77</f>
        <v/>
      </c>
      <c r="F56" s="39">
        <f>'S41'!M77</f>
        <v/>
      </c>
      <c r="G56" s="40">
        <f>'S41'!T77</f>
        <v/>
      </c>
      <c r="H56" s="40">
        <f>'S41'!V77</f>
        <v/>
      </c>
      <c r="I56" s="47">
        <f>'S41'!Q77</f>
        <v/>
      </c>
      <c r="J56" s="40">
        <f>'S41'!W77</f>
        <v/>
      </c>
    </row>
    <row r="57" ht="22" customHeight="1">
      <c r="B57" s="10" t="inlineStr">
        <is>
          <t>S42</t>
        </is>
      </c>
      <c r="C57" s="10" t="inlineStr">
        <is>
          <t>12/10-18/10</t>
        </is>
      </c>
      <c r="D57" s="42">
        <f>'S42'!N77</f>
        <v/>
      </c>
      <c r="E57" s="42">
        <f>'S42'!P77</f>
        <v/>
      </c>
      <c r="F57" s="41">
        <f>'S42'!M77</f>
        <v/>
      </c>
      <c r="G57" s="42">
        <f>'S42'!T77</f>
        <v/>
      </c>
      <c r="H57" s="42">
        <f>'S42'!V77</f>
        <v/>
      </c>
      <c r="I57" s="48">
        <f>'S42'!Q77</f>
        <v/>
      </c>
      <c r="J57" s="42">
        <f>'S42'!W77</f>
        <v/>
      </c>
    </row>
    <row r="58" ht="22" customHeight="1">
      <c r="B58" s="5" t="inlineStr">
        <is>
          <t>S43</t>
        </is>
      </c>
      <c r="C58" s="5" t="inlineStr">
        <is>
          <t>19/10-25/10</t>
        </is>
      </c>
      <c r="D58" s="40">
        <f>'S43'!N77</f>
        <v/>
      </c>
      <c r="E58" s="40">
        <f>'S43'!P77</f>
        <v/>
      </c>
      <c r="F58" s="39">
        <f>'S43'!M77</f>
        <v/>
      </c>
      <c r="G58" s="40">
        <f>'S43'!T77</f>
        <v/>
      </c>
      <c r="H58" s="40">
        <f>'S43'!V77</f>
        <v/>
      </c>
      <c r="I58" s="47">
        <f>'S43'!Q77</f>
        <v/>
      </c>
      <c r="J58" s="40">
        <f>'S43'!W77</f>
        <v/>
      </c>
    </row>
    <row r="59" ht="22" customHeight="1">
      <c r="B59" s="10" t="inlineStr">
        <is>
          <t>S44</t>
        </is>
      </c>
      <c r="C59" s="10" t="inlineStr">
        <is>
          <t>26/10-01/11</t>
        </is>
      </c>
      <c r="D59" s="42">
        <f>'S44'!N77</f>
        <v/>
      </c>
      <c r="E59" s="42">
        <f>'S44'!P77</f>
        <v/>
      </c>
      <c r="F59" s="41">
        <f>'S44'!M77</f>
        <v/>
      </c>
      <c r="G59" s="42">
        <f>'S44'!T77</f>
        <v/>
      </c>
      <c r="H59" s="42">
        <f>'S44'!V77</f>
        <v/>
      </c>
      <c r="I59" s="48">
        <f>'S44'!Q77</f>
        <v/>
      </c>
      <c r="J59" s="42">
        <f>'S44'!W77</f>
        <v/>
      </c>
    </row>
    <row r="60" ht="22" customHeight="1">
      <c r="B60" s="5" t="inlineStr">
        <is>
          <t>S45</t>
        </is>
      </c>
      <c r="C60" s="5" t="inlineStr">
        <is>
          <t>02/11-08/11</t>
        </is>
      </c>
      <c r="D60" s="40">
        <f>'S45'!N77</f>
        <v/>
      </c>
      <c r="E60" s="40">
        <f>'S45'!P77</f>
        <v/>
      </c>
      <c r="F60" s="39">
        <f>'S45'!M77</f>
        <v/>
      </c>
      <c r="G60" s="40">
        <f>'S45'!T77</f>
        <v/>
      </c>
      <c r="H60" s="40">
        <f>'S45'!V77</f>
        <v/>
      </c>
      <c r="I60" s="47">
        <f>'S45'!Q77</f>
        <v/>
      </c>
      <c r="J60" s="40">
        <f>'S45'!W77</f>
        <v/>
      </c>
    </row>
    <row r="61" ht="22" customHeight="1">
      <c r="B61" s="10" t="inlineStr">
        <is>
          <t>S46</t>
        </is>
      </c>
      <c r="C61" s="10" t="inlineStr">
        <is>
          <t>09/11-15/11</t>
        </is>
      </c>
      <c r="D61" s="42">
        <f>'S46'!N77</f>
        <v/>
      </c>
      <c r="E61" s="42">
        <f>'S46'!P77</f>
        <v/>
      </c>
      <c r="F61" s="41">
        <f>'S46'!M77</f>
        <v/>
      </c>
      <c r="G61" s="42">
        <f>'S46'!T77</f>
        <v/>
      </c>
      <c r="H61" s="42">
        <f>'S46'!V77</f>
        <v/>
      </c>
      <c r="I61" s="48">
        <f>'S46'!Q77</f>
        <v/>
      </c>
      <c r="J61" s="42">
        <f>'S46'!W77</f>
        <v/>
      </c>
    </row>
    <row r="62" ht="22" customHeight="1">
      <c r="B62" s="5" t="inlineStr">
        <is>
          <t>S47</t>
        </is>
      </c>
      <c r="C62" s="5" t="inlineStr">
        <is>
          <t>16/11-22/11</t>
        </is>
      </c>
      <c r="D62" s="40">
        <f>'S47'!N77</f>
        <v/>
      </c>
      <c r="E62" s="40">
        <f>'S47'!P77</f>
        <v/>
      </c>
      <c r="F62" s="39">
        <f>'S47'!M77</f>
        <v/>
      </c>
      <c r="G62" s="40">
        <f>'S47'!T77</f>
        <v/>
      </c>
      <c r="H62" s="40">
        <f>'S47'!V77</f>
        <v/>
      </c>
      <c r="I62" s="47">
        <f>'S47'!Q77</f>
        <v/>
      </c>
      <c r="J62" s="40">
        <f>'S47'!W77</f>
        <v/>
      </c>
    </row>
    <row r="63" ht="22" customHeight="1">
      <c r="B63" s="10" t="inlineStr">
        <is>
          <t>S48</t>
        </is>
      </c>
      <c r="C63" s="10" t="inlineStr">
        <is>
          <t>23/11-29/11</t>
        </is>
      </c>
      <c r="D63" s="42">
        <f>'S48'!N77</f>
        <v/>
      </c>
      <c r="E63" s="42">
        <f>'S48'!P77</f>
        <v/>
      </c>
      <c r="F63" s="41">
        <f>'S48'!M77</f>
        <v/>
      </c>
      <c r="G63" s="42">
        <f>'S48'!T77</f>
        <v/>
      </c>
      <c r="H63" s="42">
        <f>'S48'!V77</f>
        <v/>
      </c>
      <c r="I63" s="48">
        <f>'S48'!Q77</f>
        <v/>
      </c>
      <c r="J63" s="42">
        <f>'S48'!W77</f>
        <v/>
      </c>
    </row>
    <row r="64" ht="22" customHeight="1">
      <c r="B64" s="5" t="inlineStr">
        <is>
          <t>S49</t>
        </is>
      </c>
      <c r="C64" s="5" t="inlineStr">
        <is>
          <t>30/11-06/12</t>
        </is>
      </c>
      <c r="D64" s="40">
        <f>'S49'!N77</f>
        <v/>
      </c>
      <c r="E64" s="40">
        <f>'S49'!P77</f>
        <v/>
      </c>
      <c r="F64" s="39">
        <f>'S49'!M77</f>
        <v/>
      </c>
      <c r="G64" s="40">
        <f>'S49'!T77</f>
        <v/>
      </c>
      <c r="H64" s="40">
        <f>'S49'!V77</f>
        <v/>
      </c>
      <c r="I64" s="47">
        <f>'S49'!Q77</f>
        <v/>
      </c>
      <c r="J64" s="40">
        <f>'S49'!W77</f>
        <v/>
      </c>
    </row>
    <row r="65" ht="22" customHeight="1">
      <c r="B65" s="10" t="inlineStr">
        <is>
          <t>S50</t>
        </is>
      </c>
      <c r="C65" s="10" t="inlineStr">
        <is>
          <t>07/12-13/12</t>
        </is>
      </c>
      <c r="D65" s="42">
        <f>'S50'!N77</f>
        <v/>
      </c>
      <c r="E65" s="42">
        <f>'S50'!P77</f>
        <v/>
      </c>
      <c r="F65" s="41">
        <f>'S50'!M77</f>
        <v/>
      </c>
      <c r="G65" s="42">
        <f>'S50'!T77</f>
        <v/>
      </c>
      <c r="H65" s="42">
        <f>'S50'!V77</f>
        <v/>
      </c>
      <c r="I65" s="48">
        <f>'S50'!Q77</f>
        <v/>
      </c>
      <c r="J65" s="42">
        <f>'S50'!W77</f>
        <v/>
      </c>
    </row>
    <row r="66" ht="22" customHeight="1">
      <c r="B66" s="5" t="inlineStr">
        <is>
          <t>S51</t>
        </is>
      </c>
      <c r="C66" s="5" t="inlineStr">
        <is>
          <t>14/12-20/12</t>
        </is>
      </c>
      <c r="D66" s="40">
        <f>'S51'!N77</f>
        <v/>
      </c>
      <c r="E66" s="40">
        <f>'S51'!P77</f>
        <v/>
      </c>
      <c r="F66" s="39">
        <f>'S51'!M77</f>
        <v/>
      </c>
      <c r="G66" s="40">
        <f>'S51'!T77</f>
        <v/>
      </c>
      <c r="H66" s="40">
        <f>'S51'!V77</f>
        <v/>
      </c>
      <c r="I66" s="47">
        <f>'S51'!Q77</f>
        <v/>
      </c>
      <c r="J66" s="40">
        <f>'S51'!W77</f>
        <v/>
      </c>
    </row>
    <row r="67" ht="22" customHeight="1">
      <c r="B67" s="10" t="inlineStr">
        <is>
          <t>S52</t>
        </is>
      </c>
      <c r="C67" s="10" t="inlineStr">
        <is>
          <t>21/12-27/12</t>
        </is>
      </c>
      <c r="D67" s="42">
        <f>'S52'!N77</f>
        <v/>
      </c>
      <c r="E67" s="42">
        <f>'S52'!P77</f>
        <v/>
      </c>
      <c r="F67" s="41">
        <f>'S52'!M77</f>
        <v/>
      </c>
      <c r="G67" s="42">
        <f>'S52'!T77</f>
        <v/>
      </c>
      <c r="H67" s="42">
        <f>'S52'!V77</f>
        <v/>
      </c>
      <c r="I67" s="48">
        <f>'S52'!Q77</f>
        <v/>
      </c>
      <c r="J67" s="42">
        <f>'S52'!W77</f>
        <v/>
      </c>
    </row>
    <row r="70">
      <c r="B70" s="18" t="inlineStr">
        <is>
          <t>Résumé Mensuel 2026</t>
        </is>
      </c>
    </row>
    <row r="71" ht="28" customHeight="1">
      <c r="B71" s="4" t="inlineStr">
        <is>
          <t>Mois</t>
        </is>
      </c>
      <c r="C71" s="4" t="inlineStr">
        <is>
          <t>Semaines</t>
        </is>
      </c>
      <c r="D71" s="4" t="inlineStr">
        <is>
          <t>Avanc. Phys. Fin %</t>
        </is>
      </c>
      <c r="E71" s="4" t="inlineStr">
        <is>
          <t>Avanc. Phys. Fin %</t>
        </is>
      </c>
      <c r="F71" s="4" t="inlineStr">
        <is>
          <t>Accroiss. Phys. %</t>
        </is>
      </c>
      <c r="G71" s="4" t="inlineStr">
        <is>
          <t>Avanc. Fin. Fin %</t>
        </is>
      </c>
      <c r="H71" s="4" t="inlineStr">
        <is>
          <t>Accroiss. Fin. %</t>
        </is>
      </c>
      <c r="I71" s="4" t="inlineStr">
        <is>
          <t>Décaissé (DH)</t>
        </is>
      </c>
      <c r="J71" s="4" t="inlineStr">
        <is>
          <t>Écart Phys.-Fin.</t>
        </is>
      </c>
    </row>
    <row r="72" ht="22" customHeight="1">
      <c r="B72" s="5" t="inlineStr">
        <is>
          <t>Janvier 2026</t>
        </is>
      </c>
      <c r="C72" s="5" t="inlineStr">
        <is>
          <t>S02-S05</t>
        </is>
      </c>
      <c r="D72" s="40">
        <f>'S05'!N77</f>
        <v/>
      </c>
      <c r="E72" s="40">
        <f>'S01'!N77</f>
        <v/>
      </c>
      <c r="F72" s="40">
        <f>D72-E72</f>
        <v/>
      </c>
      <c r="G72" s="40">
        <f>'S05'!T77</f>
        <v/>
      </c>
      <c r="H72" s="40">
        <f>'S05'!T77-'S01'!T77</f>
        <v/>
      </c>
      <c r="I72" s="47">
        <f>'S05'!Q77</f>
        <v/>
      </c>
      <c r="J72" s="40">
        <f>D72-G72</f>
        <v/>
      </c>
    </row>
    <row r="73" ht="22" customHeight="1">
      <c r="B73" s="10" t="inlineStr">
        <is>
          <t>Février 2026</t>
        </is>
      </c>
      <c r="C73" s="10" t="inlineStr">
        <is>
          <t>S06-S09</t>
        </is>
      </c>
      <c r="D73" s="42">
        <f>'S09'!N77</f>
        <v/>
      </c>
      <c r="E73" s="42">
        <f>'S05'!N77</f>
        <v/>
      </c>
      <c r="F73" s="42">
        <f>D73-E73</f>
        <v/>
      </c>
      <c r="G73" s="42">
        <f>'S09'!T77</f>
        <v/>
      </c>
      <c r="H73" s="42">
        <f>'S09'!T77-'S05'!T77</f>
        <v/>
      </c>
      <c r="I73" s="48">
        <f>'S09'!Q77</f>
        <v/>
      </c>
      <c r="J73" s="42">
        <f>D73-G73</f>
        <v/>
      </c>
    </row>
    <row r="74" ht="22" customHeight="1">
      <c r="B74" s="5" t="inlineStr">
        <is>
          <t>Mars 2026</t>
        </is>
      </c>
      <c r="C74" s="5" t="inlineStr">
        <is>
          <t>S10-S14</t>
        </is>
      </c>
      <c r="D74" s="40">
        <f>'S14'!N77</f>
        <v/>
      </c>
      <c r="E74" s="40">
        <f>'S09'!N77</f>
        <v/>
      </c>
      <c r="F74" s="40">
        <f>D74-E74</f>
        <v/>
      </c>
      <c r="G74" s="40">
        <f>'S14'!T77</f>
        <v/>
      </c>
      <c r="H74" s="40">
        <f>'S14'!T77-'S09'!T77</f>
        <v/>
      </c>
      <c r="I74" s="47">
        <f>'S14'!Q77</f>
        <v/>
      </c>
      <c r="J74" s="40">
        <f>D74-G74</f>
        <v/>
      </c>
    </row>
    <row r="75" ht="22" customHeight="1">
      <c r="B75" s="10" t="inlineStr">
        <is>
          <t>Avril 2026</t>
        </is>
      </c>
      <c r="C75" s="10" t="inlineStr">
        <is>
          <t>S15-S18</t>
        </is>
      </c>
      <c r="D75" s="42">
        <f>'S18'!N77</f>
        <v/>
      </c>
      <c r="E75" s="42">
        <f>'S14'!N77</f>
        <v/>
      </c>
      <c r="F75" s="42">
        <f>D75-E75</f>
        <v/>
      </c>
      <c r="G75" s="42">
        <f>'S18'!T77</f>
        <v/>
      </c>
      <c r="H75" s="42">
        <f>'S18'!T77-'S14'!T77</f>
        <v/>
      </c>
      <c r="I75" s="48">
        <f>'S18'!Q77</f>
        <v/>
      </c>
      <c r="J75" s="42">
        <f>D75-G75</f>
        <v/>
      </c>
    </row>
    <row r="76" ht="22" customHeight="1">
      <c r="B76" s="5" t="inlineStr">
        <is>
          <t>Mai 2026</t>
        </is>
      </c>
      <c r="C76" s="5" t="inlineStr">
        <is>
          <t>S19-S22</t>
        </is>
      </c>
      <c r="D76" s="40">
        <f>'S22'!N77</f>
        <v/>
      </c>
      <c r="E76" s="40">
        <f>'S18'!N77</f>
        <v/>
      </c>
      <c r="F76" s="40">
        <f>D76-E76</f>
        <v/>
      </c>
      <c r="G76" s="40">
        <f>'S22'!T77</f>
        <v/>
      </c>
      <c r="H76" s="40">
        <f>'S22'!T77-'S18'!T77</f>
        <v/>
      </c>
      <c r="I76" s="47">
        <f>'S22'!Q77</f>
        <v/>
      </c>
      <c r="J76" s="40">
        <f>D76-G76</f>
        <v/>
      </c>
    </row>
    <row r="77" ht="22" customHeight="1">
      <c r="B77" s="10" t="inlineStr">
        <is>
          <t>Juin 2026</t>
        </is>
      </c>
      <c r="C77" s="10" t="inlineStr">
        <is>
          <t>S23-S27</t>
        </is>
      </c>
      <c r="D77" s="42">
        <f>'S27'!N77</f>
        <v/>
      </c>
      <c r="E77" s="42">
        <f>'S22'!N77</f>
        <v/>
      </c>
      <c r="F77" s="42">
        <f>D77-E77</f>
        <v/>
      </c>
      <c r="G77" s="42">
        <f>'S27'!T77</f>
        <v/>
      </c>
      <c r="H77" s="42">
        <f>'S27'!T77-'S22'!T77</f>
        <v/>
      </c>
      <c r="I77" s="48">
        <f>'S27'!Q77</f>
        <v/>
      </c>
      <c r="J77" s="42">
        <f>D77-G77</f>
        <v/>
      </c>
    </row>
    <row r="78" ht="22" customHeight="1">
      <c r="B78" s="5" t="inlineStr">
        <is>
          <t>Juillet 2026</t>
        </is>
      </c>
      <c r="C78" s="5" t="inlineStr">
        <is>
          <t>S28-S31</t>
        </is>
      </c>
      <c r="D78" s="40">
        <f>'S31'!N77</f>
        <v/>
      </c>
      <c r="E78" s="40">
        <f>'S27'!N77</f>
        <v/>
      </c>
      <c r="F78" s="40">
        <f>D78-E78</f>
        <v/>
      </c>
      <c r="G78" s="40">
        <f>'S31'!T77</f>
        <v/>
      </c>
      <c r="H78" s="40">
        <f>'S31'!T77-'S27'!T77</f>
        <v/>
      </c>
      <c r="I78" s="47">
        <f>'S31'!Q77</f>
        <v/>
      </c>
      <c r="J78" s="40">
        <f>D78-G78</f>
        <v/>
      </c>
    </row>
    <row r="79" ht="22" customHeight="1">
      <c r="B79" s="10" t="inlineStr">
        <is>
          <t>Août 2026</t>
        </is>
      </c>
      <c r="C79" s="10" t="inlineStr">
        <is>
          <t>S32-S36</t>
        </is>
      </c>
      <c r="D79" s="42">
        <f>'S36'!N77</f>
        <v/>
      </c>
      <c r="E79" s="42">
        <f>'S31'!N77</f>
        <v/>
      </c>
      <c r="F79" s="42">
        <f>D79-E79</f>
        <v/>
      </c>
      <c r="G79" s="42">
        <f>'S36'!T77</f>
        <v/>
      </c>
      <c r="H79" s="42">
        <f>'S36'!T77-'S31'!T77</f>
        <v/>
      </c>
      <c r="I79" s="48">
        <f>'S36'!Q77</f>
        <v/>
      </c>
      <c r="J79" s="42">
        <f>D79-G79</f>
        <v/>
      </c>
    </row>
    <row r="80" ht="22" customHeight="1">
      <c r="B80" s="5" t="inlineStr">
        <is>
          <t>Septembre 2026</t>
        </is>
      </c>
      <c r="C80" s="5" t="inlineStr">
        <is>
          <t>S37-S40</t>
        </is>
      </c>
      <c r="D80" s="40">
        <f>'S40'!N77</f>
        <v/>
      </c>
      <c r="E80" s="40">
        <f>'S36'!N77</f>
        <v/>
      </c>
      <c r="F80" s="40">
        <f>D80-E80</f>
        <v/>
      </c>
      <c r="G80" s="40">
        <f>'S40'!T77</f>
        <v/>
      </c>
      <c r="H80" s="40">
        <f>'S40'!T77-'S36'!T77</f>
        <v/>
      </c>
      <c r="I80" s="47">
        <f>'S40'!Q77</f>
        <v/>
      </c>
      <c r="J80" s="40">
        <f>D80-G80</f>
        <v/>
      </c>
    </row>
    <row r="81" ht="22" customHeight="1">
      <c r="B81" s="10" t="inlineStr">
        <is>
          <t>Octobre 2026</t>
        </is>
      </c>
      <c r="C81" s="10" t="inlineStr">
        <is>
          <t>S41-S44</t>
        </is>
      </c>
      <c r="D81" s="42">
        <f>'S44'!N77</f>
        <v/>
      </c>
      <c r="E81" s="42">
        <f>'S40'!N77</f>
        <v/>
      </c>
      <c r="F81" s="42">
        <f>D81-E81</f>
        <v/>
      </c>
      <c r="G81" s="42">
        <f>'S44'!T77</f>
        <v/>
      </c>
      <c r="H81" s="42">
        <f>'S44'!T77-'S40'!T77</f>
        <v/>
      </c>
      <c r="I81" s="48">
        <f>'S44'!Q77</f>
        <v/>
      </c>
      <c r="J81" s="42">
        <f>D81-G81</f>
        <v/>
      </c>
    </row>
    <row r="82" ht="22" customHeight="1">
      <c r="B82" s="5" t="inlineStr">
        <is>
          <t>Novembre 2026</t>
        </is>
      </c>
      <c r="C82" s="5" t="inlineStr">
        <is>
          <t>S45-S49</t>
        </is>
      </c>
      <c r="D82" s="40">
        <f>'S49'!N77</f>
        <v/>
      </c>
      <c r="E82" s="40">
        <f>'S44'!N77</f>
        <v/>
      </c>
      <c r="F82" s="40">
        <f>D82-E82</f>
        <v/>
      </c>
      <c r="G82" s="40">
        <f>'S49'!T77</f>
        <v/>
      </c>
      <c r="H82" s="40">
        <f>'S49'!T77-'S44'!T77</f>
        <v/>
      </c>
      <c r="I82" s="47">
        <f>'S49'!Q77</f>
        <v/>
      </c>
      <c r="J82" s="40">
        <f>D82-G82</f>
        <v/>
      </c>
    </row>
    <row r="83" ht="22" customHeight="1">
      <c r="B83" s="10" t="inlineStr">
        <is>
          <t>Décembre 2026</t>
        </is>
      </c>
      <c r="C83" s="10" t="inlineStr">
        <is>
          <t>S01-S52</t>
        </is>
      </c>
      <c r="D83" s="42">
        <f>'S52'!N77</f>
        <v/>
      </c>
      <c r="E83" s="42" t="n">
        <v>0</v>
      </c>
      <c r="F83" s="42">
        <f>D83-E83</f>
        <v/>
      </c>
      <c r="G83" s="42">
        <f>'S52'!T77</f>
        <v/>
      </c>
      <c r="H83" s="42">
        <f>'S52'!T77</f>
        <v/>
      </c>
      <c r="I83" s="48">
        <f>'S52'!Q77</f>
        <v/>
      </c>
      <c r="J83" s="42">
        <f>D83-G83</f>
        <v/>
      </c>
    </row>
    <row r="86">
      <c r="B86" s="18" t="inlineStr">
        <is>
          <t>Résumé par Province</t>
        </is>
      </c>
    </row>
    <row r="87" ht="28" customHeight="1">
      <c r="B87" s="4" t="inlineStr">
        <is>
          <t>Province</t>
        </is>
      </c>
      <c r="C87" s="4" t="inlineStr">
        <is>
          <t>Nb Projets</t>
        </is>
      </c>
      <c r="D87" s="4" t="inlineStr">
        <is>
          <t>Coût Total (DH)</t>
        </is>
      </c>
      <c r="E87" s="4" t="inlineStr">
        <is>
          <t>Avanc. Phys. %</t>
        </is>
      </c>
      <c r="F87" s="4" t="inlineStr">
        <is>
          <t>Qté Réalisée Cumul</t>
        </is>
      </c>
      <c r="G87" s="4" t="inlineStr">
        <is>
          <t>Avanc. Fin. %</t>
        </is>
      </c>
      <c r="H87" s="4" t="inlineStr">
        <is>
          <t>Décaissé (DH)</t>
        </is>
      </c>
      <c r="I87" s="4" t="inlineStr">
        <is>
          <t>Écart Phys.-Fin.</t>
        </is>
      </c>
    </row>
    <row r="88" ht="22" customHeight="1">
      <c r="B88" s="14" t="inlineStr">
        <is>
          <t>Kénitra</t>
        </is>
      </c>
      <c r="C88" s="5" t="n">
        <v>14</v>
      </c>
      <c r="D88" s="47">
        <f>SUMPRODUCT(('S52'!C5:C76="Kénitra")*'S52'!I5:I76)</f>
        <v/>
      </c>
      <c r="E88" s="40">
        <f>IFERROR(SUMPRODUCT(('S52'!C5:C76="Kénitra")*'S52'!N5:N76*'S52'!I5:I76)/SUMPRODUCT(('S52'!C5:C76="Kénitra")*'S52'!I5:I76),0)</f>
        <v/>
      </c>
      <c r="F88" s="39">
        <f>SUMPRODUCT(('S52'!C5:C76="Kénitra")*'S52'!M5:M76)</f>
        <v/>
      </c>
      <c r="G88" s="40">
        <f>IFERROR(SUMPRODUCT(('S52'!C5:C76="Kénitra")*'S52'!T5:T76*'S52'!I5:I76)/SUMPRODUCT(('S52'!C5:C76="Kénitra")*'S52'!I5:I76),0)</f>
        <v/>
      </c>
      <c r="H88" s="47">
        <f>SUMPRODUCT(('S52'!C5:C76="Kénitra")*'S52'!Q5:Q76)</f>
        <v/>
      </c>
      <c r="I88" s="40">
        <f>E88-G88</f>
        <v/>
      </c>
    </row>
    <row r="89" ht="22" customHeight="1">
      <c r="B89" s="6" t="inlineStr">
        <is>
          <t>Sidi Kacem</t>
        </is>
      </c>
      <c r="C89" s="10" t="n">
        <v>53</v>
      </c>
      <c r="D89" s="48">
        <f>SUMPRODUCT(('S52'!C5:C76="Sidi Kacem")*'S52'!I5:I76)</f>
        <v/>
      </c>
      <c r="E89" s="42">
        <f>IFERROR(SUMPRODUCT(('S52'!C5:C76="Sidi Kacem")*'S52'!N5:N76*'S52'!I5:I76)/SUMPRODUCT(('S52'!C5:C76="Sidi Kacem")*'S52'!I5:I76),0)</f>
        <v/>
      </c>
      <c r="F89" s="41">
        <f>SUMPRODUCT(('S52'!C5:C76="Sidi Kacem")*'S52'!M5:M76)</f>
        <v/>
      </c>
      <c r="G89" s="42">
        <f>IFERROR(SUMPRODUCT(('S52'!C5:C76="Sidi Kacem")*'S52'!T5:T76*'S52'!I5:I76)/SUMPRODUCT(('S52'!C5:C76="Sidi Kacem")*'S52'!I5:I76),0)</f>
        <v/>
      </c>
      <c r="H89" s="48">
        <f>SUMPRODUCT(('S52'!C5:C76="Sidi Kacem")*'S52'!Q5:Q76)</f>
        <v/>
      </c>
      <c r="I89" s="42">
        <f>E89-G89</f>
        <v/>
      </c>
    </row>
    <row r="90" ht="22" customHeight="1">
      <c r="B90" s="15" t="inlineStr">
        <is>
          <t>Sidi Slimane</t>
        </is>
      </c>
      <c r="C90" s="5" t="n">
        <v>5</v>
      </c>
      <c r="D90" s="47">
        <f>SUMPRODUCT(('S52'!C5:C76="Sidi Slimane")*'S52'!I5:I76)</f>
        <v/>
      </c>
      <c r="E90" s="40">
        <f>IFERROR(SUMPRODUCT(('S52'!C5:C76="Sidi Slimane")*'S52'!N5:N76*'S52'!I5:I76)/SUMPRODUCT(('S52'!C5:C76="Sidi Slimane")*'S52'!I5:I76),0)</f>
        <v/>
      </c>
      <c r="F90" s="39">
        <f>SUMPRODUCT(('S52'!C5:C76="Sidi Slimane")*'S52'!M5:M76)</f>
        <v/>
      </c>
      <c r="G90" s="40">
        <f>IFERROR(SUMPRODUCT(('S52'!C5:C76="Sidi Slimane")*'S52'!T5:T76*'S52'!I5:I76)/SUMPRODUCT(('S52'!C5:C76="Sidi Slimane")*'S52'!I5:I76),0)</f>
        <v/>
      </c>
      <c r="H90" s="47">
        <f>SUMPRODUCT(('S52'!C5:C76="Sidi Slimane")*'S52'!Q5:Q76)</f>
        <v/>
      </c>
      <c r="I90" s="40">
        <f>E90-G90</f>
        <v/>
      </c>
    </row>
    <row r="91" ht="26" customHeight="1">
      <c r="B91" s="16" t="inlineStr">
        <is>
          <t>TOTAL</t>
        </is>
      </c>
      <c r="C91" s="16">
        <f>SUM(C88:C90)</f>
        <v/>
      </c>
      <c r="D91" s="17">
        <f>SUM(D88:D90)</f>
        <v/>
      </c>
      <c r="E91" s="38">
        <f>'S52'!N77</f>
        <v/>
      </c>
      <c r="F91" s="37">
        <f>SUM(F88:F90)</f>
        <v/>
      </c>
      <c r="G91" s="38">
        <f>'S52'!T77</f>
        <v/>
      </c>
      <c r="H91" s="17">
        <f>SUM(H88:H90)</f>
        <v/>
      </c>
      <c r="I91" s="38">
        <f>E91-G91</f>
        <v/>
      </c>
    </row>
    <row r="94">
      <c r="B94" s="18" t="inlineStr">
        <is>
          <t>Détail des Unités Physiques Utilisées</t>
        </is>
      </c>
    </row>
    <row r="95" ht="28" customHeight="1">
      <c r="B95" s="4" t="inlineStr">
        <is>
          <t>Unité</t>
        </is>
      </c>
      <c r="C95" s="4" t="inlineStr">
        <is>
          <t>Nb Projets</t>
        </is>
      </c>
      <c r="D95" s="4" t="inlineStr">
        <is>
          <t>Qté Prévue Totale</t>
        </is>
      </c>
      <c r="E95" s="4" t="inlineStr">
        <is>
          <t>Qté Réalisée Cumul</t>
        </is>
      </c>
      <c r="F95" s="4" t="inlineStr">
        <is>
          <t>Avancement %</t>
        </is>
      </c>
    </row>
    <row r="96" ht="22" customHeight="1">
      <c r="B96" s="8" t="inlineStr">
        <is>
          <t>U</t>
        </is>
      </c>
      <c r="C96" s="5" t="n">
        <v>19</v>
      </c>
      <c r="D96" s="7" t="n">
        <v>247</v>
      </c>
      <c r="E96" s="39">
        <f>SUMPRODUCT(('S52'!J5:J76="U")*'S52'!M5:M76)</f>
        <v/>
      </c>
      <c r="F96" s="40">
        <f>IFERROR(E96/D96,0)</f>
        <v/>
      </c>
    </row>
    <row r="97" ht="22" customHeight="1">
      <c r="B97" s="12" t="inlineStr">
        <is>
          <t>km</t>
        </is>
      </c>
      <c r="C97" s="10" t="n">
        <v>12</v>
      </c>
      <c r="D97" s="11" t="n">
        <v>49</v>
      </c>
      <c r="E97" s="41">
        <f>SUMPRODUCT(('S52'!J5:J76="km")*'S52'!M5:M76)</f>
        <v/>
      </c>
      <c r="F97" s="42">
        <f>IFERROR(E97/D97,0)</f>
        <v/>
      </c>
    </row>
    <row r="98" ht="22" customHeight="1">
      <c r="B98" s="8" t="inlineStr">
        <is>
          <t>ml</t>
        </is>
      </c>
      <c r="C98" s="5" t="n">
        <v>38</v>
      </c>
      <c r="D98" s="7" t="n">
        <v>36738</v>
      </c>
      <c r="E98" s="39">
        <f>SUMPRODUCT(('S52'!J5:J76="ml")*'S52'!M5:M76)</f>
        <v/>
      </c>
      <c r="F98" s="40">
        <f>IFERROR(E98/D98,0)</f>
        <v/>
      </c>
    </row>
    <row r="99" ht="22" customHeight="1">
      <c r="B99" s="12" t="inlineStr">
        <is>
          <t>m³</t>
        </is>
      </c>
      <c r="C99" s="10" t="n">
        <v>3</v>
      </c>
      <c r="D99" s="11" t="n">
        <v>10027</v>
      </c>
      <c r="E99" s="41">
        <f>SUMPRODUCT(('S52'!J5:J76="m³")*'S52'!M5:M76)</f>
        <v/>
      </c>
      <c r="F99" s="42">
        <f>IFERROR(E99/D99,0)</f>
        <v/>
      </c>
    </row>
  </sheetData>
  <mergeCells count="5">
    <mergeCell ref="B86:I86"/>
    <mergeCell ref="B94:F94"/>
    <mergeCell ref="B14:I14"/>
    <mergeCell ref="B2:N2"/>
    <mergeCell ref="B70:J70"/>
  </mergeCells>
  <conditionalFormatting sqref="E16:E67">
    <cfRule type="cellIs" priority="1" operator="greaterThan" dxfId="0">
      <formula>0</formula>
    </cfRule>
    <cfRule type="cellIs" priority="2" operator="lessThan" dxfId="1">
      <formula>0</formula>
    </cfRule>
  </conditionalFormatting>
  <conditionalFormatting sqref="H16:H67">
    <cfRule type="cellIs" priority="3" operator="greaterThan" dxfId="0">
      <formula>0</formula>
    </cfRule>
    <cfRule type="cellIs" priority="4" operator="lessThan" dxfId="1">
      <formula>0</formula>
    </cfRule>
  </conditionalFormatting>
  <conditionalFormatting sqref="F72:F83">
    <cfRule type="cellIs" priority="5" operator="greaterThan" dxfId="0">
      <formula>0</formula>
    </cfRule>
    <cfRule type="cellIs" priority="6" operator="lessThan" dxfId="1">
      <formula>0</formula>
    </cfRule>
  </conditionalFormatting>
  <conditionalFormatting sqref="H72:H83">
    <cfRule type="cellIs" priority="7" operator="greaterThan" dxfId="0">
      <formula>0</formula>
    </cfRule>
    <cfRule type="cellIs" priority="8" operator="lessThan" dxfId="1">
      <formula>0</formula>
    </cfRule>
  </conditionalFormatting>
  <conditionalFormatting sqref="F96:F99">
    <cfRule type="dataBar" priority="9">
      <dataBar showValue="1">
        <cfvo type="num" val="0"/>
        <cfvo type="num" val="1"/>
        <color rgb="001B7D46"/>
      </dataBar>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terms:created xmlns:dcterms="http://purl.org/dc/terms/" xmlns:xsi="http://www.w3.org/2001/XMLSchema-instance" xsi:type="dcterms:W3CDTF">2026-06-11T22:48:49Z</dcterms:created>
  <dcterms:modified xmlns:dcterms="http://purl.org/dc/terms/" xmlns:xsi="http://www.w3.org/2001/XMLSchema-instance" xsi:type="dcterms:W3CDTF">2026-06-11T22:48:56Z</dcterms:modified>
</cp:coreProperties>
</file>