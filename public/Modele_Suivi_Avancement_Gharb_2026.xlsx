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des Projets" sheetId="1" state="visible" r:id="rId1"/>
    <sheet xmlns:r="http://schemas.openxmlformats.org/officeDocument/2006/relationships" name="Récap. par Province" sheetId="2" state="visible" r:id="rId2"/>
    <sheet xmlns:r="http://schemas.openxmlformats.org/officeDocument/2006/relationships" name="Récap. par Secteur" sheetId="3" state="visible" r:id="rId3"/>
    <sheet xmlns:r="http://schemas.openxmlformats.org/officeDocument/2006/relationships" name="Mode d'empl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b val="1"/>
      <color rgb="001B2A4A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3" fillId="4" borderId="0" pivotButton="0" quotePrefix="0" xfId="0"/>
    <xf numFmtId="3" fontId="3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3" fillId="5" borderId="2" pivotButton="0" quotePrefix="0" xfId="0"/>
    <xf numFmtId="3" fontId="3" fillId="5" borderId="2" pivotButton="0" quotePrefix="0" xfId="0"/>
    <xf numFmtId="164" fontId="3" fillId="5" borderId="2" pivotButton="0" quotePrefix="0" xfId="0"/>
    <xf numFmtId="165" fontId="3" fillId="5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6" borderId="3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7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6" customWidth="1" min="3" max="3"/>
    <col width="18" customWidth="1" min="4" max="4"/>
    <col width="10" customWidth="1" min="5" max="5"/>
    <col width="32" customWidth="1" min="6" max="6"/>
    <col width="32" customWidth="1" min="7" max="7"/>
    <col width="40" customWidth="1" min="8" max="8"/>
    <col width="18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  <col width="14" customWidth="1" min="15" max="15"/>
    <col width="14" customWidth="1" min="16" max="16"/>
    <col width="30" customWidth="1" min="17" max="17"/>
  </cols>
  <sheetData>
    <row r="1" ht="15" customHeight="1"/>
    <row r="2" ht="32" customHeight="1">
      <c r="B2" s="1" t="inlineStr">
        <is>
          <t>Suivi Physique et Financier des Projets — Région du Gharb 2026 (Juin–Décembre)</t>
        </is>
      </c>
    </row>
    <row r="3" ht="8" customHeight="1"/>
    <row r="4" ht="28" customHeight="1">
      <c r="B4" s="2" t="inlineStr">
        <is>
          <t>N°</t>
        </is>
      </c>
      <c r="C4" s="2" t="inlineStr">
        <is>
          <t>Province</t>
        </is>
      </c>
      <c r="D4" s="2" t="inlineStr">
        <is>
          <t>Commune</t>
        </is>
      </c>
      <c r="E4" s="2" t="inlineStr">
        <is>
          <t>Rubrique</t>
        </is>
      </c>
      <c r="F4" s="2" t="inlineStr">
        <is>
          <t>Intitulé Rubrique</t>
        </is>
      </c>
      <c r="G4" s="2" t="inlineStr">
        <is>
          <t>Intitulé Projet</t>
        </is>
      </c>
      <c r="H4" s="2" t="inlineStr">
        <is>
          <t>Consistance</t>
        </is>
      </c>
      <c r="I4" s="2" t="inlineStr">
        <is>
          <t>Budget Prévu (DH)</t>
        </is>
      </c>
      <c r="J4" s="2" t="inlineStr">
        <is>
          <t>Avancement Physique (%)</t>
        </is>
      </c>
      <c r="K4" s="2" t="inlineStr">
        <is>
          <t>Avancement Financier (%)</t>
        </is>
      </c>
      <c r="L4" s="2" t="inlineStr">
        <is>
          <t>Montant Décaissé (DH)</t>
        </is>
      </c>
      <c r="M4" s="2" t="inlineStr">
        <is>
          <t>Reste à Décaisser (DH)</t>
        </is>
      </c>
      <c r="N4" s="2" t="inlineStr">
        <is>
          <t>Taux de Décaissement (%)</t>
        </is>
      </c>
      <c r="O4" s="2" t="inlineStr">
        <is>
          <t>Écart Phys.-Fin. (pts)</t>
        </is>
      </c>
      <c r="P4" s="2" t="inlineStr">
        <is>
          <t>Statut</t>
        </is>
      </c>
      <c r="Q4" s="2" t="inlineStr">
        <is>
          <t>Observations</t>
        </is>
      </c>
      <c r="R4" s="18" t="inlineStr">
        <is>
          <t>N° Consultation</t>
        </is>
      </c>
      <c r="S4" s="18" t="inlineStr">
        <is>
          <t>Société Titulaire</t>
        </is>
      </c>
      <c r="T4" s="18" t="inlineStr">
        <is>
          <t>Date Ouverture Plis</t>
        </is>
      </c>
      <c r="U4" s="18" t="inlineStr">
        <is>
          <t>Date Jugement</t>
        </is>
      </c>
      <c r="V4" s="18" t="inlineStr">
        <is>
          <t>Date OSC</t>
        </is>
      </c>
      <c r="W4" s="18" t="inlineStr">
        <is>
          <t>Délai Exécution (j)</t>
        </is>
      </c>
      <c r="X4" s="18" t="inlineStr">
        <is>
          <t>Date Réception Provisoire</t>
        </is>
      </c>
    </row>
    <row r="5" ht="22" customHeight="1">
      <c r="B5" s="3" t="n">
        <v>1</v>
      </c>
      <c r="C5" s="3" t="inlineStr">
        <is>
          <t>Sidi Kacem</t>
        </is>
      </c>
      <c r="D5" s="3" t="inlineStr">
        <is>
          <t>KHENICHET</t>
        </is>
      </c>
      <c r="E5" s="3" t="inlineStr">
        <is>
          <t>50-23</t>
        </is>
      </c>
      <c r="F5" s="3" t="inlineStr">
        <is>
          <t>Entretien et réparation du réseau d'assainissement et de drainage</t>
        </is>
      </c>
      <c r="G5" s="3" t="inlineStr">
        <is>
          <t>Travaux de curage des canaux en terre</t>
        </is>
      </c>
      <c r="H5" s="3" t="inlineStr">
        <is>
          <t>Curage des collecteurs d'assainissement du secteur EST2</t>
        </is>
      </c>
      <c r="I5" s="4" t="n">
        <v>2091568</v>
      </c>
      <c r="J5" s="5" t="n"/>
      <c r="K5" s="5" t="n"/>
      <c r="L5" s="3" t="n"/>
      <c r="M5" s="4">
        <f>IF(L5="","",I5-L5)</f>
        <v/>
      </c>
      <c r="N5" s="5">
        <f>IFERROR(IF(L5="","",L5/I5),"")</f>
        <v/>
      </c>
      <c r="O5" s="6">
        <f>IFERROR(IF(OR(J5="",K5=""),"",J5-K5),"")</f>
        <v/>
      </c>
      <c r="P5" s="3" t="n"/>
      <c r="Q5" s="3" t="n"/>
      <c r="R5" s="19" t="n"/>
      <c r="S5" s="19" t="n"/>
      <c r="T5" s="19" t="n"/>
      <c r="U5" s="19" t="n"/>
      <c r="V5" s="19" t="n"/>
      <c r="W5" s="19" t="n"/>
      <c r="X5" s="19" t="n"/>
    </row>
    <row r="6" ht="22" customHeight="1">
      <c r="B6" s="7" t="n">
        <v>2</v>
      </c>
      <c r="C6" s="7" t="inlineStr">
        <is>
          <t>Sidi Kacem</t>
        </is>
      </c>
      <c r="D6" s="7" t="inlineStr">
        <is>
          <t>KHENICHET</t>
        </is>
      </c>
      <c r="E6" s="7" t="inlineStr">
        <is>
          <t>40-21</t>
        </is>
      </c>
      <c r="F6" s="7" t="inlineStr">
        <is>
          <t>Travaux de pistes</t>
        </is>
      </c>
      <c r="G6" s="7" t="inlineStr">
        <is>
          <t>Travaux de réhabilitation des pistes agricoles</t>
        </is>
      </c>
      <c r="H6" s="7" t="inlineStr">
        <is>
          <t>Entretien des pistes agricoles Douar Nouagra et Douar ouled Salem</t>
        </is>
      </c>
      <c r="I6" s="8" t="n">
        <v>78000</v>
      </c>
      <c r="J6" s="9" t="n"/>
      <c r="K6" s="9" t="n"/>
      <c r="L6" s="7" t="n"/>
      <c r="M6" s="8">
        <f>IF(L6="","",I6-L6)</f>
        <v/>
      </c>
      <c r="N6" s="9">
        <f>IFERROR(IF(L6="","",L6/I6),"")</f>
        <v/>
      </c>
      <c r="O6" s="10">
        <f>IFERROR(IF(OR(J6="",K6=""),"",J6-K6),"")</f>
        <v/>
      </c>
      <c r="P6" s="7" t="n"/>
      <c r="Q6" s="7" t="n"/>
      <c r="R6" s="19" t="n"/>
      <c r="S6" s="19" t="n"/>
      <c r="T6" s="19" t="n"/>
      <c r="U6" s="19" t="n"/>
      <c r="V6" s="19" t="n"/>
      <c r="W6" s="19" t="n"/>
      <c r="X6" s="19" t="n"/>
    </row>
    <row r="7" ht="22" customHeight="1">
      <c r="B7" s="3" t="n">
        <v>3</v>
      </c>
      <c r="C7" s="3" t="inlineStr">
        <is>
          <t>Sidi Kacem</t>
        </is>
      </c>
      <c r="D7" s="3" t="inlineStr">
        <is>
          <t>KHENICHET</t>
        </is>
      </c>
      <c r="E7" s="3" t="inlineStr">
        <is>
          <t>50-23</t>
        </is>
      </c>
      <c r="F7" s="3" t="inlineStr">
        <is>
          <t>Entretien et réparation du réseau d'assainissement et de drainage</t>
        </is>
      </c>
      <c r="G7" s="3" t="inlineStr">
        <is>
          <t>Curage des prises sur l'oued, bâche d'aspiration et bassin de régulation.</t>
        </is>
      </c>
      <c r="H7" s="3" t="inlineStr">
        <is>
          <t>Curage de la chambre des joints de démontage des siphonnes de la station de pompage EST2.</t>
        </is>
      </c>
      <c r="I7" s="4" t="n">
        <v>126000</v>
      </c>
      <c r="J7" s="5" t="n"/>
      <c r="K7" s="5" t="n"/>
      <c r="L7" s="3" t="n"/>
      <c r="M7" s="4">
        <f>IF(L7="","",I7-L7)</f>
        <v/>
      </c>
      <c r="N7" s="5">
        <f>IFERROR(IF(L7="","",L7/I7),"")</f>
        <v/>
      </c>
      <c r="O7" s="6">
        <f>IFERROR(IF(OR(J7="",K7=""),"",J7-K7),"")</f>
        <v/>
      </c>
      <c r="P7" s="3" t="n"/>
      <c r="Q7" s="3" t="n"/>
      <c r="R7" s="19" t="n"/>
      <c r="S7" s="19" t="n"/>
      <c r="T7" s="19" t="n"/>
      <c r="U7" s="19" t="n"/>
      <c r="V7" s="19" t="n"/>
      <c r="W7" s="19" t="n"/>
      <c r="X7" s="19" t="n"/>
    </row>
    <row r="8" ht="22" customHeight="1">
      <c r="B8" s="7" t="n">
        <v>4</v>
      </c>
      <c r="C8" s="7" t="inlineStr">
        <is>
          <t>Sidi Kacem</t>
        </is>
      </c>
      <c r="D8" s="7" t="inlineStr">
        <is>
          <t>KHENICHET</t>
        </is>
      </c>
      <c r="E8" s="7" t="inlineStr">
        <is>
          <t>50-21</t>
        </is>
      </c>
      <c r="F8" s="7" t="inlineStr">
        <is>
          <t>Entretien et réparation des stations de pompage</t>
        </is>
      </c>
      <c r="G8" s="7" t="inlineStr">
        <is>
          <t>Prestation de maintenance des débitmètres et leurs équipements annexes</t>
        </is>
      </c>
      <c r="H8" s="7" t="inlineStr">
        <is>
          <t>Changement trois débitmètre Ø 600mm inondés de la station de pompage EST 2 et deux capteurs VEGASON 62</t>
        </is>
      </c>
      <c r="I8" s="8" t="n">
        <v>165500</v>
      </c>
      <c r="J8" s="9" t="n"/>
      <c r="K8" s="9" t="n"/>
      <c r="L8" s="7" t="n"/>
      <c r="M8" s="8">
        <f>IF(L8="","",I8-L8)</f>
        <v/>
      </c>
      <c r="N8" s="9">
        <f>IFERROR(IF(L8="","",L8/I8),"")</f>
        <v/>
      </c>
      <c r="O8" s="10">
        <f>IFERROR(IF(OR(J8="",K8=""),"",J8-K8),"")</f>
        <v/>
      </c>
      <c r="P8" s="7" t="n"/>
      <c r="Q8" s="7" t="n"/>
      <c r="R8" s="19" t="n"/>
      <c r="S8" s="19" t="n"/>
      <c r="T8" s="19" t="n"/>
      <c r="U8" s="19" t="n"/>
      <c r="V8" s="19" t="n"/>
      <c r="W8" s="19" t="n"/>
      <c r="X8" s="19" t="n"/>
    </row>
    <row r="9" ht="22" customHeight="1">
      <c r="B9" s="3" t="n">
        <v>5</v>
      </c>
      <c r="C9" s="3" t="inlineStr">
        <is>
          <t>Sidi Kacem</t>
        </is>
      </c>
      <c r="D9" s="3" t="inlineStr">
        <is>
          <t>BIR TALEB</t>
        </is>
      </c>
      <c r="E9" s="3" t="inlineStr">
        <is>
          <t>50-23</t>
        </is>
      </c>
      <c r="F9" s="3" t="inlineStr">
        <is>
          <t>Entretien et réparation du réseau d'assainissement et de drainage</t>
        </is>
      </c>
      <c r="G9" s="3" t="inlineStr">
        <is>
          <t>Travaux de curage des canaux en terre</t>
        </is>
      </c>
      <c r="H9" s="3" t="inlineStr">
        <is>
          <t>Curage du canal d'assainisement Tihli Aval</t>
        </is>
      </c>
      <c r="I9" s="4" t="n">
        <v>1000000</v>
      </c>
      <c r="J9" s="5" t="n"/>
      <c r="K9" s="5" t="n"/>
      <c r="L9" s="3" t="n"/>
      <c r="M9" s="4">
        <f>IF(L9="","",I9-L9)</f>
        <v/>
      </c>
      <c r="N9" s="5">
        <f>IFERROR(IF(L9="","",L9/I9),"")</f>
        <v/>
      </c>
      <c r="O9" s="6">
        <f>IFERROR(IF(OR(J9="",K9=""),"",J9-K9),"")</f>
        <v/>
      </c>
      <c r="P9" s="3" t="n"/>
      <c r="Q9" s="3" t="n"/>
      <c r="R9" s="19" t="n"/>
      <c r="S9" s="19" t="n"/>
      <c r="T9" s="19" t="n"/>
      <c r="U9" s="19" t="n"/>
      <c r="V9" s="19" t="n"/>
      <c r="W9" s="19" t="n"/>
      <c r="X9" s="19" t="n"/>
    </row>
    <row r="10" ht="22" customHeight="1">
      <c r="B10" s="7" t="n">
        <v>6</v>
      </c>
      <c r="C10" s="7" t="inlineStr">
        <is>
          <t>Sidi Kacem</t>
        </is>
      </c>
      <c r="D10" s="7" t="inlineStr">
        <is>
          <t>BIR TALEB</t>
        </is>
      </c>
      <c r="E10" s="7" t="inlineStr">
        <is>
          <t>50-23</t>
        </is>
      </c>
      <c r="F10" s="7" t="inlineStr">
        <is>
          <t>Entretien et réparation du réseau d'assainissement et de drainage</t>
        </is>
      </c>
      <c r="G10" s="7" t="inlineStr"/>
      <c r="H10" s="7" t="inlineStr">
        <is>
          <t>Curage des collecteurs d'assainissement du secteur P11/1</t>
        </is>
      </c>
      <c r="I10" s="8" t="n">
        <v>846731</v>
      </c>
      <c r="J10" s="9" t="n"/>
      <c r="K10" s="9" t="n"/>
      <c r="L10" s="7" t="n"/>
      <c r="M10" s="8">
        <f>IF(L10="","",I10-L10)</f>
        <v/>
      </c>
      <c r="N10" s="9">
        <f>IFERROR(IF(L10="","",L10/I10),"")</f>
        <v/>
      </c>
      <c r="O10" s="10">
        <f>IFERROR(IF(OR(J10="",K10=""),"",J10-K10),"")</f>
        <v/>
      </c>
      <c r="P10" s="7" t="n"/>
      <c r="Q10" s="7" t="n"/>
      <c r="R10" s="19" t="n"/>
      <c r="S10" s="19" t="n"/>
      <c r="T10" s="19" t="n"/>
      <c r="U10" s="19" t="n"/>
      <c r="V10" s="19" t="n"/>
      <c r="W10" s="19" t="n"/>
      <c r="X10" s="19" t="n"/>
    </row>
    <row r="11" ht="22" customHeight="1">
      <c r="B11" s="3" t="n">
        <v>7</v>
      </c>
      <c r="C11" s="3" t="inlineStr">
        <is>
          <t>Sidi Kacem</t>
        </is>
      </c>
      <c r="D11" s="3" t="inlineStr">
        <is>
          <t>BIR TALEB</t>
        </is>
      </c>
      <c r="E11" s="3" t="inlineStr">
        <is>
          <t>50-23</t>
        </is>
      </c>
      <c r="F11" s="3" t="inlineStr">
        <is>
          <t>Entretien et réparation du réseau d'assainissement et de drainage</t>
        </is>
      </c>
      <c r="G11" s="3" t="inlineStr">
        <is>
          <t>Curage des prises sur l'oued, bâche d'aspiration et bassin de régulation.</t>
        </is>
      </c>
      <c r="H11" s="3" t="inlineStr">
        <is>
          <t>Curage des prises sur l'oued de la station de pompage P11/1.</t>
        </is>
      </c>
      <c r="I11" s="4" t="n">
        <v>200000</v>
      </c>
      <c r="J11" s="5" t="n"/>
      <c r="K11" s="5" t="n"/>
      <c r="L11" s="3" t="n"/>
      <c r="M11" s="4">
        <f>IF(L11="","",I11-L11)</f>
        <v/>
      </c>
      <c r="N11" s="5">
        <f>IFERROR(IF(L11="","",L11/I11),"")</f>
        <v/>
      </c>
      <c r="O11" s="6">
        <f>IFERROR(IF(OR(J11="",K11=""),"",J11-K11),"")</f>
        <v/>
      </c>
      <c r="P11" s="3" t="n"/>
      <c r="Q11" s="3" t="n"/>
      <c r="R11" s="19" t="n"/>
      <c r="S11" s="19" t="n"/>
      <c r="T11" s="19" t="n"/>
      <c r="U11" s="19" t="n"/>
      <c r="V11" s="19" t="n"/>
      <c r="W11" s="19" t="n"/>
      <c r="X11" s="19" t="n"/>
    </row>
    <row r="12" ht="22" customHeight="1">
      <c r="B12" s="7" t="n">
        <v>8</v>
      </c>
      <c r="C12" s="7" t="inlineStr">
        <is>
          <t>Sidi Kacem</t>
        </is>
      </c>
      <c r="D12" s="7" t="inlineStr">
        <is>
          <t>BIR TALEB</t>
        </is>
      </c>
      <c r="E12" s="7" t="inlineStr">
        <is>
          <t>50-21</t>
        </is>
      </c>
      <c r="F12" s="7" t="inlineStr">
        <is>
          <t>Entretien et réparation des stations de pompage</t>
        </is>
      </c>
      <c r="G12" s="7" t="inlineStr">
        <is>
          <t>Prestation de maintenance des débitmètres et leurs équipements annexes</t>
        </is>
      </c>
      <c r="H12" s="7" t="inlineStr">
        <is>
          <t>Changement trois débitmètre Ø 400mm inondés de la station de pompage P11/1</t>
        </is>
      </c>
      <c r="I12" s="8" t="n">
        <v>141900</v>
      </c>
      <c r="J12" s="9" t="n"/>
      <c r="K12" s="9" t="n"/>
      <c r="L12" s="7" t="n"/>
      <c r="M12" s="8">
        <f>IF(L12="","",I12-L12)</f>
        <v/>
      </c>
      <c r="N12" s="9">
        <f>IFERROR(IF(L12="","",L12/I12),"")</f>
        <v/>
      </c>
      <c r="O12" s="10">
        <f>IFERROR(IF(OR(J12="",K12=""),"",J12-K12),"")</f>
        <v/>
      </c>
      <c r="P12" s="7" t="n"/>
      <c r="Q12" s="7" t="n"/>
      <c r="R12" s="19" t="n"/>
      <c r="S12" s="19" t="n"/>
      <c r="T12" s="19" t="n"/>
      <c r="U12" s="19" t="n"/>
      <c r="V12" s="19" t="n"/>
      <c r="W12" s="19" t="n"/>
      <c r="X12" s="19" t="n"/>
    </row>
    <row r="13" ht="22" customHeight="1">
      <c r="B13" s="3" t="n">
        <v>9</v>
      </c>
      <c r="C13" s="3" t="inlineStr">
        <is>
          <t>Sidi Kacem</t>
        </is>
      </c>
      <c r="D13" s="3" t="inlineStr">
        <is>
          <t>BIR TALEB</t>
        </is>
      </c>
      <c r="E13" s="3" t="inlineStr">
        <is>
          <t>50-21</t>
        </is>
      </c>
      <c r="F13" s="3" t="inlineStr">
        <is>
          <t>Entretien et réparation des stations de pompage</t>
        </is>
      </c>
      <c r="G13" s="3" t="inlineStr">
        <is>
          <t>Prestations de maintenance et de réparation mécanique des pompes et des groupes motopompes submersibles</t>
        </is>
      </c>
      <c r="H13" s="3" t="inlineStr">
        <is>
          <t>Démontage et expertise des roues des pompes principaux et pompes a vide de la station P11/1</t>
        </is>
      </c>
      <c r="I13" s="4" t="n">
        <v>26700</v>
      </c>
      <c r="J13" s="5" t="n"/>
      <c r="K13" s="5" t="n"/>
      <c r="L13" s="3" t="n"/>
      <c r="M13" s="4">
        <f>IF(L13="","",I13-L13)</f>
        <v/>
      </c>
      <c r="N13" s="5">
        <f>IFERROR(IF(L13="","",L13/I13),"")</f>
        <v/>
      </c>
      <c r="O13" s="6">
        <f>IFERROR(IF(OR(J13="",K13=""),"",J13-K13),"")</f>
        <v/>
      </c>
      <c r="P13" s="3" t="n"/>
      <c r="Q13" s="3" t="n"/>
      <c r="R13" s="19" t="n"/>
      <c r="S13" s="19" t="n"/>
      <c r="T13" s="19" t="n"/>
      <c r="U13" s="19" t="n"/>
      <c r="V13" s="19" t="n"/>
      <c r="W13" s="19" t="n"/>
      <c r="X13" s="19" t="n"/>
    </row>
    <row r="14" ht="22" customHeight="1">
      <c r="B14" s="7" t="n">
        <v>10</v>
      </c>
      <c r="C14" s="7" t="inlineStr">
        <is>
          <t>Sidi Kacem</t>
        </is>
      </c>
      <c r="D14" s="7" t="inlineStr">
        <is>
          <t>BIR TALEB</t>
        </is>
      </c>
      <c r="E14" s="7" t="inlineStr">
        <is>
          <t>50-21</t>
        </is>
      </c>
      <c r="F14" s="7" t="inlineStr">
        <is>
          <t>Entretien et réparation des stations de pompage</t>
        </is>
      </c>
      <c r="G14" s="7" t="inlineStr">
        <is>
          <t>Stabilisation Berge oued</t>
        </is>
      </c>
      <c r="H14" s="7" t="inlineStr">
        <is>
          <t>Pose de gabions et recouvrement du talus par matelas Reno des stations de pompage P11/1.</t>
        </is>
      </c>
      <c r="I14" s="8" t="n">
        <v>480000</v>
      </c>
      <c r="J14" s="9" t="n"/>
      <c r="K14" s="9" t="n"/>
      <c r="L14" s="7" t="n"/>
      <c r="M14" s="8">
        <f>IF(L14="","",I14-L14)</f>
        <v/>
      </c>
      <c r="N14" s="9">
        <f>IFERROR(IF(L14="","",L14/I14),"")</f>
        <v/>
      </c>
      <c r="O14" s="10">
        <f>IFERROR(IF(OR(J14="",K14=""),"",J14-K14),"")</f>
        <v/>
      </c>
      <c r="P14" s="7" t="n"/>
      <c r="Q14" s="7" t="n"/>
      <c r="R14" s="19" t="n"/>
      <c r="S14" s="19" t="n"/>
      <c r="T14" s="19" t="n"/>
      <c r="U14" s="19" t="n"/>
      <c r="V14" s="19" t="n"/>
      <c r="W14" s="19" t="n"/>
      <c r="X14" s="19" t="n"/>
    </row>
    <row r="15" ht="22" customHeight="1">
      <c r="B15" s="3" t="n">
        <v>11</v>
      </c>
      <c r="C15" s="3" t="inlineStr">
        <is>
          <t>Sidi Kacem</t>
        </is>
      </c>
      <c r="D15" s="3" t="inlineStr">
        <is>
          <t>BIR TALEB</t>
        </is>
      </c>
      <c r="E15" s="3" t="inlineStr">
        <is>
          <t>50-21</t>
        </is>
      </c>
      <c r="F15" s="3" t="inlineStr">
        <is>
          <t>Entretien et réparation des stations de pompage</t>
        </is>
      </c>
      <c r="G15" s="3" t="inlineStr">
        <is>
          <t>Génie civile des locaux des stations de pompage.</t>
        </is>
      </c>
      <c r="H15" s="3" t="inlineStr">
        <is>
          <t>Expertise d'état et d'étanchéité des locaux pompes.</t>
        </is>
      </c>
      <c r="I15" s="4" t="n">
        <v>300000</v>
      </c>
      <c r="J15" s="5" t="n"/>
      <c r="K15" s="5" t="n"/>
      <c r="L15" s="3" t="n"/>
      <c r="M15" s="4">
        <f>IF(L15="","",I15-L15)</f>
        <v/>
      </c>
      <c r="N15" s="5">
        <f>IFERROR(IF(L15="","",L15/I15),"")</f>
        <v/>
      </c>
      <c r="O15" s="6">
        <f>IFERROR(IF(OR(J15="",K15=""),"",J15-K15),"")</f>
        <v/>
      </c>
      <c r="P15" s="3" t="n"/>
      <c r="Q15" s="3" t="n"/>
      <c r="R15" s="19" t="n"/>
      <c r="S15" s="19" t="n"/>
      <c r="T15" s="19" t="n"/>
      <c r="U15" s="19" t="n"/>
      <c r="V15" s="19" t="n"/>
      <c r="W15" s="19" t="n"/>
      <c r="X15" s="19" t="n"/>
    </row>
    <row r="16" ht="22" customHeight="1">
      <c r="B16" s="7" t="n">
        <v>12</v>
      </c>
      <c r="C16" s="7" t="inlineStr">
        <is>
          <t>Sidi Kacem</t>
        </is>
      </c>
      <c r="D16" s="7" t="inlineStr">
        <is>
          <t>CHEBANAT</t>
        </is>
      </c>
      <c r="E16" s="7" t="inlineStr">
        <is>
          <t>50-23</t>
        </is>
      </c>
      <c r="F16" s="7" t="inlineStr">
        <is>
          <t>Entretien et réparation du réseau d'assainissement et de drainage</t>
        </is>
      </c>
      <c r="G16" s="7" t="inlineStr">
        <is>
          <t>Travaux de curage des canaux en terre</t>
        </is>
      </c>
      <c r="H16" s="7" t="inlineStr">
        <is>
          <t>Curage des collecteurs d'assainissement des secteur SH5 et SH6.</t>
        </is>
      </c>
      <c r="I16" s="8" t="n">
        <v>1000000</v>
      </c>
      <c r="J16" s="9" t="n"/>
      <c r="K16" s="9" t="n"/>
      <c r="L16" s="7" t="n"/>
      <c r="M16" s="8">
        <f>IF(L16="","",I16-L16)</f>
        <v/>
      </c>
      <c r="N16" s="9">
        <f>IFERROR(IF(L16="","",L16/I16),"")</f>
        <v/>
      </c>
      <c r="O16" s="10">
        <f>IFERROR(IF(OR(J16="",K16=""),"",J16-K16),"")</f>
        <v/>
      </c>
      <c r="P16" s="7" t="n"/>
      <c r="Q16" s="7" t="n"/>
      <c r="R16" s="19" t="n"/>
      <c r="S16" s="19" t="n"/>
      <c r="T16" s="19" t="n"/>
      <c r="U16" s="19" t="n"/>
      <c r="V16" s="19" t="n"/>
      <c r="W16" s="19" t="n"/>
      <c r="X16" s="19" t="n"/>
    </row>
    <row r="17" ht="22" customHeight="1">
      <c r="B17" s="3" t="n">
        <v>13</v>
      </c>
      <c r="C17" s="3" t="inlineStr">
        <is>
          <t>Sidi Kacem</t>
        </is>
      </c>
      <c r="D17" s="3" t="inlineStr">
        <is>
          <t>CHEBANAT</t>
        </is>
      </c>
      <c r="E17" s="3" t="inlineStr">
        <is>
          <t>50-23</t>
        </is>
      </c>
      <c r="F17" s="3" t="inlineStr">
        <is>
          <t>Entretien et réparation du réseau d'assainissement et de drainage</t>
        </is>
      </c>
      <c r="G17" s="3" t="inlineStr">
        <is>
          <t>Travaux de curage des canaux révetés</t>
        </is>
      </c>
      <c r="H17" s="3" t="inlineStr">
        <is>
          <t>Curage du canal principal d'irrigation beht partie aval 1.</t>
        </is>
      </c>
      <c r="I17" s="4" t="n">
        <v>739200</v>
      </c>
      <c r="J17" s="5" t="n"/>
      <c r="K17" s="5" t="n"/>
      <c r="L17" s="3" t="n"/>
      <c r="M17" s="4">
        <f>IF(L17="","",I17-L17)</f>
        <v/>
      </c>
      <c r="N17" s="5">
        <f>IFERROR(IF(L17="","",L17/I17),"")</f>
        <v/>
      </c>
      <c r="O17" s="6">
        <f>IFERROR(IF(OR(J17="",K17=""),"",J17-K17),"")</f>
        <v/>
      </c>
      <c r="P17" s="3" t="n"/>
      <c r="Q17" s="3" t="n"/>
      <c r="R17" s="19" t="n"/>
      <c r="S17" s="19" t="n"/>
      <c r="T17" s="19" t="n"/>
      <c r="U17" s="19" t="n"/>
      <c r="V17" s="19" t="n"/>
      <c r="W17" s="19" t="n"/>
      <c r="X17" s="19" t="n"/>
    </row>
    <row r="18" ht="22" customHeight="1">
      <c r="B18" s="7" t="n">
        <v>14</v>
      </c>
      <c r="C18" s="7" t="inlineStr">
        <is>
          <t>Sidi Kacem</t>
        </is>
      </c>
      <c r="D18" s="7" t="inlineStr">
        <is>
          <t>ZIRARA</t>
        </is>
      </c>
      <c r="E18" s="7" t="inlineStr">
        <is>
          <t>50-23</t>
        </is>
      </c>
      <c r="F18" s="7" t="inlineStr">
        <is>
          <t>Entretien et réparation du réseau d'assainissement et de drainage</t>
        </is>
      </c>
      <c r="G18" s="7" t="inlineStr">
        <is>
          <t>Travaux de curage des canaux révetés</t>
        </is>
      </c>
      <c r="H18" s="7" t="inlineStr">
        <is>
          <t>Curage du canal principal d'irrigation beht partie aval 2.</t>
        </is>
      </c>
      <c r="I18" s="8" t="n">
        <v>1276800</v>
      </c>
      <c r="J18" s="9" t="n"/>
      <c r="K18" s="9" t="n"/>
      <c r="L18" s="7" t="n"/>
      <c r="M18" s="8">
        <f>IF(L18="","",I18-L18)</f>
        <v/>
      </c>
      <c r="N18" s="9">
        <f>IFERROR(IF(L18="","",L18/I18),"")</f>
        <v/>
      </c>
      <c r="O18" s="10">
        <f>IFERROR(IF(OR(J18="",K18=""),"",J18-K18),"")</f>
        <v/>
      </c>
      <c r="P18" s="7" t="n"/>
      <c r="Q18" s="7" t="n"/>
      <c r="R18" s="19" t="n"/>
      <c r="S18" s="19" t="n"/>
      <c r="T18" s="19" t="n"/>
      <c r="U18" s="19" t="n"/>
      <c r="V18" s="19" t="n"/>
      <c r="W18" s="19" t="n"/>
      <c r="X18" s="19" t="n"/>
    </row>
    <row r="19" ht="22" customHeight="1">
      <c r="B19" s="3" t="n">
        <v>15</v>
      </c>
      <c r="C19" s="3" t="inlineStr">
        <is>
          <t>Sidi Kacem</t>
        </is>
      </c>
      <c r="D19" s="3" t="inlineStr">
        <is>
          <t>DAR LAASLOUJI</t>
        </is>
      </c>
      <c r="E19" s="3" t="inlineStr">
        <is>
          <t>50-23</t>
        </is>
      </c>
      <c r="F19" s="3" t="inlineStr">
        <is>
          <t>Entretien et réparation du réseau d'assainissement et de drainage</t>
        </is>
      </c>
      <c r="G19" s="3" t="inlineStr">
        <is>
          <t>Travaux de curage des canaux en terre</t>
        </is>
      </c>
      <c r="H19" s="3" t="inlineStr">
        <is>
          <t>Curage des collecteurs d'assainissement des secteurs P8-1 et P8-2</t>
        </is>
      </c>
      <c r="I19" s="4" t="n">
        <v>5796360</v>
      </c>
      <c r="J19" s="5" t="n"/>
      <c r="K19" s="5" t="n"/>
      <c r="L19" s="3" t="n"/>
      <c r="M19" s="4">
        <f>IF(L19="","",I19-L19)</f>
        <v/>
      </c>
      <c r="N19" s="5">
        <f>IFERROR(IF(L19="","",L19/I19),"")</f>
        <v/>
      </c>
      <c r="O19" s="6">
        <f>IFERROR(IF(OR(J19="",K19=""),"",J19-K19),"")</f>
        <v/>
      </c>
      <c r="P19" s="3" t="n"/>
      <c r="Q19" s="3" t="n"/>
      <c r="R19" s="19" t="n"/>
      <c r="S19" s="19" t="n"/>
      <c r="T19" s="19" t="n"/>
      <c r="U19" s="19" t="n"/>
      <c r="V19" s="19" t="n"/>
      <c r="W19" s="19" t="n"/>
      <c r="X19" s="19" t="n"/>
    </row>
    <row r="20" ht="22" customHeight="1">
      <c r="B20" s="7" t="n">
        <v>16</v>
      </c>
      <c r="C20" s="7" t="inlineStr">
        <is>
          <t>Sidi Kacem</t>
        </is>
      </c>
      <c r="D20" s="7" t="inlineStr">
        <is>
          <t>DAR LAASLOUJI</t>
        </is>
      </c>
      <c r="E20" s="7" t="inlineStr">
        <is>
          <t>40-21</t>
        </is>
      </c>
      <c r="F20" s="7" t="inlineStr">
        <is>
          <t>Travaux de pistes</t>
        </is>
      </c>
      <c r="G20" s="7" t="inlineStr">
        <is>
          <t>Entretien des pistes agricoles</t>
        </is>
      </c>
      <c r="H20" s="7" t="inlineStr">
        <is>
          <t>Entretien des pistes agricoles</t>
        </is>
      </c>
      <c r="I20" s="8" t="n">
        <v>340000</v>
      </c>
      <c r="J20" s="9" t="n"/>
      <c r="K20" s="9" t="n"/>
      <c r="L20" s="7" t="n"/>
      <c r="M20" s="8">
        <f>IF(L20="","",I20-L20)</f>
        <v/>
      </c>
      <c r="N20" s="9">
        <f>IFERROR(IF(L20="","",L20/I20),"")</f>
        <v/>
      </c>
      <c r="O20" s="10">
        <f>IFERROR(IF(OR(J20="",K20=""),"",J20-K20),"")</f>
        <v/>
      </c>
      <c r="P20" s="7" t="n"/>
      <c r="Q20" s="7" t="n"/>
      <c r="R20" s="19" t="n"/>
      <c r="S20" s="19" t="n"/>
      <c r="T20" s="19" t="n"/>
      <c r="U20" s="19" t="n"/>
      <c r="V20" s="19" t="n"/>
      <c r="W20" s="19" t="n"/>
      <c r="X20" s="19" t="n"/>
    </row>
    <row r="21" ht="22" customHeight="1">
      <c r="B21" s="3" t="n">
        <v>17</v>
      </c>
      <c r="C21" s="3" t="inlineStr">
        <is>
          <t>Sidi Kacem</t>
        </is>
      </c>
      <c r="D21" s="3" t="inlineStr">
        <is>
          <t>HOUAFATE</t>
        </is>
      </c>
      <c r="E21" s="3" t="inlineStr">
        <is>
          <t>20-11</t>
        </is>
      </c>
      <c r="F21" s="3" t="inlineStr">
        <is>
          <t>Travaux de réhabilitation des équipements</t>
        </is>
      </c>
      <c r="G21" s="3" t="inlineStr">
        <is>
          <t>Travaux de réhabilitation des canaux portés d'irrigation</t>
        </is>
      </c>
      <c r="H21" s="3" t="inlineStr">
        <is>
          <t>Fourniture et de pose de canaux porté et accessoires du réseau S3 du secteur S13</t>
        </is>
      </c>
      <c r="I21" s="4" t="n">
        <v>397934</v>
      </c>
      <c r="J21" s="5" t="n"/>
      <c r="K21" s="5" t="n"/>
      <c r="L21" s="3" t="n"/>
      <c r="M21" s="4">
        <f>IF(L21="","",I21-L21)</f>
        <v/>
      </c>
      <c r="N21" s="5">
        <f>IFERROR(IF(L21="","",L21/I21),"")</f>
        <v/>
      </c>
      <c r="O21" s="6">
        <f>IFERROR(IF(OR(J21="",K21=""),"",J21-K21),"")</f>
        <v/>
      </c>
      <c r="P21" s="3" t="n"/>
      <c r="Q21" s="3" t="n"/>
      <c r="R21" s="19" t="n"/>
      <c r="S21" s="19" t="n"/>
      <c r="T21" s="19" t="n"/>
      <c r="U21" s="19" t="n"/>
      <c r="V21" s="19" t="n"/>
      <c r="W21" s="19" t="n"/>
      <c r="X21" s="19" t="n"/>
    </row>
    <row r="22" ht="22" customHeight="1">
      <c r="B22" s="7" t="n">
        <v>18</v>
      </c>
      <c r="C22" s="7" t="inlineStr">
        <is>
          <t>Sidi Kacem</t>
        </is>
      </c>
      <c r="D22" s="7" t="inlineStr">
        <is>
          <t>HOUAFATE</t>
        </is>
      </c>
      <c r="E22" s="7" t="inlineStr">
        <is>
          <t>20-11</t>
        </is>
      </c>
      <c r="F22" s="7" t="inlineStr">
        <is>
          <t>Travaux de réhabilitation des équipements</t>
        </is>
      </c>
      <c r="G22" s="7" t="inlineStr"/>
      <c r="H22" s="7" t="inlineStr">
        <is>
          <t>Fourniture et de pose de canaux porté et accessoires du réseau T2S1 du secteur S13</t>
        </is>
      </c>
      <c r="I22" s="8" t="n">
        <v>207575</v>
      </c>
      <c r="J22" s="9" t="n"/>
      <c r="K22" s="9" t="n"/>
      <c r="L22" s="7" t="n"/>
      <c r="M22" s="8">
        <f>IF(L22="","",I22-L22)</f>
        <v/>
      </c>
      <c r="N22" s="9">
        <f>IFERROR(IF(L22="","",L22/I22),"")</f>
        <v/>
      </c>
      <c r="O22" s="10">
        <f>IFERROR(IF(OR(J22="",K22=""),"",J22-K22),"")</f>
        <v/>
      </c>
      <c r="P22" s="7" t="n"/>
      <c r="Q22" s="7" t="n"/>
      <c r="R22" s="19" t="n"/>
      <c r="S22" s="19" t="n"/>
      <c r="T22" s="19" t="n"/>
      <c r="U22" s="19" t="n"/>
      <c r="V22" s="19" t="n"/>
      <c r="W22" s="19" t="n"/>
      <c r="X22" s="19" t="n"/>
    </row>
    <row r="23" ht="22" customHeight="1">
      <c r="B23" s="3" t="n">
        <v>19</v>
      </c>
      <c r="C23" s="3" t="inlineStr">
        <is>
          <t>Sidi Kacem</t>
        </is>
      </c>
      <c r="D23" s="3" t="inlineStr">
        <is>
          <t>HOUAFATE</t>
        </is>
      </c>
      <c r="E23" s="3" t="inlineStr">
        <is>
          <t>40-21</t>
        </is>
      </c>
      <c r="F23" s="3" t="inlineStr">
        <is>
          <t>Travaux de pistes</t>
        </is>
      </c>
      <c r="G23" s="3" t="inlineStr">
        <is>
          <t>Entretien des pistes agricoles</t>
        </is>
      </c>
      <c r="H23" s="3" t="inlineStr">
        <is>
          <t>Entretien des pistes agricoles</t>
        </is>
      </c>
      <c r="I23" s="4" t="n">
        <v>2200000</v>
      </c>
      <c r="J23" s="5" t="n"/>
      <c r="K23" s="5" t="n"/>
      <c r="L23" s="3" t="n"/>
      <c r="M23" s="4">
        <f>IF(L23="","",I23-L23)</f>
        <v/>
      </c>
      <c r="N23" s="5">
        <f>IFERROR(IF(L23="","",L23/I23),"")</f>
        <v/>
      </c>
      <c r="O23" s="6">
        <f>IFERROR(IF(OR(J23="",K23=""),"",J23-K23),"")</f>
        <v/>
      </c>
      <c r="P23" s="3" t="n"/>
      <c r="Q23" s="3" t="n"/>
      <c r="R23" s="19" t="n"/>
      <c r="S23" s="19" t="n"/>
      <c r="T23" s="19" t="n"/>
      <c r="U23" s="19" t="n"/>
      <c r="V23" s="19" t="n"/>
      <c r="W23" s="19" t="n"/>
      <c r="X23" s="19" t="n"/>
    </row>
    <row r="24" ht="22" customHeight="1">
      <c r="B24" s="7" t="n">
        <v>20</v>
      </c>
      <c r="C24" s="7" t="inlineStr">
        <is>
          <t>Sidi Kacem</t>
        </is>
      </c>
      <c r="D24" s="7" t="inlineStr">
        <is>
          <t>HOUAFATE</t>
        </is>
      </c>
      <c r="E24" s="7" t="inlineStr">
        <is>
          <t>50-23</t>
        </is>
      </c>
      <c r="F24" s="7" t="inlineStr">
        <is>
          <t>Entretien et réparation du réseau d'assainissement et de drainage</t>
        </is>
      </c>
      <c r="G24" s="7" t="inlineStr">
        <is>
          <t>Curage des prises sur l'oued, bâche d'aspiration et bassin de régulation.</t>
        </is>
      </c>
      <c r="H24" s="7" t="inlineStr">
        <is>
          <t>Curage des prises sur l'oued de la station de pompage S17 et S13.</t>
        </is>
      </c>
      <c r="I24" s="8" t="n">
        <v>300000</v>
      </c>
      <c r="J24" s="9" t="n"/>
      <c r="K24" s="9" t="n"/>
      <c r="L24" s="7" t="n"/>
      <c r="M24" s="8">
        <f>IF(L24="","",I24-L24)</f>
        <v/>
      </c>
      <c r="N24" s="9">
        <f>IFERROR(IF(L24="","",L24/I24),"")</f>
        <v/>
      </c>
      <c r="O24" s="10">
        <f>IFERROR(IF(OR(J24="",K24=""),"",J24-K24),"")</f>
        <v/>
      </c>
      <c r="P24" s="7" t="n"/>
      <c r="Q24" s="7" t="n"/>
      <c r="R24" s="19" t="n"/>
      <c r="S24" s="19" t="n"/>
      <c r="T24" s="19" t="n"/>
      <c r="U24" s="19" t="n"/>
      <c r="V24" s="19" t="n"/>
      <c r="W24" s="19" t="n"/>
      <c r="X24" s="19" t="n"/>
    </row>
    <row r="25" ht="22" customHeight="1">
      <c r="B25" s="3" t="n">
        <v>21</v>
      </c>
      <c r="C25" s="3" t="inlineStr">
        <is>
          <t>Sidi Kacem</t>
        </is>
      </c>
      <c r="D25" s="3" t="inlineStr">
        <is>
          <t>HOUAFATE</t>
        </is>
      </c>
      <c r="E25" s="3" t="inlineStr">
        <is>
          <t>50-21</t>
        </is>
      </c>
      <c r="F25" s="3" t="inlineStr">
        <is>
          <t>Entretien et réparation des stations de pompage</t>
        </is>
      </c>
      <c r="G25" s="3" t="inlineStr">
        <is>
          <t>Prestation de maintenance des débitmètres et leurs équipements annexes</t>
        </is>
      </c>
      <c r="H25" s="3" t="inlineStr">
        <is>
          <t>Changement trois débitmètre Ø 600mm inondés de la station de pompage S13.</t>
        </is>
      </c>
      <c r="I25" s="4" t="n">
        <v>250000</v>
      </c>
      <c r="J25" s="5" t="n"/>
      <c r="K25" s="5" t="n"/>
      <c r="L25" s="3" t="n"/>
      <c r="M25" s="4">
        <f>IF(L25="","",I25-L25)</f>
        <v/>
      </c>
      <c r="N25" s="5">
        <f>IFERROR(IF(L25="","",L25/I25),"")</f>
        <v/>
      </c>
      <c r="O25" s="6">
        <f>IFERROR(IF(OR(J25="",K25=""),"",J25-K25),"")</f>
        <v/>
      </c>
      <c r="P25" s="3" t="n"/>
      <c r="Q25" s="3" t="n"/>
      <c r="R25" s="19" t="n"/>
      <c r="S25" s="19" t="n"/>
      <c r="T25" s="19" t="n"/>
      <c r="U25" s="19" t="n"/>
      <c r="V25" s="19" t="n"/>
      <c r="W25" s="19" t="n"/>
      <c r="X25" s="19" t="n"/>
    </row>
    <row r="26" ht="22" customHeight="1">
      <c r="B26" s="7" t="n">
        <v>22</v>
      </c>
      <c r="C26" s="7" t="inlineStr">
        <is>
          <t>Sidi Kacem</t>
        </is>
      </c>
      <c r="D26" s="7" t="inlineStr">
        <is>
          <t>HOUAFATE</t>
        </is>
      </c>
      <c r="E26" s="7" t="inlineStr">
        <is>
          <t>50-21</t>
        </is>
      </c>
      <c r="F26" s="7" t="inlineStr">
        <is>
          <t>Entretien et réparation des stations de pompage</t>
        </is>
      </c>
      <c r="G26" s="7" t="inlineStr">
        <is>
          <t>Prestations de maintenance des moteurs électriques des stations de pompage.</t>
        </is>
      </c>
      <c r="H26" s="7" t="inlineStr">
        <is>
          <t>Révision des trois moteurs électriques 200 KW principaux de la station S13.</t>
        </is>
      </c>
      <c r="I26" s="8" t="n">
        <v>25000</v>
      </c>
      <c r="J26" s="9" t="n"/>
      <c r="K26" s="9" t="n"/>
      <c r="L26" s="7" t="n"/>
      <c r="M26" s="8">
        <f>IF(L26="","",I26-L26)</f>
        <v/>
      </c>
      <c r="N26" s="9">
        <f>IFERROR(IF(L26="","",L26/I26),"")</f>
        <v/>
      </c>
      <c r="O26" s="10">
        <f>IFERROR(IF(OR(J26="",K26=""),"",J26-K26),"")</f>
        <v/>
      </c>
      <c r="P26" s="7" t="n"/>
      <c r="Q26" s="7" t="n"/>
      <c r="R26" s="19" t="n"/>
      <c r="S26" s="19" t="n"/>
      <c r="T26" s="19" t="n"/>
      <c r="U26" s="19" t="n"/>
      <c r="V26" s="19" t="n"/>
      <c r="W26" s="19" t="n"/>
      <c r="X26" s="19" t="n"/>
    </row>
    <row r="27" ht="22" customHeight="1">
      <c r="B27" s="3" t="n">
        <v>23</v>
      </c>
      <c r="C27" s="3" t="inlineStr">
        <is>
          <t>Sidi Kacem</t>
        </is>
      </c>
      <c r="D27" s="3" t="inlineStr">
        <is>
          <t>HOUAFATE</t>
        </is>
      </c>
      <c r="E27" s="3" t="inlineStr">
        <is>
          <t>50-21</t>
        </is>
      </c>
      <c r="F27" s="3" t="inlineStr">
        <is>
          <t>Entretien et réparation des stations de pompage</t>
        </is>
      </c>
      <c r="G27" s="3" t="inlineStr">
        <is>
          <t>Prestations de maintenance et de réparation mécanique des pompes et des groupes motopompes submersibles</t>
        </is>
      </c>
      <c r="H27" s="3" t="inlineStr">
        <is>
          <t>Démontage et expertise des roues des pompes principaux et pompes a vide de la station S13.</t>
        </is>
      </c>
      <c r="I27" s="4" t="n">
        <v>38000</v>
      </c>
      <c r="J27" s="5" t="n"/>
      <c r="K27" s="5" t="n"/>
      <c r="L27" s="3" t="n"/>
      <c r="M27" s="4">
        <f>IF(L27="","",I27-L27)</f>
        <v/>
      </c>
      <c r="N27" s="5">
        <f>IFERROR(IF(L27="","",L27/I27),"")</f>
        <v/>
      </c>
      <c r="O27" s="6">
        <f>IFERROR(IF(OR(J27="",K27=""),"",J27-K27),"")</f>
        <v/>
      </c>
      <c r="P27" s="3" t="n"/>
      <c r="Q27" s="3" t="n"/>
      <c r="R27" s="19" t="n"/>
      <c r="S27" s="19" t="n"/>
      <c r="T27" s="19" t="n"/>
      <c r="U27" s="19" t="n"/>
      <c r="V27" s="19" t="n"/>
      <c r="W27" s="19" t="n"/>
      <c r="X27" s="19" t="n"/>
    </row>
    <row r="28" ht="22" customHeight="1">
      <c r="B28" s="7" t="n">
        <v>24</v>
      </c>
      <c r="C28" s="7" t="inlineStr">
        <is>
          <t>Sidi Kacem</t>
        </is>
      </c>
      <c r="D28" s="7" t="inlineStr">
        <is>
          <t>HOUAFATE</t>
        </is>
      </c>
      <c r="E28" s="7" t="inlineStr">
        <is>
          <t>50-21</t>
        </is>
      </c>
      <c r="F28" s="7" t="inlineStr">
        <is>
          <t>Entretien et réparation des stations de pompage</t>
        </is>
      </c>
      <c r="G28" s="7" t="inlineStr">
        <is>
          <t>Stabilisation Berge oued</t>
        </is>
      </c>
      <c r="H28" s="7" t="inlineStr">
        <is>
          <t>Pose de gabions et recouvrement du talus par matelas Reno des stations de pompage S13.</t>
        </is>
      </c>
      <c r="I28" s="8" t="n">
        <v>10560000</v>
      </c>
      <c r="J28" s="9" t="n"/>
      <c r="K28" s="9" t="n"/>
      <c r="L28" s="7" t="n"/>
      <c r="M28" s="8">
        <f>IF(L28="","",I28-L28)</f>
        <v/>
      </c>
      <c r="N28" s="9">
        <f>IFERROR(IF(L28="","",L28/I28),"")</f>
        <v/>
      </c>
      <c r="O28" s="10">
        <f>IFERROR(IF(OR(J28="",K28=""),"",J28-K28),"")</f>
        <v/>
      </c>
      <c r="P28" s="7" t="n"/>
      <c r="Q28" s="7" t="n"/>
      <c r="R28" s="19" t="n"/>
      <c r="S28" s="19" t="n"/>
      <c r="T28" s="19" t="n"/>
      <c r="U28" s="19" t="n"/>
      <c r="V28" s="19" t="n"/>
      <c r="W28" s="19" t="n"/>
      <c r="X28" s="19" t="n"/>
    </row>
    <row r="29" ht="22" customHeight="1">
      <c r="B29" s="3" t="n">
        <v>25</v>
      </c>
      <c r="C29" s="3" t="inlineStr">
        <is>
          <t>Sidi Kacem</t>
        </is>
      </c>
      <c r="D29" s="3" t="inlineStr">
        <is>
          <t>HOUAFATE</t>
        </is>
      </c>
      <c r="E29" s="3" t="inlineStr">
        <is>
          <t>50-21</t>
        </is>
      </c>
      <c r="F29" s="3" t="inlineStr">
        <is>
          <t>Entretien et réparation des stations de pompage</t>
        </is>
      </c>
      <c r="G29" s="3" t="inlineStr">
        <is>
          <t>Mur clôture des stations de pompage.</t>
        </is>
      </c>
      <c r="H29" s="3" t="inlineStr">
        <is>
          <t>Stabilisation du sol et reconstruction des murs clôture (270m) cote oued de la station S17.</t>
        </is>
      </c>
      <c r="I29" s="4" t="n">
        <v>144000</v>
      </c>
      <c r="J29" s="5" t="n"/>
      <c r="K29" s="5" t="n"/>
      <c r="L29" s="3" t="n"/>
      <c r="M29" s="4">
        <f>IF(L29="","",I29-L29)</f>
        <v/>
      </c>
      <c r="N29" s="5">
        <f>IFERROR(IF(L29="","",L29/I29),"")</f>
        <v/>
      </c>
      <c r="O29" s="6">
        <f>IFERROR(IF(OR(J29="",K29=""),"",J29-K29),"")</f>
        <v/>
      </c>
      <c r="P29" s="3" t="n"/>
      <c r="Q29" s="3" t="n"/>
      <c r="R29" s="19" t="n"/>
      <c r="S29" s="19" t="n"/>
      <c r="T29" s="19" t="n"/>
      <c r="U29" s="19" t="n"/>
      <c r="V29" s="19" t="n"/>
      <c r="W29" s="19" t="n"/>
      <c r="X29" s="19" t="n"/>
    </row>
    <row r="30" ht="22" customHeight="1">
      <c r="B30" s="7" t="n">
        <v>26</v>
      </c>
      <c r="C30" s="7" t="inlineStr">
        <is>
          <t>Sidi Kacem</t>
        </is>
      </c>
      <c r="D30" s="7" t="inlineStr">
        <is>
          <t>HOUAFATE</t>
        </is>
      </c>
      <c r="E30" s="7" t="inlineStr">
        <is>
          <t>50-21</t>
        </is>
      </c>
      <c r="F30" s="7" t="inlineStr">
        <is>
          <t>Entretien et réparation des stations de pompage</t>
        </is>
      </c>
      <c r="G30" s="7" t="inlineStr">
        <is>
          <t>Génie civile des locaux des stations de pompage.</t>
        </is>
      </c>
      <c r="H30" s="7" t="inlineStr">
        <is>
          <t>Expertise d'état et d'étanchéité des locaux pompes, commande, puissance des stations de pompage S17 et S13.</t>
        </is>
      </c>
      <c r="I30" s="8" t="n">
        <v>800000</v>
      </c>
      <c r="J30" s="9" t="n"/>
      <c r="K30" s="9" t="n"/>
      <c r="L30" s="7" t="n"/>
      <c r="M30" s="8">
        <f>IF(L30="","",I30-L30)</f>
        <v/>
      </c>
      <c r="N30" s="9">
        <f>IFERROR(IF(L30="","",L30/I30),"")</f>
        <v/>
      </c>
      <c r="O30" s="10">
        <f>IFERROR(IF(OR(J30="",K30=""),"",J30-K30),"")</f>
        <v/>
      </c>
      <c r="P30" s="7" t="n"/>
      <c r="Q30" s="7" t="n"/>
      <c r="R30" s="19" t="n"/>
      <c r="S30" s="19" t="n"/>
      <c r="T30" s="19" t="n"/>
      <c r="U30" s="19" t="n"/>
      <c r="V30" s="19" t="n"/>
      <c r="W30" s="19" t="n"/>
      <c r="X30" s="19" t="n"/>
    </row>
    <row r="31" ht="22" customHeight="1">
      <c r="B31" s="3" t="n">
        <v>27</v>
      </c>
      <c r="C31" s="3" t="inlineStr">
        <is>
          <t>Sidi Kacem</t>
        </is>
      </c>
      <c r="D31" s="3" t="inlineStr">
        <is>
          <t>NOUIRAT</t>
        </is>
      </c>
      <c r="E31" s="3" t="inlineStr">
        <is>
          <t>50-23</t>
        </is>
      </c>
      <c r="F31" s="3" t="inlineStr">
        <is>
          <t>Entretien et réparation du réseau d'assainissement et de drainage</t>
        </is>
      </c>
      <c r="G31" s="3" t="inlineStr">
        <is>
          <t>Travaux de curage des canaux en terre</t>
        </is>
      </c>
      <c r="H31" s="3" t="inlineStr">
        <is>
          <t>Curage des collecteurs d'assainissement des secteurs EST1 et N5</t>
        </is>
      </c>
      <c r="I31" s="4" t="n">
        <v>1733306</v>
      </c>
      <c r="J31" s="5" t="n"/>
      <c r="K31" s="5" t="n"/>
      <c r="L31" s="3" t="n"/>
      <c r="M31" s="4">
        <f>IF(L31="","",I31-L31)</f>
        <v/>
      </c>
      <c r="N31" s="5">
        <f>IFERROR(IF(L31="","",L31/I31),"")</f>
        <v/>
      </c>
      <c r="O31" s="6">
        <f>IFERROR(IF(OR(J31="",K31=""),"",J31-K31),"")</f>
        <v/>
      </c>
      <c r="P31" s="3" t="n"/>
      <c r="Q31" s="3" t="n"/>
      <c r="R31" s="19" t="n"/>
      <c r="S31" s="19" t="n"/>
      <c r="T31" s="19" t="n"/>
      <c r="U31" s="19" t="n"/>
      <c r="V31" s="19" t="n"/>
      <c r="W31" s="19" t="n"/>
      <c r="X31" s="19" t="n"/>
    </row>
    <row r="32" ht="22" customHeight="1">
      <c r="B32" s="7" t="n">
        <v>28</v>
      </c>
      <c r="C32" s="7" t="inlineStr">
        <is>
          <t>Sidi Kacem</t>
        </is>
      </c>
      <c r="D32" s="7" t="inlineStr">
        <is>
          <t>NOUIRAT</t>
        </is>
      </c>
      <c r="E32" s="7" t="inlineStr">
        <is>
          <t>40-21</t>
        </is>
      </c>
      <c r="F32" s="7" t="inlineStr">
        <is>
          <t>Travaux de pistes</t>
        </is>
      </c>
      <c r="G32" s="7" t="inlineStr">
        <is>
          <t>Entretien des pistes agricoles</t>
        </is>
      </c>
      <c r="H32" s="7" t="inlineStr">
        <is>
          <t>Entretien des pistes agricoles</t>
        </is>
      </c>
      <c r="I32" s="8" t="n">
        <v>670000</v>
      </c>
      <c r="J32" s="9" t="n"/>
      <c r="K32" s="9" t="n"/>
      <c r="L32" s="7" t="n"/>
      <c r="M32" s="8">
        <f>IF(L32="","",I32-L32)</f>
        <v/>
      </c>
      <c r="N32" s="9">
        <f>IFERROR(IF(L32="","",L32/I32),"")</f>
        <v/>
      </c>
      <c r="O32" s="10">
        <f>IFERROR(IF(OR(J32="",K32=""),"",J32-K32),"")</f>
        <v/>
      </c>
      <c r="P32" s="7" t="n"/>
      <c r="Q32" s="7" t="n"/>
      <c r="R32" s="19" t="n"/>
      <c r="S32" s="19" t="n"/>
      <c r="T32" s="19" t="n"/>
      <c r="U32" s="19" t="n"/>
      <c r="V32" s="19" t="n"/>
      <c r="W32" s="19" t="n"/>
      <c r="X32" s="19" t="n"/>
    </row>
    <row r="33" ht="22" customHeight="1">
      <c r="B33" s="3" t="n">
        <v>29</v>
      </c>
      <c r="C33" s="3" t="inlineStr">
        <is>
          <t>Sidi Kacem</t>
        </is>
      </c>
      <c r="D33" s="3" t="inlineStr">
        <is>
          <t>NOUIRAT</t>
        </is>
      </c>
      <c r="E33" s="3" t="inlineStr">
        <is>
          <t>20-11</t>
        </is>
      </c>
      <c r="F33" s="3" t="inlineStr">
        <is>
          <t>Travaux de réhabilitation des équipements</t>
        </is>
      </c>
      <c r="G33" s="3" t="inlineStr">
        <is>
          <t>Travaux de réhabilitation des ouvrages de génie civil</t>
        </is>
      </c>
      <c r="H33" s="3" t="inlineStr">
        <is>
          <t>Réhabilitation de l'ouvrage de l'ouvrage de débouche SE1</t>
        </is>
      </c>
      <c r="I33" s="4" t="n">
        <v>2500000</v>
      </c>
      <c r="J33" s="5" t="n"/>
      <c r="K33" s="5" t="n"/>
      <c r="L33" s="3" t="n"/>
      <c r="M33" s="4">
        <f>IF(L33="","",I33-L33)</f>
        <v/>
      </c>
      <c r="N33" s="5">
        <f>IFERROR(IF(L33="","",L33/I33),"")</f>
        <v/>
      </c>
      <c r="O33" s="6">
        <f>IFERROR(IF(OR(J33="",K33=""),"",J33-K33),"")</f>
        <v/>
      </c>
      <c r="P33" s="3" t="n"/>
      <c r="Q33" s="3" t="n"/>
      <c r="R33" s="19" t="n"/>
      <c r="S33" s="19" t="n"/>
      <c r="T33" s="19" t="n"/>
      <c r="U33" s="19" t="n"/>
      <c r="V33" s="19" t="n"/>
      <c r="W33" s="19" t="n"/>
      <c r="X33" s="19" t="n"/>
    </row>
    <row r="34" ht="22" customHeight="1">
      <c r="B34" s="7" t="n">
        <v>30</v>
      </c>
      <c r="C34" s="7" t="inlineStr">
        <is>
          <t>Sidi Kacem</t>
        </is>
      </c>
      <c r="D34" s="7" t="inlineStr">
        <is>
          <t>NOUIRAT</t>
        </is>
      </c>
      <c r="E34" s="7" t="inlineStr">
        <is>
          <t>50-23</t>
        </is>
      </c>
      <c r="F34" s="7" t="inlineStr">
        <is>
          <t>Entretien et réparation du réseau d'assainissement et de drainage</t>
        </is>
      </c>
      <c r="G34" s="7" t="inlineStr">
        <is>
          <t>Curage des prises sur l'oued, bâche d'aspiration et bassin de régulation.</t>
        </is>
      </c>
      <c r="H34" s="7" t="inlineStr">
        <is>
          <t>Curage des prises sur l'oued de la station de pompage E1.</t>
        </is>
      </c>
      <c r="I34" s="8" t="n">
        <v>800000</v>
      </c>
      <c r="J34" s="9" t="n"/>
      <c r="K34" s="9" t="n"/>
      <c r="L34" s="7" t="n"/>
      <c r="M34" s="8">
        <f>IF(L34="","",I34-L34)</f>
        <v/>
      </c>
      <c r="N34" s="9">
        <f>IFERROR(IF(L34="","",L34/I34),"")</f>
        <v/>
      </c>
      <c r="O34" s="10">
        <f>IFERROR(IF(OR(J34="",K34=""),"",J34-K34),"")</f>
        <v/>
      </c>
      <c r="P34" s="7" t="n"/>
      <c r="Q34" s="7" t="n"/>
      <c r="R34" s="19" t="n"/>
      <c r="S34" s="19" t="n"/>
      <c r="T34" s="19" t="n"/>
      <c r="U34" s="19" t="n"/>
      <c r="V34" s="19" t="n"/>
      <c r="W34" s="19" t="n"/>
      <c r="X34" s="19" t="n"/>
    </row>
    <row r="35" ht="22" customHeight="1">
      <c r="B35" s="3" t="n">
        <v>31</v>
      </c>
      <c r="C35" s="3" t="inlineStr">
        <is>
          <t>Sidi Kacem</t>
        </is>
      </c>
      <c r="D35" s="3" t="inlineStr">
        <is>
          <t>NOUIRAT</t>
        </is>
      </c>
      <c r="E35" s="3" t="inlineStr">
        <is>
          <t>50-21</t>
        </is>
      </c>
      <c r="F35" s="3" t="inlineStr">
        <is>
          <t>Entretien et réparation des stations de pompage</t>
        </is>
      </c>
      <c r="G35" s="3" t="inlineStr">
        <is>
          <t>Prestation de maintenance des débitmètres et leurs équipements annexes</t>
        </is>
      </c>
      <c r="H35" s="3" t="inlineStr">
        <is>
          <t>Changement du débitmètre Ø 1200mm inondé de la station de pompage E1.</t>
        </is>
      </c>
      <c r="I35" s="4" t="n">
        <v>195000</v>
      </c>
      <c r="J35" s="5" t="n"/>
      <c r="K35" s="5" t="n"/>
      <c r="L35" s="3" t="n"/>
      <c r="M35" s="4">
        <f>IF(L35="","",I35-L35)</f>
        <v/>
      </c>
      <c r="N35" s="5">
        <f>IFERROR(IF(L35="","",L35/I35),"")</f>
        <v/>
      </c>
      <c r="O35" s="6">
        <f>IFERROR(IF(OR(J35="",K35=""),"",J35-K35),"")</f>
        <v/>
      </c>
      <c r="P35" s="3" t="n"/>
      <c r="Q35" s="3" t="n"/>
      <c r="R35" s="19" t="n"/>
      <c r="S35" s="19" t="n"/>
      <c r="T35" s="19" t="n"/>
      <c r="U35" s="19" t="n"/>
      <c r="V35" s="19" t="n"/>
      <c r="W35" s="19" t="n"/>
      <c r="X35" s="19" t="n"/>
    </row>
    <row r="36" ht="22" customHeight="1">
      <c r="B36" s="7" t="n">
        <v>32</v>
      </c>
      <c r="C36" s="7" t="inlineStr">
        <is>
          <t>Sidi Kacem</t>
        </is>
      </c>
      <c r="D36" s="7" t="inlineStr">
        <is>
          <t>NOUIRAT</t>
        </is>
      </c>
      <c r="E36" s="7" t="inlineStr">
        <is>
          <t>50-21</t>
        </is>
      </c>
      <c r="F36" s="7" t="inlineStr">
        <is>
          <t>Entretien et réparation des stations de pompage</t>
        </is>
      </c>
      <c r="G36" s="7" t="inlineStr">
        <is>
          <t>Prestations de maintenance des moteurs électriques des stations de pompage.</t>
        </is>
      </c>
      <c r="H36" s="7" t="inlineStr">
        <is>
          <t>Révision des deux moteurs électriques principaux de la station E1.</t>
        </is>
      </c>
      <c r="I36" s="8" t="n">
        <v>50000</v>
      </c>
      <c r="J36" s="9" t="n"/>
      <c r="K36" s="9" t="n"/>
      <c r="L36" s="7" t="n"/>
      <c r="M36" s="8">
        <f>IF(L36="","",I36-L36)</f>
        <v/>
      </c>
      <c r="N36" s="9">
        <f>IFERROR(IF(L36="","",L36/I36),"")</f>
        <v/>
      </c>
      <c r="O36" s="10">
        <f>IFERROR(IF(OR(J36="",K36=""),"",J36-K36),"")</f>
        <v/>
      </c>
      <c r="P36" s="7" t="n"/>
      <c r="Q36" s="7" t="n"/>
      <c r="R36" s="19" t="n"/>
      <c r="S36" s="19" t="n"/>
      <c r="T36" s="19" t="n"/>
      <c r="U36" s="19" t="n"/>
      <c r="V36" s="19" t="n"/>
      <c r="W36" s="19" t="n"/>
      <c r="X36" s="19" t="n"/>
    </row>
    <row r="37" ht="22" customHeight="1">
      <c r="B37" s="3" t="n">
        <v>33</v>
      </c>
      <c r="C37" s="3" t="inlineStr">
        <is>
          <t>Sidi Kacem</t>
        </is>
      </c>
      <c r="D37" s="3" t="inlineStr">
        <is>
          <t>NOUIRAT</t>
        </is>
      </c>
      <c r="E37" s="3" t="inlineStr">
        <is>
          <t>50-21</t>
        </is>
      </c>
      <c r="F37" s="3" t="inlineStr">
        <is>
          <t>Entretien et réparation des stations de pompage</t>
        </is>
      </c>
      <c r="G37" s="3" t="inlineStr">
        <is>
          <t>Prestations de maintenance et de réparation mécanique des pompes et des groupes motopompes submersibles</t>
        </is>
      </c>
      <c r="H37" s="3" t="inlineStr">
        <is>
          <t>Démontage et expertise des cinq pompes principaux et pompes a vide de la station E1.</t>
        </is>
      </c>
      <c r="I37" s="4" t="n">
        <v>245000</v>
      </c>
      <c r="J37" s="5" t="n"/>
      <c r="K37" s="5" t="n"/>
      <c r="L37" s="3" t="n"/>
      <c r="M37" s="4">
        <f>IF(L37="","",I37-L37)</f>
        <v/>
      </c>
      <c r="N37" s="5">
        <f>IFERROR(IF(L37="","",L37/I37),"")</f>
        <v/>
      </c>
      <c r="O37" s="6">
        <f>IFERROR(IF(OR(J37="",K37=""),"",J37-K37),"")</f>
        <v/>
      </c>
      <c r="P37" s="3" t="n"/>
      <c r="Q37" s="3" t="n"/>
      <c r="R37" s="19" t="n"/>
      <c r="S37" s="19" t="n"/>
      <c r="T37" s="19" t="n"/>
      <c r="U37" s="19" t="n"/>
      <c r="V37" s="19" t="n"/>
      <c r="W37" s="19" t="n"/>
      <c r="X37" s="19" t="n"/>
    </row>
    <row r="38" ht="22" customHeight="1">
      <c r="B38" s="7" t="n">
        <v>34</v>
      </c>
      <c r="C38" s="7" t="inlineStr">
        <is>
          <t>Sidi Kacem</t>
        </is>
      </c>
      <c r="D38" s="7" t="inlineStr">
        <is>
          <t>NOUIRAT</t>
        </is>
      </c>
      <c r="E38" s="7" t="inlineStr">
        <is>
          <t>50-21</t>
        </is>
      </c>
      <c r="F38" s="7" t="inlineStr">
        <is>
          <t>Entretien et réparation des stations de pompage</t>
        </is>
      </c>
      <c r="G38" s="7" t="inlineStr">
        <is>
          <t>Génie civile des locaux des stations de pompage.</t>
        </is>
      </c>
      <c r="H38" s="7" t="inlineStr">
        <is>
          <t>Expertise d'état et d'étanchéité des locaux pompes de la station de pompage E1.</t>
        </is>
      </c>
      <c r="I38" s="8" t="n">
        <v>1000000</v>
      </c>
      <c r="J38" s="9" t="n"/>
      <c r="K38" s="9" t="n"/>
      <c r="L38" s="7" t="n"/>
      <c r="M38" s="8">
        <f>IF(L38="","",I38-L38)</f>
        <v/>
      </c>
      <c r="N38" s="9">
        <f>IFERROR(IF(L38="","",L38/I38),"")</f>
        <v/>
      </c>
      <c r="O38" s="10">
        <f>IFERROR(IF(OR(J38="",K38=""),"",J38-K38),"")</f>
        <v/>
      </c>
      <c r="P38" s="7" t="n"/>
      <c r="Q38" s="7" t="n"/>
      <c r="R38" s="19" t="n"/>
      <c r="S38" s="19" t="n"/>
      <c r="T38" s="19" t="n"/>
      <c r="U38" s="19" t="n"/>
      <c r="V38" s="19" t="n"/>
      <c r="W38" s="19" t="n"/>
      <c r="X38" s="19" t="n"/>
    </row>
    <row r="39" ht="22" customHeight="1">
      <c r="B39" s="3" t="n">
        <v>35</v>
      </c>
      <c r="C39" s="3" t="inlineStr">
        <is>
          <t>Sidi Kacem</t>
        </is>
      </c>
      <c r="D39" s="3" t="inlineStr">
        <is>
          <t>RMILAT</t>
        </is>
      </c>
      <c r="E39" s="3" t="inlineStr">
        <is>
          <t>50-23</t>
        </is>
      </c>
      <c r="F39" s="3" t="inlineStr">
        <is>
          <t>Entretien et réparation du réseau d'assainissement et de drainage</t>
        </is>
      </c>
      <c r="G39" s="3" t="inlineStr">
        <is>
          <t>Travaux de curage des canaux en terre</t>
        </is>
      </c>
      <c r="H39" s="3" t="inlineStr">
        <is>
          <t>Curage des collecteurs d'assainissement des secteurs P7</t>
        </is>
      </c>
      <c r="I39" s="4" t="n">
        <v>5024032</v>
      </c>
      <c r="J39" s="5" t="n"/>
      <c r="K39" s="5" t="n"/>
      <c r="L39" s="3" t="n"/>
      <c r="M39" s="4">
        <f>IF(L39="","",I39-L39)</f>
        <v/>
      </c>
      <c r="N39" s="5">
        <f>IFERROR(IF(L39="","",L39/I39),"")</f>
        <v/>
      </c>
      <c r="O39" s="6">
        <f>IFERROR(IF(OR(J39="",K39=""),"",J39-K39),"")</f>
        <v/>
      </c>
      <c r="P39" s="3" t="n"/>
      <c r="Q39" s="3" t="n"/>
      <c r="R39" s="19" t="n"/>
      <c r="S39" s="19" t="n"/>
      <c r="T39" s="19" t="n"/>
      <c r="U39" s="19" t="n"/>
      <c r="V39" s="19" t="n"/>
      <c r="W39" s="19" t="n"/>
      <c r="X39" s="19" t="n"/>
    </row>
    <row r="40" ht="22" customHeight="1">
      <c r="B40" s="7" t="n">
        <v>36</v>
      </c>
      <c r="C40" s="7" t="inlineStr">
        <is>
          <t>Sidi Kacem</t>
        </is>
      </c>
      <c r="D40" s="7" t="inlineStr">
        <is>
          <t>RMILAT</t>
        </is>
      </c>
      <c r="E40" s="7" t="inlineStr">
        <is>
          <t>40-21</t>
        </is>
      </c>
      <c r="F40" s="7" t="inlineStr">
        <is>
          <t>Travaux de pistes</t>
        </is>
      </c>
      <c r="G40" s="7" t="inlineStr">
        <is>
          <t>Entretien des pistes agricoles</t>
        </is>
      </c>
      <c r="H40" s="7" t="inlineStr">
        <is>
          <t>Entretien des pistes agricoles</t>
        </is>
      </c>
      <c r="I40" s="8" t="n">
        <v>400000</v>
      </c>
      <c r="J40" s="9" t="n"/>
      <c r="K40" s="9" t="n"/>
      <c r="L40" s="7" t="n"/>
      <c r="M40" s="8">
        <f>IF(L40="","",I40-L40)</f>
        <v/>
      </c>
      <c r="N40" s="9">
        <f>IFERROR(IF(L40="","",L40/I40),"")</f>
        <v/>
      </c>
      <c r="O40" s="10">
        <f>IFERROR(IF(OR(J40="",K40=""),"",J40-K40),"")</f>
        <v/>
      </c>
      <c r="P40" s="7" t="n"/>
      <c r="Q40" s="7" t="n"/>
      <c r="R40" s="19" t="n"/>
      <c r="S40" s="19" t="n"/>
      <c r="T40" s="19" t="n"/>
      <c r="U40" s="19" t="n"/>
      <c r="V40" s="19" t="n"/>
      <c r="W40" s="19" t="n"/>
      <c r="X40" s="19" t="n"/>
    </row>
    <row r="41" ht="22" customHeight="1">
      <c r="B41" s="3" t="n">
        <v>37</v>
      </c>
      <c r="C41" s="3" t="inlineStr">
        <is>
          <t>Sidi Kacem</t>
        </is>
      </c>
      <c r="D41" s="3" t="inlineStr">
        <is>
          <t>SAFSAF</t>
        </is>
      </c>
      <c r="E41" s="3" t="inlineStr">
        <is>
          <t>50-23</t>
        </is>
      </c>
      <c r="F41" s="3" t="inlineStr">
        <is>
          <t>Entretien et réparation du réseau d'assainissement et de drainage</t>
        </is>
      </c>
      <c r="G41" s="3" t="inlineStr">
        <is>
          <t>Travaux de curage des canaux en terre</t>
        </is>
      </c>
      <c r="H41" s="3" t="inlineStr">
        <is>
          <t>Curage des collecteurs d'assainissement des secteurs S7, S9 et S11</t>
        </is>
      </c>
      <c r="I41" s="4" t="n">
        <v>6000000</v>
      </c>
      <c r="J41" s="5" t="n"/>
      <c r="K41" s="5" t="n"/>
      <c r="L41" s="3" t="n"/>
      <c r="M41" s="4">
        <f>IF(L41="","",I41-L41)</f>
        <v/>
      </c>
      <c r="N41" s="5">
        <f>IFERROR(IF(L41="","",L41/I41),"")</f>
        <v/>
      </c>
      <c r="O41" s="6">
        <f>IFERROR(IF(OR(J41="",K41=""),"",J41-K41),"")</f>
        <v/>
      </c>
      <c r="P41" s="3" t="n"/>
      <c r="Q41" s="3" t="n"/>
      <c r="R41" s="19" t="n"/>
      <c r="S41" s="19" t="n"/>
      <c r="T41" s="19" t="n"/>
      <c r="U41" s="19" t="n"/>
      <c r="V41" s="19" t="n"/>
      <c r="W41" s="19" t="n"/>
      <c r="X41" s="19" t="n"/>
    </row>
    <row r="42" ht="22" customHeight="1">
      <c r="B42" s="7" t="n">
        <v>38</v>
      </c>
      <c r="C42" s="7" t="inlineStr">
        <is>
          <t>Sidi Kacem</t>
        </is>
      </c>
      <c r="D42" s="7" t="inlineStr">
        <is>
          <t>SAFSAF</t>
        </is>
      </c>
      <c r="E42" s="7" t="inlineStr">
        <is>
          <t>20-11</t>
        </is>
      </c>
      <c r="F42" s="7" t="inlineStr">
        <is>
          <t>Travaux de réhabilitation des équipements</t>
        </is>
      </c>
      <c r="G42" s="7" t="inlineStr">
        <is>
          <t>Travaux de réhabilitation des canaux portés d'irrigation</t>
        </is>
      </c>
      <c r="H42" s="7" t="inlineStr">
        <is>
          <t>Fourniture et pose de canaux porté et accessoires du réseau S4 du secteur S11</t>
        </is>
      </c>
      <c r="I42" s="8" t="n">
        <v>232266</v>
      </c>
      <c r="J42" s="9" t="n"/>
      <c r="K42" s="9" t="n"/>
      <c r="L42" s="7" t="n"/>
      <c r="M42" s="8">
        <f>IF(L42="","",I42-L42)</f>
        <v/>
      </c>
      <c r="N42" s="9">
        <f>IFERROR(IF(L42="","",L42/I42),"")</f>
        <v/>
      </c>
      <c r="O42" s="10">
        <f>IFERROR(IF(OR(J42="",K42=""),"",J42-K42),"")</f>
        <v/>
      </c>
      <c r="P42" s="7" t="n"/>
      <c r="Q42" s="7" t="n"/>
      <c r="R42" s="19" t="n"/>
      <c r="S42" s="19" t="n"/>
      <c r="T42" s="19" t="n"/>
      <c r="U42" s="19" t="n"/>
      <c r="V42" s="19" t="n"/>
      <c r="W42" s="19" t="n"/>
      <c r="X42" s="19" t="n"/>
    </row>
    <row r="43" ht="22" customHeight="1">
      <c r="B43" s="3" t="n">
        <v>39</v>
      </c>
      <c r="C43" s="3" t="inlineStr">
        <is>
          <t>Sidi Kacem</t>
        </is>
      </c>
      <c r="D43" s="3" t="inlineStr">
        <is>
          <t>SAFSAF</t>
        </is>
      </c>
      <c r="E43" s="3" t="inlineStr">
        <is>
          <t>20-11</t>
        </is>
      </c>
      <c r="F43" s="3" t="inlineStr">
        <is>
          <t>Travaux de réhabilitation des équipements</t>
        </is>
      </c>
      <c r="G43" s="3" t="inlineStr"/>
      <c r="H43" s="3" t="inlineStr">
        <is>
          <t>Recalage des canaux portés du réseau T5S5 du secteur S9</t>
        </is>
      </c>
      <c r="I43" s="4" t="n">
        <v>1055025</v>
      </c>
      <c r="J43" s="5" t="n"/>
      <c r="K43" s="5" t="n"/>
      <c r="L43" s="3" t="n"/>
      <c r="M43" s="4">
        <f>IF(L43="","",I43-L43)</f>
        <v/>
      </c>
      <c r="N43" s="5">
        <f>IFERROR(IF(L43="","",L43/I43),"")</f>
        <v/>
      </c>
      <c r="O43" s="6">
        <f>IFERROR(IF(OR(J43="",K43=""),"",J43-K43),"")</f>
        <v/>
      </c>
      <c r="P43" s="3" t="n"/>
      <c r="Q43" s="3" t="n"/>
      <c r="R43" s="19" t="n"/>
      <c r="S43" s="19" t="n"/>
      <c r="T43" s="19" t="n"/>
      <c r="U43" s="19" t="n"/>
      <c r="V43" s="19" t="n"/>
      <c r="W43" s="19" t="n"/>
      <c r="X43" s="19" t="n"/>
    </row>
    <row r="44" ht="22" customHeight="1">
      <c r="B44" s="7" t="n">
        <v>40</v>
      </c>
      <c r="C44" s="7" t="inlineStr">
        <is>
          <t>Sidi Kacem</t>
        </is>
      </c>
      <c r="D44" s="7" t="inlineStr">
        <is>
          <t>SAFSAF</t>
        </is>
      </c>
      <c r="E44" s="7" t="inlineStr">
        <is>
          <t>20-11</t>
        </is>
      </c>
      <c r="F44" s="7" t="inlineStr">
        <is>
          <t>Travaux de réhabilitation des équipements</t>
        </is>
      </c>
      <c r="G44" s="7" t="inlineStr"/>
      <c r="H44" s="7" t="inlineStr">
        <is>
          <t>Recalage des canaux portés du réseau T7S5 du secteur S9</t>
        </is>
      </c>
      <c r="I44" s="8" t="n">
        <v>1004535</v>
      </c>
      <c r="J44" s="9" t="n"/>
      <c r="K44" s="9" t="n"/>
      <c r="L44" s="7" t="n"/>
      <c r="M44" s="8">
        <f>IF(L44="","",I44-L44)</f>
        <v/>
      </c>
      <c r="N44" s="9">
        <f>IFERROR(IF(L44="","",L44/I44),"")</f>
        <v/>
      </c>
      <c r="O44" s="10">
        <f>IFERROR(IF(OR(J44="",K44=""),"",J44-K44),"")</f>
        <v/>
      </c>
      <c r="P44" s="7" t="n"/>
      <c r="Q44" s="7" t="n"/>
      <c r="R44" s="19" t="n"/>
      <c r="S44" s="19" t="n"/>
      <c r="T44" s="19" t="n"/>
      <c r="U44" s="19" t="n"/>
      <c r="V44" s="19" t="n"/>
      <c r="W44" s="19" t="n"/>
      <c r="X44" s="19" t="n"/>
    </row>
    <row r="45" ht="22" customHeight="1">
      <c r="B45" s="3" t="n">
        <v>41</v>
      </c>
      <c r="C45" s="3" t="inlineStr">
        <is>
          <t>Sidi Kacem</t>
        </is>
      </c>
      <c r="D45" s="3" t="inlineStr">
        <is>
          <t>SAFSAF</t>
        </is>
      </c>
      <c r="E45" s="3" t="inlineStr">
        <is>
          <t>20-11</t>
        </is>
      </c>
      <c r="F45" s="3" t="inlineStr">
        <is>
          <t>Travaux de réhabilitation des équipements</t>
        </is>
      </c>
      <c r="G45" s="3" t="inlineStr"/>
      <c r="H45" s="3" t="inlineStr">
        <is>
          <t>Recalage des canaux portés du réseau T2S5 du secteur S9</t>
        </is>
      </c>
      <c r="I45" s="4" t="n">
        <v>793830</v>
      </c>
      <c r="J45" s="5" t="n"/>
      <c r="K45" s="5" t="n"/>
      <c r="L45" s="3" t="n"/>
      <c r="M45" s="4">
        <f>IF(L45="","",I45-L45)</f>
        <v/>
      </c>
      <c r="N45" s="5">
        <f>IFERROR(IF(L45="","",L45/I45),"")</f>
        <v/>
      </c>
      <c r="O45" s="6">
        <f>IFERROR(IF(OR(J45="",K45=""),"",J45-K45),"")</f>
        <v/>
      </c>
      <c r="P45" s="3" t="n"/>
      <c r="Q45" s="3" t="n"/>
      <c r="R45" s="19" t="n"/>
      <c r="S45" s="19" t="n"/>
      <c r="T45" s="19" t="n"/>
      <c r="U45" s="19" t="n"/>
      <c r="V45" s="19" t="n"/>
      <c r="W45" s="19" t="n"/>
      <c r="X45" s="19" t="n"/>
    </row>
    <row r="46" ht="22" customHeight="1">
      <c r="B46" s="7" t="n">
        <v>42</v>
      </c>
      <c r="C46" s="7" t="inlineStr">
        <is>
          <t>Sidi Kacem</t>
        </is>
      </c>
      <c r="D46" s="7" t="inlineStr">
        <is>
          <t>SAFSAF</t>
        </is>
      </c>
      <c r="E46" s="7" t="inlineStr">
        <is>
          <t>40-21</t>
        </is>
      </c>
      <c r="F46" s="7" t="inlineStr">
        <is>
          <t>Travaux de pistes</t>
        </is>
      </c>
      <c r="G46" s="7" t="inlineStr">
        <is>
          <t>Entretien des pistes agricoles</t>
        </is>
      </c>
      <c r="H46" s="7" t="inlineStr">
        <is>
          <t>Entretien des pistes agricoles</t>
        </is>
      </c>
      <c r="I46" s="8" t="n">
        <v>2000000</v>
      </c>
      <c r="J46" s="9" t="n"/>
      <c r="K46" s="9" t="n"/>
      <c r="L46" s="7" t="n"/>
      <c r="M46" s="8">
        <f>IF(L46="","",I46-L46)</f>
        <v/>
      </c>
      <c r="N46" s="9">
        <f>IFERROR(IF(L46="","",L46/I46),"")</f>
        <v/>
      </c>
      <c r="O46" s="10">
        <f>IFERROR(IF(OR(J46="",K46=""),"",J46-K46),"")</f>
        <v/>
      </c>
      <c r="P46" s="7" t="n"/>
      <c r="Q46" s="7" t="n"/>
      <c r="R46" s="19" t="n"/>
      <c r="S46" s="19" t="n"/>
      <c r="T46" s="19" t="n"/>
      <c r="U46" s="19" t="n"/>
      <c r="V46" s="19" t="n"/>
      <c r="W46" s="19" t="n"/>
      <c r="X46" s="19" t="n"/>
    </row>
    <row r="47" ht="22" customHeight="1">
      <c r="B47" s="3" t="n">
        <v>43</v>
      </c>
      <c r="C47" s="3" t="inlineStr">
        <is>
          <t>Sidi Kacem</t>
        </is>
      </c>
      <c r="D47" s="3" t="inlineStr">
        <is>
          <t>SAFSAF</t>
        </is>
      </c>
      <c r="E47" s="3" t="inlineStr">
        <is>
          <t>50-23</t>
        </is>
      </c>
      <c r="F47" s="3" t="inlineStr">
        <is>
          <t>Entretien et réparation du réseau d'assainissement et de drainage</t>
        </is>
      </c>
      <c r="G47" s="3" t="inlineStr">
        <is>
          <t>Curage des prises sur l'oued, bâche d'aspiration et bassin de régulation.</t>
        </is>
      </c>
      <c r="H47" s="3" t="inlineStr">
        <is>
          <t>Curage des prises sur l'oued des stations de pompage S11, S9, 7D et 7B.</t>
        </is>
      </c>
      <c r="I47" s="4" t="n">
        <v>200000</v>
      </c>
      <c r="J47" s="5" t="n"/>
      <c r="K47" s="5" t="n"/>
      <c r="L47" s="3" t="n"/>
      <c r="M47" s="4">
        <f>IF(L47="","",I47-L47)</f>
        <v/>
      </c>
      <c r="N47" s="5">
        <f>IFERROR(IF(L47="","",L47/I47),"")</f>
        <v/>
      </c>
      <c r="O47" s="6">
        <f>IFERROR(IF(OR(J47="",K47=""),"",J47-K47),"")</f>
        <v/>
      </c>
      <c r="P47" s="3" t="n"/>
      <c r="Q47" s="3" t="n"/>
      <c r="R47" s="19" t="n"/>
      <c r="S47" s="19" t="n"/>
      <c r="T47" s="19" t="n"/>
      <c r="U47" s="19" t="n"/>
      <c r="V47" s="19" t="n"/>
      <c r="W47" s="19" t="n"/>
      <c r="X47" s="19" t="n"/>
    </row>
    <row r="48" ht="22" customHeight="1">
      <c r="B48" s="7" t="n">
        <v>44</v>
      </c>
      <c r="C48" s="7" t="inlineStr">
        <is>
          <t>Sidi Kacem</t>
        </is>
      </c>
      <c r="D48" s="7" t="inlineStr">
        <is>
          <t>SAFSAF</t>
        </is>
      </c>
      <c r="E48" s="7" t="inlineStr">
        <is>
          <t>50-21</t>
        </is>
      </c>
      <c r="F48" s="7" t="inlineStr">
        <is>
          <t>Entretien et réparation des stations de pompage</t>
        </is>
      </c>
      <c r="G48" s="7" t="inlineStr">
        <is>
          <t>Prestation de maintenance des débitmètres et leurs équipements annexes</t>
        </is>
      </c>
      <c r="H48" s="7" t="inlineStr">
        <is>
          <t>Changements Sept des débitmètres Ø 600mm inondé des deux stations de pompage S11 et S9.</t>
        </is>
      </c>
      <c r="I48" s="8" t="n">
        <v>580000</v>
      </c>
      <c r="J48" s="9" t="n"/>
      <c r="K48" s="9" t="n"/>
      <c r="L48" s="7" t="n"/>
      <c r="M48" s="8">
        <f>IF(L48="","",I48-L48)</f>
        <v/>
      </c>
      <c r="N48" s="9">
        <f>IFERROR(IF(L48="","",L48/I48),"")</f>
        <v/>
      </c>
      <c r="O48" s="10">
        <f>IFERROR(IF(OR(J48="",K48=""),"",J48-K48),"")</f>
        <v/>
      </c>
      <c r="P48" s="7" t="n"/>
      <c r="Q48" s="7" t="n"/>
      <c r="R48" s="19" t="n"/>
      <c r="S48" s="19" t="n"/>
      <c r="T48" s="19" t="n"/>
      <c r="U48" s="19" t="n"/>
      <c r="V48" s="19" t="n"/>
      <c r="W48" s="19" t="n"/>
      <c r="X48" s="19" t="n"/>
    </row>
    <row r="49" ht="22" customHeight="1">
      <c r="B49" s="3" t="n">
        <v>45</v>
      </c>
      <c r="C49" s="3" t="inlineStr">
        <is>
          <t>Sidi Kacem</t>
        </is>
      </c>
      <c r="D49" s="3" t="inlineStr">
        <is>
          <t>SAFSAF</t>
        </is>
      </c>
      <c r="E49" s="3" t="inlineStr">
        <is>
          <t>50-21</t>
        </is>
      </c>
      <c r="F49" s="3" t="inlineStr">
        <is>
          <t>Entretien et réparation des stations de pompage</t>
        </is>
      </c>
      <c r="G49" s="3" t="inlineStr">
        <is>
          <t>Stabilisation Berge oued</t>
        </is>
      </c>
      <c r="H49" s="3" t="inlineStr">
        <is>
          <t>Pose de murs en gabions et recouvrement du talus par matelas Reno des stations de pompage S11, S9, 7D et 7B.</t>
        </is>
      </c>
      <c r="I49" s="4" t="n">
        <v>4000000</v>
      </c>
      <c r="J49" s="5" t="n"/>
      <c r="K49" s="5" t="n"/>
      <c r="L49" s="3" t="n"/>
      <c r="M49" s="4">
        <f>IF(L49="","",I49-L49)</f>
        <v/>
      </c>
      <c r="N49" s="5">
        <f>IFERROR(IF(L49="","",L49/I49),"")</f>
        <v/>
      </c>
      <c r="O49" s="6">
        <f>IFERROR(IF(OR(J49="",K49=""),"",J49-K49),"")</f>
        <v/>
      </c>
      <c r="P49" s="3" t="n"/>
      <c r="Q49" s="3" t="n"/>
      <c r="R49" s="19" t="n"/>
      <c r="S49" s="19" t="n"/>
      <c r="T49" s="19" t="n"/>
      <c r="U49" s="19" t="n"/>
      <c r="V49" s="19" t="n"/>
      <c r="W49" s="19" t="n"/>
      <c r="X49" s="19" t="n"/>
    </row>
    <row r="50" ht="22" customHeight="1">
      <c r="B50" s="7" t="n">
        <v>46</v>
      </c>
      <c r="C50" s="7" t="inlineStr">
        <is>
          <t>Sidi Kacem</t>
        </is>
      </c>
      <c r="D50" s="7" t="inlineStr">
        <is>
          <t>SIDI AZZOUZ</t>
        </is>
      </c>
      <c r="E50" s="7" t="inlineStr">
        <is>
          <t>40-21</t>
        </is>
      </c>
      <c r="F50" s="7" t="inlineStr">
        <is>
          <t>Travaux de pistes</t>
        </is>
      </c>
      <c r="G50" s="7" t="inlineStr">
        <is>
          <t>Entretien des pistes agricoles</t>
        </is>
      </c>
      <c r="H50" s="7" t="inlineStr">
        <is>
          <t>Entretien des pistes agricoles</t>
        </is>
      </c>
      <c r="I50" s="8" t="n">
        <v>655000</v>
      </c>
      <c r="J50" s="9" t="n"/>
      <c r="K50" s="9" t="n"/>
      <c r="L50" s="7" t="n"/>
      <c r="M50" s="8">
        <f>IF(L50="","",I50-L50)</f>
        <v/>
      </c>
      <c r="N50" s="9">
        <f>IFERROR(IF(L50="","",L50/I50),"")</f>
        <v/>
      </c>
      <c r="O50" s="10">
        <f>IFERROR(IF(OR(J50="",K50=""),"",J50-K50),"")</f>
        <v/>
      </c>
      <c r="P50" s="7" t="n"/>
      <c r="Q50" s="7" t="n"/>
      <c r="R50" s="19" t="n"/>
      <c r="S50" s="19" t="n"/>
      <c r="T50" s="19" t="n"/>
      <c r="U50" s="19" t="n"/>
      <c r="V50" s="19" t="n"/>
      <c r="W50" s="19" t="n"/>
      <c r="X50" s="19" t="n"/>
    </row>
    <row r="51" ht="22" customHeight="1">
      <c r="B51" s="3" t="n">
        <v>47</v>
      </c>
      <c r="C51" s="3" t="inlineStr">
        <is>
          <t>Sidi Kacem</t>
        </is>
      </c>
      <c r="D51" s="3" t="inlineStr">
        <is>
          <t>SIDI EL KAMEL</t>
        </is>
      </c>
      <c r="E51" s="3" t="inlineStr">
        <is>
          <t>20-11</t>
        </is>
      </c>
      <c r="F51" s="3" t="inlineStr">
        <is>
          <t>Travaux de réhabilitation des équipements</t>
        </is>
      </c>
      <c r="G51" s="3" t="inlineStr">
        <is>
          <t>Travaux de réhabilitation des canaux portés d'irrigation</t>
        </is>
      </c>
      <c r="H51" s="3" t="inlineStr">
        <is>
          <t>Fourniture et de pose de canaux porté et accessoires du réseau SR4 du secteur S3R</t>
        </is>
      </c>
      <c r="I51" s="4" t="n">
        <v>5182920</v>
      </c>
      <c r="J51" s="5" t="n"/>
      <c r="K51" s="5" t="n"/>
      <c r="L51" s="3" t="n"/>
      <c r="M51" s="4">
        <f>IF(L51="","",I51-L51)</f>
        <v/>
      </c>
      <c r="N51" s="5">
        <f>IFERROR(IF(L51="","",L51/I51),"")</f>
        <v/>
      </c>
      <c r="O51" s="6">
        <f>IFERROR(IF(OR(J51="",K51=""),"",J51-K51),"")</f>
        <v/>
      </c>
      <c r="P51" s="3" t="n"/>
      <c r="Q51" s="3" t="n"/>
      <c r="R51" s="19" t="n"/>
      <c r="S51" s="19" t="n"/>
      <c r="T51" s="19" t="n"/>
      <c r="U51" s="19" t="n"/>
      <c r="V51" s="19" t="n"/>
      <c r="W51" s="19" t="n"/>
      <c r="X51" s="19" t="n"/>
    </row>
    <row r="52" ht="22" customHeight="1">
      <c r="B52" s="7" t="n">
        <v>48</v>
      </c>
      <c r="C52" s="7" t="inlineStr">
        <is>
          <t>Sidi Kacem</t>
        </is>
      </c>
      <c r="D52" s="7" t="inlineStr">
        <is>
          <t>SIDI EL KAMEL</t>
        </is>
      </c>
      <c r="E52" s="7" t="inlineStr">
        <is>
          <t>20-11</t>
        </is>
      </c>
      <c r="F52" s="7" t="inlineStr">
        <is>
          <t>Travaux de réhabilitation des équipements</t>
        </is>
      </c>
      <c r="G52" s="7" t="inlineStr"/>
      <c r="H52" s="7" t="inlineStr">
        <is>
          <t>Fourniture et de pose de canaux porté et accessoires du réseau SR6 du secteur S1RIZ</t>
        </is>
      </c>
      <c r="I52" s="8" t="n">
        <v>152818</v>
      </c>
      <c r="J52" s="9" t="n"/>
      <c r="K52" s="9" t="n"/>
      <c r="L52" s="7" t="n"/>
      <c r="M52" s="8">
        <f>IF(L52="","",I52-L52)</f>
        <v/>
      </c>
      <c r="N52" s="9">
        <f>IFERROR(IF(L52="","",L52/I52),"")</f>
        <v/>
      </c>
      <c r="O52" s="10">
        <f>IFERROR(IF(OR(J52="",K52=""),"",J52-K52),"")</f>
        <v/>
      </c>
      <c r="P52" s="7" t="n"/>
      <c r="Q52" s="7" t="n"/>
      <c r="R52" s="19" t="n"/>
      <c r="S52" s="19" t="n"/>
      <c r="T52" s="19" t="n"/>
      <c r="U52" s="19" t="n"/>
      <c r="V52" s="19" t="n"/>
      <c r="W52" s="19" t="n"/>
      <c r="X52" s="19" t="n"/>
    </row>
    <row r="53" ht="22" customHeight="1">
      <c r="B53" s="3" t="n">
        <v>49</v>
      </c>
      <c r="C53" s="3" t="inlineStr">
        <is>
          <t>Sidi Kacem</t>
        </is>
      </c>
      <c r="D53" s="3" t="inlineStr">
        <is>
          <t>SIDI EL KAMEL</t>
        </is>
      </c>
      <c r="E53" s="3" t="inlineStr">
        <is>
          <t>20-11</t>
        </is>
      </c>
      <c r="F53" s="3" t="inlineStr">
        <is>
          <t>Travaux de réhabilitation des équipements</t>
        </is>
      </c>
      <c r="G53" s="3" t="inlineStr"/>
      <c r="H53" s="3" t="inlineStr">
        <is>
          <t>Recalage des canaux portés du réseau SR4 du secteur S3R</t>
        </is>
      </c>
      <c r="I53" s="4" t="n">
        <v>1418000</v>
      </c>
      <c r="J53" s="5" t="n"/>
      <c r="K53" s="5" t="n"/>
      <c r="L53" s="3" t="n"/>
      <c r="M53" s="4">
        <f>IF(L53="","",I53-L53)</f>
        <v/>
      </c>
      <c r="N53" s="5">
        <f>IFERROR(IF(L53="","",L53/I53),"")</f>
        <v/>
      </c>
      <c r="O53" s="6">
        <f>IFERROR(IF(OR(J53="",K53=""),"",J53-K53),"")</f>
        <v/>
      </c>
      <c r="P53" s="3" t="n"/>
      <c r="Q53" s="3" t="n"/>
      <c r="R53" s="19" t="n"/>
      <c r="S53" s="19" t="n"/>
      <c r="T53" s="19" t="n"/>
      <c r="U53" s="19" t="n"/>
      <c r="V53" s="19" t="n"/>
      <c r="W53" s="19" t="n"/>
      <c r="X53" s="19" t="n"/>
    </row>
    <row r="54" ht="22" customHeight="1">
      <c r="B54" s="7" t="n">
        <v>50</v>
      </c>
      <c r="C54" s="7" t="inlineStr">
        <is>
          <t>Sidi Kacem</t>
        </is>
      </c>
      <c r="D54" s="7" t="inlineStr">
        <is>
          <t>SIDI EL KAMEL</t>
        </is>
      </c>
      <c r="E54" s="7" t="inlineStr">
        <is>
          <t>20-11</t>
        </is>
      </c>
      <c r="F54" s="7" t="inlineStr">
        <is>
          <t>Travaux de réhabilitation des équipements</t>
        </is>
      </c>
      <c r="G54" s="7" t="inlineStr">
        <is>
          <t>Travaux de réhabilitation des ouvrages de génie civil</t>
        </is>
      </c>
      <c r="H54" s="7" t="inlineStr">
        <is>
          <t>Réhabilitation des murs de soutènements des ouvrages de franchissements du canal d'assainissement CS3</t>
        </is>
      </c>
      <c r="I54" s="8" t="n">
        <v>800000</v>
      </c>
      <c r="J54" s="9" t="n"/>
      <c r="K54" s="9" t="n"/>
      <c r="L54" s="7" t="n"/>
      <c r="M54" s="8">
        <f>IF(L54="","",I54-L54)</f>
        <v/>
      </c>
      <c r="N54" s="9">
        <f>IFERROR(IF(L54="","",L54/I54),"")</f>
        <v/>
      </c>
      <c r="O54" s="10">
        <f>IFERROR(IF(OR(J54="",K54=""),"",J54-K54),"")</f>
        <v/>
      </c>
      <c r="P54" s="7" t="n"/>
      <c r="Q54" s="7" t="n"/>
      <c r="R54" s="19" t="n"/>
      <c r="S54" s="19" t="n"/>
      <c r="T54" s="19" t="n"/>
      <c r="U54" s="19" t="n"/>
      <c r="V54" s="19" t="n"/>
      <c r="W54" s="19" t="n"/>
      <c r="X54" s="19" t="n"/>
    </row>
    <row r="55" ht="22" customHeight="1">
      <c r="B55" s="3" t="n">
        <v>51</v>
      </c>
      <c r="C55" s="3" t="inlineStr">
        <is>
          <t>Sidi Kacem</t>
        </is>
      </c>
      <c r="D55" s="3" t="inlineStr">
        <is>
          <t>SIDI EL KAMEL</t>
        </is>
      </c>
      <c r="E55" s="3" t="inlineStr">
        <is>
          <t>40-21</t>
        </is>
      </c>
      <c r="F55" s="3" t="inlineStr">
        <is>
          <t>Travaux de pistes</t>
        </is>
      </c>
      <c r="G55" s="3" t="inlineStr">
        <is>
          <t>Entretien des pistes agricoles</t>
        </is>
      </c>
      <c r="H55" s="3" t="inlineStr">
        <is>
          <t>Entretien des pistes agricoles</t>
        </is>
      </c>
      <c r="I55" s="4" t="n">
        <v>3700000</v>
      </c>
      <c r="J55" s="5" t="n"/>
      <c r="K55" s="5" t="n"/>
      <c r="L55" s="3" t="n"/>
      <c r="M55" s="4">
        <f>IF(L55="","",I55-L55)</f>
        <v/>
      </c>
      <c r="N55" s="5">
        <f>IFERROR(IF(L55="","",L55/I55),"")</f>
        <v/>
      </c>
      <c r="O55" s="6">
        <f>IFERROR(IF(OR(J55="",K55=""),"",J55-K55),"")</f>
        <v/>
      </c>
      <c r="P55" s="3" t="n"/>
      <c r="Q55" s="3" t="n"/>
      <c r="R55" s="19" t="n"/>
      <c r="S55" s="19" t="n"/>
      <c r="T55" s="19" t="n"/>
      <c r="U55" s="19" t="n"/>
      <c r="V55" s="19" t="n"/>
      <c r="W55" s="19" t="n"/>
      <c r="X55" s="19" t="n"/>
    </row>
    <row r="56" ht="22" customHeight="1">
      <c r="B56" s="7" t="n">
        <v>52</v>
      </c>
      <c r="C56" s="7" t="inlineStr">
        <is>
          <t>Sidi Kacem</t>
        </is>
      </c>
      <c r="D56" s="7" t="inlineStr">
        <is>
          <t>SIDI EL KAMEL</t>
        </is>
      </c>
      <c r="E56" s="7" t="inlineStr">
        <is>
          <t>50-21</t>
        </is>
      </c>
      <c r="F56" s="7" t="inlineStr">
        <is>
          <t>Entretien et réparation des stations de pompage</t>
        </is>
      </c>
      <c r="G56" s="7" t="inlineStr">
        <is>
          <t>Prestation de maintenance des débitmètres et leurs équipements annexes</t>
        </is>
      </c>
      <c r="H56" s="7" t="inlineStr">
        <is>
          <t>Changement de quatre débitmètres Ø 500mm et trois Ø 800mm inondé des stations de pompage 1R, 3R et 5R.</t>
        </is>
      </c>
      <c r="I56" s="8" t="n">
        <v>705000</v>
      </c>
      <c r="J56" s="9" t="n"/>
      <c r="K56" s="9" t="n"/>
      <c r="L56" s="7" t="n"/>
      <c r="M56" s="8">
        <f>IF(L56="","",I56-L56)</f>
        <v/>
      </c>
      <c r="N56" s="9">
        <f>IFERROR(IF(L56="","",L56/I56),"")</f>
        <v/>
      </c>
      <c r="O56" s="10">
        <f>IFERROR(IF(OR(J56="",K56=""),"",J56-K56),"")</f>
        <v/>
      </c>
      <c r="P56" s="7" t="n"/>
      <c r="Q56" s="7" t="n"/>
      <c r="R56" s="19" t="n"/>
      <c r="S56" s="19" t="n"/>
      <c r="T56" s="19" t="n"/>
      <c r="U56" s="19" t="n"/>
      <c r="V56" s="19" t="n"/>
      <c r="W56" s="19" t="n"/>
      <c r="X56" s="19" t="n"/>
    </row>
    <row r="57" ht="22" customHeight="1">
      <c r="B57" s="3" t="n">
        <v>53</v>
      </c>
      <c r="C57" s="3" t="inlineStr">
        <is>
          <t>Sidi Kacem</t>
        </is>
      </c>
      <c r="D57" s="3" t="inlineStr">
        <is>
          <t>SIDI EL KAMEL</t>
        </is>
      </c>
      <c r="E57" s="3" t="inlineStr">
        <is>
          <t>50-21</t>
        </is>
      </c>
      <c r="F57" s="3" t="inlineStr">
        <is>
          <t>Entretien et réparation des stations de pompage</t>
        </is>
      </c>
      <c r="G57" s="3" t="inlineStr">
        <is>
          <t>Mur clôture des stations de pompage.</t>
        </is>
      </c>
      <c r="H57" s="3" t="inlineStr">
        <is>
          <t>Stabilisation et reconstruction des murs clôture cote oued des stations de pompage 7A, 3R et 1R.</t>
        </is>
      </c>
      <c r="I57" s="4" t="n">
        <v>372000</v>
      </c>
      <c r="J57" s="5" t="n"/>
      <c r="K57" s="5" t="n"/>
      <c r="L57" s="3" t="n"/>
      <c r="M57" s="4">
        <f>IF(L57="","",I57-L57)</f>
        <v/>
      </c>
      <c r="N57" s="5">
        <f>IFERROR(IF(L57="","",L57/I57),"")</f>
        <v/>
      </c>
      <c r="O57" s="6">
        <f>IFERROR(IF(OR(J57="",K57=""),"",J57-K57),"")</f>
        <v/>
      </c>
      <c r="P57" s="3" t="n"/>
      <c r="Q57" s="3" t="n"/>
      <c r="R57" s="19" t="n"/>
      <c r="S57" s="19" t="n"/>
      <c r="T57" s="19" t="n"/>
      <c r="U57" s="19" t="n"/>
      <c r="V57" s="19" t="n"/>
      <c r="W57" s="19" t="n"/>
      <c r="X57" s="19" t="n"/>
    </row>
    <row r="58" ht="22" customHeight="1">
      <c r="B58" s="7" t="n">
        <v>54</v>
      </c>
      <c r="C58" s="7" t="inlineStr">
        <is>
          <t>Kénitra</t>
        </is>
      </c>
      <c r="D58" s="7" t="inlineStr">
        <is>
          <t>Bni malek</t>
        </is>
      </c>
      <c r="E58" s="7" t="inlineStr">
        <is>
          <t>50-23</t>
        </is>
      </c>
      <c r="F58" s="7" t="inlineStr">
        <is>
          <t>Entretien et réparation du réseau d'assainissement et de drainage</t>
        </is>
      </c>
      <c r="G58" s="7" t="inlineStr">
        <is>
          <t>Travaux de curage des canaux en terre</t>
        </is>
      </c>
      <c r="H58" s="7" t="inlineStr">
        <is>
          <t>Curage des emissaires et colatures secondaire au niveau des secteurs MDA ET N9</t>
        </is>
      </c>
      <c r="I58" s="8" t="n">
        <v>10000000</v>
      </c>
      <c r="J58" s="9" t="n"/>
      <c r="K58" s="9" t="n"/>
      <c r="L58" s="7" t="n"/>
      <c r="M58" s="8">
        <f>IF(L58="","",I58-L58)</f>
        <v/>
      </c>
      <c r="N58" s="9">
        <f>IFERROR(IF(L58="","",L58/I58),"")</f>
        <v/>
      </c>
      <c r="O58" s="10">
        <f>IFERROR(IF(OR(J58="",K58=""),"",J58-K58),"")</f>
        <v/>
      </c>
      <c r="P58" s="7" t="n"/>
      <c r="Q58" s="7" t="n"/>
      <c r="R58" s="19" t="n"/>
      <c r="S58" s="19" t="n"/>
      <c r="T58" s="19" t="n"/>
      <c r="U58" s="19" t="n"/>
      <c r="V58" s="19" t="n"/>
      <c r="W58" s="19" t="n"/>
      <c r="X58" s="19" t="n"/>
    </row>
    <row r="59" ht="22" customHeight="1">
      <c r="B59" s="3" t="n">
        <v>55</v>
      </c>
      <c r="C59" s="3" t="inlineStr">
        <is>
          <t>Kénitra</t>
        </is>
      </c>
      <c r="D59" s="3" t="inlineStr">
        <is>
          <t>Bni malek</t>
        </is>
      </c>
      <c r="E59" s="3" t="inlineStr">
        <is>
          <t>40-21</t>
        </is>
      </c>
      <c r="F59" s="3" t="inlineStr">
        <is>
          <t>Travaux de pistes</t>
        </is>
      </c>
      <c r="G59" s="3" t="inlineStr">
        <is>
          <t>Travaux de réhabilitation des pistes agricoles</t>
        </is>
      </c>
      <c r="H59" s="3" t="inlineStr">
        <is>
          <t>Entretien des pistes agricoles des secteurs MDA et N3</t>
        </is>
      </c>
      <c r="I59" s="4" t="n">
        <v>2000000</v>
      </c>
      <c r="J59" s="5" t="n"/>
      <c r="K59" s="5" t="n"/>
      <c r="L59" s="3" t="n"/>
      <c r="M59" s="4">
        <f>IF(L59="","",I59-L59)</f>
        <v/>
      </c>
      <c r="N59" s="5">
        <f>IFERROR(IF(L59="","",L59/I59),"")</f>
        <v/>
      </c>
      <c r="O59" s="6">
        <f>IFERROR(IF(OR(J59="",K59=""),"",J59-K59),"")</f>
        <v/>
      </c>
      <c r="P59" s="3" t="n"/>
      <c r="Q59" s="3" t="n"/>
      <c r="R59" s="19" t="n"/>
      <c r="S59" s="19" t="n"/>
      <c r="T59" s="19" t="n"/>
      <c r="U59" s="19" t="n"/>
      <c r="V59" s="19" t="n"/>
      <c r="W59" s="19" t="n"/>
      <c r="X59" s="19" t="n"/>
    </row>
    <row r="60" ht="22" customHeight="1">
      <c r="B60" s="7" t="n">
        <v>56</v>
      </c>
      <c r="C60" s="7" t="inlineStr">
        <is>
          <t>Kénitra</t>
        </is>
      </c>
      <c r="D60" s="7" t="inlineStr">
        <is>
          <t>Bni malek</t>
        </is>
      </c>
      <c r="E60" s="7" t="inlineStr">
        <is>
          <t>50-21</t>
        </is>
      </c>
      <c r="F60" s="7" t="inlineStr">
        <is>
          <t>Entretien et réparation des stations de pompage</t>
        </is>
      </c>
      <c r="G60" s="7" t="inlineStr">
        <is>
          <t>Prestations de maintenance et de réparation mécanique des pompes et des groupes motopompes submersibles</t>
        </is>
      </c>
      <c r="H60" s="7" t="inlineStr">
        <is>
          <t>Station de pompage MDA secteur MDA</t>
        </is>
      </c>
      <c r="I60" s="8" t="n">
        <v>300000</v>
      </c>
      <c r="J60" s="9" t="n"/>
      <c r="K60" s="9" t="n"/>
      <c r="L60" s="7" t="n"/>
      <c r="M60" s="8">
        <f>IF(L60="","",I60-L60)</f>
        <v/>
      </c>
      <c r="N60" s="9">
        <f>IFERROR(IF(L60="","",L60/I60),"")</f>
        <v/>
      </c>
      <c r="O60" s="10">
        <f>IFERROR(IF(OR(J60="",K60=""),"",J60-K60),"")</f>
        <v/>
      </c>
      <c r="P60" s="7" t="n"/>
      <c r="Q60" s="7" t="n"/>
      <c r="R60" s="19" t="n"/>
      <c r="S60" s="19" t="n"/>
      <c r="T60" s="19" t="n"/>
      <c r="U60" s="19" t="n"/>
      <c r="V60" s="19" t="n"/>
      <c r="W60" s="19" t="n"/>
      <c r="X60" s="19" t="n"/>
    </row>
    <row r="61" ht="22" customHeight="1">
      <c r="B61" s="3" t="n">
        <v>57</v>
      </c>
      <c r="C61" s="3" t="inlineStr">
        <is>
          <t>Kénitra</t>
        </is>
      </c>
      <c r="D61" s="3" t="inlineStr">
        <is>
          <t>Bni malek</t>
        </is>
      </c>
      <c r="E61" s="3" t="inlineStr">
        <is>
          <t>20-11</t>
        </is>
      </c>
      <c r="F61" s="3" t="inlineStr">
        <is>
          <t>Travaux de réhabilitation des équipements</t>
        </is>
      </c>
      <c r="G61" s="3" t="inlineStr">
        <is>
          <t>Travaux de réhabilitation des ouvrages de génie civil</t>
        </is>
      </c>
      <c r="H61" s="3" t="inlineStr">
        <is>
          <t>Rétablissement des bornes affaissées des secteurs N2 et N3</t>
        </is>
      </c>
      <c r="I61" s="4" t="n">
        <v>100000</v>
      </c>
      <c r="J61" s="5" t="n"/>
      <c r="K61" s="5" t="n"/>
      <c r="L61" s="3" t="n"/>
      <c r="M61" s="4">
        <f>IF(L61="","",I61-L61)</f>
        <v/>
      </c>
      <c r="N61" s="5">
        <f>IFERROR(IF(L61="","",L61/I61),"")</f>
        <v/>
      </c>
      <c r="O61" s="6">
        <f>IFERROR(IF(OR(J61="",K61=""),"",J61-K61),"")</f>
        <v/>
      </c>
      <c r="P61" s="3" t="n"/>
      <c r="Q61" s="3" t="n"/>
      <c r="R61" s="19" t="n"/>
      <c r="S61" s="19" t="n"/>
      <c r="T61" s="19" t="n"/>
      <c r="U61" s="19" t="n"/>
      <c r="V61" s="19" t="n"/>
      <c r="W61" s="19" t="n"/>
      <c r="X61" s="19" t="n"/>
    </row>
    <row r="62" ht="22" customHeight="1">
      <c r="B62" s="7" t="n">
        <v>58</v>
      </c>
      <c r="C62" s="7" t="inlineStr">
        <is>
          <t>Kénitra</t>
        </is>
      </c>
      <c r="D62" s="7" t="inlineStr">
        <is>
          <t>SOUK TLET</t>
        </is>
      </c>
      <c r="E62" s="7" t="inlineStr">
        <is>
          <t>50-23</t>
        </is>
      </c>
      <c r="F62" s="7" t="inlineStr">
        <is>
          <t>Entretien et réparation du réseau d'assainissement et de drainage</t>
        </is>
      </c>
      <c r="G62" s="7" t="inlineStr">
        <is>
          <t>Travaux de curage des canaux en terre</t>
        </is>
      </c>
      <c r="H62" s="7" t="inlineStr">
        <is>
          <t>Curage des emissaires et colatures secondaire au niveau des secteurs N2,N3 ET N4</t>
        </is>
      </c>
      <c r="I62" s="8" t="n">
        <v>3000000</v>
      </c>
      <c r="J62" s="9" t="n"/>
      <c r="K62" s="9" t="n"/>
      <c r="L62" s="7" t="n"/>
      <c r="M62" s="8">
        <f>IF(L62="","",I62-L62)</f>
        <v/>
      </c>
      <c r="N62" s="9">
        <f>IFERROR(IF(L62="","",L62/I62),"")</f>
        <v/>
      </c>
      <c r="O62" s="10">
        <f>IFERROR(IF(OR(J62="",K62=""),"",J62-K62),"")</f>
        <v/>
      </c>
      <c r="P62" s="7" t="n"/>
      <c r="Q62" s="7" t="n"/>
      <c r="R62" s="19" t="n"/>
      <c r="S62" s="19" t="n"/>
      <c r="T62" s="19" t="n"/>
      <c r="U62" s="19" t="n"/>
      <c r="V62" s="19" t="n"/>
      <c r="W62" s="19" t="n"/>
      <c r="X62" s="19" t="n"/>
    </row>
    <row r="63" ht="22" customHeight="1">
      <c r="B63" s="3" t="n">
        <v>59</v>
      </c>
      <c r="C63" s="3" t="inlineStr">
        <is>
          <t>Kénitra</t>
        </is>
      </c>
      <c r="D63" s="3" t="inlineStr">
        <is>
          <t>SOUK TLET</t>
        </is>
      </c>
      <c r="E63" s="3" t="inlineStr">
        <is>
          <t>40-21</t>
        </is>
      </c>
      <c r="F63" s="3" t="inlineStr">
        <is>
          <t>Travaux de pistes</t>
        </is>
      </c>
      <c r="G63" s="3" t="inlineStr">
        <is>
          <t>Travaux de réhabilitation des pistes agricoles</t>
        </is>
      </c>
      <c r="H63" s="3" t="inlineStr">
        <is>
          <t>Entretien des pistes des secteurs N2,N3,N4 et C4R</t>
        </is>
      </c>
      <c r="I63" s="4" t="n">
        <v>5000000</v>
      </c>
      <c r="J63" s="5" t="n"/>
      <c r="K63" s="5" t="n"/>
      <c r="L63" s="3" t="n"/>
      <c r="M63" s="4">
        <f>IF(L63="","",I63-L63)</f>
        <v/>
      </c>
      <c r="N63" s="5">
        <f>IFERROR(IF(L63="","",L63/I63),"")</f>
        <v/>
      </c>
      <c r="O63" s="6">
        <f>IFERROR(IF(OR(J63="",K63=""),"",J63-K63),"")</f>
        <v/>
      </c>
      <c r="P63" s="3" t="n"/>
      <c r="Q63" s="3" t="n"/>
      <c r="R63" s="19" t="n"/>
      <c r="S63" s="19" t="n"/>
      <c r="T63" s="19" t="n"/>
      <c r="U63" s="19" t="n"/>
      <c r="V63" s="19" t="n"/>
      <c r="W63" s="19" t="n"/>
      <c r="X63" s="19" t="n"/>
    </row>
    <row r="64" ht="22" customHeight="1">
      <c r="B64" s="7" t="n">
        <v>60</v>
      </c>
      <c r="C64" s="7" t="inlineStr">
        <is>
          <t>Kénitra</t>
        </is>
      </c>
      <c r="D64" s="7" t="inlineStr">
        <is>
          <t>Sidi Med Lahmar</t>
        </is>
      </c>
      <c r="E64" s="7" t="inlineStr">
        <is>
          <t>50-23</t>
        </is>
      </c>
      <c r="F64" s="7" t="inlineStr">
        <is>
          <t>Entretien et réparation du réseau d'assainissement et de drainage</t>
        </is>
      </c>
      <c r="G64" s="7" t="inlineStr">
        <is>
          <t>Travaux de curage des canaux en terre</t>
        </is>
      </c>
      <c r="H64" s="7" t="inlineStr">
        <is>
          <t>Curage des emissaires et colatures secondaires secteurs N1</t>
        </is>
      </c>
      <c r="I64" s="8" t="n">
        <v>3000000</v>
      </c>
      <c r="J64" s="9" t="n"/>
      <c r="K64" s="9" t="n"/>
      <c r="L64" s="7" t="n"/>
      <c r="M64" s="8">
        <f>IF(L64="","",I64-L64)</f>
        <v/>
      </c>
      <c r="N64" s="9">
        <f>IFERROR(IF(L64="","",L64/I64),"")</f>
        <v/>
      </c>
      <c r="O64" s="10">
        <f>IFERROR(IF(OR(J64="",K64=""),"",J64-K64),"")</f>
        <v/>
      </c>
      <c r="P64" s="7" t="n"/>
      <c r="Q64" s="7" t="n"/>
      <c r="R64" s="19" t="n"/>
      <c r="S64" s="19" t="n"/>
      <c r="T64" s="19" t="n"/>
      <c r="U64" s="19" t="n"/>
      <c r="V64" s="19" t="n"/>
      <c r="W64" s="19" t="n"/>
      <c r="X64" s="19" t="n"/>
    </row>
    <row r="65" ht="22" customHeight="1">
      <c r="B65" s="3" t="n">
        <v>61</v>
      </c>
      <c r="C65" s="3" t="inlineStr">
        <is>
          <t>Kénitra</t>
        </is>
      </c>
      <c r="D65" s="3" t="inlineStr">
        <is>
          <t>Sidi Med Lahmar</t>
        </is>
      </c>
      <c r="E65" s="3" t="inlineStr">
        <is>
          <t>40-21</t>
        </is>
      </c>
      <c r="F65" s="3" t="inlineStr">
        <is>
          <t>Travaux de pistes</t>
        </is>
      </c>
      <c r="G65" s="3" t="inlineStr">
        <is>
          <t>Travaux de réhabilitation des pistes agricoles</t>
        </is>
      </c>
      <c r="H65" s="3" t="inlineStr">
        <is>
          <t>Entretien des pistes agricoles des secteurs N9 et N1</t>
        </is>
      </c>
      <c r="I65" s="4" t="n">
        <v>3000000</v>
      </c>
      <c r="J65" s="5" t="n"/>
      <c r="K65" s="5" t="n"/>
      <c r="L65" s="3" t="n"/>
      <c r="M65" s="4">
        <f>IF(L65="","",I65-L65)</f>
        <v/>
      </c>
      <c r="N65" s="5">
        <f>IFERROR(IF(L65="","",L65/I65),"")</f>
        <v/>
      </c>
      <c r="O65" s="6">
        <f>IFERROR(IF(OR(J65="",K65=""),"",J65-K65),"")</f>
        <v/>
      </c>
      <c r="P65" s="3" t="n"/>
      <c r="Q65" s="3" t="n"/>
      <c r="R65" s="19" t="n"/>
      <c r="S65" s="19" t="n"/>
      <c r="T65" s="19" t="n"/>
      <c r="U65" s="19" t="n"/>
      <c r="V65" s="19" t="n"/>
      <c r="W65" s="19" t="n"/>
      <c r="X65" s="19" t="n"/>
    </row>
    <row r="66" ht="22" customHeight="1">
      <c r="B66" s="7" t="n">
        <v>62</v>
      </c>
      <c r="C66" s="7" t="inlineStr">
        <is>
          <t>Kénitra</t>
        </is>
      </c>
      <c r="D66" s="7" t="inlineStr">
        <is>
          <t>Mograne</t>
        </is>
      </c>
      <c r="E66" s="7" t="inlineStr">
        <is>
          <t>50-23</t>
        </is>
      </c>
      <c r="F66" s="7" t="inlineStr">
        <is>
          <t>Entretien et réparation du réseau d'assainissement et de drainage</t>
        </is>
      </c>
      <c r="G66" s="7" t="inlineStr">
        <is>
          <t>Travaux de curage des canaux en terre</t>
        </is>
      </c>
      <c r="H66" s="7" t="inlineStr">
        <is>
          <t>Curage des canaux d'assainissement Hors secteur équipé ghoufera et laison beht sebou</t>
        </is>
      </c>
      <c r="I66" s="8" t="n">
        <v>6000000</v>
      </c>
      <c r="J66" s="9" t="n"/>
      <c r="K66" s="9" t="n"/>
      <c r="L66" s="7" t="n"/>
      <c r="M66" s="8">
        <f>IF(L66="","",I66-L66)</f>
        <v/>
      </c>
      <c r="N66" s="9">
        <f>IFERROR(IF(L66="","",L66/I66),"")</f>
        <v/>
      </c>
      <c r="O66" s="10">
        <f>IFERROR(IF(OR(J66="",K66=""),"",J66-K66),"")</f>
        <v/>
      </c>
      <c r="P66" s="7" t="n"/>
      <c r="Q66" s="7" t="n"/>
      <c r="R66" s="19" t="n"/>
      <c r="S66" s="19" t="n"/>
      <c r="T66" s="19" t="n"/>
      <c r="U66" s="19" t="n"/>
      <c r="V66" s="19" t="n"/>
      <c r="W66" s="19" t="n"/>
      <c r="X66" s="19" t="n"/>
    </row>
    <row r="67" ht="22" customHeight="1">
      <c r="B67" s="3" t="n">
        <v>63</v>
      </c>
      <c r="C67" s="3" t="inlineStr">
        <is>
          <t>Kénitra</t>
        </is>
      </c>
      <c r="D67" s="3" t="inlineStr">
        <is>
          <t>Mograne</t>
        </is>
      </c>
      <c r="E67" s="3" t="inlineStr">
        <is>
          <t>40-21</t>
        </is>
      </c>
      <c r="F67" s="3" t="inlineStr">
        <is>
          <t>Travaux de pistes</t>
        </is>
      </c>
      <c r="G67" s="3" t="inlineStr">
        <is>
          <t>Travaux de réhabilitation des pistes agricoles</t>
        </is>
      </c>
      <c r="H67" s="3" t="inlineStr">
        <is>
          <t>Entretien des pistes agricoles des secteurs SEBOU1,SEBOU2, BEHT3 et BEHT4</t>
        </is>
      </c>
      <c r="I67" s="4" t="n">
        <v>6000000</v>
      </c>
      <c r="J67" s="5" t="n"/>
      <c r="K67" s="5" t="n"/>
      <c r="L67" s="3" t="n"/>
      <c r="M67" s="4">
        <f>IF(L67="","",I67-L67)</f>
        <v/>
      </c>
      <c r="N67" s="5">
        <f>IFERROR(IF(L67="","",L67/I67),"")</f>
        <v/>
      </c>
      <c r="O67" s="6">
        <f>IFERROR(IF(OR(J67="",K67=""),"",J67-K67),"")</f>
        <v/>
      </c>
      <c r="P67" s="3" t="n"/>
      <c r="Q67" s="3" t="n"/>
      <c r="R67" s="19" t="n"/>
      <c r="S67" s="19" t="n"/>
      <c r="T67" s="19" t="n"/>
      <c r="U67" s="19" t="n"/>
      <c r="V67" s="19" t="n"/>
      <c r="W67" s="19" t="n"/>
      <c r="X67" s="19" t="n"/>
    </row>
    <row r="68" ht="22" customHeight="1">
      <c r="B68" s="7" t="n">
        <v>64</v>
      </c>
      <c r="C68" s="7" t="inlineStr">
        <is>
          <t>Kénitra</t>
        </is>
      </c>
      <c r="D68" s="7" t="inlineStr">
        <is>
          <t>Sidi allal tazi</t>
        </is>
      </c>
      <c r="E68" s="7" t="inlineStr">
        <is>
          <t>50-23</t>
        </is>
      </c>
      <c r="F68" s="7" t="inlineStr">
        <is>
          <t>Entretien et réparation du réseau d'assainissement et de drainage</t>
        </is>
      </c>
      <c r="G68" s="7" t="inlineStr">
        <is>
          <t>Travaux de curage des canaux en terre</t>
        </is>
      </c>
      <c r="H68" s="7" t="inlineStr">
        <is>
          <t>Curage du canal d'assainissement CK</t>
        </is>
      </c>
      <c r="I68" s="8" t="n">
        <v>3000000</v>
      </c>
      <c r="J68" s="9" t="n"/>
      <c r="K68" s="9" t="n"/>
      <c r="L68" s="7" t="n"/>
      <c r="M68" s="8">
        <f>IF(L68="","",I68-L68)</f>
        <v/>
      </c>
      <c r="N68" s="9">
        <f>IFERROR(IF(L68="","",L68/I68),"")</f>
        <v/>
      </c>
      <c r="O68" s="10">
        <f>IFERROR(IF(OR(J68="",K68=""),"",J68-K68),"")</f>
        <v/>
      </c>
      <c r="P68" s="7" t="n"/>
      <c r="Q68" s="7" t="n"/>
      <c r="R68" s="19" t="n"/>
      <c r="S68" s="19" t="n"/>
      <c r="T68" s="19" t="n"/>
      <c r="U68" s="19" t="n"/>
      <c r="V68" s="19" t="n"/>
      <c r="W68" s="19" t="n"/>
      <c r="X68" s="19" t="n"/>
    </row>
    <row r="69" ht="22" customHeight="1">
      <c r="B69" s="3" t="n">
        <v>65</v>
      </c>
      <c r="C69" s="3" t="inlineStr">
        <is>
          <t>Kénitra</t>
        </is>
      </c>
      <c r="D69" s="3" t="inlineStr">
        <is>
          <t>AMEUR SAFLIA</t>
        </is>
      </c>
      <c r="E69" s="3" t="inlineStr">
        <is>
          <t>50-23</t>
        </is>
      </c>
      <c r="F69" s="3" t="inlineStr">
        <is>
          <t>Entretien et réparation du réseau d'assainissement et de drainage</t>
        </is>
      </c>
      <c r="G69" s="3" t="inlineStr">
        <is>
          <t>Travaux de curage des canaux en terre</t>
        </is>
      </c>
      <c r="H69" s="3" t="inlineStr">
        <is>
          <t>Curage des canaux d'assainissement amont Tiflt Sebou</t>
        </is>
      </c>
      <c r="I69" s="4" t="n">
        <v>1000000</v>
      </c>
      <c r="J69" s="5" t="n"/>
      <c r="K69" s="5" t="n"/>
      <c r="L69" s="3" t="n"/>
      <c r="M69" s="4">
        <f>IF(L69="","",I69-L69)</f>
        <v/>
      </c>
      <c r="N69" s="5">
        <f>IFERROR(IF(L69="","",L69/I69),"")</f>
        <v/>
      </c>
      <c r="O69" s="6">
        <f>IFERROR(IF(OR(J69="",K69=""),"",J69-K69),"")</f>
        <v/>
      </c>
      <c r="P69" s="3" t="n"/>
      <c r="Q69" s="3" t="n"/>
      <c r="R69" s="19" t="n"/>
      <c r="S69" s="19" t="n"/>
      <c r="T69" s="19" t="n"/>
      <c r="U69" s="19" t="n"/>
      <c r="V69" s="19" t="n"/>
      <c r="W69" s="19" t="n"/>
      <c r="X69" s="19" t="n"/>
    </row>
    <row r="70" ht="22" customHeight="1">
      <c r="B70" s="7" t="n">
        <v>66</v>
      </c>
      <c r="C70" s="7" t="inlineStr">
        <is>
          <t>Kénitra</t>
        </is>
      </c>
      <c r="D70" s="7" t="inlineStr">
        <is>
          <t>Oulad SLAMA</t>
        </is>
      </c>
      <c r="E70" s="7" t="inlineStr">
        <is>
          <t>50-23</t>
        </is>
      </c>
      <c r="F70" s="7" t="inlineStr">
        <is>
          <t>Entretien et réparation du réseau d'assainissement et de drainage</t>
        </is>
      </c>
      <c r="G70" s="7" t="inlineStr">
        <is>
          <t>Travaux de curage des canaux en terre</t>
        </is>
      </c>
      <c r="H70" s="7" t="inlineStr">
        <is>
          <t>Curage des canaux d'assainissement debouche Tiflt aval</t>
        </is>
      </c>
      <c r="I70" s="8" t="n">
        <v>1000000</v>
      </c>
      <c r="J70" s="9" t="n"/>
      <c r="K70" s="9" t="n"/>
      <c r="L70" s="7" t="n"/>
      <c r="M70" s="8">
        <f>IF(L70="","",I70-L70)</f>
        <v/>
      </c>
      <c r="N70" s="9">
        <f>IFERROR(IF(L70="","",L70/I70),"")</f>
        <v/>
      </c>
      <c r="O70" s="10">
        <f>IFERROR(IF(OR(J70="",K70=""),"",J70-K70),"")</f>
        <v/>
      </c>
      <c r="P70" s="7" t="n"/>
      <c r="Q70" s="7" t="n"/>
      <c r="R70" s="19" t="n"/>
      <c r="S70" s="19" t="n"/>
      <c r="T70" s="19" t="n"/>
      <c r="U70" s="19" t="n"/>
      <c r="V70" s="19" t="n"/>
      <c r="W70" s="19" t="n"/>
      <c r="X70" s="19" t="n"/>
    </row>
    <row r="71" ht="22" customHeight="1">
      <c r="B71" s="3" t="n">
        <v>67</v>
      </c>
      <c r="C71" s="3" t="inlineStr">
        <is>
          <t>Kénitra</t>
        </is>
      </c>
      <c r="D71" s="3" t="inlineStr">
        <is>
          <t>BHARA Oulad AYAD</t>
        </is>
      </c>
      <c r="E71" s="3" t="inlineStr">
        <is>
          <t>50-23</t>
        </is>
      </c>
      <c r="F71" s="3" t="inlineStr">
        <is>
          <t>Entretien et réparation du réseau d'assainissement et de drainage</t>
        </is>
      </c>
      <c r="G71" s="3" t="inlineStr">
        <is>
          <t>Travaux de curage des canaux en terre</t>
        </is>
      </c>
      <c r="H71" s="3" t="inlineStr">
        <is>
          <t>Curage des canaux d'assainissement canal nador bas et haut segment</t>
        </is>
      </c>
      <c r="I71" s="4" t="n">
        <v>6600000</v>
      </c>
      <c r="J71" s="5" t="n"/>
      <c r="K71" s="5" t="n"/>
      <c r="L71" s="3" t="n"/>
      <c r="M71" s="4">
        <f>IF(L71="","",I71-L71)</f>
        <v/>
      </c>
      <c r="N71" s="5">
        <f>IFERROR(IF(L71="","",L71/I71),"")</f>
        <v/>
      </c>
      <c r="O71" s="6">
        <f>IFERROR(IF(OR(J71="",K71=""),"",J71-K71),"")</f>
        <v/>
      </c>
      <c r="P71" s="3" t="n"/>
      <c r="Q71" s="3" t="n"/>
      <c r="R71" s="19" t="n"/>
      <c r="S71" s="19" t="n"/>
      <c r="T71" s="19" t="n"/>
      <c r="U71" s="19" t="n"/>
      <c r="V71" s="19" t="n"/>
      <c r="W71" s="19" t="n"/>
      <c r="X71" s="19" t="n"/>
    </row>
    <row r="72" ht="22" customHeight="1">
      <c r="B72" s="7" t="n">
        <v>68</v>
      </c>
      <c r="C72" s="7" t="inlineStr">
        <is>
          <t>Sidi Slimane</t>
        </is>
      </c>
      <c r="D72" s="7" t="inlineStr">
        <is>
          <t>OULED HCEINE</t>
        </is>
      </c>
      <c r="E72" s="7" t="inlineStr">
        <is>
          <t>50-23</t>
        </is>
      </c>
      <c r="F72" s="7" t="inlineStr">
        <is>
          <t>Entretien et réparation du réseau d'assainissement et de drainage</t>
        </is>
      </c>
      <c r="G72" s="7" t="inlineStr">
        <is>
          <t>Travaux de curage des canaux en terre</t>
        </is>
      </c>
      <c r="H72" s="7" t="inlineStr">
        <is>
          <t>Curage des collecteurs d'assainissement du secteur EST4.</t>
        </is>
      </c>
      <c r="I72" s="8" t="n">
        <v>1805475</v>
      </c>
      <c r="J72" s="9" t="n"/>
      <c r="K72" s="9" t="n"/>
      <c r="L72" s="7" t="n"/>
      <c r="M72" s="8">
        <f>IF(L72="","",I72-L72)</f>
        <v/>
      </c>
      <c r="N72" s="9">
        <f>IFERROR(IF(L72="","",L72/I72),"")</f>
        <v/>
      </c>
      <c r="O72" s="10">
        <f>IFERROR(IF(OR(J72="",K72=""),"",J72-K72),"")</f>
        <v/>
      </c>
      <c r="P72" s="7" t="n"/>
      <c r="Q72" s="7" t="n"/>
      <c r="R72" s="19" t="n"/>
      <c r="S72" s="19" t="n"/>
      <c r="T72" s="19" t="n"/>
      <c r="U72" s="19" t="n"/>
      <c r="V72" s="19" t="n"/>
      <c r="W72" s="19" t="n"/>
      <c r="X72" s="19" t="n"/>
    </row>
    <row r="73" ht="22" customHeight="1">
      <c r="B73" s="3" t="n">
        <v>69</v>
      </c>
      <c r="C73" s="3" t="inlineStr">
        <is>
          <t>Sidi Slimane</t>
        </is>
      </c>
      <c r="D73" s="3" t="inlineStr">
        <is>
          <t>OULED HCEINE</t>
        </is>
      </c>
      <c r="E73" s="3" t="inlineStr">
        <is>
          <t>50-23</t>
        </is>
      </c>
      <c r="F73" s="3" t="inlineStr">
        <is>
          <t>Entretien et réparation du réseau d'assainissement et de drainage</t>
        </is>
      </c>
      <c r="G73" s="3" t="inlineStr">
        <is>
          <t>Travaux de curage des canaux en terre</t>
        </is>
      </c>
      <c r="H73" s="3" t="inlineStr">
        <is>
          <t>Curage du canal d'assainissement Tihli central.</t>
        </is>
      </c>
      <c r="I73" s="4" t="n">
        <v>2587200</v>
      </c>
      <c r="J73" s="5" t="n"/>
      <c r="K73" s="5" t="n"/>
      <c r="L73" s="3" t="n"/>
      <c r="M73" s="4">
        <f>IF(L73="","",I73-L73)</f>
        <v/>
      </c>
      <c r="N73" s="5">
        <f>IFERROR(IF(L73="","",L73/I73),"")</f>
        <v/>
      </c>
      <c r="O73" s="6">
        <f>IFERROR(IF(OR(J73="",K73=""),"",J73-K73),"")</f>
        <v/>
      </c>
      <c r="P73" s="3" t="n"/>
      <c r="Q73" s="3" t="n"/>
      <c r="R73" s="19" t="n"/>
      <c r="S73" s="19" t="n"/>
      <c r="T73" s="19" t="n"/>
      <c r="U73" s="19" t="n"/>
      <c r="V73" s="19" t="n"/>
      <c r="W73" s="19" t="n"/>
      <c r="X73" s="19" t="n"/>
    </row>
    <row r="74" ht="22" customHeight="1">
      <c r="B74" s="7" t="n">
        <v>70</v>
      </c>
      <c r="C74" s="7" t="inlineStr">
        <is>
          <t>Sidi Slimane</t>
        </is>
      </c>
      <c r="D74" s="7" t="inlineStr">
        <is>
          <t>OULED HCEINE</t>
        </is>
      </c>
      <c r="E74" s="7" t="inlineStr">
        <is>
          <t>40-21</t>
        </is>
      </c>
      <c r="F74" s="7" t="inlineStr">
        <is>
          <t>Travaux de pistes</t>
        </is>
      </c>
      <c r="G74" s="7" t="inlineStr">
        <is>
          <t>Travaux de réhabilitation des pistes agricoles</t>
        </is>
      </c>
      <c r="H74" s="7" t="inlineStr">
        <is>
          <t>Entretien des pistes agricoles</t>
        </is>
      </c>
      <c r="I74" s="8" t="n">
        <v>3500000</v>
      </c>
      <c r="J74" s="9" t="n"/>
      <c r="K74" s="9" t="n"/>
      <c r="L74" s="7" t="n"/>
      <c r="M74" s="8">
        <f>IF(L74="","",I74-L74)</f>
        <v/>
      </c>
      <c r="N74" s="9">
        <f>IFERROR(IF(L74="","",L74/I74),"")</f>
        <v/>
      </c>
      <c r="O74" s="10">
        <f>IFERROR(IF(OR(J74="",K74=""),"",J74-K74),"")</f>
        <v/>
      </c>
      <c r="P74" s="7" t="n"/>
      <c r="Q74" s="7" t="n"/>
      <c r="R74" s="19" t="n"/>
      <c r="S74" s="19" t="n"/>
      <c r="T74" s="19" t="n"/>
      <c r="U74" s="19" t="n"/>
      <c r="V74" s="19" t="n"/>
      <c r="W74" s="19" t="n"/>
      <c r="X74" s="19" t="n"/>
    </row>
    <row r="75" ht="22" customHeight="1">
      <c r="B75" s="3" t="n">
        <v>71</v>
      </c>
      <c r="C75" s="3" t="inlineStr">
        <is>
          <t>Sidi Slimane</t>
        </is>
      </c>
      <c r="D75" s="3" t="inlineStr">
        <is>
          <t>OULED HCEINE</t>
        </is>
      </c>
      <c r="E75" s="3" t="inlineStr">
        <is>
          <t>50-21</t>
        </is>
      </c>
      <c r="F75" s="3" t="inlineStr">
        <is>
          <t>Entretien et réparation des stations de pompage</t>
        </is>
      </c>
      <c r="G75" s="3" t="inlineStr">
        <is>
          <t>Travaux de réparation des équipements hydromécaniques et électriques et entretien de la partie génie civil</t>
        </is>
      </c>
      <c r="H75" s="3" t="inlineStr">
        <is>
          <t>Démontage et expertise des roues des pompes de la station EST4 et P11/2</t>
        </is>
      </c>
      <c r="I75" s="4" t="n">
        <v>870000</v>
      </c>
      <c r="J75" s="5" t="n"/>
      <c r="K75" s="5" t="n"/>
      <c r="L75" s="3" t="n"/>
      <c r="M75" s="4">
        <f>IF(L75="","",I75-L75)</f>
        <v/>
      </c>
      <c r="N75" s="5">
        <f>IFERROR(IF(L75="","",L75/I75),"")</f>
        <v/>
      </c>
      <c r="O75" s="6">
        <f>IFERROR(IF(OR(J75="",K75=""),"",J75-K75),"")</f>
        <v/>
      </c>
      <c r="P75" s="3" t="n"/>
      <c r="Q75" s="3" t="n"/>
      <c r="R75" s="19" t="n"/>
      <c r="S75" s="19" t="n"/>
      <c r="T75" s="19" t="n"/>
      <c r="U75" s="19" t="n"/>
      <c r="V75" s="19" t="n"/>
      <c r="W75" s="19" t="n"/>
      <c r="X75" s="19" t="n"/>
    </row>
    <row r="76" ht="22" customHeight="1">
      <c r="B76" s="7" t="n">
        <v>72</v>
      </c>
      <c r="C76" s="7" t="inlineStr">
        <is>
          <t>Sidi Slimane</t>
        </is>
      </c>
      <c r="D76" s="7" t="inlineStr">
        <is>
          <t>OULED HCEINE</t>
        </is>
      </c>
      <c r="E76" s="7" t="inlineStr">
        <is>
          <t>50-23</t>
        </is>
      </c>
      <c r="F76" s="7" t="inlineStr">
        <is>
          <t>Entretien et réparation du réseau d'assainissement et de drainage</t>
        </is>
      </c>
      <c r="G76" s="7" t="inlineStr">
        <is>
          <t>Travaux de curage des prises des stations de pompage.</t>
        </is>
      </c>
      <c r="H76" s="7" t="inlineStr">
        <is>
          <t>Curage des siphones des station de pompage EST2 et P11/2.</t>
        </is>
      </c>
      <c r="I76" s="8" t="n">
        <v>500000</v>
      </c>
      <c r="J76" s="9" t="n"/>
      <c r="K76" s="9" t="n"/>
      <c r="L76" s="7" t="n"/>
      <c r="M76" s="8">
        <f>IF(L76="","",I76-L76)</f>
        <v/>
      </c>
      <c r="N76" s="9">
        <f>IFERROR(IF(L76="","",L76/I76),"")</f>
        <v/>
      </c>
      <c r="O76" s="10">
        <f>IFERROR(IF(OR(J76="",K76=""),"",J76-K76),"")</f>
        <v/>
      </c>
      <c r="P76" s="7" t="n"/>
      <c r="Q76" s="7" t="n"/>
      <c r="R76" s="19" t="n"/>
      <c r="S76" s="19" t="n"/>
      <c r="T76" s="19" t="n"/>
      <c r="U76" s="19" t="n"/>
      <c r="V76" s="19" t="n"/>
      <c r="W76" s="19" t="n"/>
      <c r="X76" s="19" t="n"/>
    </row>
    <row r="77" ht="26" customHeight="1">
      <c r="B77" s="11" t="inlineStr">
        <is>
          <t>TOTAL</t>
        </is>
      </c>
      <c r="C77" s="11" t="n"/>
      <c r="D77" s="11" t="n"/>
      <c r="E77" s="11" t="n"/>
      <c r="F77" s="11" t="n"/>
      <c r="G77" s="11" t="n"/>
      <c r="H77" s="11" t="n"/>
      <c r="I77" s="12">
        <f>SUM(I5:I76)</f>
        <v/>
      </c>
      <c r="J77" s="13">
        <f>IFERROR(AVERAGE(J5:J76),"")</f>
        <v/>
      </c>
      <c r="K77" s="13">
        <f>IFERROR(AVERAGE(K5:K76),"")</f>
        <v/>
      </c>
      <c r="L77" s="12">
        <f>SUM(L5:L76)</f>
        <v/>
      </c>
      <c r="M77" s="12">
        <f>IFERROR(L77/I77,"")</f>
        <v/>
      </c>
      <c r="N77" s="13">
        <f>IFERROR(L77/I77,"")</f>
        <v/>
      </c>
      <c r="O77" s="14">
        <f>IFERROR(AVERAGE(O5:O76),"")</f>
        <v/>
      </c>
      <c r="P77" s="11" t="n"/>
      <c r="Q77" s="11" t="n"/>
    </row>
  </sheetData>
  <mergeCells count="1">
    <mergeCell ref="B2:Q2"/>
  </mergeCells>
  <conditionalFormatting sqref="P5:P76">
    <cfRule type="cellIs" priority="1" operator="equal" dxfId="0">
      <formula>"Terminé"</formula>
    </cfRule>
    <cfRule type="cellIs" priority="2" operator="equal" dxfId="1">
      <formula>"En cours"</formula>
    </cfRule>
    <cfRule type="cellIs" priority="3" operator="equal" dxfId="2">
      <formula>"Non démarré"</formula>
    </cfRule>
  </conditionalFormatting>
  <conditionalFormatting sqref="J5:J7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5:K7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5:O76">
    <cfRule type="cellIs" priority="6" operator="lessThan" dxfId="2">
      <formula>-15</formula>
    </cfRule>
  </conditionalFormatting>
  <conditionalFormatting sqref="I5:I76">
    <cfRule type="dataBar" priority="7">
      <dataBar showValue="1">
        <cfvo type="min"/>
        <cfvo type="max"/>
        <color rgb="001B2A4A"/>
      </dataBar>
    </cfRule>
  </conditionalFormatting>
  <dataValidations count="3">
    <dataValidation sqref="C5:C76" showDropDown="0" showInputMessage="0" showErrorMessage="0" allowBlank="1" promptTitle="Province" prompt="Sélectionner la province" type="list">
      <formula1>"Kénitra,Sidi Kacem,Sidi Slimane"</formula1>
    </dataValidation>
    <dataValidation sqref="P5:P76" showDropDown="0" showInputMessage="0" showErrorMessage="0" allowBlank="1" promptTitle="Statut" prompt="Sélectionner le statut du projet" type="list">
      <formula1>"Terminé,En cours,Non démarré"</formula1>
    </dataValidation>
    <dataValidation sqref="J5:J76 K5:K76" showDropDown="0" showInputMessage="0" showErrorMessage="0" allowBlank="1" promptTitle="Avancement" prompt="Saisir le pourcentage d'avancement (0 à 100%)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2" customWidth="1" min="3" max="3"/>
    <col width="14" customWidth="1" min="4" max="4"/>
    <col width="18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16" customWidth="1" min="11" max="11"/>
  </cols>
  <sheetData>
    <row r="1" ht="15" customHeight="1"/>
    <row r="2" ht="32" customHeight="1">
      <c r="B2" s="1" t="inlineStr">
        <is>
          <t>Récapitulatif par Province — Région du Gharb 2026 (Juin–Décembre)</t>
        </is>
      </c>
    </row>
    <row r="3" ht="8" customHeight="1"/>
    <row r="4" ht="28" customHeight="1">
      <c r="B4" s="2" t="inlineStr">
        <is>
          <t>Province</t>
        </is>
      </c>
      <c r="C4" s="2" t="inlineStr">
        <is>
          <t>Nb Projets</t>
        </is>
      </c>
      <c r="D4" s="2" t="inlineStr">
        <is>
          <t>Nb Communes</t>
        </is>
      </c>
      <c r="E4" s="2" t="inlineStr">
        <is>
          <t>Budget Total (DH)</t>
        </is>
      </c>
      <c r="F4" s="2" t="inlineStr">
        <is>
          <t>Montant Décaissé (DH)</t>
        </is>
      </c>
      <c r="G4" s="2" t="inlineStr">
        <is>
          <t>Reste à Décaisser (DH)</t>
        </is>
      </c>
      <c r="H4" s="2" t="inlineStr">
        <is>
          <t>Taux Décaissement (%)</t>
        </is>
      </c>
      <c r="I4" s="2" t="inlineStr">
        <is>
          <t>Avancement Physique Moyen (%)</t>
        </is>
      </c>
      <c r="J4" s="2" t="inlineStr">
        <is>
          <t>Avancement Financier Moyen (%)</t>
        </is>
      </c>
      <c r="K4" s="2" t="inlineStr">
        <is>
          <t>Écart Phys.-Fin. (pts)</t>
        </is>
      </c>
    </row>
    <row r="5" ht="22" customHeight="1">
      <c r="B5" s="3" t="inlineStr">
        <is>
          <t>Kénitra</t>
        </is>
      </c>
      <c r="C5" s="3">
        <f>COUNTIF('Suivi des Projets'!C5:C76,B5)</f>
        <v/>
      </c>
      <c r="D5" s="3">
        <f>COUNTIFS('Suivi des Projets'!C5:C76,B5,'Suivi des Projets'!D5:D76,"&lt;&gt;")</f>
        <v/>
      </c>
      <c r="E5" s="4">
        <f>SUMIF('Suivi des Projets'!C5:C76,B5,'Suivi des Projets'!I5:I76)</f>
        <v/>
      </c>
      <c r="F5" s="4">
        <f>SUMIF('Suivi des Projets'!C5:C76,B5,'Suivi des Projets'!L5:L76)</f>
        <v/>
      </c>
      <c r="G5" s="4">
        <f>F5-E5</f>
        <v/>
      </c>
      <c r="H5" s="5">
        <f>IFERROR(F5/E5,"")</f>
        <v/>
      </c>
      <c r="I5" s="5">
        <f>IFERROR(AVERAGEIF('Suivi des Projets'!C5:C76,B5,'Suivi des Projets'!J5:J76),"")</f>
        <v/>
      </c>
      <c r="J5" s="5">
        <f>IFERROR(AVERAGEIF('Suivi des Projets'!C5:C76,B5,'Suivi des Projets'!K5:K76),"")</f>
        <v/>
      </c>
      <c r="K5" s="6">
        <f>I5-J5</f>
        <v/>
      </c>
    </row>
    <row r="6" ht="22" customHeight="1">
      <c r="B6" s="7" t="inlineStr">
        <is>
          <t>Sidi Kacem</t>
        </is>
      </c>
      <c r="C6" s="7">
        <f>COUNTIF('Suivi des Projets'!C5:C76,B6)</f>
        <v/>
      </c>
      <c r="D6" s="7">
        <f>COUNTIFS('Suivi des Projets'!C5:C76,B6,'Suivi des Projets'!D5:D76,"&lt;&gt;")</f>
        <v/>
      </c>
      <c r="E6" s="8">
        <f>SUMIF('Suivi des Projets'!C5:C76,B6,'Suivi des Projets'!I5:I76)</f>
        <v/>
      </c>
      <c r="F6" s="8">
        <f>SUMIF('Suivi des Projets'!C5:C76,B6,'Suivi des Projets'!L5:L76)</f>
        <v/>
      </c>
      <c r="G6" s="8">
        <f>F6-E6</f>
        <v/>
      </c>
      <c r="H6" s="9">
        <f>IFERROR(F6/E6,"")</f>
        <v/>
      </c>
      <c r="I6" s="9">
        <f>IFERROR(AVERAGEIF('Suivi des Projets'!C5:C76,B6,'Suivi des Projets'!J5:J76),"")</f>
        <v/>
      </c>
      <c r="J6" s="9">
        <f>IFERROR(AVERAGEIF('Suivi des Projets'!C5:C76,B6,'Suivi des Projets'!K5:K76),"")</f>
        <v/>
      </c>
      <c r="K6" s="10">
        <f>I6-J6</f>
        <v/>
      </c>
    </row>
    <row r="7" ht="22" customHeight="1">
      <c r="B7" s="3" t="inlineStr">
        <is>
          <t>Sidi Slimane</t>
        </is>
      </c>
      <c r="C7" s="3">
        <f>COUNTIF('Suivi des Projets'!C5:C76,B7)</f>
        <v/>
      </c>
      <c r="D7" s="3">
        <f>COUNTIFS('Suivi des Projets'!C5:C76,B7,'Suivi des Projets'!D5:D76,"&lt;&gt;")</f>
        <v/>
      </c>
      <c r="E7" s="4">
        <f>SUMIF('Suivi des Projets'!C5:C76,B7,'Suivi des Projets'!I5:I76)</f>
        <v/>
      </c>
      <c r="F7" s="4">
        <f>SUMIF('Suivi des Projets'!C5:C76,B7,'Suivi des Projets'!L5:L76)</f>
        <v/>
      </c>
      <c r="G7" s="4">
        <f>F7-E7</f>
        <v/>
      </c>
      <c r="H7" s="5">
        <f>IFERROR(F7/E7,"")</f>
        <v/>
      </c>
      <c r="I7" s="5">
        <f>IFERROR(AVERAGEIF('Suivi des Projets'!C5:C76,B7,'Suivi des Projets'!J5:J76),"")</f>
        <v/>
      </c>
      <c r="J7" s="5">
        <f>IFERROR(AVERAGEIF('Suivi des Projets'!C5:C76,B7,'Suivi des Projets'!K5:K76),"")</f>
        <v/>
      </c>
      <c r="K7" s="6">
        <f>I7-J7</f>
        <v/>
      </c>
    </row>
    <row r="8" ht="26" customHeight="1">
      <c r="B8" s="11" t="inlineStr">
        <is>
          <t>TOTAL RÉGION</t>
        </is>
      </c>
      <c r="C8" s="11">
        <f>SUM(C5:C7)</f>
        <v/>
      </c>
      <c r="D8" s="11" t="n"/>
      <c r="E8" s="12">
        <f>SUM(E5:E7)</f>
        <v/>
      </c>
      <c r="F8" s="12">
        <f>SUM(F5:F7)</f>
        <v/>
      </c>
      <c r="G8" s="12">
        <f>SUM(G5:G7)</f>
        <v/>
      </c>
      <c r="H8" s="13">
        <f>IFERROR(F8/E8,"")</f>
        <v/>
      </c>
      <c r="I8" s="13">
        <f>IFERROR(AVERAGE(I5:I7),"")</f>
        <v/>
      </c>
      <c r="J8" s="13">
        <f>IFERROR(AVERAGE(J5:J7),"")</f>
        <v/>
      </c>
      <c r="K8" s="14">
        <f>I8-J8</f>
        <v/>
      </c>
    </row>
  </sheetData>
  <mergeCells count="1">
    <mergeCell ref="B2:K2"/>
  </mergeCells>
  <conditionalFormatting sqref="I5:I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J5:J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4" customWidth="1" min="4" max="4"/>
    <col width="18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16" customWidth="1" min="11" max="11"/>
  </cols>
  <sheetData>
    <row r="1" ht="15" customHeight="1"/>
    <row r="2" ht="32" customHeight="1">
      <c r="B2" s="1" t="inlineStr">
        <is>
          <t>Récapitulatif par Secteur — Région du Gharb 2026 (Juin–Décembre)</t>
        </is>
      </c>
    </row>
    <row r="3" ht="8" customHeight="1"/>
    <row r="4" ht="28" customHeight="1">
      <c r="B4" s="2" t="inlineStr">
        <is>
          <t>Secteur</t>
        </is>
      </c>
      <c r="C4" s="2" t="inlineStr">
        <is>
          <t>Nb Projets</t>
        </is>
      </c>
      <c r="D4" s="2" t="inlineStr">
        <is>
          <t>Nb Communes</t>
        </is>
      </c>
      <c r="E4" s="2" t="inlineStr">
        <is>
          <t>Budget Total (DH)</t>
        </is>
      </c>
      <c r="F4" s="2" t="inlineStr">
        <is>
          <t>Montant Décaissé (DH)</t>
        </is>
      </c>
      <c r="G4" s="2" t="inlineStr">
        <is>
          <t>Reste à Décaisser (DH)</t>
        </is>
      </c>
      <c r="H4" s="2" t="inlineStr">
        <is>
          <t>Taux Décaissement (%)</t>
        </is>
      </c>
      <c r="I4" s="2" t="inlineStr">
        <is>
          <t>Avancement Physique Moyen (%)</t>
        </is>
      </c>
      <c r="J4" s="2" t="inlineStr">
        <is>
          <t>Avancement Financier Moyen (%)</t>
        </is>
      </c>
      <c r="K4" s="2" t="inlineStr">
        <is>
          <t>Écart Phys.-Fin. (pts)</t>
        </is>
      </c>
    </row>
    <row r="5" ht="22" customHeight="1">
      <c r="B5" s="3" t="inlineStr">
        <is>
          <t>Assainissement &amp; Drainage</t>
        </is>
      </c>
      <c r="C5" s="3">
        <f>COUNTIF('Suivi des Projets'!F5:F76,"Entretien et réparation du réseau d'assainissement et de drainage")</f>
        <v/>
      </c>
      <c r="D5" s="3" t="n"/>
      <c r="E5" s="4">
        <f>SUMIF('Suivi des Projets'!F5:F76,"Entretien et réparation du réseau d'assainissement et de drainage",'Suivi des Projets'!I5:I76)</f>
        <v/>
      </c>
      <c r="F5" s="4">
        <f>SUMIF('Suivi des Projets'!F5:F76,"Entretien et réparation du réseau d'assainissement et de drainage",'Suivi des Projets'!L5:L76)</f>
        <v/>
      </c>
      <c r="G5" s="4">
        <f>F5-E5</f>
        <v/>
      </c>
      <c r="H5" s="5">
        <f>IFERROR(F5/E5,"")</f>
        <v/>
      </c>
      <c r="I5" s="5">
        <f>IFERROR(AVERAGEIF('Suivi des Projets'!F5:F76,"Entretien et réparation du réseau d'assainissement et de drainage",'Suivi des Projets'!J5:J76),"")</f>
        <v/>
      </c>
      <c r="J5" s="5">
        <f>IFERROR(AVERAGEIF('Suivi des Projets'!F5:F76,"Entretien et réparation du réseau d'assainissement et de drainage",'Suivi des Projets'!K5:K76),"")</f>
        <v/>
      </c>
      <c r="K5" s="6">
        <f>I5-J5</f>
        <v/>
      </c>
    </row>
    <row r="6" ht="22" customHeight="1">
      <c r="B6" s="7" t="inlineStr">
        <is>
          <t>Pistes agricoles</t>
        </is>
      </c>
      <c r="C6" s="7">
        <f>COUNTIF('Suivi des Projets'!F5:F76,"Travaux de pistes")</f>
        <v/>
      </c>
      <c r="D6" s="7" t="n"/>
      <c r="E6" s="8">
        <f>SUMIF('Suivi des Projets'!F5:F76,"Travaux de pistes",'Suivi des Projets'!I5:I76)</f>
        <v/>
      </c>
      <c r="F6" s="8">
        <f>SUMIF('Suivi des Projets'!F5:F76,"Travaux de pistes",'Suivi des Projets'!L5:L76)</f>
        <v/>
      </c>
      <c r="G6" s="8">
        <f>F6-E6</f>
        <v/>
      </c>
      <c r="H6" s="9">
        <f>IFERROR(F6/E6,"")</f>
        <v/>
      </c>
      <c r="I6" s="9">
        <f>IFERROR(AVERAGEIF('Suivi des Projets'!F5:F76,"Travaux de pistes",'Suivi des Projets'!J5:J76),"")</f>
        <v/>
      </c>
      <c r="J6" s="9">
        <f>IFERROR(AVERAGEIF('Suivi des Projets'!F5:F76,"Travaux de pistes",'Suivi des Projets'!K5:K76),"")</f>
        <v/>
      </c>
      <c r="K6" s="10">
        <f>I6-J6</f>
        <v/>
      </c>
    </row>
    <row r="7" ht="22" customHeight="1">
      <c r="B7" s="3" t="inlineStr">
        <is>
          <t>Stations de pompage</t>
        </is>
      </c>
      <c r="C7" s="3">
        <f>COUNTIF('Suivi des Projets'!F5:F76,"Entretien et réparation des stations de pompage")</f>
        <v/>
      </c>
      <c r="D7" s="3" t="n"/>
      <c r="E7" s="4">
        <f>SUMIF('Suivi des Projets'!F5:F76,"Entretien et réparation des stations de pompage",'Suivi des Projets'!I5:I76)</f>
        <v/>
      </c>
      <c r="F7" s="4">
        <f>SUMIF('Suivi des Projets'!F5:F76,"Entretien et réparation des stations de pompage",'Suivi des Projets'!L5:L76)</f>
        <v/>
      </c>
      <c r="G7" s="4">
        <f>F7-E7</f>
        <v/>
      </c>
      <c r="H7" s="5">
        <f>IFERROR(F7/E7,"")</f>
        <v/>
      </c>
      <c r="I7" s="5">
        <f>IFERROR(AVERAGEIF('Suivi des Projets'!F5:F76,"Entretien et réparation des stations de pompage",'Suivi des Projets'!J5:J76),"")</f>
        <v/>
      </c>
      <c r="J7" s="5">
        <f>IFERROR(AVERAGEIF('Suivi des Projets'!F5:F76,"Entretien et réparation des stations de pompage",'Suivi des Projets'!K5:K76),"")</f>
        <v/>
      </c>
      <c r="K7" s="6">
        <f>I7-J7</f>
        <v/>
      </c>
    </row>
    <row r="8" ht="22" customHeight="1">
      <c r="B8" s="7" t="inlineStr">
        <is>
          <t>Réhabilitation équipements</t>
        </is>
      </c>
      <c r="C8" s="7">
        <f>COUNTIF('Suivi des Projets'!F5:F76,"Travaux de réhabilitation des équipements")</f>
        <v/>
      </c>
      <c r="D8" s="7" t="n"/>
      <c r="E8" s="8">
        <f>SUMIF('Suivi des Projets'!F5:F76,"Travaux de réhabilitation des équipements",'Suivi des Projets'!I5:I76)</f>
        <v/>
      </c>
      <c r="F8" s="8">
        <f>SUMIF('Suivi des Projets'!F5:F76,"Travaux de réhabilitation des équipements",'Suivi des Projets'!L5:L76)</f>
        <v/>
      </c>
      <c r="G8" s="8">
        <f>F8-E8</f>
        <v/>
      </c>
      <c r="H8" s="9">
        <f>IFERROR(F8/E8,"")</f>
        <v/>
      </c>
      <c r="I8" s="9">
        <f>IFERROR(AVERAGEIF('Suivi des Projets'!F5:F76,"Travaux de réhabilitation des équipements",'Suivi des Projets'!J5:J76),"")</f>
        <v/>
      </c>
      <c r="J8" s="9">
        <f>IFERROR(AVERAGEIF('Suivi des Projets'!F5:F76,"Travaux de réhabilitation des équipements",'Suivi des Projets'!K5:K76),"")</f>
        <v/>
      </c>
      <c r="K8" s="10">
        <f>I8-J8</f>
        <v/>
      </c>
    </row>
    <row r="9" ht="26" customHeight="1">
      <c r="B9" s="11" t="inlineStr">
        <is>
          <t>TOTAL</t>
        </is>
      </c>
      <c r="C9" s="11">
        <f>SUM(C5:C8)</f>
        <v/>
      </c>
      <c r="D9" s="11" t="n"/>
      <c r="E9" s="12">
        <f>SUM(E5:E8)</f>
        <v/>
      </c>
      <c r="F9" s="12">
        <f>SUM(F5:F8)</f>
        <v/>
      </c>
      <c r="G9" s="12">
        <f>SUM(G5:G8)</f>
        <v/>
      </c>
      <c r="H9" s="13">
        <f>IFERROR(F9/E9,"")</f>
        <v/>
      </c>
      <c r="I9" s="13">
        <f>IFERROR(AVERAGE(I5:I8),"")</f>
        <v/>
      </c>
      <c r="J9" s="13">
        <f>IFERROR(AVERAGE(J5:J8),"")</f>
        <v/>
      </c>
      <c r="K9" s="14">
        <f>I9-J9</f>
        <v/>
      </c>
    </row>
  </sheetData>
  <mergeCells count="1">
    <mergeCell ref="B2:K2"/>
  </mergeCells>
  <conditionalFormatting sqref="I5:I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1" ht="15" customHeight="1"/>
    <row r="2" ht="32" customHeight="1">
      <c r="B2" s="1" t="inlineStr">
        <is>
          <t>Mode d'emploi — Fichier de Suivi</t>
        </is>
      </c>
    </row>
    <row r="3" ht="8" customHeight="1"/>
    <row r="5">
      <c r="B5" s="15" t="inlineStr"/>
      <c r="C5" s="16" t="inlineStr">
        <is>
          <t>Ce fichier Excel sert de modèle pour alimenter le dashboard SIG Gharb avec les données de suivi physique et financier des projets (Juin à Décembre 2026).</t>
        </is>
      </c>
    </row>
    <row r="6">
      <c r="B6" s="15" t="inlineStr"/>
      <c r="C6" s="16" t="inlineStr"/>
    </row>
    <row r="7">
      <c r="B7" s="15" t="inlineStr">
        <is>
          <t>COLONNES À REMPLIR</t>
        </is>
      </c>
      <c r="C7" s="16" t="inlineStr"/>
    </row>
    <row r="8">
      <c r="B8" s="15" t="inlineStr">
        <is>
          <t>Avancement Physique (%)</t>
        </is>
      </c>
      <c r="C8" s="16" t="inlineStr">
        <is>
          <t>Saisir le pourcentage de progression des travaux sur le terrain (0% à 100%). Exemples : 0%, 25%, 50%, 75%, 100%</t>
        </is>
      </c>
    </row>
    <row r="9">
      <c r="B9" s="15" t="inlineStr">
        <is>
          <t>Avancement Financier (%)</t>
        </is>
      </c>
      <c r="C9" s="16" t="inlineStr">
        <is>
          <t>Saisir le pourcentage de consommation du budget (0% à 100%). Représente la part du budget engagée/dépensée.</t>
        </is>
      </c>
    </row>
    <row r="10">
      <c r="B10" s="15" t="inlineStr">
        <is>
          <t>Montant Décaissé (DH)</t>
        </is>
      </c>
      <c r="C10" s="16" t="inlineStr">
        <is>
          <t>Saisir le montant effectivement décaissé en Dirhams. Doit être inférieur ou égal au Budget Prévu.</t>
        </is>
      </c>
    </row>
    <row r="11">
      <c r="B11" s="15" t="inlineStr">
        <is>
          <t>Statut</t>
        </is>
      </c>
      <c r="C11" s="16" t="inlineStr">
        <is>
          <t>Sélectionner dans la liste déroulante : Terminé, En cours, ou Non démarré</t>
        </is>
      </c>
    </row>
    <row r="12">
      <c r="B12" s="15" t="inlineStr">
        <is>
          <t>Observations</t>
        </is>
      </c>
      <c r="C12" s="16" t="inlineStr">
        <is>
          <t>Zone libre pour notes, commentaires, problèmes rencontrés, etc.</t>
        </is>
      </c>
    </row>
    <row r="13">
      <c r="B13" s="15" t="inlineStr"/>
      <c r="C13" s="16" t="inlineStr"/>
    </row>
    <row r="14">
      <c r="B14" s="15" t="inlineStr">
        <is>
          <t>COLONNES CALCULÉES AUTOMATIQUEMENT</t>
        </is>
      </c>
      <c r="C14" s="16" t="inlineStr"/>
    </row>
    <row r="15">
      <c r="B15" s="15" t="inlineStr">
        <is>
          <t>Reste à Décaisser</t>
        </is>
      </c>
      <c r="C15" s="16" t="inlineStr">
        <is>
          <t>Budget Prévu - Montant Décaissé</t>
        </is>
      </c>
    </row>
    <row r="16">
      <c r="B16" s="15" t="inlineStr">
        <is>
          <t>Taux de Décaissement</t>
        </is>
      </c>
      <c r="C16" s="16" t="inlineStr">
        <is>
          <t>Montant Décaissé / Budget Prévu</t>
        </is>
      </c>
    </row>
    <row r="17">
      <c r="B17" s="15" t="inlineStr">
        <is>
          <t>Écart Phys.-Fin. (pts)</t>
        </is>
      </c>
      <c r="C17" s="16">
        <f> Avancement Physique - Avancement Financier. Un écart négatif important (&gt;15pts) signale un retard physique.</f>
        <v/>
      </c>
    </row>
    <row r="18">
      <c r="B18" s="15" t="inlineStr"/>
      <c r="C18" s="16" t="inlineStr"/>
    </row>
    <row r="19">
      <c r="B19" s="15" t="inlineStr">
        <is>
          <t>COULEURS CONDITIONNELLES</t>
        </is>
      </c>
      <c r="C19" s="16" t="inlineStr"/>
    </row>
    <row r="20">
      <c r="B20" s="15" t="inlineStr">
        <is>
          <t>Avancement</t>
        </is>
      </c>
      <c r="C20" s="16" t="inlineStr">
        <is>
          <t>Rouge (0-33%) → Jaune (34-66%) → Vert (67-100%)</t>
        </is>
      </c>
    </row>
    <row r="21">
      <c r="B21" s="15" t="inlineStr">
        <is>
          <t>Statut</t>
        </is>
      </c>
      <c r="C21" s="16" t="inlineStr">
        <is>
          <t>Vert = Terminé, Orange = En cours, Rouge = Non démarré</t>
        </is>
      </c>
    </row>
    <row r="22">
      <c r="B22" s="15" t="inlineStr">
        <is>
          <t>Écart</t>
        </is>
      </c>
      <c r="C22" s="16" t="inlineStr">
        <is>
          <t>Rouge si écart &lt; -15pts (retard physique significatif)</t>
        </is>
      </c>
    </row>
    <row r="23">
      <c r="B23" s="15" t="inlineStr"/>
      <c r="C23" s="16" t="inlineStr"/>
    </row>
    <row r="24">
      <c r="B24" s="15" t="inlineStr">
        <is>
          <t>FEUILLES DU FICHIER</t>
        </is>
      </c>
      <c r="C24" s="16" t="inlineStr"/>
    </row>
    <row r="25">
      <c r="B25" s="15" t="inlineStr">
        <is>
          <t>Suivi des Projets</t>
        </is>
      </c>
      <c r="C25" s="16" t="inlineStr">
        <is>
          <t>Liste détaillée des 72 projets avec toutes les informations</t>
        </is>
      </c>
    </row>
    <row r="26">
      <c r="B26" s="15" t="inlineStr">
        <is>
          <t>Récap. par Province</t>
        </is>
      </c>
      <c r="C26" s="16" t="inlineStr">
        <is>
          <t>Synthèse automatique par province (Kénitra, Sidi Kacem, Sidi Slimane)</t>
        </is>
      </c>
    </row>
    <row r="27">
      <c r="B27" s="15" t="inlineStr">
        <is>
          <t>Récap. par Secteur</t>
        </is>
      </c>
      <c r="C27" s="16" t="inlineStr">
        <is>
          <t>Synthèse automatique par secteur d'activité</t>
        </is>
      </c>
    </row>
    <row r="28">
      <c r="B28" s="15" t="inlineStr">
        <is>
          <t>Mode d'emploi</t>
        </is>
      </c>
      <c r="C28" s="16" t="inlineStr">
        <is>
          <t>Cette feuille — guide d'utilisation</t>
        </is>
      </c>
    </row>
    <row r="29">
      <c r="B29" s="15" t="inlineStr"/>
      <c r="C29" s="16" t="inlineStr"/>
    </row>
    <row r="30">
      <c r="B30" s="15" t="inlineStr">
        <is>
          <t>IMPORT DANS LE DASHBOARD</t>
        </is>
      </c>
      <c r="C30" s="16" t="inlineStr"/>
    </row>
    <row r="31">
      <c r="B31" s="15" t="inlineStr"/>
      <c r="C31" s="16" t="inlineStr">
        <is>
          <t>Pour importer les données dans le dashboard SIG Gharb :</t>
        </is>
      </c>
    </row>
    <row r="32">
      <c r="B32" s="17" t="inlineStr">
        <is>
          <t>1.</t>
        </is>
      </c>
      <c r="C32" s="16" t="inlineStr">
        <is>
          <t>Remplir les colonnes Avancement Physique, Avancement Financier, Montant Décaissé et Statut pour chaque projet</t>
        </is>
      </c>
    </row>
    <row r="33">
      <c r="B33" s="17" t="inlineStr">
        <is>
          <t>2.</t>
        </is>
      </c>
      <c r="C33" s="16" t="inlineStr">
        <is>
          <t>Exporter le fichier en format CSV ou JSON</t>
        </is>
      </c>
    </row>
    <row r="34">
      <c r="B34" s="17" t="inlineStr">
        <is>
          <t>3.</t>
        </is>
      </c>
      <c r="C34" s="16" t="inlineStr">
        <is>
          <t>Mettre à jour le fichier dashboard_data.json avec les nouvelles valeurs</t>
        </is>
      </c>
    </row>
    <row r="35">
      <c r="B35" s="17" t="inlineStr">
        <is>
          <t>4.</t>
        </is>
      </c>
      <c r="C35" s="16" t="inlineStr">
        <is>
          <t>Le dashboard se met à jour automatiquement après déploiement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2026-06-04T01:29:04Z</dcterms:created>
  <dcterms:modified xmlns:dcterms="http://purl.org/dc/terms/" xmlns:xsi="http://www.w3.org/2001/XMLSchema-instance" xsi:type="dcterms:W3CDTF">2026-06-11T23:26:17Z</dcterms:modified>
</cp:coreProperties>
</file>