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ivi Hebdomadaire" sheetId="1" state="visible" r:id="rId1"/>
    <sheet xmlns:r="http://schemas.openxmlformats.org/officeDocument/2006/relationships" name="Historique Hebdomadaire" sheetId="2" state="visible" r:id="rId2"/>
    <sheet xmlns:r="http://schemas.openxmlformats.org/officeDocument/2006/relationships" name="Récap. par Province" sheetId="3" state="visible" r:id="rId3"/>
    <sheet xmlns:r="http://schemas.openxmlformats.org/officeDocument/2006/relationships" name="Mode d'emploi" sheetId="4" state="visible" r:id="rId4"/>
  </sheets>
  <definedNames>
    <definedName name="_xlnm._FilterDatabase" localSheetId="0" hidden="1">'Suivi Hebdomadaire'!$B$5:$U$77</definedName>
    <definedName name="_xlnm.Print_Titles" localSheetId="0">'Suivi Hebdomadaire'!$5:$5</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0.0;0"/>
    <numFmt numFmtId="167" formatCode="0.0%"/>
  </numFmts>
  <fonts count="15">
    <font>
      <name val="Calibri"/>
      <family val="2"/>
      <color theme="1"/>
      <sz val="11"/>
      <scheme val="minor"/>
    </font>
    <font>
      <name val="Calibri"/>
      <b val="1"/>
      <color rgb="00FFFFFF"/>
      <sz val="14"/>
    </font>
    <font>
      <name val="Calibri"/>
      <i val="1"/>
      <color rgb="002E7D32"/>
      <sz val="10"/>
    </font>
    <font>
      <name val="Calibri"/>
      <b val="1"/>
      <color rgb="000D47A1"/>
      <sz val="11"/>
    </font>
    <font>
      <name val="Calibri"/>
      <b val="1"/>
      <color rgb="000D47A1"/>
      <sz val="12"/>
    </font>
    <font>
      <name val="Calibri"/>
      <b val="1"/>
      <color rgb="00757575"/>
      <sz val="10"/>
    </font>
    <font>
      <name val="Calibri"/>
      <b val="1"/>
      <color rgb="00FFFFFF"/>
      <sz val="9"/>
    </font>
    <font>
      <name val="Calibri"/>
      <color rgb="00333333"/>
      <sz val="9"/>
    </font>
    <font>
      <name val="Calibri"/>
      <b val="1"/>
      <color rgb="00333333"/>
      <sz val="9"/>
    </font>
    <font>
      <name val="Calibri"/>
      <i val="1"/>
      <color rgb="00757575"/>
      <sz val="9"/>
    </font>
    <font>
      <name val="Calibri"/>
      <b val="1"/>
      <color rgb="000D47A1"/>
      <sz val="9"/>
    </font>
    <font>
      <name val="Calibri"/>
      <b val="1"/>
      <sz val="10"/>
    </font>
    <font>
      <name val="Calibri"/>
      <b val="1"/>
      <color rgb="00333333"/>
      <sz val="10"/>
    </font>
    <font>
      <name val="Calibri"/>
      <b val="1"/>
      <color rgb="001B5E20"/>
      <sz val="10"/>
    </font>
    <font>
      <name val="Calibri"/>
      <b val="1"/>
      <color rgb="00FFFFFF"/>
      <sz val="10"/>
    </font>
  </fonts>
  <fills count="14">
    <fill>
      <patternFill/>
    </fill>
    <fill>
      <patternFill patternType="gray125"/>
    </fill>
    <fill>
      <patternFill patternType="solid">
        <fgColor rgb="001B5E20"/>
      </patternFill>
    </fill>
    <fill>
      <patternFill patternType="solid">
        <fgColor rgb="00FFF9C4"/>
      </patternFill>
    </fill>
    <fill>
      <patternFill patternType="solid">
        <fgColor rgb="00E8F5E9"/>
      </patternFill>
    </fill>
    <fill>
      <patternFill patternType="solid">
        <fgColor rgb="00FFFFFF"/>
      </patternFill>
    </fill>
    <fill>
      <patternFill patternType="solid">
        <fgColor rgb="000D47A1"/>
      </patternFill>
    </fill>
    <fill>
      <patternFill patternType="solid">
        <fgColor rgb="00E3F2FD"/>
      </patternFill>
    </fill>
    <fill>
      <patternFill patternType="solid">
        <fgColor rgb="00F57F17"/>
      </patternFill>
    </fill>
    <fill>
      <patternFill patternType="solid">
        <fgColor rgb="00FFF3E0"/>
      </patternFill>
    </fill>
    <fill>
      <patternFill patternType="solid">
        <fgColor rgb="00FCE4EC"/>
      </patternFill>
    </fill>
    <fill>
      <patternFill patternType="solid">
        <fgColor rgb="00757575"/>
      </patternFill>
    </fill>
    <fill>
      <patternFill patternType="solid">
        <fgColor rgb="001F4E79"/>
        <bgColor rgb="001F4E79"/>
      </patternFill>
    </fill>
    <fill>
      <patternFill patternType="solid">
        <fgColor rgb="00FFF2CC"/>
        <bgColor rgb="00FFF2CC"/>
      </patternFill>
    </fill>
  </fills>
  <borders count="5">
    <border>
      <left/>
      <right/>
      <top/>
      <bottom/>
      <diagonal/>
    </border>
    <border>
      <bottom style="medium">
        <color rgb="000D47A1"/>
      </bottom>
    </border>
    <border>
      <left style="thin">
        <color rgb="00BDBDBD"/>
      </left>
      <right style="thin">
        <color rgb="00BDBDBD"/>
      </right>
      <top style="thin">
        <color rgb="00BDBDBD"/>
      </top>
      <bottom style="thin">
        <color rgb="00BDBDBD"/>
      </bottom>
    </border>
    <border>
      <left/>
      <right/>
      <top/>
      <bottom style="medium">
        <color rgb="000D47A1"/>
      </bottom>
      <diagonal/>
    </border>
    <border>
      <left style="thin"/>
      <right style="thin"/>
      <top style="thin"/>
      <bottom style="thin"/>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right" vertical="center"/>
    </xf>
    <xf numFmtId="0" fontId="4" fillId="3" borderId="1" applyAlignment="1" pivotButton="0" quotePrefix="0" xfId="0">
      <alignment horizontal="center"/>
    </xf>
    <xf numFmtId="0" fontId="5" fillId="0" borderId="0" applyAlignment="1" pivotButton="0" quotePrefix="0" xfId="0">
      <alignment horizontal="right"/>
    </xf>
    <xf numFmtId="164" fontId="0" fillId="3" borderId="1" pivotButton="0" quotePrefix="0" xfId="0"/>
    <xf numFmtId="0" fontId="6" fillId="2" borderId="2" applyAlignment="1" pivotButton="0" quotePrefix="0" xfId="0">
      <alignment horizontal="center" vertical="center" wrapText="1"/>
    </xf>
    <xf numFmtId="0" fontId="7" fillId="4" borderId="2" applyAlignment="1" pivotButton="0" quotePrefix="0" xfId="0">
      <alignment horizontal="center" vertical="center"/>
    </xf>
    <xf numFmtId="0" fontId="8" fillId="4" borderId="2" applyAlignment="1" pivotButton="0" quotePrefix="0" xfId="0">
      <alignment vertical="center" wrapText="1"/>
    </xf>
    <xf numFmtId="0" fontId="7" fillId="4" borderId="2" applyAlignment="1" pivotButton="0" quotePrefix="0" xfId="0">
      <alignment vertical="center" wrapText="1"/>
    </xf>
    <xf numFmtId="3" fontId="7" fillId="4" borderId="2" applyAlignment="1" pivotButton="0" quotePrefix="0" xfId="0">
      <alignment horizontal="right" vertical="center"/>
    </xf>
    <xf numFmtId="165" fontId="7" fillId="3" borderId="2" applyAlignment="1" pivotButton="0" quotePrefix="0" xfId="0">
      <alignment horizontal="center" vertical="center"/>
    </xf>
    <xf numFmtId="166" fontId="7" fillId="4" borderId="2" applyAlignment="1" pivotButton="0" quotePrefix="0" xfId="0">
      <alignment horizontal="center" vertical="center"/>
    </xf>
    <xf numFmtId="3" fontId="7" fillId="3" borderId="2" applyAlignment="1" pivotButton="0" quotePrefix="0" xfId="0">
      <alignment horizontal="right" vertical="center"/>
    </xf>
    <xf numFmtId="167" fontId="7" fillId="4" borderId="2" applyAlignment="1" pivotButton="0" quotePrefix="0" xfId="0">
      <alignment horizontal="center" vertical="center"/>
    </xf>
    <xf numFmtId="0" fontId="7" fillId="3" borderId="2" applyAlignment="1" pivotButton="0" quotePrefix="0" xfId="0">
      <alignment horizontal="center" vertical="center"/>
    </xf>
    <xf numFmtId="0" fontId="7" fillId="3" borderId="2" applyAlignment="1" pivotButton="0" quotePrefix="0" xfId="0">
      <alignment vertical="center" wrapText="1"/>
    </xf>
    <xf numFmtId="0" fontId="7" fillId="5" borderId="2" applyAlignment="1" pivotButton="0" quotePrefix="0" xfId="0">
      <alignment horizontal="center" vertical="center"/>
    </xf>
    <xf numFmtId="0" fontId="8" fillId="5" borderId="2" applyAlignment="1" pivotButton="0" quotePrefix="0" xfId="0">
      <alignment vertical="center" wrapText="1"/>
    </xf>
    <xf numFmtId="0" fontId="7" fillId="5" borderId="2" applyAlignment="1" pivotButton="0" quotePrefix="0" xfId="0">
      <alignment vertical="center" wrapText="1"/>
    </xf>
    <xf numFmtId="3" fontId="7" fillId="5" borderId="2" applyAlignment="1" pivotButton="0" quotePrefix="0" xfId="0">
      <alignment horizontal="right" vertical="center"/>
    </xf>
    <xf numFmtId="166" fontId="7" fillId="5" borderId="2" applyAlignment="1" pivotButton="0" quotePrefix="0" xfId="0">
      <alignment horizontal="center" vertical="center"/>
    </xf>
    <xf numFmtId="167" fontId="7" fillId="5" borderId="2" applyAlignment="1" pivotButton="0" quotePrefix="0" xfId="0">
      <alignment horizontal="center" vertical="center"/>
    </xf>
    <xf numFmtId="0" fontId="6" fillId="2" borderId="2" applyAlignment="1" pivotButton="0" quotePrefix="0" xfId="0">
      <alignment horizontal="center" vertical="center"/>
    </xf>
    <xf numFmtId="0" fontId="0" fillId="2" borderId="2" pivotButton="0" quotePrefix="0" xfId="0"/>
    <xf numFmtId="3" fontId="6" fillId="2" borderId="2" applyAlignment="1" pivotButton="0" quotePrefix="0" xfId="0">
      <alignment horizontal="right" vertical="center"/>
    </xf>
    <xf numFmtId="165" fontId="6" fillId="2" borderId="2" applyAlignment="1" pivotButton="0" quotePrefix="0" xfId="0">
      <alignment horizontal="center" vertical="center"/>
    </xf>
    <xf numFmtId="166" fontId="6" fillId="2" borderId="2" applyAlignment="1" pivotButton="0" quotePrefix="0" xfId="0">
      <alignment horizontal="center" vertical="center"/>
    </xf>
    <xf numFmtId="167" fontId="6" fillId="2" borderId="2" applyAlignment="1" pivotButton="0" quotePrefix="0" xfId="0">
      <alignment horizontal="center" vertical="center"/>
    </xf>
    <xf numFmtId="0" fontId="1" fillId="6" borderId="0" applyAlignment="1" pivotButton="0" quotePrefix="0" xfId="0">
      <alignment horizontal="center" vertical="center"/>
    </xf>
    <xf numFmtId="0" fontId="9" fillId="0" borderId="0" pivotButton="0" quotePrefix="0" xfId="0"/>
    <xf numFmtId="0" fontId="6" fillId="6" borderId="2" applyAlignment="1" pivotButton="0" quotePrefix="0" xfId="0">
      <alignment horizontal="center" vertical="center" wrapText="1"/>
    </xf>
    <xf numFmtId="0" fontId="10" fillId="5" borderId="2" applyAlignment="1" pivotButton="0" quotePrefix="0" xfId="0">
      <alignment horizontal="center" vertical="center"/>
    </xf>
    <xf numFmtId="164" fontId="7" fillId="3" borderId="2" applyAlignment="1" pivotButton="0" quotePrefix="0" xfId="0">
      <alignment horizontal="center" vertical="center"/>
    </xf>
    <xf numFmtId="0" fontId="0" fillId="5" borderId="2" pivotButton="0" quotePrefix="0" xfId="0"/>
    <xf numFmtId="0" fontId="10" fillId="7" borderId="2" applyAlignment="1" pivotButton="0" quotePrefix="0" xfId="0">
      <alignment horizontal="center" vertical="center"/>
    </xf>
    <xf numFmtId="0" fontId="0" fillId="7" borderId="2" pivotButton="0" quotePrefix="0" xfId="0"/>
    <xf numFmtId="0" fontId="1" fillId="8" borderId="0" applyAlignment="1" pivotButton="0" quotePrefix="0" xfId="0">
      <alignment horizontal="center" vertical="center"/>
    </xf>
    <xf numFmtId="0" fontId="6" fillId="8" borderId="2" applyAlignment="1" pivotButton="0" quotePrefix="0" xfId="0">
      <alignment horizontal="center" vertical="center" wrapText="1"/>
    </xf>
    <xf numFmtId="0" fontId="11" fillId="9" borderId="2" pivotButton="0" quotePrefix="0" xfId="0"/>
    <xf numFmtId="0" fontId="7" fillId="9" borderId="2" applyAlignment="1" pivotButton="0" quotePrefix="0" xfId="0">
      <alignment horizontal="center" vertical="center"/>
    </xf>
    <xf numFmtId="3" fontId="7" fillId="9" borderId="2" applyAlignment="1" pivotButton="0" quotePrefix="0" xfId="0">
      <alignment horizontal="right" vertical="center"/>
    </xf>
    <xf numFmtId="167" fontId="7" fillId="9" borderId="2" applyAlignment="1" pivotButton="0" quotePrefix="0" xfId="0">
      <alignment horizontal="center" vertical="center"/>
    </xf>
    <xf numFmtId="165" fontId="7" fillId="9" borderId="2" applyAlignment="1" pivotButton="0" quotePrefix="0" xfId="0">
      <alignment horizontal="center" vertical="center"/>
    </xf>
    <xf numFmtId="166" fontId="7" fillId="9" borderId="2" applyAlignment="1" pivotButton="0" quotePrefix="0" xfId="0">
      <alignment horizontal="center" vertical="center"/>
    </xf>
    <xf numFmtId="0" fontId="11" fillId="10" borderId="2" pivotButton="0" quotePrefix="0" xfId="0"/>
    <xf numFmtId="0" fontId="7" fillId="10" borderId="2" applyAlignment="1" pivotButton="0" quotePrefix="0" xfId="0">
      <alignment horizontal="center" vertical="center"/>
    </xf>
    <xf numFmtId="3" fontId="7" fillId="10" borderId="2" applyAlignment="1" pivotButton="0" quotePrefix="0" xfId="0">
      <alignment horizontal="right" vertical="center"/>
    </xf>
    <xf numFmtId="167" fontId="7" fillId="10" borderId="2" applyAlignment="1" pivotButton="0" quotePrefix="0" xfId="0">
      <alignment horizontal="center" vertical="center"/>
    </xf>
    <xf numFmtId="165" fontId="7" fillId="10" borderId="2" applyAlignment="1" pivotButton="0" quotePrefix="0" xfId="0">
      <alignment horizontal="center" vertical="center"/>
    </xf>
    <xf numFmtId="166" fontId="7" fillId="10" borderId="2" applyAlignment="1" pivotButton="0" quotePrefix="0" xfId="0">
      <alignment horizontal="center" vertical="center"/>
    </xf>
    <xf numFmtId="0" fontId="11" fillId="4" borderId="2" pivotButton="0" quotePrefix="0" xfId="0"/>
    <xf numFmtId="165" fontId="7" fillId="4" borderId="2" applyAlignment="1" pivotButton="0" quotePrefix="0" xfId="0">
      <alignment horizontal="center" vertical="center"/>
    </xf>
    <xf numFmtId="0" fontId="6" fillId="8" borderId="2" pivotButton="0" quotePrefix="0" xfId="0"/>
    <xf numFmtId="0" fontId="6" fillId="8" borderId="2" applyAlignment="1" pivotButton="0" quotePrefix="0" xfId="0">
      <alignment horizontal="center" vertical="center"/>
    </xf>
    <xf numFmtId="3" fontId="6" fillId="8" borderId="2" applyAlignment="1" pivotButton="0" quotePrefix="0" xfId="0">
      <alignment horizontal="right" vertical="center"/>
    </xf>
    <xf numFmtId="167" fontId="6" fillId="8" borderId="2" applyAlignment="1" pivotButton="0" quotePrefix="0" xfId="0">
      <alignment horizontal="center" vertical="center"/>
    </xf>
    <xf numFmtId="165" fontId="6" fillId="8" borderId="2" applyAlignment="1" pivotButton="0" quotePrefix="0" xfId="0">
      <alignment horizontal="center" vertical="center"/>
    </xf>
    <xf numFmtId="166" fontId="6" fillId="8" borderId="2" applyAlignment="1" pivotButton="0" quotePrefix="0" xfId="0">
      <alignment horizontal="center" vertical="center"/>
    </xf>
    <xf numFmtId="0" fontId="1" fillId="11" borderId="0" applyAlignment="1" pivotButton="0" quotePrefix="0" xfId="0">
      <alignment horizontal="center" vertical="center"/>
    </xf>
    <xf numFmtId="0" fontId="12" fillId="0" borderId="0" pivotButton="0" quotePrefix="0" xfId="0"/>
    <xf numFmtId="0" fontId="7" fillId="0" borderId="0" applyAlignment="1" pivotButton="0" quotePrefix="0" xfId="0">
      <alignment vertical="top" wrapText="1"/>
    </xf>
    <xf numFmtId="0" fontId="13" fillId="0" borderId="0" pivotButton="0" quotePrefix="0" xfId="0"/>
    <xf numFmtId="0" fontId="5" fillId="0" borderId="3" applyAlignment="1" pivotButton="0" quotePrefix="0" xfId="0">
      <alignment horizontal="right"/>
    </xf>
    <xf numFmtId="0" fontId="0" fillId="0" borderId="3" pivotButton="0" quotePrefix="0" xfId="0"/>
    <xf numFmtId="0" fontId="14" fillId="12" borderId="4" applyAlignment="1" pivotButton="0" quotePrefix="0" xfId="0">
      <alignment horizontal="center" vertical="center" wrapText="1"/>
    </xf>
    <xf numFmtId="0" fontId="0" fillId="13" borderId="4" applyAlignment="1" pivotButton="0" quotePrefix="0" xfId="0">
      <alignment horizontal="center" vertical="center"/>
    </xf>
  </cellXfs>
  <cellStyles count="1">
    <cellStyle name="Normal" xfId="0" builtinId="0" hidden="0"/>
  </cellStyles>
  <dxfs count="3">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D32"/>
    <outlinePr summaryBelow="1" summaryRight="1"/>
    <pageSetUpPr/>
  </sheetPr>
  <dimension ref="B2:AB7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5" customWidth="1" min="2" max="2"/>
    <col width="15" customWidth="1" min="3" max="3"/>
    <col width="18" customWidth="1" min="4" max="4"/>
    <col width="10" customWidth="1" min="5" max="5"/>
    <col width="22" customWidth="1" min="6" max="6"/>
    <col width="25" customWidth="1" min="7" max="7"/>
    <col width="30" customWidth="1" min="8" max="8"/>
    <col width="16" customWidth="1" min="9" max="9"/>
    <col width="12" customWidth="1" min="10" max="10"/>
    <col width="12" customWidth="1" min="11" max="11"/>
    <col width="10" customWidth="1" min="12" max="12"/>
    <col width="12" customWidth="1" min="13" max="13"/>
    <col width="12" customWidth="1" min="14" max="14"/>
    <col width="10" customWidth="1" min="15" max="15"/>
    <col width="18" customWidth="1" min="16" max="16"/>
    <col width="16" customWidth="1" min="17" max="17"/>
    <col width="12" customWidth="1" min="18" max="18"/>
    <col width="12" customWidth="1" min="19" max="19"/>
    <col width="14" customWidth="1" min="20" max="20"/>
    <col width="25" customWidth="1" min="21" max="21"/>
  </cols>
  <sheetData>
    <row r="2" ht="35" customHeight="1">
      <c r="B2" s="1" t="inlineStr">
        <is>
          <t>SUIVI HEBDOMADAIRE D'EXÉCUTION PHYSIQUE ET FINANCIÈRE — PROJETS INONDATIONS GHARB 2026 (Juin–Décembre)</t>
        </is>
      </c>
    </row>
    <row r="3">
      <c r="B3" s="2" t="inlineStr">
        <is>
          <t>Office Régional de Mise en Valeur Agricole du Gharb — Kénitra</t>
        </is>
      </c>
      <c r="H3" s="3" t="inlineStr">
        <is>
          <t>Semaine N° :</t>
        </is>
      </c>
      <c r="K3" s="4" t="n"/>
      <c r="L3" s="5" t="inlineStr">
        <is>
          <t>Date début :</t>
        </is>
      </c>
      <c r="O3" s="6" t="n"/>
      <c r="P3" s="64" t="inlineStr">
        <is>
          <t>Date fin :</t>
        </is>
      </c>
      <c r="Q3" s="65" t="n"/>
    </row>
    <row r="5" ht="45" customHeight="1">
      <c r="B5" s="7" t="inlineStr">
        <is>
          <t>N°</t>
        </is>
      </c>
      <c r="C5" s="7" t="inlineStr">
        <is>
          <t>Province</t>
        </is>
      </c>
      <c r="D5" s="7" t="inlineStr">
        <is>
          <t>Commune</t>
        </is>
      </c>
      <c r="E5" s="7" t="inlineStr">
        <is>
          <t>Rubrique</t>
        </is>
      </c>
      <c r="F5" s="7" t="inlineStr">
        <is>
          <t>Intitulé Rubrique</t>
        </is>
      </c>
      <c r="G5" s="7" t="inlineStr">
        <is>
          <t>Intitulé Projet</t>
        </is>
      </c>
      <c r="H5" s="7" t="inlineStr">
        <is>
          <t>Consistance</t>
        </is>
      </c>
      <c r="I5" s="7" t="inlineStr">
        <is>
          <t>Budget Prévu (DH)</t>
        </is>
      </c>
      <c r="J5" s="7" t="inlineStr">
        <is>
          <t>Avancement Physique Sem. Préc. (%)</t>
        </is>
      </c>
      <c r="K5" s="7" t="inlineStr">
        <is>
          <t>Avancement Physique Sem. Act. (%)</t>
        </is>
      </c>
      <c r="L5" s="7" t="inlineStr">
        <is>
          <t>Δ Phys. (pts)</t>
        </is>
      </c>
      <c r="M5" s="7" t="inlineStr">
        <is>
          <t>Avancement Financier Sem. Préc. (%)</t>
        </is>
      </c>
      <c r="N5" s="7" t="inlineStr">
        <is>
          <t>Avancement Financier Sem. Act. (%)</t>
        </is>
      </c>
      <c r="O5" s="7" t="inlineStr">
        <is>
          <t>Δ Fin. (pts)</t>
        </is>
      </c>
      <c r="P5" s="7" t="inlineStr">
        <is>
          <t>Montant Décaissé Cumulé (DH)</t>
        </is>
      </c>
      <c r="Q5" s="7" t="inlineStr">
        <is>
          <t>Reste à Décaisser (DH)</t>
        </is>
      </c>
      <c r="R5" s="7" t="inlineStr">
        <is>
          <t>Taux Décaissement (%)</t>
        </is>
      </c>
      <c r="S5" s="7" t="inlineStr">
        <is>
          <t>Écart Phys.-Fin. (pts)</t>
        </is>
      </c>
      <c r="T5" s="7" t="inlineStr">
        <is>
          <t>Statut</t>
        </is>
      </c>
      <c r="U5" s="7" t="inlineStr">
        <is>
          <t>Observations</t>
        </is>
      </c>
      <c r="V5" s="66" t="inlineStr">
        <is>
          <t>N° Consultation</t>
        </is>
      </c>
      <c r="W5" s="66" t="inlineStr">
        <is>
          <t>Société Titulaire</t>
        </is>
      </c>
      <c r="X5" s="66" t="inlineStr">
        <is>
          <t>Date Ouverture Plis</t>
        </is>
      </c>
      <c r="Y5" s="66" t="inlineStr">
        <is>
          <t>Date Jugement</t>
        </is>
      </c>
      <c r="Z5" s="66" t="inlineStr">
        <is>
          <t>Date OSC</t>
        </is>
      </c>
      <c r="AA5" s="66" t="inlineStr">
        <is>
          <t>Délai Exécution (j)</t>
        </is>
      </c>
      <c r="AB5" s="66" t="inlineStr">
        <is>
          <t>Date Réception Provisoire</t>
        </is>
      </c>
    </row>
    <row r="6" ht="28" customHeight="1">
      <c r="B6" s="8" t="n">
        <v>1</v>
      </c>
      <c r="C6" s="9" t="inlineStr">
        <is>
          <t>Sidi Kacem</t>
        </is>
      </c>
      <c r="D6" s="10" t="inlineStr">
        <is>
          <t>KHENICHET</t>
        </is>
      </c>
      <c r="E6" s="8" t="inlineStr">
        <is>
          <t>50-23</t>
        </is>
      </c>
      <c r="F6" s="10" t="inlineStr">
        <is>
          <t>Entretien et réparation du réseau d'assainissement et de drainage</t>
        </is>
      </c>
      <c r="G6" s="10" t="inlineStr">
        <is>
          <t>Travaux de curage des canaux en terre</t>
        </is>
      </c>
      <c r="H6" s="10" t="inlineStr">
        <is>
          <t>Curage des collecteurs d'assainissement du secteur EST2</t>
        </is>
      </c>
      <c r="I6" s="11" t="n">
        <v>2091568</v>
      </c>
      <c r="J6" s="12" t="n"/>
      <c r="K6" s="12" t="n"/>
      <c r="L6" s="13">
        <f>IFERROR(K6-J6,"")</f>
        <v/>
      </c>
      <c r="M6" s="12" t="n"/>
      <c r="N6" s="12" t="n"/>
      <c r="O6" s="13">
        <f>IFERROR(N6-M6,"")</f>
        <v/>
      </c>
      <c r="P6" s="14" t="n"/>
      <c r="Q6" s="11">
        <f>IF(P6="","",I6-P6)</f>
        <v/>
      </c>
      <c r="R6" s="15">
        <f>IFERROR(P6/I6,"")</f>
        <v/>
      </c>
      <c r="S6" s="13">
        <f>IFERROR(K6-N6,"")</f>
        <v/>
      </c>
      <c r="T6" s="16" t="n"/>
      <c r="U6" s="17" t="n"/>
      <c r="V6" s="67" t="n"/>
      <c r="W6" s="67" t="n"/>
      <c r="X6" s="67" t="n"/>
      <c r="Y6" s="67" t="n"/>
      <c r="Z6" s="67" t="n"/>
      <c r="AA6" s="67" t="n"/>
      <c r="AB6" s="67" t="n"/>
    </row>
    <row r="7" ht="28" customHeight="1">
      <c r="B7" s="18" t="n">
        <v>2</v>
      </c>
      <c r="C7" s="19" t="inlineStr">
        <is>
          <t>Sidi Kacem</t>
        </is>
      </c>
      <c r="D7" s="20" t="inlineStr">
        <is>
          <t>KHENICHET</t>
        </is>
      </c>
      <c r="E7" s="18" t="inlineStr">
        <is>
          <t>40-21</t>
        </is>
      </c>
      <c r="F7" s="20" t="inlineStr">
        <is>
          <t>Travaux de pistes</t>
        </is>
      </c>
      <c r="G7" s="20" t="inlineStr">
        <is>
          <t>Travaux de réhabilitation des pistes agricoles</t>
        </is>
      </c>
      <c r="H7" s="20" t="inlineStr">
        <is>
          <t>Entretien des pistes agricoles Douar Nouagra et Douar ouled Salem</t>
        </is>
      </c>
      <c r="I7" s="21" t="n">
        <v>78000</v>
      </c>
      <c r="J7" s="12" t="n"/>
      <c r="K7" s="12" t="n"/>
      <c r="L7" s="22">
        <f>IFERROR(K7-J7,"")</f>
        <v/>
      </c>
      <c r="M7" s="12" t="n"/>
      <c r="N7" s="12" t="n"/>
      <c r="O7" s="22">
        <f>IFERROR(N7-M7,"")</f>
        <v/>
      </c>
      <c r="P7" s="14" t="n"/>
      <c r="Q7" s="21">
        <f>IF(P7="","",I7-P7)</f>
        <v/>
      </c>
      <c r="R7" s="23">
        <f>IFERROR(P7/I7,"")</f>
        <v/>
      </c>
      <c r="S7" s="22">
        <f>IFERROR(K7-N7,"")</f>
        <v/>
      </c>
      <c r="T7" s="16" t="n"/>
      <c r="U7" s="17" t="n"/>
      <c r="V7" s="67" t="n"/>
      <c r="W7" s="67" t="n"/>
      <c r="X7" s="67" t="n"/>
      <c r="Y7" s="67" t="n"/>
      <c r="Z7" s="67" t="n"/>
      <c r="AA7" s="67" t="n"/>
      <c r="AB7" s="67" t="n"/>
    </row>
    <row r="8" ht="28" customHeight="1">
      <c r="B8" s="8" t="n">
        <v>3</v>
      </c>
      <c r="C8" s="9" t="inlineStr">
        <is>
          <t>Sidi Kacem</t>
        </is>
      </c>
      <c r="D8" s="10" t="inlineStr">
        <is>
          <t>KHENICHET</t>
        </is>
      </c>
      <c r="E8" s="8" t="inlineStr">
        <is>
          <t>50-23</t>
        </is>
      </c>
      <c r="F8" s="10" t="inlineStr">
        <is>
          <t>Entretien et réparation du réseau d'assainissement et de drainage</t>
        </is>
      </c>
      <c r="G8" s="10" t="inlineStr">
        <is>
          <t>Curage des prises sur l’oued, bâche d’aspiration et bassin de régulation.</t>
        </is>
      </c>
      <c r="H8" s="10" t="inlineStr">
        <is>
          <t>Curage de la chambre des joints de démontage des siphonnes  de la station de pompage EST2.</t>
        </is>
      </c>
      <c r="I8" s="11" t="n">
        <v>126000</v>
      </c>
      <c r="J8" s="12" t="n"/>
      <c r="K8" s="12" t="n"/>
      <c r="L8" s="13">
        <f>IFERROR(K8-J8,"")</f>
        <v/>
      </c>
      <c r="M8" s="12" t="n"/>
      <c r="N8" s="12" t="n"/>
      <c r="O8" s="13">
        <f>IFERROR(N8-M8,"")</f>
        <v/>
      </c>
      <c r="P8" s="14" t="n"/>
      <c r="Q8" s="11">
        <f>IF(P8="","",I8-P8)</f>
        <v/>
      </c>
      <c r="R8" s="15">
        <f>IFERROR(P8/I8,"")</f>
        <v/>
      </c>
      <c r="S8" s="13">
        <f>IFERROR(K8-N8,"")</f>
        <v/>
      </c>
      <c r="T8" s="16" t="n"/>
      <c r="U8" s="17" t="n"/>
      <c r="V8" s="67" t="n"/>
      <c r="W8" s="67" t="n"/>
      <c r="X8" s="67" t="n"/>
      <c r="Y8" s="67" t="n"/>
      <c r="Z8" s="67" t="n"/>
      <c r="AA8" s="67" t="n"/>
      <c r="AB8" s="67" t="n"/>
    </row>
    <row r="9" ht="28" customHeight="1">
      <c r="B9" s="18" t="n">
        <v>4</v>
      </c>
      <c r="C9" s="19" t="inlineStr">
        <is>
          <t>Sidi Kacem</t>
        </is>
      </c>
      <c r="D9" s="20" t="inlineStr">
        <is>
          <t>KHENICHET</t>
        </is>
      </c>
      <c r="E9" s="18" t="inlineStr">
        <is>
          <t>50-21</t>
        </is>
      </c>
      <c r="F9" s="20" t="inlineStr">
        <is>
          <t>Entretien et réparation des stations de pompage</t>
        </is>
      </c>
      <c r="G9" s="20" t="inlineStr">
        <is>
          <t>Prestation de maintenance des débitmètres et leurs équipements annexes installés au niveau des station de pompage</t>
        </is>
      </c>
      <c r="H9" s="20" t="inlineStr">
        <is>
          <t>Changement trois débitmètre Ø 600mm inondés de la station de pompage EST 2 et deux capteurs VEGASON 62</t>
        </is>
      </c>
      <c r="I9" s="21" t="n">
        <v>165500</v>
      </c>
      <c r="J9" s="12" t="n"/>
      <c r="K9" s="12" t="n"/>
      <c r="L9" s="22">
        <f>IFERROR(K9-J9,"")</f>
        <v/>
      </c>
      <c r="M9" s="12" t="n"/>
      <c r="N9" s="12" t="n"/>
      <c r="O9" s="22">
        <f>IFERROR(N9-M9,"")</f>
        <v/>
      </c>
      <c r="P9" s="14" t="n"/>
      <c r="Q9" s="21">
        <f>IF(P9="","",I9-P9)</f>
        <v/>
      </c>
      <c r="R9" s="23">
        <f>IFERROR(P9/I9,"")</f>
        <v/>
      </c>
      <c r="S9" s="22">
        <f>IFERROR(K9-N9,"")</f>
        <v/>
      </c>
      <c r="T9" s="16" t="n"/>
      <c r="U9" s="17" t="n"/>
      <c r="V9" s="67" t="n"/>
      <c r="W9" s="67" t="n"/>
      <c r="X9" s="67" t="n"/>
      <c r="Y9" s="67" t="n"/>
      <c r="Z9" s="67" t="n"/>
      <c r="AA9" s="67" t="n"/>
      <c r="AB9" s="67" t="n"/>
    </row>
    <row r="10" ht="28" customHeight="1">
      <c r="B10" s="8" t="n">
        <v>5</v>
      </c>
      <c r="C10" s="9" t="inlineStr">
        <is>
          <t>Sidi Kacem</t>
        </is>
      </c>
      <c r="D10" s="10" t="inlineStr">
        <is>
          <t>BIR TALEB</t>
        </is>
      </c>
      <c r="E10" s="8" t="inlineStr">
        <is>
          <t>50-23</t>
        </is>
      </c>
      <c r="F10" s="10" t="inlineStr">
        <is>
          <t>Entretien et réparation du réseau d'assainissement et de drainage</t>
        </is>
      </c>
      <c r="G10" s="10" t="inlineStr">
        <is>
          <t>Travaux de curage des canaux en terre</t>
        </is>
      </c>
      <c r="H10" s="10" t="inlineStr">
        <is>
          <t>Curage du canal d'assainisement Tihli Aval</t>
        </is>
      </c>
      <c r="I10" s="11" t="n">
        <v>1000000</v>
      </c>
      <c r="J10" s="12" t="n"/>
      <c r="K10" s="12" t="n"/>
      <c r="L10" s="13">
        <f>IFERROR(K10-J10,"")</f>
        <v/>
      </c>
      <c r="M10" s="12" t="n"/>
      <c r="N10" s="12" t="n"/>
      <c r="O10" s="13">
        <f>IFERROR(N10-M10,"")</f>
        <v/>
      </c>
      <c r="P10" s="14" t="n"/>
      <c r="Q10" s="11">
        <f>IF(P10="","",I10-P10)</f>
        <v/>
      </c>
      <c r="R10" s="15">
        <f>IFERROR(P10/I10,"")</f>
        <v/>
      </c>
      <c r="S10" s="13">
        <f>IFERROR(K10-N10,"")</f>
        <v/>
      </c>
      <c r="T10" s="16" t="n"/>
      <c r="U10" s="17" t="n"/>
      <c r="V10" s="67" t="n"/>
      <c r="W10" s="67" t="n"/>
      <c r="X10" s="67" t="n"/>
      <c r="Y10" s="67" t="n"/>
      <c r="Z10" s="67" t="n"/>
      <c r="AA10" s="67" t="n"/>
      <c r="AB10" s="67" t="n"/>
    </row>
    <row r="11" ht="28" customHeight="1">
      <c r="B11" s="18" t="n">
        <v>6</v>
      </c>
      <c r="C11" s="19" t="inlineStr">
        <is>
          <t>Sidi Kacem</t>
        </is>
      </c>
      <c r="D11" s="20" t="inlineStr">
        <is>
          <t>BIR TALEB</t>
        </is>
      </c>
      <c r="E11" s="18" t="inlineStr">
        <is>
          <t>50-23</t>
        </is>
      </c>
      <c r="F11" s="20" t="inlineStr">
        <is>
          <t>Entretien et réparation du réseau d'assainissement et de drainage</t>
        </is>
      </c>
      <c r="G11" s="20" t="inlineStr"/>
      <c r="H11" s="20" t="inlineStr">
        <is>
          <t>Curage des collecteurs d'assainissement du secteur P11/1</t>
        </is>
      </c>
      <c r="I11" s="21" t="n">
        <v>846731</v>
      </c>
      <c r="J11" s="12" t="n"/>
      <c r="K11" s="12" t="n"/>
      <c r="L11" s="22">
        <f>IFERROR(K11-J11,"")</f>
        <v/>
      </c>
      <c r="M11" s="12" t="n"/>
      <c r="N11" s="12" t="n"/>
      <c r="O11" s="22">
        <f>IFERROR(N11-M11,"")</f>
        <v/>
      </c>
      <c r="P11" s="14" t="n"/>
      <c r="Q11" s="21">
        <f>IF(P11="","",I11-P11)</f>
        <v/>
      </c>
      <c r="R11" s="23">
        <f>IFERROR(P11/I11,"")</f>
        <v/>
      </c>
      <c r="S11" s="22">
        <f>IFERROR(K11-N11,"")</f>
        <v/>
      </c>
      <c r="T11" s="16" t="n"/>
      <c r="U11" s="17" t="n"/>
      <c r="V11" s="67" t="n"/>
      <c r="W11" s="67" t="n"/>
      <c r="X11" s="67" t="n"/>
      <c r="Y11" s="67" t="n"/>
      <c r="Z11" s="67" t="n"/>
      <c r="AA11" s="67" t="n"/>
      <c r="AB11" s="67" t="n"/>
    </row>
    <row r="12" ht="28" customHeight="1">
      <c r="B12" s="8" t="n">
        <v>7</v>
      </c>
      <c r="C12" s="9" t="inlineStr">
        <is>
          <t>Sidi Kacem</t>
        </is>
      </c>
      <c r="D12" s="10" t="inlineStr">
        <is>
          <t>BIR TALEB</t>
        </is>
      </c>
      <c r="E12" s="8" t="inlineStr">
        <is>
          <t>50-23</t>
        </is>
      </c>
      <c r="F12" s="10" t="inlineStr">
        <is>
          <t>Entretien et réparation du réseau d'assainissement et de drainage</t>
        </is>
      </c>
      <c r="G12" s="10" t="inlineStr">
        <is>
          <t>Curage des prises sur l’oued, bâche d’aspiration et bassin de régulation.</t>
        </is>
      </c>
      <c r="H12" s="10" t="inlineStr">
        <is>
          <t>Curage des prises sur l’oued de la station de pompage P11/1.</t>
        </is>
      </c>
      <c r="I12" s="11" t="n">
        <v>200000</v>
      </c>
      <c r="J12" s="12" t="n"/>
      <c r="K12" s="12" t="n"/>
      <c r="L12" s="13">
        <f>IFERROR(K12-J12,"")</f>
        <v/>
      </c>
      <c r="M12" s="12" t="n"/>
      <c r="N12" s="12" t="n"/>
      <c r="O12" s="13">
        <f>IFERROR(N12-M12,"")</f>
        <v/>
      </c>
      <c r="P12" s="14" t="n"/>
      <c r="Q12" s="11">
        <f>IF(P12="","",I12-P12)</f>
        <v/>
      </c>
      <c r="R12" s="15">
        <f>IFERROR(P12/I12,"")</f>
        <v/>
      </c>
      <c r="S12" s="13">
        <f>IFERROR(K12-N12,"")</f>
        <v/>
      </c>
      <c r="T12" s="16" t="n"/>
      <c r="U12" s="17" t="n"/>
      <c r="V12" s="67" t="n"/>
      <c r="W12" s="67" t="n"/>
      <c r="X12" s="67" t="n"/>
      <c r="Y12" s="67" t="n"/>
      <c r="Z12" s="67" t="n"/>
      <c r="AA12" s="67" t="n"/>
      <c r="AB12" s="67" t="n"/>
    </row>
    <row r="13" ht="28" customHeight="1">
      <c r="B13" s="18" t="n">
        <v>8</v>
      </c>
      <c r="C13" s="19" t="inlineStr">
        <is>
          <t>Sidi Kacem</t>
        </is>
      </c>
      <c r="D13" s="20" t="inlineStr">
        <is>
          <t>BIR TALEB</t>
        </is>
      </c>
      <c r="E13" s="18" t="inlineStr">
        <is>
          <t>50-21</t>
        </is>
      </c>
      <c r="F13" s="20" t="inlineStr">
        <is>
          <t>Entretien et réparation des stations de pompage</t>
        </is>
      </c>
      <c r="G13" s="20" t="inlineStr">
        <is>
          <t>Prestation de maintenance des débitmètres et leurs équipements annexes installés au niveau des station de pompage</t>
        </is>
      </c>
      <c r="H13" s="20" t="inlineStr">
        <is>
          <t>Changement trois débitmètre Ø 400mm inondés de la station de pompage P11/1</t>
        </is>
      </c>
      <c r="I13" s="21" t="n">
        <v>141900</v>
      </c>
      <c r="J13" s="12" t="n"/>
      <c r="K13" s="12" t="n"/>
      <c r="L13" s="22">
        <f>IFERROR(K13-J13,"")</f>
        <v/>
      </c>
      <c r="M13" s="12" t="n"/>
      <c r="N13" s="12" t="n"/>
      <c r="O13" s="22">
        <f>IFERROR(N13-M13,"")</f>
        <v/>
      </c>
      <c r="P13" s="14" t="n"/>
      <c r="Q13" s="21">
        <f>IF(P13="","",I13-P13)</f>
        <v/>
      </c>
      <c r="R13" s="23">
        <f>IFERROR(P13/I13,"")</f>
        <v/>
      </c>
      <c r="S13" s="22">
        <f>IFERROR(K13-N13,"")</f>
        <v/>
      </c>
      <c r="T13" s="16" t="n"/>
      <c r="U13" s="17" t="n"/>
      <c r="V13" s="67" t="n"/>
      <c r="W13" s="67" t="n"/>
      <c r="X13" s="67" t="n"/>
      <c r="Y13" s="67" t="n"/>
      <c r="Z13" s="67" t="n"/>
      <c r="AA13" s="67" t="n"/>
      <c r="AB13" s="67" t="n"/>
    </row>
    <row r="14" ht="28" customHeight="1">
      <c r="B14" s="8" t="n">
        <v>9</v>
      </c>
      <c r="C14" s="9" t="inlineStr">
        <is>
          <t>Sidi Kacem</t>
        </is>
      </c>
      <c r="D14" s="10" t="inlineStr">
        <is>
          <t>BIR TALEB</t>
        </is>
      </c>
      <c r="E14" s="8" t="inlineStr">
        <is>
          <t>50-21</t>
        </is>
      </c>
      <c r="F14" s="10" t="inlineStr">
        <is>
          <t>Entretien et réparation des stations de pompage</t>
        </is>
      </c>
      <c r="G14" s="10" t="inlineStr">
        <is>
          <t>Prestations de maintenance et de réparation mécanique des pompes et des groupes motopompes submersibles des stations de pompage.</t>
        </is>
      </c>
      <c r="H14" s="10" t="inlineStr">
        <is>
          <t>Démontage et expertise des roues des  pompes principaux et pompes a vide de la station P11/1
Changement des roulements, tresses et organes d’effectués de la station P11/1</t>
        </is>
      </c>
      <c r="I14" s="11" t="n">
        <v>26700</v>
      </c>
      <c r="J14" s="12" t="n"/>
      <c r="K14" s="12" t="n"/>
      <c r="L14" s="13">
        <f>IFERROR(K14-J14,"")</f>
        <v/>
      </c>
      <c r="M14" s="12" t="n"/>
      <c r="N14" s="12" t="n"/>
      <c r="O14" s="13">
        <f>IFERROR(N14-M14,"")</f>
        <v/>
      </c>
      <c r="P14" s="14" t="n"/>
      <c r="Q14" s="11">
        <f>IF(P14="","",I14-P14)</f>
        <v/>
      </c>
      <c r="R14" s="15">
        <f>IFERROR(P14/I14,"")</f>
        <v/>
      </c>
      <c r="S14" s="13">
        <f>IFERROR(K14-N14,"")</f>
        <v/>
      </c>
      <c r="T14" s="16" t="n"/>
      <c r="U14" s="17" t="n"/>
      <c r="V14" s="67" t="n"/>
      <c r="W14" s="67" t="n"/>
      <c r="X14" s="67" t="n"/>
      <c r="Y14" s="67" t="n"/>
      <c r="Z14" s="67" t="n"/>
      <c r="AA14" s="67" t="n"/>
      <c r="AB14" s="67" t="n"/>
    </row>
    <row r="15" ht="28" customHeight="1">
      <c r="B15" s="18" t="n">
        <v>10</v>
      </c>
      <c r="C15" s="19" t="inlineStr">
        <is>
          <t>Sidi Kacem</t>
        </is>
      </c>
      <c r="D15" s="20" t="inlineStr">
        <is>
          <t>BIR TALEB</t>
        </is>
      </c>
      <c r="E15" s="18" t="inlineStr">
        <is>
          <t>50-21</t>
        </is>
      </c>
      <c r="F15" s="20" t="inlineStr">
        <is>
          <t>Entretien et réparation des stations de pompage</t>
        </is>
      </c>
      <c r="G15" s="20" t="inlineStr">
        <is>
          <t>Stabilisation Berge oued</t>
        </is>
      </c>
      <c r="H15" s="20" t="inlineStr">
        <is>
          <t>Pose de  gabions et recouvrement du talus par matelas Reno des stations de pompage P11/1.</t>
        </is>
      </c>
      <c r="I15" s="21" t="n">
        <v>480000</v>
      </c>
      <c r="J15" s="12" t="n"/>
      <c r="K15" s="12" t="n"/>
      <c r="L15" s="22">
        <f>IFERROR(K15-J15,"")</f>
        <v/>
      </c>
      <c r="M15" s="12" t="n"/>
      <c r="N15" s="12" t="n"/>
      <c r="O15" s="22">
        <f>IFERROR(N15-M15,"")</f>
        <v/>
      </c>
      <c r="P15" s="14" t="n"/>
      <c r="Q15" s="21">
        <f>IF(P15="","",I15-P15)</f>
        <v/>
      </c>
      <c r="R15" s="23">
        <f>IFERROR(P15/I15,"")</f>
        <v/>
      </c>
      <c r="S15" s="22">
        <f>IFERROR(K15-N15,"")</f>
        <v/>
      </c>
      <c r="T15" s="16" t="n"/>
      <c r="U15" s="17" t="n"/>
      <c r="V15" s="67" t="n"/>
      <c r="W15" s="67" t="n"/>
      <c r="X15" s="67" t="n"/>
      <c r="Y15" s="67" t="n"/>
      <c r="Z15" s="67" t="n"/>
      <c r="AA15" s="67" t="n"/>
      <c r="AB15" s="67" t="n"/>
    </row>
    <row r="16" ht="28" customHeight="1">
      <c r="B16" s="8" t="n">
        <v>11</v>
      </c>
      <c r="C16" s="9" t="inlineStr">
        <is>
          <t>Sidi Kacem</t>
        </is>
      </c>
      <c r="D16" s="10" t="inlineStr">
        <is>
          <t>BIR TALEB</t>
        </is>
      </c>
      <c r="E16" s="8" t="inlineStr">
        <is>
          <t>50-21</t>
        </is>
      </c>
      <c r="F16" s="10" t="inlineStr">
        <is>
          <t>Entretien et réparation des stations de pompage</t>
        </is>
      </c>
      <c r="G16" s="10" t="inlineStr">
        <is>
          <t>Génie civile des locaux des stations de pompage.</t>
        </is>
      </c>
      <c r="H16" s="10" t="inlineStr">
        <is>
          <t>Expertise d’état et d’étanchéité des locaux pompes.
Renforcement d’étanchéité des locaux pompe sous niveau des oueds des stations de pompage P11/1.
Entretien des supports en béton des conduites d’aspiration.</t>
        </is>
      </c>
      <c r="I16" s="11" t="n">
        <v>300000</v>
      </c>
      <c r="J16" s="12" t="n"/>
      <c r="K16" s="12" t="n"/>
      <c r="L16" s="13">
        <f>IFERROR(K16-J16,"")</f>
        <v/>
      </c>
      <c r="M16" s="12" t="n"/>
      <c r="N16" s="12" t="n"/>
      <c r="O16" s="13">
        <f>IFERROR(N16-M16,"")</f>
        <v/>
      </c>
      <c r="P16" s="14" t="n"/>
      <c r="Q16" s="11">
        <f>IF(P16="","",I16-P16)</f>
        <v/>
      </c>
      <c r="R16" s="15">
        <f>IFERROR(P16/I16,"")</f>
        <v/>
      </c>
      <c r="S16" s="13">
        <f>IFERROR(K16-N16,"")</f>
        <v/>
      </c>
      <c r="T16" s="16" t="n"/>
      <c r="U16" s="17" t="n"/>
      <c r="V16" s="67" t="n"/>
      <c r="W16" s="67" t="n"/>
      <c r="X16" s="67" t="n"/>
      <c r="Y16" s="67" t="n"/>
      <c r="Z16" s="67" t="n"/>
      <c r="AA16" s="67" t="n"/>
      <c r="AB16" s="67" t="n"/>
    </row>
    <row r="17" ht="28" customHeight="1">
      <c r="B17" s="18" t="n">
        <v>12</v>
      </c>
      <c r="C17" s="19" t="inlineStr">
        <is>
          <t>Sidi Kacem</t>
        </is>
      </c>
      <c r="D17" s="20" t="inlineStr">
        <is>
          <t>CHEBANAT</t>
        </is>
      </c>
      <c r="E17" s="18" t="inlineStr">
        <is>
          <t>50-23</t>
        </is>
      </c>
      <c r="F17" s="20" t="inlineStr">
        <is>
          <t>Entretien et réparation du réseau d'assainissement et de drainage</t>
        </is>
      </c>
      <c r="G17" s="20" t="inlineStr">
        <is>
          <t>Travaux de curage des canaux en terre</t>
        </is>
      </c>
      <c r="H17" s="20" t="inlineStr">
        <is>
          <t>Curage des collecteurs d'assainissement des secteur SH5 et SH6.</t>
        </is>
      </c>
      <c r="I17" s="21" t="n">
        <v>1000000</v>
      </c>
      <c r="J17" s="12" t="n"/>
      <c r="K17" s="12" t="n"/>
      <c r="L17" s="22">
        <f>IFERROR(K17-J17,"")</f>
        <v/>
      </c>
      <c r="M17" s="12" t="n"/>
      <c r="N17" s="12" t="n"/>
      <c r="O17" s="22">
        <f>IFERROR(N17-M17,"")</f>
        <v/>
      </c>
      <c r="P17" s="14" t="n"/>
      <c r="Q17" s="21">
        <f>IF(P17="","",I17-P17)</f>
        <v/>
      </c>
      <c r="R17" s="23">
        <f>IFERROR(P17/I17,"")</f>
        <v/>
      </c>
      <c r="S17" s="22">
        <f>IFERROR(K17-N17,"")</f>
        <v/>
      </c>
      <c r="T17" s="16" t="n"/>
      <c r="U17" s="17" t="n"/>
      <c r="V17" s="67" t="n"/>
      <c r="W17" s="67" t="n"/>
      <c r="X17" s="67" t="n"/>
      <c r="Y17" s="67" t="n"/>
      <c r="Z17" s="67" t="n"/>
      <c r="AA17" s="67" t="n"/>
      <c r="AB17" s="67" t="n"/>
    </row>
    <row r="18" ht="28" customHeight="1">
      <c r="B18" s="8" t="n">
        <v>13</v>
      </c>
      <c r="C18" s="9" t="inlineStr">
        <is>
          <t>Sidi Kacem</t>
        </is>
      </c>
      <c r="D18" s="10" t="inlineStr">
        <is>
          <t>CHEBANAT</t>
        </is>
      </c>
      <c r="E18" s="8" t="inlineStr">
        <is>
          <t>50-23</t>
        </is>
      </c>
      <c r="F18" s="10" t="inlineStr">
        <is>
          <t>Entretien et réparation du réseau d'assainissement et de drainage</t>
        </is>
      </c>
      <c r="G18" s="10" t="inlineStr">
        <is>
          <t>Travaux de curage des canaux révetus</t>
        </is>
      </c>
      <c r="H18" s="10" t="inlineStr">
        <is>
          <t>Curage du canal principal d'irrigation beht partie aval 1.</t>
        </is>
      </c>
      <c r="I18" s="11" t="n">
        <v>739200</v>
      </c>
      <c r="J18" s="12" t="n"/>
      <c r="K18" s="12" t="n"/>
      <c r="L18" s="13">
        <f>IFERROR(K18-J18,"")</f>
        <v/>
      </c>
      <c r="M18" s="12" t="n"/>
      <c r="N18" s="12" t="n"/>
      <c r="O18" s="13">
        <f>IFERROR(N18-M18,"")</f>
        <v/>
      </c>
      <c r="P18" s="14" t="n"/>
      <c r="Q18" s="11">
        <f>IF(P18="","",I18-P18)</f>
        <v/>
      </c>
      <c r="R18" s="15">
        <f>IFERROR(P18/I18,"")</f>
        <v/>
      </c>
      <c r="S18" s="13">
        <f>IFERROR(K18-N18,"")</f>
        <v/>
      </c>
      <c r="T18" s="16" t="n"/>
      <c r="U18" s="17" t="n"/>
      <c r="V18" s="67" t="n"/>
      <c r="W18" s="67" t="n"/>
      <c r="X18" s="67" t="n"/>
      <c r="Y18" s="67" t="n"/>
      <c r="Z18" s="67" t="n"/>
      <c r="AA18" s="67" t="n"/>
      <c r="AB18" s="67" t="n"/>
    </row>
    <row r="19" ht="28" customHeight="1">
      <c r="B19" s="18" t="n">
        <v>14</v>
      </c>
      <c r="C19" s="19" t="inlineStr">
        <is>
          <t>Sidi Kacem</t>
        </is>
      </c>
      <c r="D19" s="20" t="inlineStr">
        <is>
          <t>ZIRARA</t>
        </is>
      </c>
      <c r="E19" s="18" t="inlineStr">
        <is>
          <t>50-23</t>
        </is>
      </c>
      <c r="F19" s="20" t="inlineStr">
        <is>
          <t>Entretien et réparation du réseau d'assainissement et de drainage</t>
        </is>
      </c>
      <c r="G19" s="20" t="inlineStr">
        <is>
          <t>Travaux de curage des canaux révetus</t>
        </is>
      </c>
      <c r="H19" s="20" t="inlineStr">
        <is>
          <t>Curage du canal principal d'irrigation beht partie aval 2.</t>
        </is>
      </c>
      <c r="I19" s="21" t="n">
        <v>1276800</v>
      </c>
      <c r="J19" s="12" t="n"/>
      <c r="K19" s="12" t="n"/>
      <c r="L19" s="22">
        <f>IFERROR(K19-J19,"")</f>
        <v/>
      </c>
      <c r="M19" s="12" t="n"/>
      <c r="N19" s="12" t="n"/>
      <c r="O19" s="22">
        <f>IFERROR(N19-M19,"")</f>
        <v/>
      </c>
      <c r="P19" s="14" t="n"/>
      <c r="Q19" s="21">
        <f>IF(P19="","",I19-P19)</f>
        <v/>
      </c>
      <c r="R19" s="23">
        <f>IFERROR(P19/I19,"")</f>
        <v/>
      </c>
      <c r="S19" s="22">
        <f>IFERROR(K19-N19,"")</f>
        <v/>
      </c>
      <c r="T19" s="16" t="n"/>
      <c r="U19" s="17" t="n"/>
      <c r="V19" s="67" t="n"/>
      <c r="W19" s="67" t="n"/>
      <c r="X19" s="67" t="n"/>
      <c r="Y19" s="67" t="n"/>
      <c r="Z19" s="67" t="n"/>
      <c r="AA19" s="67" t="n"/>
      <c r="AB19" s="67" t="n"/>
    </row>
    <row r="20" ht="28" customHeight="1">
      <c r="B20" s="8" t="n">
        <v>15</v>
      </c>
      <c r="C20" s="9" t="inlineStr">
        <is>
          <t>Sidi Kacem</t>
        </is>
      </c>
      <c r="D20" s="10" t="inlineStr">
        <is>
          <t>DAR LAASLOUJI</t>
        </is>
      </c>
      <c r="E20" s="8" t="inlineStr">
        <is>
          <t>50-23</t>
        </is>
      </c>
      <c r="F20" s="10" t="inlineStr">
        <is>
          <t>Entretien et réparation du réseau d'assainissement et de drainage</t>
        </is>
      </c>
      <c r="G20" s="10" t="inlineStr">
        <is>
          <t>Travaux de curage des canaux en terre</t>
        </is>
      </c>
      <c r="H20" s="10" t="inlineStr">
        <is>
          <t>Curage des collecteurs d'assainissement des secteurs P8-1 et P8-2</t>
        </is>
      </c>
      <c r="I20" s="11" t="n">
        <v>5796360</v>
      </c>
      <c r="J20" s="12" t="n"/>
      <c r="K20" s="12" t="n"/>
      <c r="L20" s="13">
        <f>IFERROR(K20-J20,"")</f>
        <v/>
      </c>
      <c r="M20" s="12" t="n"/>
      <c r="N20" s="12" t="n"/>
      <c r="O20" s="13">
        <f>IFERROR(N20-M20,"")</f>
        <v/>
      </c>
      <c r="P20" s="14" t="n"/>
      <c r="Q20" s="11">
        <f>IF(P20="","",I20-P20)</f>
        <v/>
      </c>
      <c r="R20" s="15">
        <f>IFERROR(P20/I20,"")</f>
        <v/>
      </c>
      <c r="S20" s="13">
        <f>IFERROR(K20-N20,"")</f>
        <v/>
      </c>
      <c r="T20" s="16" t="n"/>
      <c r="U20" s="17" t="n"/>
      <c r="V20" s="67" t="n"/>
      <c r="W20" s="67" t="n"/>
      <c r="X20" s="67" t="n"/>
      <c r="Y20" s="67" t="n"/>
      <c r="Z20" s="67" t="n"/>
      <c r="AA20" s="67" t="n"/>
      <c r="AB20" s="67" t="n"/>
    </row>
    <row r="21" ht="28" customHeight="1">
      <c r="B21" s="18" t="n">
        <v>16</v>
      </c>
      <c r="C21" s="19" t="inlineStr">
        <is>
          <t>Sidi Kacem</t>
        </is>
      </c>
      <c r="D21" s="20" t="inlineStr">
        <is>
          <t>DAR LAASLOUJI</t>
        </is>
      </c>
      <c r="E21" s="18" t="inlineStr">
        <is>
          <t>40-21</t>
        </is>
      </c>
      <c r="F21" s="20" t="inlineStr">
        <is>
          <t>Travaux de pistes</t>
        </is>
      </c>
      <c r="G21" s="20" t="inlineStr">
        <is>
          <t>Entretien des pistes agricoles</t>
        </is>
      </c>
      <c r="H21" s="20" t="inlineStr">
        <is>
          <t>Entretien des pistes agricoles</t>
        </is>
      </c>
      <c r="I21" s="21" t="n">
        <v>340000</v>
      </c>
      <c r="J21" s="12" t="n"/>
      <c r="K21" s="12" t="n"/>
      <c r="L21" s="22">
        <f>IFERROR(K21-J21,"")</f>
        <v/>
      </c>
      <c r="M21" s="12" t="n"/>
      <c r="N21" s="12" t="n"/>
      <c r="O21" s="22">
        <f>IFERROR(N21-M21,"")</f>
        <v/>
      </c>
      <c r="P21" s="14" t="n"/>
      <c r="Q21" s="21">
        <f>IF(P21="","",I21-P21)</f>
        <v/>
      </c>
      <c r="R21" s="23">
        <f>IFERROR(P21/I21,"")</f>
        <v/>
      </c>
      <c r="S21" s="22">
        <f>IFERROR(K21-N21,"")</f>
        <v/>
      </c>
      <c r="T21" s="16" t="n"/>
      <c r="U21" s="17" t="n"/>
      <c r="V21" s="67" t="n"/>
      <c r="W21" s="67" t="n"/>
      <c r="X21" s="67" t="n"/>
      <c r="Y21" s="67" t="n"/>
      <c r="Z21" s="67" t="n"/>
      <c r="AA21" s="67" t="n"/>
      <c r="AB21" s="67" t="n"/>
    </row>
    <row r="22" ht="28" customHeight="1">
      <c r="B22" s="8" t="n">
        <v>17</v>
      </c>
      <c r="C22" s="9" t="inlineStr">
        <is>
          <t>Sidi Kacem</t>
        </is>
      </c>
      <c r="D22" s="10" t="inlineStr">
        <is>
          <t>HOUAFATE</t>
        </is>
      </c>
      <c r="E22" s="8" t="inlineStr">
        <is>
          <t>20-11</t>
        </is>
      </c>
      <c r="F22" s="10" t="inlineStr">
        <is>
          <t>Travaux de réhabilitation des équipements</t>
        </is>
      </c>
      <c r="G22" s="10" t="inlineStr">
        <is>
          <t>Travaux de réhabilitation des canaux portés d'irrigation</t>
        </is>
      </c>
      <c r="H22" s="10" t="inlineStr">
        <is>
          <t>Fourniture et de pose de canaux porté et accessoires du réseau S3 du secteur S13</t>
        </is>
      </c>
      <c r="I22" s="11" t="n">
        <v>397934</v>
      </c>
      <c r="J22" s="12" t="n"/>
      <c r="K22" s="12" t="n"/>
      <c r="L22" s="13">
        <f>IFERROR(K22-J22,"")</f>
        <v/>
      </c>
      <c r="M22" s="12" t="n"/>
      <c r="N22" s="12" t="n"/>
      <c r="O22" s="13">
        <f>IFERROR(N22-M22,"")</f>
        <v/>
      </c>
      <c r="P22" s="14" t="n"/>
      <c r="Q22" s="11">
        <f>IF(P22="","",I22-P22)</f>
        <v/>
      </c>
      <c r="R22" s="15">
        <f>IFERROR(P22/I22,"")</f>
        <v/>
      </c>
      <c r="S22" s="13">
        <f>IFERROR(K22-N22,"")</f>
        <v/>
      </c>
      <c r="T22" s="16" t="n"/>
      <c r="U22" s="17" t="n"/>
      <c r="V22" s="67" t="n"/>
      <c r="W22" s="67" t="n"/>
      <c r="X22" s="67" t="n"/>
      <c r="Y22" s="67" t="n"/>
      <c r="Z22" s="67" t="n"/>
      <c r="AA22" s="67" t="n"/>
      <c r="AB22" s="67" t="n"/>
    </row>
    <row r="23" ht="28" customHeight="1">
      <c r="B23" s="18" t="n">
        <v>18</v>
      </c>
      <c r="C23" s="19" t="inlineStr">
        <is>
          <t>Sidi Kacem</t>
        </is>
      </c>
      <c r="D23" s="20" t="inlineStr">
        <is>
          <t>HOUAFATE</t>
        </is>
      </c>
      <c r="E23" s="18" t="inlineStr">
        <is>
          <t>20-11</t>
        </is>
      </c>
      <c r="F23" s="20" t="inlineStr">
        <is>
          <t>Travaux de réhabilitation des équipements</t>
        </is>
      </c>
      <c r="G23" s="20" t="inlineStr"/>
      <c r="H23" s="20" t="inlineStr">
        <is>
          <t>Fourniture et de pose de canaux porté et accessoires du réseau T2S1 du secteur S13</t>
        </is>
      </c>
      <c r="I23" s="21" t="n">
        <v>207575</v>
      </c>
      <c r="J23" s="12" t="n"/>
      <c r="K23" s="12" t="n"/>
      <c r="L23" s="22">
        <f>IFERROR(K23-J23,"")</f>
        <v/>
      </c>
      <c r="M23" s="12" t="n"/>
      <c r="N23" s="12" t="n"/>
      <c r="O23" s="22">
        <f>IFERROR(N23-M23,"")</f>
        <v/>
      </c>
      <c r="P23" s="14" t="n"/>
      <c r="Q23" s="21">
        <f>IF(P23="","",I23-P23)</f>
        <v/>
      </c>
      <c r="R23" s="23">
        <f>IFERROR(P23/I23,"")</f>
        <v/>
      </c>
      <c r="S23" s="22">
        <f>IFERROR(K23-N23,"")</f>
        <v/>
      </c>
      <c r="T23" s="16" t="n"/>
      <c r="U23" s="17" t="n"/>
      <c r="V23" s="67" t="n"/>
      <c r="W23" s="67" t="n"/>
      <c r="X23" s="67" t="n"/>
      <c r="Y23" s="67" t="n"/>
      <c r="Z23" s="67" t="n"/>
      <c r="AA23" s="67" t="n"/>
      <c r="AB23" s="67" t="n"/>
    </row>
    <row r="24" ht="28" customHeight="1">
      <c r="B24" s="8" t="n">
        <v>19</v>
      </c>
      <c r="C24" s="9" t="inlineStr">
        <is>
          <t>Sidi Kacem</t>
        </is>
      </c>
      <c r="D24" s="10" t="inlineStr">
        <is>
          <t>HOUAFATE</t>
        </is>
      </c>
      <c r="E24" s="8" t="inlineStr">
        <is>
          <t>40-21</t>
        </is>
      </c>
      <c r="F24" s="10" t="inlineStr">
        <is>
          <t>Travaux de pistes</t>
        </is>
      </c>
      <c r="G24" s="10" t="inlineStr">
        <is>
          <t>Entretien des pistes agricoles</t>
        </is>
      </c>
      <c r="H24" s="10" t="inlineStr">
        <is>
          <t>Entretien des pistes agricoles</t>
        </is>
      </c>
      <c r="I24" s="11" t="n">
        <v>2200000</v>
      </c>
      <c r="J24" s="12" t="n"/>
      <c r="K24" s="12" t="n"/>
      <c r="L24" s="13">
        <f>IFERROR(K24-J24,"")</f>
        <v/>
      </c>
      <c r="M24" s="12" t="n"/>
      <c r="N24" s="12" t="n"/>
      <c r="O24" s="13">
        <f>IFERROR(N24-M24,"")</f>
        <v/>
      </c>
      <c r="P24" s="14" t="n"/>
      <c r="Q24" s="11">
        <f>IF(P24="","",I24-P24)</f>
        <v/>
      </c>
      <c r="R24" s="15">
        <f>IFERROR(P24/I24,"")</f>
        <v/>
      </c>
      <c r="S24" s="13">
        <f>IFERROR(K24-N24,"")</f>
        <v/>
      </c>
      <c r="T24" s="16" t="n"/>
      <c r="U24" s="17" t="n"/>
      <c r="V24" s="67" t="n"/>
      <c r="W24" s="67" t="n"/>
      <c r="X24" s="67" t="n"/>
      <c r="Y24" s="67" t="n"/>
      <c r="Z24" s="67" t="n"/>
      <c r="AA24" s="67" t="n"/>
      <c r="AB24" s="67" t="n"/>
    </row>
    <row r="25" ht="28" customHeight="1">
      <c r="B25" s="18" t="n">
        <v>20</v>
      </c>
      <c r="C25" s="19" t="inlineStr">
        <is>
          <t>Sidi Kacem</t>
        </is>
      </c>
      <c r="D25" s="20" t="inlineStr">
        <is>
          <t>HOUAFATE</t>
        </is>
      </c>
      <c r="E25" s="18" t="inlineStr">
        <is>
          <t>50-23</t>
        </is>
      </c>
      <c r="F25" s="20" t="inlineStr">
        <is>
          <t>Entretien et réparation du réseau d'assainissement et de drainage</t>
        </is>
      </c>
      <c r="G25" s="20" t="inlineStr">
        <is>
          <t>Curage des prises sur l’oued, bâche d’aspiration et bassin de régulation.</t>
        </is>
      </c>
      <c r="H25" s="20" t="inlineStr">
        <is>
          <t>Curage des prises sur l’oued de la station de pompage S17 et S13.
Nettoyage des grilles de préfiltration des boues colmaté de la station de pompage S17 et S13.
Curage de la bâche d’aspiration de la station S17 et S13.</t>
        </is>
      </c>
      <c r="I25" s="21" t="n">
        <v>300000</v>
      </c>
      <c r="J25" s="12" t="n"/>
      <c r="K25" s="12" t="n"/>
      <c r="L25" s="22">
        <f>IFERROR(K25-J25,"")</f>
        <v/>
      </c>
      <c r="M25" s="12" t="n"/>
      <c r="N25" s="12" t="n"/>
      <c r="O25" s="22">
        <f>IFERROR(N25-M25,"")</f>
        <v/>
      </c>
      <c r="P25" s="14" t="n"/>
      <c r="Q25" s="21">
        <f>IF(P25="","",I25-P25)</f>
        <v/>
      </c>
      <c r="R25" s="23">
        <f>IFERROR(P25/I25,"")</f>
        <v/>
      </c>
      <c r="S25" s="22">
        <f>IFERROR(K25-N25,"")</f>
        <v/>
      </c>
      <c r="T25" s="16" t="n"/>
      <c r="U25" s="17" t="n"/>
      <c r="V25" s="67" t="n"/>
      <c r="W25" s="67" t="n"/>
      <c r="X25" s="67" t="n"/>
      <c r="Y25" s="67" t="n"/>
      <c r="Z25" s="67" t="n"/>
      <c r="AA25" s="67" t="n"/>
      <c r="AB25" s="67" t="n"/>
    </row>
    <row r="26" ht="28" customHeight="1">
      <c r="B26" s="8" t="n">
        <v>21</v>
      </c>
      <c r="C26" s="9" t="inlineStr">
        <is>
          <t>Sidi Kacem</t>
        </is>
      </c>
      <c r="D26" s="10" t="inlineStr">
        <is>
          <t>HOUAFATE</t>
        </is>
      </c>
      <c r="E26" s="8" t="inlineStr">
        <is>
          <t>50-21</t>
        </is>
      </c>
      <c r="F26" s="10" t="inlineStr">
        <is>
          <t>Entretien et réparation des stations de pompage</t>
        </is>
      </c>
      <c r="G26" s="10" t="inlineStr">
        <is>
          <t>Prestation de maintenance des débitmètres et leurs équipements annexes installés au niveau des station de pompage</t>
        </is>
      </c>
      <c r="H26" s="10" t="inlineStr">
        <is>
          <t>Changement trois débitmètre Ø 600mm inondés de la station de pompage S13.</t>
        </is>
      </c>
      <c r="I26" s="11" t="n">
        <v>250000</v>
      </c>
      <c r="J26" s="12" t="n"/>
      <c r="K26" s="12" t="n"/>
      <c r="L26" s="13">
        <f>IFERROR(K26-J26,"")</f>
        <v/>
      </c>
      <c r="M26" s="12" t="n"/>
      <c r="N26" s="12" t="n"/>
      <c r="O26" s="13">
        <f>IFERROR(N26-M26,"")</f>
        <v/>
      </c>
      <c r="P26" s="14" t="n"/>
      <c r="Q26" s="11">
        <f>IF(P26="","",I26-P26)</f>
        <v/>
      </c>
      <c r="R26" s="15">
        <f>IFERROR(P26/I26,"")</f>
        <v/>
      </c>
      <c r="S26" s="13">
        <f>IFERROR(K26-N26,"")</f>
        <v/>
      </c>
      <c r="T26" s="16" t="n"/>
      <c r="U26" s="17" t="n"/>
      <c r="V26" s="67" t="n"/>
      <c r="W26" s="67" t="n"/>
      <c r="X26" s="67" t="n"/>
      <c r="Y26" s="67" t="n"/>
      <c r="Z26" s="67" t="n"/>
      <c r="AA26" s="67" t="n"/>
      <c r="AB26" s="67" t="n"/>
    </row>
    <row r="27" ht="28" customHeight="1">
      <c r="B27" s="18" t="n">
        <v>22</v>
      </c>
      <c r="C27" s="19" t="inlineStr">
        <is>
          <t>Sidi Kacem</t>
        </is>
      </c>
      <c r="D27" s="20" t="inlineStr">
        <is>
          <t>HOUAFATE</t>
        </is>
      </c>
      <c r="E27" s="18" t="inlineStr">
        <is>
          <t>50-21</t>
        </is>
      </c>
      <c r="F27" s="20" t="inlineStr">
        <is>
          <t>Entretien et réparation des stations de pompage</t>
        </is>
      </c>
      <c r="G27" s="20" t="inlineStr">
        <is>
          <t>Prestations de maintenance des moteurs électriques des stations de pompage.</t>
        </is>
      </c>
      <c r="H27" s="20" t="inlineStr">
        <is>
          <t>Révision des trois moteurs électriques 200 KW principaux de la station S13. 
Révision des deux moteurs électriques 5,5 KW groupes vide de la station S13.</t>
        </is>
      </c>
      <c r="I27" s="21" t="n">
        <v>25000</v>
      </c>
      <c r="J27" s="12" t="n"/>
      <c r="K27" s="12" t="n"/>
      <c r="L27" s="22">
        <f>IFERROR(K27-J27,"")</f>
        <v/>
      </c>
      <c r="M27" s="12" t="n"/>
      <c r="N27" s="12" t="n"/>
      <c r="O27" s="22">
        <f>IFERROR(N27-M27,"")</f>
        <v/>
      </c>
      <c r="P27" s="14" t="n"/>
      <c r="Q27" s="21">
        <f>IF(P27="","",I27-P27)</f>
        <v/>
      </c>
      <c r="R27" s="23">
        <f>IFERROR(P27/I27,"")</f>
        <v/>
      </c>
      <c r="S27" s="22">
        <f>IFERROR(K27-N27,"")</f>
        <v/>
      </c>
      <c r="T27" s="16" t="n"/>
      <c r="U27" s="17" t="n"/>
      <c r="V27" s="67" t="n"/>
      <c r="W27" s="67" t="n"/>
      <c r="X27" s="67" t="n"/>
      <c r="Y27" s="67" t="n"/>
      <c r="Z27" s="67" t="n"/>
      <c r="AA27" s="67" t="n"/>
      <c r="AB27" s="67" t="n"/>
    </row>
    <row r="28" ht="28" customHeight="1">
      <c r="B28" s="8" t="n">
        <v>23</v>
      </c>
      <c r="C28" s="9" t="inlineStr">
        <is>
          <t>Sidi Kacem</t>
        </is>
      </c>
      <c r="D28" s="10" t="inlineStr">
        <is>
          <t>HOUAFATE</t>
        </is>
      </c>
      <c r="E28" s="8" t="inlineStr">
        <is>
          <t>50-21</t>
        </is>
      </c>
      <c r="F28" s="10" t="inlineStr">
        <is>
          <t>Entretien et réparation des stations de pompage</t>
        </is>
      </c>
      <c r="G28" s="10" t="inlineStr">
        <is>
          <t>Prestations de maintenance et de réparation mécanique des pompes et des groupes motopompes submersibles des stations de pompage.</t>
        </is>
      </c>
      <c r="H28" s="10" t="inlineStr">
        <is>
          <t>Démontage et expertise des roues des  pompes principaux et pompes a vide de la station S13.
Changement des roulements, tresses et organes d’effectués de la station S13.</t>
        </is>
      </c>
      <c r="I28" s="11" t="n">
        <v>38000</v>
      </c>
      <c r="J28" s="12" t="n"/>
      <c r="K28" s="12" t="n"/>
      <c r="L28" s="13">
        <f>IFERROR(K28-J28,"")</f>
        <v/>
      </c>
      <c r="M28" s="12" t="n"/>
      <c r="N28" s="12" t="n"/>
      <c r="O28" s="13">
        <f>IFERROR(N28-M28,"")</f>
        <v/>
      </c>
      <c r="P28" s="14" t="n"/>
      <c r="Q28" s="11">
        <f>IF(P28="","",I28-P28)</f>
        <v/>
      </c>
      <c r="R28" s="15">
        <f>IFERROR(P28/I28,"")</f>
        <v/>
      </c>
      <c r="S28" s="13">
        <f>IFERROR(K28-N28,"")</f>
        <v/>
      </c>
      <c r="T28" s="16" t="n"/>
      <c r="U28" s="17" t="n"/>
      <c r="V28" s="67" t="n"/>
      <c r="W28" s="67" t="n"/>
      <c r="X28" s="67" t="n"/>
      <c r="Y28" s="67" t="n"/>
      <c r="Z28" s="67" t="n"/>
      <c r="AA28" s="67" t="n"/>
      <c r="AB28" s="67" t="n"/>
    </row>
    <row r="29" ht="28" customHeight="1">
      <c r="B29" s="18" t="n">
        <v>24</v>
      </c>
      <c r="C29" s="19" t="inlineStr">
        <is>
          <t>Sidi Kacem</t>
        </is>
      </c>
      <c r="D29" s="20" t="inlineStr">
        <is>
          <t>HOUAFATE</t>
        </is>
      </c>
      <c r="E29" s="18" t="inlineStr">
        <is>
          <t>50-21</t>
        </is>
      </c>
      <c r="F29" s="20" t="inlineStr">
        <is>
          <t>Entretien et réparation des stations de pompage</t>
        </is>
      </c>
      <c r="G29" s="20" t="inlineStr">
        <is>
          <t>Stabilisation Berge oued</t>
        </is>
      </c>
      <c r="H29" s="20" t="inlineStr">
        <is>
          <t>Pose de  gabions et recouvrement du talus par matelas Reno des stations de pompage S13.</t>
        </is>
      </c>
      <c r="I29" s="21" t="n">
        <v>10560000</v>
      </c>
      <c r="J29" s="12" t="n"/>
      <c r="K29" s="12" t="n"/>
      <c r="L29" s="22">
        <f>IFERROR(K29-J29,"")</f>
        <v/>
      </c>
      <c r="M29" s="12" t="n"/>
      <c r="N29" s="12" t="n"/>
      <c r="O29" s="22">
        <f>IFERROR(N29-M29,"")</f>
        <v/>
      </c>
      <c r="P29" s="14" t="n"/>
      <c r="Q29" s="21">
        <f>IF(P29="","",I29-P29)</f>
        <v/>
      </c>
      <c r="R29" s="23">
        <f>IFERROR(P29/I29,"")</f>
        <v/>
      </c>
      <c r="S29" s="22">
        <f>IFERROR(K29-N29,"")</f>
        <v/>
      </c>
      <c r="T29" s="16" t="n"/>
      <c r="U29" s="17" t="n"/>
      <c r="V29" s="67" t="n"/>
      <c r="W29" s="67" t="n"/>
      <c r="X29" s="67" t="n"/>
      <c r="Y29" s="67" t="n"/>
      <c r="Z29" s="67" t="n"/>
      <c r="AA29" s="67" t="n"/>
      <c r="AB29" s="67" t="n"/>
    </row>
    <row r="30" ht="28" customHeight="1">
      <c r="B30" s="8" t="n">
        <v>25</v>
      </c>
      <c r="C30" s="9" t="inlineStr">
        <is>
          <t>Sidi Kacem</t>
        </is>
      </c>
      <c r="D30" s="10" t="inlineStr">
        <is>
          <t>HOUAFATE</t>
        </is>
      </c>
      <c r="E30" s="8" t="inlineStr">
        <is>
          <t>50-21</t>
        </is>
      </c>
      <c r="F30" s="10" t="inlineStr">
        <is>
          <t>Entretien et réparation des stations de pompage</t>
        </is>
      </c>
      <c r="G30" s="10" t="inlineStr">
        <is>
          <t>Mur clôture des stations de pompage.</t>
        </is>
      </c>
      <c r="H30" s="10" t="inlineStr">
        <is>
          <t>Stabilisation du sol et reconstruction des murs clôture (270m) cote oued de la station S17.</t>
        </is>
      </c>
      <c r="I30" s="11" t="n">
        <v>144000</v>
      </c>
      <c r="J30" s="12" t="n"/>
      <c r="K30" s="12" t="n"/>
      <c r="L30" s="13">
        <f>IFERROR(K30-J30,"")</f>
        <v/>
      </c>
      <c r="M30" s="12" t="n"/>
      <c r="N30" s="12" t="n"/>
      <c r="O30" s="13">
        <f>IFERROR(N30-M30,"")</f>
        <v/>
      </c>
      <c r="P30" s="14" t="n"/>
      <c r="Q30" s="11">
        <f>IF(P30="","",I30-P30)</f>
        <v/>
      </c>
      <c r="R30" s="15">
        <f>IFERROR(P30/I30,"")</f>
        <v/>
      </c>
      <c r="S30" s="13">
        <f>IFERROR(K30-N30,"")</f>
        <v/>
      </c>
      <c r="T30" s="16" t="n"/>
      <c r="U30" s="17" t="n"/>
      <c r="V30" s="67" t="n"/>
      <c r="W30" s="67" t="n"/>
      <c r="X30" s="67" t="n"/>
      <c r="Y30" s="67" t="n"/>
      <c r="Z30" s="67" t="n"/>
      <c r="AA30" s="67" t="n"/>
      <c r="AB30" s="67" t="n"/>
    </row>
    <row r="31" ht="28" customHeight="1">
      <c r="B31" s="18" t="n">
        <v>26</v>
      </c>
      <c r="C31" s="19" t="inlineStr">
        <is>
          <t>Sidi Kacem</t>
        </is>
      </c>
      <c r="D31" s="20" t="inlineStr">
        <is>
          <t>HOUAFATE</t>
        </is>
      </c>
      <c r="E31" s="18" t="inlineStr">
        <is>
          <t>50-21</t>
        </is>
      </c>
      <c r="F31" s="20" t="inlineStr">
        <is>
          <t>Entretien et réparation des stations de pompage</t>
        </is>
      </c>
      <c r="G31" s="20" t="inlineStr">
        <is>
          <t>Génie civile des locaux des stations de pompage.</t>
        </is>
      </c>
      <c r="H31" s="20" t="inlineStr">
        <is>
          <t>Expertise d’état et d’étanchéité des locaux pompes, commande, puissance des stations de pompage S17 et S13.
Renforcement d’étanchéité des locaux pompe sous niveau des oueds des stations de pompage S17 et S13.</t>
        </is>
      </c>
      <c r="I31" s="21" t="n">
        <v>800000</v>
      </c>
      <c r="J31" s="12" t="n"/>
      <c r="K31" s="12" t="n"/>
      <c r="L31" s="22">
        <f>IFERROR(K31-J31,"")</f>
        <v/>
      </c>
      <c r="M31" s="12" t="n"/>
      <c r="N31" s="12" t="n"/>
      <c r="O31" s="22">
        <f>IFERROR(N31-M31,"")</f>
        <v/>
      </c>
      <c r="P31" s="14" t="n"/>
      <c r="Q31" s="21">
        <f>IF(P31="","",I31-P31)</f>
        <v/>
      </c>
      <c r="R31" s="23">
        <f>IFERROR(P31/I31,"")</f>
        <v/>
      </c>
      <c r="S31" s="22">
        <f>IFERROR(K31-N31,"")</f>
        <v/>
      </c>
      <c r="T31" s="16" t="n"/>
      <c r="U31" s="17" t="n"/>
      <c r="V31" s="67" t="n"/>
      <c r="W31" s="67" t="n"/>
      <c r="X31" s="67" t="n"/>
      <c r="Y31" s="67" t="n"/>
      <c r="Z31" s="67" t="n"/>
      <c r="AA31" s="67" t="n"/>
      <c r="AB31" s="67" t="n"/>
    </row>
    <row r="32" ht="28" customHeight="1">
      <c r="B32" s="8" t="n">
        <v>27</v>
      </c>
      <c r="C32" s="9" t="inlineStr">
        <is>
          <t>Sidi Kacem</t>
        </is>
      </c>
      <c r="D32" s="10" t="inlineStr">
        <is>
          <t>NOUIRAT</t>
        </is>
      </c>
      <c r="E32" s="8" t="inlineStr">
        <is>
          <t>50-23</t>
        </is>
      </c>
      <c r="F32" s="10" t="inlineStr">
        <is>
          <t>Entretien et réparation du réseau d'assainissement et de drainage</t>
        </is>
      </c>
      <c r="G32" s="10" t="inlineStr">
        <is>
          <t>Travaux de curage des canaux en terre</t>
        </is>
      </c>
      <c r="H32" s="10" t="inlineStr">
        <is>
          <t>Curage des collecteurs d'assainissement des secteurs EST1 et N5</t>
        </is>
      </c>
      <c r="I32" s="11" t="n">
        <v>1733306</v>
      </c>
      <c r="J32" s="12" t="n"/>
      <c r="K32" s="12" t="n"/>
      <c r="L32" s="13">
        <f>IFERROR(K32-J32,"")</f>
        <v/>
      </c>
      <c r="M32" s="12" t="n"/>
      <c r="N32" s="12" t="n"/>
      <c r="O32" s="13">
        <f>IFERROR(N32-M32,"")</f>
        <v/>
      </c>
      <c r="P32" s="14" t="n"/>
      <c r="Q32" s="11">
        <f>IF(P32="","",I32-P32)</f>
        <v/>
      </c>
      <c r="R32" s="15">
        <f>IFERROR(P32/I32,"")</f>
        <v/>
      </c>
      <c r="S32" s="13">
        <f>IFERROR(K32-N32,"")</f>
        <v/>
      </c>
      <c r="T32" s="16" t="n"/>
      <c r="U32" s="17" t="n"/>
      <c r="V32" s="67" t="n"/>
      <c r="W32" s="67" t="n"/>
      <c r="X32" s="67" t="n"/>
      <c r="Y32" s="67" t="n"/>
      <c r="Z32" s="67" t="n"/>
      <c r="AA32" s="67" t="n"/>
      <c r="AB32" s="67" t="n"/>
    </row>
    <row r="33" ht="28" customHeight="1">
      <c r="B33" s="18" t="n">
        <v>28</v>
      </c>
      <c r="C33" s="19" t="inlineStr">
        <is>
          <t>Sidi Kacem</t>
        </is>
      </c>
      <c r="D33" s="20" t="inlineStr">
        <is>
          <t>NOUIRAT</t>
        </is>
      </c>
      <c r="E33" s="18" t="inlineStr">
        <is>
          <t>40-21</t>
        </is>
      </c>
      <c r="F33" s="20" t="inlineStr">
        <is>
          <t>Travaux de pistes</t>
        </is>
      </c>
      <c r="G33" s="20" t="inlineStr">
        <is>
          <t>Entretien des pistes agricoles</t>
        </is>
      </c>
      <c r="H33" s="20" t="inlineStr">
        <is>
          <t>Entretien des pistes agricoles</t>
        </is>
      </c>
      <c r="I33" s="21" t="n">
        <v>670000</v>
      </c>
      <c r="J33" s="12" t="n"/>
      <c r="K33" s="12" t="n"/>
      <c r="L33" s="22">
        <f>IFERROR(K33-J33,"")</f>
        <v/>
      </c>
      <c r="M33" s="12" t="n"/>
      <c r="N33" s="12" t="n"/>
      <c r="O33" s="22">
        <f>IFERROR(N33-M33,"")</f>
        <v/>
      </c>
      <c r="P33" s="14" t="n"/>
      <c r="Q33" s="21">
        <f>IF(P33="","",I33-P33)</f>
        <v/>
      </c>
      <c r="R33" s="23">
        <f>IFERROR(P33/I33,"")</f>
        <v/>
      </c>
      <c r="S33" s="22">
        <f>IFERROR(K33-N33,"")</f>
        <v/>
      </c>
      <c r="T33" s="16" t="n"/>
      <c r="U33" s="17" t="n"/>
      <c r="V33" s="67" t="n"/>
      <c r="W33" s="67" t="n"/>
      <c r="X33" s="67" t="n"/>
      <c r="Y33" s="67" t="n"/>
      <c r="Z33" s="67" t="n"/>
      <c r="AA33" s="67" t="n"/>
      <c r="AB33" s="67" t="n"/>
    </row>
    <row r="34" ht="28" customHeight="1">
      <c r="B34" s="8" t="n">
        <v>29</v>
      </c>
      <c r="C34" s="9" t="inlineStr">
        <is>
          <t>Sidi Kacem</t>
        </is>
      </c>
      <c r="D34" s="10" t="inlineStr">
        <is>
          <t>NOUIRAT</t>
        </is>
      </c>
      <c r="E34" s="8" t="inlineStr">
        <is>
          <t>20-11</t>
        </is>
      </c>
      <c r="F34" s="10" t="inlineStr">
        <is>
          <t>Travaux de réhabilitation des équipements</t>
        </is>
      </c>
      <c r="G34" s="10" t="inlineStr">
        <is>
          <t>Travaux de réhabilitation des ouvrages de génie civil</t>
        </is>
      </c>
      <c r="H34" s="10" t="inlineStr">
        <is>
          <t>Réhabilitation de l'ouvrage( genie civil ,gabiollannage,clapet anti retour et buse) de l'ouvrage de débouche SE1</t>
        </is>
      </c>
      <c r="I34" s="11" t="n">
        <v>2500000</v>
      </c>
      <c r="J34" s="12" t="n"/>
      <c r="K34" s="12" t="n"/>
      <c r="L34" s="13">
        <f>IFERROR(K34-J34,"")</f>
        <v/>
      </c>
      <c r="M34" s="12" t="n"/>
      <c r="N34" s="12" t="n"/>
      <c r="O34" s="13">
        <f>IFERROR(N34-M34,"")</f>
        <v/>
      </c>
      <c r="P34" s="14" t="n"/>
      <c r="Q34" s="11">
        <f>IF(P34="","",I34-P34)</f>
        <v/>
      </c>
      <c r="R34" s="15">
        <f>IFERROR(P34/I34,"")</f>
        <v/>
      </c>
      <c r="S34" s="13">
        <f>IFERROR(K34-N34,"")</f>
        <v/>
      </c>
      <c r="T34" s="16" t="n"/>
      <c r="U34" s="17" t="n"/>
      <c r="V34" s="67" t="n"/>
      <c r="W34" s="67" t="n"/>
      <c r="X34" s="67" t="n"/>
      <c r="Y34" s="67" t="n"/>
      <c r="Z34" s="67" t="n"/>
      <c r="AA34" s="67" t="n"/>
      <c r="AB34" s="67" t="n"/>
    </row>
    <row r="35" ht="28" customHeight="1">
      <c r="B35" s="18" t="n">
        <v>30</v>
      </c>
      <c r="C35" s="19" t="inlineStr">
        <is>
          <t>Sidi Kacem</t>
        </is>
      </c>
      <c r="D35" s="20" t="inlineStr">
        <is>
          <t>NOUIRAT</t>
        </is>
      </c>
      <c r="E35" s="18" t="inlineStr">
        <is>
          <t>50-23</t>
        </is>
      </c>
      <c r="F35" s="20" t="inlineStr">
        <is>
          <t>Entretien et réparation du réseau d'assainissement et de drainage</t>
        </is>
      </c>
      <c r="G35" s="20" t="inlineStr">
        <is>
          <t>Curage des prises sur l’oued, bâche d’aspiration et bassin de régulation.</t>
        </is>
      </c>
      <c r="H35" s="20" t="inlineStr">
        <is>
          <t>Curage des prises sur l’oued de la station de pompage E1.
Nettoyage des grilles de préfiltration des boues colmaté de la station de pompage E1.
Curage de la bâche d’aspiration de la station E1.</t>
        </is>
      </c>
      <c r="I35" s="21" t="n">
        <v>800000</v>
      </c>
      <c r="J35" s="12" t="n"/>
      <c r="K35" s="12" t="n"/>
      <c r="L35" s="22">
        <f>IFERROR(K35-J35,"")</f>
        <v/>
      </c>
      <c r="M35" s="12" t="n"/>
      <c r="N35" s="12" t="n"/>
      <c r="O35" s="22">
        <f>IFERROR(N35-M35,"")</f>
        <v/>
      </c>
      <c r="P35" s="14" t="n"/>
      <c r="Q35" s="21">
        <f>IF(P35="","",I35-P35)</f>
        <v/>
      </c>
      <c r="R35" s="23">
        <f>IFERROR(P35/I35,"")</f>
        <v/>
      </c>
      <c r="S35" s="22">
        <f>IFERROR(K35-N35,"")</f>
        <v/>
      </c>
      <c r="T35" s="16" t="n"/>
      <c r="U35" s="17" t="n"/>
      <c r="V35" s="67" t="n"/>
      <c r="W35" s="67" t="n"/>
      <c r="X35" s="67" t="n"/>
      <c r="Y35" s="67" t="n"/>
      <c r="Z35" s="67" t="n"/>
      <c r="AA35" s="67" t="n"/>
      <c r="AB35" s="67" t="n"/>
    </row>
    <row r="36" ht="28" customHeight="1">
      <c r="B36" s="8" t="n">
        <v>31</v>
      </c>
      <c r="C36" s="9" t="inlineStr">
        <is>
          <t>Sidi Kacem</t>
        </is>
      </c>
      <c r="D36" s="10" t="inlineStr">
        <is>
          <t>NOUIRAT</t>
        </is>
      </c>
      <c r="E36" s="8" t="inlineStr">
        <is>
          <t>50-21</t>
        </is>
      </c>
      <c r="F36" s="10" t="inlineStr">
        <is>
          <t>Entretien et réparation des stations de pompage</t>
        </is>
      </c>
      <c r="G36" s="10" t="inlineStr">
        <is>
          <t>Prestation de maintenance des débitmètres et leurs équipements annexes installés au niveau des station de pompage</t>
        </is>
      </c>
      <c r="H36" s="10" t="inlineStr">
        <is>
          <t>Changement du débitmètre Ø 1200mm inondé de la station de pompage E1.</t>
        </is>
      </c>
      <c r="I36" s="11" t="n">
        <v>195000</v>
      </c>
      <c r="J36" s="12" t="n"/>
      <c r="K36" s="12" t="n"/>
      <c r="L36" s="13">
        <f>IFERROR(K36-J36,"")</f>
        <v/>
      </c>
      <c r="M36" s="12" t="n"/>
      <c r="N36" s="12" t="n"/>
      <c r="O36" s="13">
        <f>IFERROR(N36-M36,"")</f>
        <v/>
      </c>
      <c r="P36" s="14" t="n"/>
      <c r="Q36" s="11">
        <f>IF(P36="","",I36-P36)</f>
        <v/>
      </c>
      <c r="R36" s="15">
        <f>IFERROR(P36/I36,"")</f>
        <v/>
      </c>
      <c r="S36" s="13">
        <f>IFERROR(K36-N36,"")</f>
        <v/>
      </c>
      <c r="T36" s="16" t="n"/>
      <c r="U36" s="17" t="n"/>
      <c r="V36" s="67" t="n"/>
      <c r="W36" s="67" t="n"/>
      <c r="X36" s="67" t="n"/>
      <c r="Y36" s="67" t="n"/>
      <c r="Z36" s="67" t="n"/>
      <c r="AA36" s="67" t="n"/>
      <c r="AB36" s="67" t="n"/>
    </row>
    <row r="37" ht="28" customHeight="1">
      <c r="B37" s="18" t="n">
        <v>32</v>
      </c>
      <c r="C37" s="19" t="inlineStr">
        <is>
          <t>Sidi Kacem</t>
        </is>
      </c>
      <c r="D37" s="20" t="inlineStr">
        <is>
          <t>NOUIRAT</t>
        </is>
      </c>
      <c r="E37" s="18" t="inlineStr">
        <is>
          <t>50-21</t>
        </is>
      </c>
      <c r="F37" s="20" t="inlineStr">
        <is>
          <t>Entretien et réparation des stations de pompage</t>
        </is>
      </c>
      <c r="G37" s="20" t="inlineStr">
        <is>
          <t>Prestations de maintenance des moteurs électriques des stations de pompage.</t>
        </is>
      </c>
      <c r="H37" s="20" t="inlineStr">
        <is>
          <t>Révision des deux moteurs électriques principaux de la station E1.</t>
        </is>
      </c>
      <c r="I37" s="21" t="n">
        <v>50000</v>
      </c>
      <c r="J37" s="12" t="n"/>
      <c r="K37" s="12" t="n"/>
      <c r="L37" s="22">
        <f>IFERROR(K37-J37,"")</f>
        <v/>
      </c>
      <c r="M37" s="12" t="n"/>
      <c r="N37" s="12" t="n"/>
      <c r="O37" s="22">
        <f>IFERROR(N37-M37,"")</f>
        <v/>
      </c>
      <c r="P37" s="14" t="n"/>
      <c r="Q37" s="21">
        <f>IF(P37="","",I37-P37)</f>
        <v/>
      </c>
      <c r="R37" s="23">
        <f>IFERROR(P37/I37,"")</f>
        <v/>
      </c>
      <c r="S37" s="22">
        <f>IFERROR(K37-N37,"")</f>
        <v/>
      </c>
      <c r="T37" s="16" t="n"/>
      <c r="U37" s="17" t="n"/>
      <c r="V37" s="67" t="n"/>
      <c r="W37" s="67" t="n"/>
      <c r="X37" s="67" t="n"/>
      <c r="Y37" s="67" t="n"/>
      <c r="Z37" s="67" t="n"/>
      <c r="AA37" s="67" t="n"/>
      <c r="AB37" s="67" t="n"/>
    </row>
    <row r="38" ht="28" customHeight="1">
      <c r="B38" s="8" t="n">
        <v>33</v>
      </c>
      <c r="C38" s="9" t="inlineStr">
        <is>
          <t>Sidi Kacem</t>
        </is>
      </c>
      <c r="D38" s="10" t="inlineStr">
        <is>
          <t>NOUIRAT</t>
        </is>
      </c>
      <c r="E38" s="8" t="inlineStr">
        <is>
          <t>50-21</t>
        </is>
      </c>
      <c r="F38" s="10" t="inlineStr">
        <is>
          <t>Entretien et réparation des stations de pompage</t>
        </is>
      </c>
      <c r="G38" s="10" t="inlineStr">
        <is>
          <t>Prestations de maintenance et de réparation mécanique des pompes et des groupes motopompes submersibles des stations de pompage.</t>
        </is>
      </c>
      <c r="H38" s="10" t="inlineStr">
        <is>
          <t>Démontage et expertise des cinq pompes principaux et pompes a vide de la station E1.
Changement des roulements, tresses et organes d’effectués de la station E1.</t>
        </is>
      </c>
      <c r="I38" s="11" t="n">
        <v>245000</v>
      </c>
      <c r="J38" s="12" t="n"/>
      <c r="K38" s="12" t="n"/>
      <c r="L38" s="13">
        <f>IFERROR(K38-J38,"")</f>
        <v/>
      </c>
      <c r="M38" s="12" t="n"/>
      <c r="N38" s="12" t="n"/>
      <c r="O38" s="13">
        <f>IFERROR(N38-M38,"")</f>
        <v/>
      </c>
      <c r="P38" s="14" t="n"/>
      <c r="Q38" s="11">
        <f>IF(P38="","",I38-P38)</f>
        <v/>
      </c>
      <c r="R38" s="15">
        <f>IFERROR(P38/I38,"")</f>
        <v/>
      </c>
      <c r="S38" s="13">
        <f>IFERROR(K38-N38,"")</f>
        <v/>
      </c>
      <c r="T38" s="16" t="n"/>
      <c r="U38" s="17" t="n"/>
      <c r="V38" s="67" t="n"/>
      <c r="W38" s="67" t="n"/>
      <c r="X38" s="67" t="n"/>
      <c r="Y38" s="67" t="n"/>
      <c r="Z38" s="67" t="n"/>
      <c r="AA38" s="67" t="n"/>
      <c r="AB38" s="67" t="n"/>
    </row>
    <row r="39" ht="28" customHeight="1">
      <c r="B39" s="18" t="n">
        <v>34</v>
      </c>
      <c r="C39" s="19" t="inlineStr">
        <is>
          <t>Sidi Kacem</t>
        </is>
      </c>
      <c r="D39" s="20" t="inlineStr">
        <is>
          <t>NOUIRAT</t>
        </is>
      </c>
      <c r="E39" s="18" t="inlineStr">
        <is>
          <t>50-21</t>
        </is>
      </c>
      <c r="F39" s="20" t="inlineStr">
        <is>
          <t>Entretien et réparation des stations de pompage</t>
        </is>
      </c>
      <c r="G39" s="20" t="inlineStr">
        <is>
          <t>Génie civile des locaux des stations de pompage.</t>
        </is>
      </c>
      <c r="H39" s="20" t="inlineStr">
        <is>
          <t>Expertise d’état et d’étanchéité des locaux pompes, commande, puissance de la station de pompage E1.
Renforcement d’étanchéité des locaux pompe sous niveau des oueds de la station de pompage E1.</t>
        </is>
      </c>
      <c r="I39" s="21" t="n">
        <v>1000000</v>
      </c>
      <c r="J39" s="12" t="n"/>
      <c r="K39" s="12" t="n"/>
      <c r="L39" s="22">
        <f>IFERROR(K39-J39,"")</f>
        <v/>
      </c>
      <c r="M39" s="12" t="n"/>
      <c r="N39" s="12" t="n"/>
      <c r="O39" s="22">
        <f>IFERROR(N39-M39,"")</f>
        <v/>
      </c>
      <c r="P39" s="14" t="n"/>
      <c r="Q39" s="21">
        <f>IF(P39="","",I39-P39)</f>
        <v/>
      </c>
      <c r="R39" s="23">
        <f>IFERROR(P39/I39,"")</f>
        <v/>
      </c>
      <c r="S39" s="22">
        <f>IFERROR(K39-N39,"")</f>
        <v/>
      </c>
      <c r="T39" s="16" t="n"/>
      <c r="U39" s="17" t="n"/>
      <c r="V39" s="67" t="n"/>
      <c r="W39" s="67" t="n"/>
      <c r="X39" s="67" t="n"/>
      <c r="Y39" s="67" t="n"/>
      <c r="Z39" s="67" t="n"/>
      <c r="AA39" s="67" t="n"/>
      <c r="AB39" s="67" t="n"/>
    </row>
    <row r="40" ht="28" customHeight="1">
      <c r="B40" s="8" t="n">
        <v>35</v>
      </c>
      <c r="C40" s="9" t="inlineStr">
        <is>
          <t>Sidi Kacem</t>
        </is>
      </c>
      <c r="D40" s="10" t="inlineStr">
        <is>
          <t>RMILAT</t>
        </is>
      </c>
      <c r="E40" s="8" t="inlineStr">
        <is>
          <t>50-23</t>
        </is>
      </c>
      <c r="F40" s="10" t="inlineStr">
        <is>
          <t>Entretien et réparation du réseau d'assainissement et de drainage</t>
        </is>
      </c>
      <c r="G40" s="10" t="inlineStr">
        <is>
          <t>Travaux de curage des canaux en terre</t>
        </is>
      </c>
      <c r="H40" s="10" t="inlineStr">
        <is>
          <t>Curage des collecteurs d'assainissement des secteurs P7</t>
        </is>
      </c>
      <c r="I40" s="11" t="n">
        <v>5024032</v>
      </c>
      <c r="J40" s="12" t="n"/>
      <c r="K40" s="12" t="n"/>
      <c r="L40" s="13">
        <f>IFERROR(K40-J40,"")</f>
        <v/>
      </c>
      <c r="M40" s="12" t="n"/>
      <c r="N40" s="12" t="n"/>
      <c r="O40" s="13">
        <f>IFERROR(N40-M40,"")</f>
        <v/>
      </c>
      <c r="P40" s="14" t="n"/>
      <c r="Q40" s="11">
        <f>IF(P40="","",I40-P40)</f>
        <v/>
      </c>
      <c r="R40" s="15">
        <f>IFERROR(P40/I40,"")</f>
        <v/>
      </c>
      <c r="S40" s="13">
        <f>IFERROR(K40-N40,"")</f>
        <v/>
      </c>
      <c r="T40" s="16" t="n"/>
      <c r="U40" s="17" t="n"/>
      <c r="V40" s="67" t="n"/>
      <c r="W40" s="67" t="n"/>
      <c r="X40" s="67" t="n"/>
      <c r="Y40" s="67" t="n"/>
      <c r="Z40" s="67" t="n"/>
      <c r="AA40" s="67" t="n"/>
      <c r="AB40" s="67" t="n"/>
    </row>
    <row r="41" ht="28" customHeight="1">
      <c r="B41" s="18" t="n">
        <v>36</v>
      </c>
      <c r="C41" s="19" t="inlineStr">
        <is>
          <t>Sidi Kacem</t>
        </is>
      </c>
      <c r="D41" s="20" t="inlineStr">
        <is>
          <t>RMILAT</t>
        </is>
      </c>
      <c r="E41" s="18" t="inlineStr">
        <is>
          <t>40-21</t>
        </is>
      </c>
      <c r="F41" s="20" t="inlineStr">
        <is>
          <t>Travaux de pistes</t>
        </is>
      </c>
      <c r="G41" s="20" t="inlineStr">
        <is>
          <t>Entretien des pistes agricoles</t>
        </is>
      </c>
      <c r="H41" s="20" t="inlineStr">
        <is>
          <t>Entretien des pistes agricoles</t>
        </is>
      </c>
      <c r="I41" s="21" t="n">
        <v>400000</v>
      </c>
      <c r="J41" s="12" t="n"/>
      <c r="K41" s="12" t="n"/>
      <c r="L41" s="22">
        <f>IFERROR(K41-J41,"")</f>
        <v/>
      </c>
      <c r="M41" s="12" t="n"/>
      <c r="N41" s="12" t="n"/>
      <c r="O41" s="22">
        <f>IFERROR(N41-M41,"")</f>
        <v/>
      </c>
      <c r="P41" s="14" t="n"/>
      <c r="Q41" s="21">
        <f>IF(P41="","",I41-P41)</f>
        <v/>
      </c>
      <c r="R41" s="23">
        <f>IFERROR(P41/I41,"")</f>
        <v/>
      </c>
      <c r="S41" s="22">
        <f>IFERROR(K41-N41,"")</f>
        <v/>
      </c>
      <c r="T41" s="16" t="n"/>
      <c r="U41" s="17" t="n"/>
      <c r="V41" s="67" t="n"/>
      <c r="W41" s="67" t="n"/>
      <c r="X41" s="67" t="n"/>
      <c r="Y41" s="67" t="n"/>
      <c r="Z41" s="67" t="n"/>
      <c r="AA41" s="67" t="n"/>
      <c r="AB41" s="67" t="n"/>
    </row>
    <row r="42" ht="28" customHeight="1">
      <c r="B42" s="8" t="n">
        <v>37</v>
      </c>
      <c r="C42" s="9" t="inlineStr">
        <is>
          <t>Sidi Kacem</t>
        </is>
      </c>
      <c r="D42" s="10" t="inlineStr">
        <is>
          <t>SAFSAF</t>
        </is>
      </c>
      <c r="E42" s="8" t="inlineStr">
        <is>
          <t>50-23</t>
        </is>
      </c>
      <c r="F42" s="10" t="inlineStr">
        <is>
          <t>Entretien et réparation du réseau d'assainissement et de drainage</t>
        </is>
      </c>
      <c r="G42" s="10" t="inlineStr">
        <is>
          <t>Travaux de curage des canaux en terre</t>
        </is>
      </c>
      <c r="H42" s="10" t="inlineStr">
        <is>
          <t>Curage des collecteurs d'assainissement des secteurs S7, S9 et S11</t>
        </is>
      </c>
      <c r="I42" s="11" t="n">
        <v>6000000</v>
      </c>
      <c r="J42" s="12" t="n"/>
      <c r="K42" s="12" t="n"/>
      <c r="L42" s="13">
        <f>IFERROR(K42-J42,"")</f>
        <v/>
      </c>
      <c r="M42" s="12" t="n"/>
      <c r="N42" s="12" t="n"/>
      <c r="O42" s="13">
        <f>IFERROR(N42-M42,"")</f>
        <v/>
      </c>
      <c r="P42" s="14" t="n"/>
      <c r="Q42" s="11">
        <f>IF(P42="","",I42-P42)</f>
        <v/>
      </c>
      <c r="R42" s="15">
        <f>IFERROR(P42/I42,"")</f>
        <v/>
      </c>
      <c r="S42" s="13">
        <f>IFERROR(K42-N42,"")</f>
        <v/>
      </c>
      <c r="T42" s="16" t="n"/>
      <c r="U42" s="17" t="n"/>
      <c r="V42" s="67" t="n"/>
      <c r="W42" s="67" t="n"/>
      <c r="X42" s="67" t="n"/>
      <c r="Y42" s="67" t="n"/>
      <c r="Z42" s="67" t="n"/>
      <c r="AA42" s="67" t="n"/>
      <c r="AB42" s="67" t="n"/>
    </row>
    <row r="43" ht="28" customHeight="1">
      <c r="B43" s="18" t="n">
        <v>38</v>
      </c>
      <c r="C43" s="19" t="inlineStr">
        <is>
          <t>Sidi Kacem</t>
        </is>
      </c>
      <c r="D43" s="20" t="inlineStr">
        <is>
          <t>SAFSAF</t>
        </is>
      </c>
      <c r="E43" s="18" t="inlineStr">
        <is>
          <t>20-11</t>
        </is>
      </c>
      <c r="F43" s="20" t="inlineStr">
        <is>
          <t>Travaux de réhabilitation des équipements</t>
        </is>
      </c>
      <c r="G43" s="20" t="inlineStr">
        <is>
          <t>Travaux de réhabilitation des canaux portés d'irrigation</t>
        </is>
      </c>
      <c r="H43" s="20" t="inlineStr">
        <is>
          <t>Fourniture et  pose de canaux porté et accessoires du réseau S4 du secteur S11</t>
        </is>
      </c>
      <c r="I43" s="21" t="n">
        <v>232266</v>
      </c>
      <c r="J43" s="12" t="n"/>
      <c r="K43" s="12" t="n"/>
      <c r="L43" s="22">
        <f>IFERROR(K43-J43,"")</f>
        <v/>
      </c>
      <c r="M43" s="12" t="n"/>
      <c r="N43" s="12" t="n"/>
      <c r="O43" s="22">
        <f>IFERROR(N43-M43,"")</f>
        <v/>
      </c>
      <c r="P43" s="14" t="n"/>
      <c r="Q43" s="21">
        <f>IF(P43="","",I43-P43)</f>
        <v/>
      </c>
      <c r="R43" s="23">
        <f>IFERROR(P43/I43,"")</f>
        <v/>
      </c>
      <c r="S43" s="22">
        <f>IFERROR(K43-N43,"")</f>
        <v/>
      </c>
      <c r="T43" s="16" t="n"/>
      <c r="U43" s="17" t="n"/>
      <c r="V43" s="67" t="n"/>
      <c r="W43" s="67" t="n"/>
      <c r="X43" s="67" t="n"/>
      <c r="Y43" s="67" t="n"/>
      <c r="Z43" s="67" t="n"/>
      <c r="AA43" s="67" t="n"/>
      <c r="AB43" s="67" t="n"/>
    </row>
    <row r="44" ht="28" customHeight="1">
      <c r="B44" s="8" t="n">
        <v>39</v>
      </c>
      <c r="C44" s="9" t="inlineStr">
        <is>
          <t>Sidi Kacem</t>
        </is>
      </c>
      <c r="D44" s="10" t="inlineStr">
        <is>
          <t>SAFSAF</t>
        </is>
      </c>
      <c r="E44" s="8" t="inlineStr">
        <is>
          <t>20-11</t>
        </is>
      </c>
      <c r="F44" s="10" t="inlineStr">
        <is>
          <t>Travaux de réhabilitation des équipements</t>
        </is>
      </c>
      <c r="G44" s="10" t="inlineStr"/>
      <c r="H44" s="10" t="inlineStr">
        <is>
          <t>Recalage des canaux portés du réseau T5S5 du secteur S9</t>
        </is>
      </c>
      <c r="I44" s="11" t="n">
        <v>1055025</v>
      </c>
      <c r="J44" s="12" t="n"/>
      <c r="K44" s="12" t="n"/>
      <c r="L44" s="13">
        <f>IFERROR(K44-J44,"")</f>
        <v/>
      </c>
      <c r="M44" s="12" t="n"/>
      <c r="N44" s="12" t="n"/>
      <c r="O44" s="13">
        <f>IFERROR(N44-M44,"")</f>
        <v/>
      </c>
      <c r="P44" s="14" t="n"/>
      <c r="Q44" s="11">
        <f>IF(P44="","",I44-P44)</f>
        <v/>
      </c>
      <c r="R44" s="15">
        <f>IFERROR(P44/I44,"")</f>
        <v/>
      </c>
      <c r="S44" s="13">
        <f>IFERROR(K44-N44,"")</f>
        <v/>
      </c>
      <c r="T44" s="16" t="n"/>
      <c r="U44" s="17" t="n"/>
      <c r="V44" s="67" t="n"/>
      <c r="W44" s="67" t="n"/>
      <c r="X44" s="67" t="n"/>
      <c r="Y44" s="67" t="n"/>
      <c r="Z44" s="67" t="n"/>
      <c r="AA44" s="67" t="n"/>
      <c r="AB44" s="67" t="n"/>
    </row>
    <row r="45" ht="28" customHeight="1">
      <c r="B45" s="18" t="n">
        <v>40</v>
      </c>
      <c r="C45" s="19" t="inlineStr">
        <is>
          <t>Sidi Kacem</t>
        </is>
      </c>
      <c r="D45" s="20" t="inlineStr">
        <is>
          <t>SAFSAF</t>
        </is>
      </c>
      <c r="E45" s="18" t="inlineStr">
        <is>
          <t>20-11</t>
        </is>
      </c>
      <c r="F45" s="20" t="inlineStr">
        <is>
          <t>Travaux de réhabilitation des équipements</t>
        </is>
      </c>
      <c r="G45" s="20" t="inlineStr"/>
      <c r="H45" s="20" t="inlineStr">
        <is>
          <t>Recalage des canaux portés du réseau T7S5 du secteur S9</t>
        </is>
      </c>
      <c r="I45" s="21" t="n">
        <v>1004535</v>
      </c>
      <c r="J45" s="12" t="n"/>
      <c r="K45" s="12" t="n"/>
      <c r="L45" s="22">
        <f>IFERROR(K45-J45,"")</f>
        <v/>
      </c>
      <c r="M45" s="12" t="n"/>
      <c r="N45" s="12" t="n"/>
      <c r="O45" s="22">
        <f>IFERROR(N45-M45,"")</f>
        <v/>
      </c>
      <c r="P45" s="14" t="n"/>
      <c r="Q45" s="21">
        <f>IF(P45="","",I45-P45)</f>
        <v/>
      </c>
      <c r="R45" s="23">
        <f>IFERROR(P45/I45,"")</f>
        <v/>
      </c>
      <c r="S45" s="22">
        <f>IFERROR(K45-N45,"")</f>
        <v/>
      </c>
      <c r="T45" s="16" t="n"/>
      <c r="U45" s="17" t="n"/>
      <c r="V45" s="67" t="n"/>
      <c r="W45" s="67" t="n"/>
      <c r="X45" s="67" t="n"/>
      <c r="Y45" s="67" t="n"/>
      <c r="Z45" s="67" t="n"/>
      <c r="AA45" s="67" t="n"/>
      <c r="AB45" s="67" t="n"/>
    </row>
    <row r="46" ht="28" customHeight="1">
      <c r="B46" s="8" t="n">
        <v>41</v>
      </c>
      <c r="C46" s="9" t="inlineStr">
        <is>
          <t>Sidi Kacem</t>
        </is>
      </c>
      <c r="D46" s="10" t="inlineStr">
        <is>
          <t>SAFSAF</t>
        </is>
      </c>
      <c r="E46" s="8" t="inlineStr">
        <is>
          <t>20-11</t>
        </is>
      </c>
      <c r="F46" s="10" t="inlineStr">
        <is>
          <t>Travaux de réhabilitation des équipements</t>
        </is>
      </c>
      <c r="G46" s="10" t="inlineStr"/>
      <c r="H46" s="10" t="inlineStr">
        <is>
          <t>Recalage des canaux portés du réseau T2S5 du secteur S9</t>
        </is>
      </c>
      <c r="I46" s="11" t="n">
        <v>793830</v>
      </c>
      <c r="J46" s="12" t="n"/>
      <c r="K46" s="12" t="n"/>
      <c r="L46" s="13">
        <f>IFERROR(K46-J46,"")</f>
        <v/>
      </c>
      <c r="M46" s="12" t="n"/>
      <c r="N46" s="12" t="n"/>
      <c r="O46" s="13">
        <f>IFERROR(N46-M46,"")</f>
        <v/>
      </c>
      <c r="P46" s="14" t="n"/>
      <c r="Q46" s="11">
        <f>IF(P46="","",I46-P46)</f>
        <v/>
      </c>
      <c r="R46" s="15">
        <f>IFERROR(P46/I46,"")</f>
        <v/>
      </c>
      <c r="S46" s="13">
        <f>IFERROR(K46-N46,"")</f>
        <v/>
      </c>
      <c r="T46" s="16" t="n"/>
      <c r="U46" s="17" t="n"/>
      <c r="V46" s="67" t="n"/>
      <c r="W46" s="67" t="n"/>
      <c r="X46" s="67" t="n"/>
      <c r="Y46" s="67" t="n"/>
      <c r="Z46" s="67" t="n"/>
      <c r="AA46" s="67" t="n"/>
      <c r="AB46" s="67" t="n"/>
    </row>
    <row r="47" ht="28" customHeight="1">
      <c r="B47" s="18" t="n">
        <v>42</v>
      </c>
      <c r="C47" s="19" t="inlineStr">
        <is>
          <t>Sidi Kacem</t>
        </is>
      </c>
      <c r="D47" s="20" t="inlineStr">
        <is>
          <t>SAFSAF</t>
        </is>
      </c>
      <c r="E47" s="18" t="inlineStr">
        <is>
          <t>40-21</t>
        </is>
      </c>
      <c r="F47" s="20" t="inlineStr">
        <is>
          <t>Travaux de pistes</t>
        </is>
      </c>
      <c r="G47" s="20" t="inlineStr">
        <is>
          <t>Entretien des pistes agricoles</t>
        </is>
      </c>
      <c r="H47" s="20" t="inlineStr">
        <is>
          <t>Entretien des pistes agricoles</t>
        </is>
      </c>
      <c r="I47" s="21" t="n">
        <v>2000000</v>
      </c>
      <c r="J47" s="12" t="n"/>
      <c r="K47" s="12" t="n"/>
      <c r="L47" s="22">
        <f>IFERROR(K47-J47,"")</f>
        <v/>
      </c>
      <c r="M47" s="12" t="n"/>
      <c r="N47" s="12" t="n"/>
      <c r="O47" s="22">
        <f>IFERROR(N47-M47,"")</f>
        <v/>
      </c>
      <c r="P47" s="14" t="n"/>
      <c r="Q47" s="21">
        <f>IF(P47="","",I47-P47)</f>
        <v/>
      </c>
      <c r="R47" s="23">
        <f>IFERROR(P47/I47,"")</f>
        <v/>
      </c>
      <c r="S47" s="22">
        <f>IFERROR(K47-N47,"")</f>
        <v/>
      </c>
      <c r="T47" s="16" t="n"/>
      <c r="U47" s="17" t="n"/>
      <c r="V47" s="67" t="n"/>
      <c r="W47" s="67" t="n"/>
      <c r="X47" s="67" t="n"/>
      <c r="Y47" s="67" t="n"/>
      <c r="Z47" s="67" t="n"/>
      <c r="AA47" s="67" t="n"/>
      <c r="AB47" s="67" t="n"/>
    </row>
    <row r="48" ht="28" customHeight="1">
      <c r="B48" s="8" t="n">
        <v>43</v>
      </c>
      <c r="C48" s="9" t="inlineStr">
        <is>
          <t>Sidi Kacem</t>
        </is>
      </c>
      <c r="D48" s="10" t="inlineStr">
        <is>
          <t>SAFSAF</t>
        </is>
      </c>
      <c r="E48" s="8" t="inlineStr">
        <is>
          <t>50-23</t>
        </is>
      </c>
      <c r="F48" s="10" t="inlineStr">
        <is>
          <t>Entretien et réparation du réseau d'assainissement et de drainage</t>
        </is>
      </c>
      <c r="G48" s="10" t="inlineStr">
        <is>
          <t>Curage des prises sur l’oued, bâche d’aspiration et bassin de régulation.</t>
        </is>
      </c>
      <c r="H48" s="10"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8" s="11" t="n">
        <v>200000</v>
      </c>
      <c r="J48" s="12" t="n"/>
      <c r="K48" s="12" t="n"/>
      <c r="L48" s="13">
        <f>IFERROR(K48-J48,"")</f>
        <v/>
      </c>
      <c r="M48" s="12" t="n"/>
      <c r="N48" s="12" t="n"/>
      <c r="O48" s="13">
        <f>IFERROR(N48-M48,"")</f>
        <v/>
      </c>
      <c r="P48" s="14" t="n"/>
      <c r="Q48" s="11">
        <f>IF(P48="","",I48-P48)</f>
        <v/>
      </c>
      <c r="R48" s="15">
        <f>IFERROR(P48/I48,"")</f>
        <v/>
      </c>
      <c r="S48" s="13">
        <f>IFERROR(K48-N48,"")</f>
        <v/>
      </c>
      <c r="T48" s="16" t="n"/>
      <c r="U48" s="17" t="n"/>
      <c r="V48" s="67" t="n"/>
      <c r="W48" s="67" t="n"/>
      <c r="X48" s="67" t="n"/>
      <c r="Y48" s="67" t="n"/>
      <c r="Z48" s="67" t="n"/>
      <c r="AA48" s="67" t="n"/>
      <c r="AB48" s="67" t="n"/>
    </row>
    <row r="49" ht="28" customHeight="1">
      <c r="B49" s="18" t="n">
        <v>44</v>
      </c>
      <c r="C49" s="19" t="inlineStr">
        <is>
          <t>Sidi Kacem</t>
        </is>
      </c>
      <c r="D49" s="20" t="inlineStr">
        <is>
          <t>SAFSAF</t>
        </is>
      </c>
      <c r="E49" s="18" t="inlineStr">
        <is>
          <t>50-21</t>
        </is>
      </c>
      <c r="F49" s="20" t="inlineStr">
        <is>
          <t>Entretien et réparation des stations de pompage</t>
        </is>
      </c>
      <c r="G49" s="20" t="inlineStr">
        <is>
          <t>Prestation de maintenance des débitmètres et leurs équipements annexes installés au niveau des station de pompage</t>
        </is>
      </c>
      <c r="H49" s="20" t="inlineStr">
        <is>
          <t>Changements Sept des débitmètres Ø 600mm inondé des deux stations de pompage S11 et S9.</t>
        </is>
      </c>
      <c r="I49" s="21" t="n">
        <v>580000</v>
      </c>
      <c r="J49" s="12" t="n"/>
      <c r="K49" s="12" t="n"/>
      <c r="L49" s="22">
        <f>IFERROR(K49-J49,"")</f>
        <v/>
      </c>
      <c r="M49" s="12" t="n"/>
      <c r="N49" s="12" t="n"/>
      <c r="O49" s="22">
        <f>IFERROR(N49-M49,"")</f>
        <v/>
      </c>
      <c r="P49" s="14" t="n"/>
      <c r="Q49" s="21">
        <f>IF(P49="","",I49-P49)</f>
        <v/>
      </c>
      <c r="R49" s="23">
        <f>IFERROR(P49/I49,"")</f>
        <v/>
      </c>
      <c r="S49" s="22">
        <f>IFERROR(K49-N49,"")</f>
        <v/>
      </c>
      <c r="T49" s="16" t="n"/>
      <c r="U49" s="17" t="n"/>
      <c r="V49" s="67" t="n"/>
      <c r="W49" s="67" t="n"/>
      <c r="X49" s="67" t="n"/>
      <c r="Y49" s="67" t="n"/>
      <c r="Z49" s="67" t="n"/>
      <c r="AA49" s="67" t="n"/>
      <c r="AB49" s="67" t="n"/>
    </row>
    <row r="50" ht="28" customHeight="1">
      <c r="B50" s="8" t="n">
        <v>45</v>
      </c>
      <c r="C50" s="9" t="inlineStr">
        <is>
          <t>Sidi Kacem</t>
        </is>
      </c>
      <c r="D50" s="10" t="inlineStr">
        <is>
          <t>SAFSAF</t>
        </is>
      </c>
      <c r="E50" s="8" t="inlineStr">
        <is>
          <t>50-21</t>
        </is>
      </c>
      <c r="F50" s="10" t="inlineStr">
        <is>
          <t>Entretien et réparation des stations de pompage</t>
        </is>
      </c>
      <c r="G50" s="10" t="inlineStr">
        <is>
          <t>Stabilisation Berge oued</t>
        </is>
      </c>
      <c r="H50" s="10" t="inlineStr">
        <is>
          <t>Pose de murs en gabions et recouvrement du talus par matelas Reno des stations de pompage S11, S9, 7D et 7B .</t>
        </is>
      </c>
      <c r="I50" s="11" t="n">
        <v>4000000</v>
      </c>
      <c r="J50" s="12" t="n"/>
      <c r="K50" s="12" t="n"/>
      <c r="L50" s="13">
        <f>IFERROR(K50-J50,"")</f>
        <v/>
      </c>
      <c r="M50" s="12" t="n"/>
      <c r="N50" s="12" t="n"/>
      <c r="O50" s="13">
        <f>IFERROR(N50-M50,"")</f>
        <v/>
      </c>
      <c r="P50" s="14" t="n"/>
      <c r="Q50" s="11">
        <f>IF(P50="","",I50-P50)</f>
        <v/>
      </c>
      <c r="R50" s="15">
        <f>IFERROR(P50/I50,"")</f>
        <v/>
      </c>
      <c r="S50" s="13">
        <f>IFERROR(K50-N50,"")</f>
        <v/>
      </c>
      <c r="T50" s="16" t="n"/>
      <c r="U50" s="17" t="n"/>
      <c r="V50" s="67" t="n"/>
      <c r="W50" s="67" t="n"/>
      <c r="X50" s="67" t="n"/>
      <c r="Y50" s="67" t="n"/>
      <c r="Z50" s="67" t="n"/>
      <c r="AA50" s="67" t="n"/>
      <c r="AB50" s="67" t="n"/>
    </row>
    <row r="51" ht="28" customHeight="1">
      <c r="B51" s="18" t="n">
        <v>46</v>
      </c>
      <c r="C51" s="19" t="inlineStr">
        <is>
          <t>Sidi Kacem</t>
        </is>
      </c>
      <c r="D51" s="20" t="inlineStr">
        <is>
          <t>SIDI AZZOUZ</t>
        </is>
      </c>
      <c r="E51" s="18" t="inlineStr">
        <is>
          <t>40-21</t>
        </is>
      </c>
      <c r="F51" s="20" t="inlineStr">
        <is>
          <t>Travaux de pistes</t>
        </is>
      </c>
      <c r="G51" s="20" t="inlineStr">
        <is>
          <t>Entretien des pistes agricoles</t>
        </is>
      </c>
      <c r="H51" s="20" t="inlineStr">
        <is>
          <t>Entretien des pistes agricoles</t>
        </is>
      </c>
      <c r="I51" s="21" t="n">
        <v>655000</v>
      </c>
      <c r="J51" s="12" t="n"/>
      <c r="K51" s="12" t="n"/>
      <c r="L51" s="22">
        <f>IFERROR(K51-J51,"")</f>
        <v/>
      </c>
      <c r="M51" s="12" t="n"/>
      <c r="N51" s="12" t="n"/>
      <c r="O51" s="22">
        <f>IFERROR(N51-M51,"")</f>
        <v/>
      </c>
      <c r="P51" s="14" t="n"/>
      <c r="Q51" s="21">
        <f>IF(P51="","",I51-P51)</f>
        <v/>
      </c>
      <c r="R51" s="23">
        <f>IFERROR(P51/I51,"")</f>
        <v/>
      </c>
      <c r="S51" s="22">
        <f>IFERROR(K51-N51,"")</f>
        <v/>
      </c>
      <c r="T51" s="16" t="n"/>
      <c r="U51" s="17" t="n"/>
      <c r="V51" s="67" t="n"/>
      <c r="W51" s="67" t="n"/>
      <c r="X51" s="67" t="n"/>
      <c r="Y51" s="67" t="n"/>
      <c r="Z51" s="67" t="n"/>
      <c r="AA51" s="67" t="n"/>
      <c r="AB51" s="67" t="n"/>
    </row>
    <row r="52" ht="28" customHeight="1">
      <c r="B52" s="8" t="n">
        <v>47</v>
      </c>
      <c r="C52" s="9" t="inlineStr">
        <is>
          <t>Sidi Kacem</t>
        </is>
      </c>
      <c r="D52" s="10" t="inlineStr">
        <is>
          <t>SIDI EL KAMEL</t>
        </is>
      </c>
      <c r="E52" s="8" t="inlineStr">
        <is>
          <t>20-11</t>
        </is>
      </c>
      <c r="F52" s="10" t="inlineStr">
        <is>
          <t>Travaux de réhabilitation des équipements</t>
        </is>
      </c>
      <c r="G52" s="10" t="inlineStr">
        <is>
          <t>Travaux de réhabilitation des canaux portés d'irrigation</t>
        </is>
      </c>
      <c r="H52" s="10" t="inlineStr">
        <is>
          <t>Fourniture et de pose de canaux porté et accessoires du réseau SR4 du secteur S3R</t>
        </is>
      </c>
      <c r="I52" s="11" t="n">
        <v>5182920</v>
      </c>
      <c r="J52" s="12" t="n"/>
      <c r="K52" s="12" t="n"/>
      <c r="L52" s="13">
        <f>IFERROR(K52-J52,"")</f>
        <v/>
      </c>
      <c r="M52" s="12" t="n"/>
      <c r="N52" s="12" t="n"/>
      <c r="O52" s="13">
        <f>IFERROR(N52-M52,"")</f>
        <v/>
      </c>
      <c r="P52" s="14" t="n"/>
      <c r="Q52" s="11">
        <f>IF(P52="","",I52-P52)</f>
        <v/>
      </c>
      <c r="R52" s="15">
        <f>IFERROR(P52/I52,"")</f>
        <v/>
      </c>
      <c r="S52" s="13">
        <f>IFERROR(K52-N52,"")</f>
        <v/>
      </c>
      <c r="T52" s="16" t="n"/>
      <c r="U52" s="17" t="n"/>
      <c r="V52" s="67" t="n"/>
      <c r="W52" s="67" t="n"/>
      <c r="X52" s="67" t="n"/>
      <c r="Y52" s="67" t="n"/>
      <c r="Z52" s="67" t="n"/>
      <c r="AA52" s="67" t="n"/>
      <c r="AB52" s="67" t="n"/>
    </row>
    <row r="53" ht="28" customHeight="1">
      <c r="B53" s="18" t="n">
        <v>48</v>
      </c>
      <c r="C53" s="19" t="inlineStr">
        <is>
          <t>Sidi Kacem</t>
        </is>
      </c>
      <c r="D53" s="20" t="inlineStr">
        <is>
          <t>SIDI EL KAMEL</t>
        </is>
      </c>
      <c r="E53" s="18" t="inlineStr">
        <is>
          <t>20-11</t>
        </is>
      </c>
      <c r="F53" s="20" t="inlineStr">
        <is>
          <t>Travaux de réhabilitation des équipements</t>
        </is>
      </c>
      <c r="G53" s="20" t="inlineStr"/>
      <c r="H53" s="20" t="inlineStr">
        <is>
          <t>Fourniture et de pose de canaux porté et accessoires du réseau SR6 du secteur S1RIZ</t>
        </is>
      </c>
      <c r="I53" s="21" t="n">
        <v>152818</v>
      </c>
      <c r="J53" s="12" t="n"/>
      <c r="K53" s="12" t="n"/>
      <c r="L53" s="22">
        <f>IFERROR(K53-J53,"")</f>
        <v/>
      </c>
      <c r="M53" s="12" t="n"/>
      <c r="N53" s="12" t="n"/>
      <c r="O53" s="22">
        <f>IFERROR(N53-M53,"")</f>
        <v/>
      </c>
      <c r="P53" s="14" t="n"/>
      <c r="Q53" s="21">
        <f>IF(P53="","",I53-P53)</f>
        <v/>
      </c>
      <c r="R53" s="23">
        <f>IFERROR(P53/I53,"")</f>
        <v/>
      </c>
      <c r="S53" s="22">
        <f>IFERROR(K53-N53,"")</f>
        <v/>
      </c>
      <c r="T53" s="16" t="n"/>
      <c r="U53" s="17" t="n"/>
      <c r="V53" s="67" t="n"/>
      <c r="W53" s="67" t="n"/>
      <c r="X53" s="67" t="n"/>
      <c r="Y53" s="67" t="n"/>
      <c r="Z53" s="67" t="n"/>
      <c r="AA53" s="67" t="n"/>
      <c r="AB53" s="67" t="n"/>
    </row>
    <row r="54" ht="28" customHeight="1">
      <c r="B54" s="8" t="n">
        <v>49</v>
      </c>
      <c r="C54" s="9" t="inlineStr">
        <is>
          <t>Sidi Kacem</t>
        </is>
      </c>
      <c r="D54" s="10" t="inlineStr">
        <is>
          <t>SIDI EL KAMEL</t>
        </is>
      </c>
      <c r="E54" s="8" t="inlineStr">
        <is>
          <t>20-11</t>
        </is>
      </c>
      <c r="F54" s="10" t="inlineStr">
        <is>
          <t>Travaux de réhabilitation des équipements</t>
        </is>
      </c>
      <c r="G54" s="10" t="inlineStr"/>
      <c r="H54" s="10" t="inlineStr">
        <is>
          <t>Recalage des canaux portés du réseau SR4 du secteur S3R</t>
        </is>
      </c>
      <c r="I54" s="11" t="n">
        <v>1418000</v>
      </c>
      <c r="J54" s="12" t="n"/>
      <c r="K54" s="12" t="n"/>
      <c r="L54" s="13">
        <f>IFERROR(K54-J54,"")</f>
        <v/>
      </c>
      <c r="M54" s="12" t="n"/>
      <c r="N54" s="12" t="n"/>
      <c r="O54" s="13">
        <f>IFERROR(N54-M54,"")</f>
        <v/>
      </c>
      <c r="P54" s="14" t="n"/>
      <c r="Q54" s="11">
        <f>IF(P54="","",I54-P54)</f>
        <v/>
      </c>
      <c r="R54" s="15">
        <f>IFERROR(P54/I54,"")</f>
        <v/>
      </c>
      <c r="S54" s="13">
        <f>IFERROR(K54-N54,"")</f>
        <v/>
      </c>
      <c r="T54" s="16" t="n"/>
      <c r="U54" s="17" t="n"/>
      <c r="V54" s="67" t="n"/>
      <c r="W54" s="67" t="n"/>
      <c r="X54" s="67" t="n"/>
      <c r="Y54" s="67" t="n"/>
      <c r="Z54" s="67" t="n"/>
      <c r="AA54" s="67" t="n"/>
      <c r="AB54" s="67" t="n"/>
    </row>
    <row r="55" ht="28" customHeight="1">
      <c r="B55" s="18" t="n">
        <v>50</v>
      </c>
      <c r="C55" s="19" t="inlineStr">
        <is>
          <t>Sidi Kacem</t>
        </is>
      </c>
      <c r="D55" s="20" t="inlineStr">
        <is>
          <t>SIDI EL KAMEL</t>
        </is>
      </c>
      <c r="E55" s="18" t="inlineStr">
        <is>
          <t>20-11</t>
        </is>
      </c>
      <c r="F55" s="20" t="inlineStr">
        <is>
          <t>Travaux de réhabilitation des équipements</t>
        </is>
      </c>
      <c r="G55" s="20" t="inlineStr">
        <is>
          <t>Travaux de réhabilitation des ouvrages de génie civil</t>
        </is>
      </c>
      <c r="H55" s="20" t="inlineStr">
        <is>
          <t>Réhabilitation des murs de soutènements des ouvrages de franchissements du canal d'assainissement CS3 secteur S3 et de l’ouvrage de franchissement du canal primaire d’irrigation du secteur S1R au niveau de la route provinciale P4234</t>
        </is>
      </c>
      <c r="I55" s="21" t="n">
        <v>800000</v>
      </c>
      <c r="J55" s="12" t="n"/>
      <c r="K55" s="12" t="n"/>
      <c r="L55" s="22">
        <f>IFERROR(K55-J55,"")</f>
        <v/>
      </c>
      <c r="M55" s="12" t="n"/>
      <c r="N55" s="12" t="n"/>
      <c r="O55" s="22">
        <f>IFERROR(N55-M55,"")</f>
        <v/>
      </c>
      <c r="P55" s="14" t="n"/>
      <c r="Q55" s="21">
        <f>IF(P55="","",I55-P55)</f>
        <v/>
      </c>
      <c r="R55" s="23">
        <f>IFERROR(P55/I55,"")</f>
        <v/>
      </c>
      <c r="S55" s="22">
        <f>IFERROR(K55-N55,"")</f>
        <v/>
      </c>
      <c r="T55" s="16" t="n"/>
      <c r="U55" s="17" t="n"/>
      <c r="V55" s="67" t="n"/>
      <c r="W55" s="67" t="n"/>
      <c r="X55" s="67" t="n"/>
      <c r="Y55" s="67" t="n"/>
      <c r="Z55" s="67" t="n"/>
      <c r="AA55" s="67" t="n"/>
      <c r="AB55" s="67" t="n"/>
    </row>
    <row r="56" ht="28" customHeight="1">
      <c r="B56" s="8" t="n">
        <v>51</v>
      </c>
      <c r="C56" s="9" t="inlineStr">
        <is>
          <t>Sidi Kacem</t>
        </is>
      </c>
      <c r="D56" s="10" t="inlineStr">
        <is>
          <t>SIDI EL KAMEL</t>
        </is>
      </c>
      <c r="E56" s="8" t="inlineStr">
        <is>
          <t>40-21</t>
        </is>
      </c>
      <c r="F56" s="10" t="inlineStr">
        <is>
          <t>Travaux de pistes</t>
        </is>
      </c>
      <c r="G56" s="10" t="inlineStr">
        <is>
          <t>Entretien des pistes agricoles</t>
        </is>
      </c>
      <c r="H56" s="10" t="inlineStr">
        <is>
          <t>Entretien des pistes agricoles</t>
        </is>
      </c>
      <c r="I56" s="11" t="n">
        <v>3700000</v>
      </c>
      <c r="J56" s="12" t="n"/>
      <c r="K56" s="12" t="n"/>
      <c r="L56" s="13">
        <f>IFERROR(K56-J56,"")</f>
        <v/>
      </c>
      <c r="M56" s="12" t="n"/>
      <c r="N56" s="12" t="n"/>
      <c r="O56" s="13">
        <f>IFERROR(N56-M56,"")</f>
        <v/>
      </c>
      <c r="P56" s="14" t="n"/>
      <c r="Q56" s="11">
        <f>IF(P56="","",I56-P56)</f>
        <v/>
      </c>
      <c r="R56" s="15">
        <f>IFERROR(P56/I56,"")</f>
        <v/>
      </c>
      <c r="S56" s="13">
        <f>IFERROR(K56-N56,"")</f>
        <v/>
      </c>
      <c r="T56" s="16" t="n"/>
      <c r="U56" s="17" t="n"/>
      <c r="V56" s="67" t="n"/>
      <c r="W56" s="67" t="n"/>
      <c r="X56" s="67" t="n"/>
      <c r="Y56" s="67" t="n"/>
      <c r="Z56" s="67" t="n"/>
      <c r="AA56" s="67" t="n"/>
      <c r="AB56" s="67" t="n"/>
    </row>
    <row r="57" ht="28" customHeight="1">
      <c r="B57" s="18" t="n">
        <v>52</v>
      </c>
      <c r="C57" s="19" t="inlineStr">
        <is>
          <t>Sidi Kacem</t>
        </is>
      </c>
      <c r="D57" s="20" t="inlineStr">
        <is>
          <t>SIDI EL KAMEL</t>
        </is>
      </c>
      <c r="E57" s="18" t="inlineStr">
        <is>
          <t>50-21</t>
        </is>
      </c>
      <c r="F57" s="20" t="inlineStr">
        <is>
          <t>Entretien et réparation des stations de pompage</t>
        </is>
      </c>
      <c r="G57" s="20" t="inlineStr">
        <is>
          <t>Prestation de maintenance des débitmètres et leurs équipements annexes installés au niveau des station de pompage</t>
        </is>
      </c>
      <c r="H57" s="20" t="inlineStr">
        <is>
          <t>Changement de quatre débitmètres Ø 500mm et trois Ø 800mm inondé des stations de pompage 1R, 3R et 5R.</t>
        </is>
      </c>
      <c r="I57" s="21" t="n">
        <v>705000</v>
      </c>
      <c r="J57" s="12" t="n"/>
      <c r="K57" s="12" t="n"/>
      <c r="L57" s="22">
        <f>IFERROR(K57-J57,"")</f>
        <v/>
      </c>
      <c r="M57" s="12" t="n"/>
      <c r="N57" s="12" t="n"/>
      <c r="O57" s="22">
        <f>IFERROR(N57-M57,"")</f>
        <v/>
      </c>
      <c r="P57" s="14" t="n"/>
      <c r="Q57" s="21">
        <f>IF(P57="","",I57-P57)</f>
        <v/>
      </c>
      <c r="R57" s="23">
        <f>IFERROR(P57/I57,"")</f>
        <v/>
      </c>
      <c r="S57" s="22">
        <f>IFERROR(K57-N57,"")</f>
        <v/>
      </c>
      <c r="T57" s="16" t="n"/>
      <c r="U57" s="17" t="n"/>
      <c r="V57" s="67" t="n"/>
      <c r="W57" s="67" t="n"/>
      <c r="X57" s="67" t="n"/>
      <c r="Y57" s="67" t="n"/>
      <c r="Z57" s="67" t="n"/>
      <c r="AA57" s="67" t="n"/>
      <c r="AB57" s="67" t="n"/>
    </row>
    <row r="58" ht="28" customHeight="1">
      <c r="B58" s="8" t="n">
        <v>53</v>
      </c>
      <c r="C58" s="9" t="inlineStr">
        <is>
          <t>Sidi Kacem</t>
        </is>
      </c>
      <c r="D58" s="10" t="inlineStr">
        <is>
          <t>SIDI EL KAMEL</t>
        </is>
      </c>
      <c r="E58" s="8" t="inlineStr">
        <is>
          <t>50-21</t>
        </is>
      </c>
      <c r="F58" s="10" t="inlineStr">
        <is>
          <t>Entretien et réparation des stations de pompage</t>
        </is>
      </c>
      <c r="G58" s="10" t="inlineStr">
        <is>
          <t>Mur clôture des stations de pompage.</t>
        </is>
      </c>
      <c r="H58" s="10" t="inlineStr">
        <is>
          <t>Stabilisation et reconstruction des murs clôture cote oued des stations de pompage 7A, 3R et 1R.</t>
        </is>
      </c>
      <c r="I58" s="11" t="n">
        <v>372000</v>
      </c>
      <c r="J58" s="12" t="n"/>
      <c r="K58" s="12" t="n"/>
      <c r="L58" s="13">
        <f>IFERROR(K58-J58,"")</f>
        <v/>
      </c>
      <c r="M58" s="12" t="n"/>
      <c r="N58" s="12" t="n"/>
      <c r="O58" s="13">
        <f>IFERROR(N58-M58,"")</f>
        <v/>
      </c>
      <c r="P58" s="14" t="n"/>
      <c r="Q58" s="11">
        <f>IF(P58="","",I58-P58)</f>
        <v/>
      </c>
      <c r="R58" s="15">
        <f>IFERROR(P58/I58,"")</f>
        <v/>
      </c>
      <c r="S58" s="13">
        <f>IFERROR(K58-N58,"")</f>
        <v/>
      </c>
      <c r="T58" s="16" t="n"/>
      <c r="U58" s="17" t="n"/>
      <c r="V58" s="67" t="n"/>
      <c r="W58" s="67" t="n"/>
      <c r="X58" s="67" t="n"/>
      <c r="Y58" s="67" t="n"/>
      <c r="Z58" s="67" t="n"/>
      <c r="AA58" s="67" t="n"/>
      <c r="AB58" s="67" t="n"/>
    </row>
    <row r="59" ht="28" customHeight="1">
      <c r="B59" s="18" t="n">
        <v>54</v>
      </c>
      <c r="C59" s="19" t="inlineStr">
        <is>
          <t>Kénitra</t>
        </is>
      </c>
      <c r="D59" s="20" t="inlineStr">
        <is>
          <t>Bni malek</t>
        </is>
      </c>
      <c r="E59" s="18" t="inlineStr">
        <is>
          <t>50-23</t>
        </is>
      </c>
      <c r="F59" s="20" t="inlineStr">
        <is>
          <t>Entretien et réparation du réseau d'assainissement et de drainage</t>
        </is>
      </c>
      <c r="G59" s="20" t="inlineStr">
        <is>
          <t>Travaux de curage des canaux en terre</t>
        </is>
      </c>
      <c r="H59" s="20" t="inlineStr">
        <is>
          <t>Curage des emissaires et colatures secondaire au niveau des secteurs MDA ET N9</t>
        </is>
      </c>
      <c r="I59" s="21" t="n">
        <v>10000000</v>
      </c>
      <c r="J59" s="12" t="n"/>
      <c r="K59" s="12" t="n"/>
      <c r="L59" s="22">
        <f>IFERROR(K59-J59,"")</f>
        <v/>
      </c>
      <c r="M59" s="12" t="n"/>
      <c r="N59" s="12" t="n"/>
      <c r="O59" s="22">
        <f>IFERROR(N59-M59,"")</f>
        <v/>
      </c>
      <c r="P59" s="14" t="n"/>
      <c r="Q59" s="21">
        <f>IF(P59="","",I59-P59)</f>
        <v/>
      </c>
      <c r="R59" s="23">
        <f>IFERROR(P59/I59,"")</f>
        <v/>
      </c>
      <c r="S59" s="22">
        <f>IFERROR(K59-N59,"")</f>
        <v/>
      </c>
      <c r="T59" s="16" t="n"/>
      <c r="U59" s="17" t="n"/>
      <c r="V59" s="67" t="n"/>
      <c r="W59" s="67" t="n"/>
      <c r="X59" s="67" t="n"/>
      <c r="Y59" s="67" t="n"/>
      <c r="Z59" s="67" t="n"/>
      <c r="AA59" s="67" t="n"/>
      <c r="AB59" s="67" t="n"/>
    </row>
    <row r="60" ht="28" customHeight="1">
      <c r="B60" s="8" t="n">
        <v>55</v>
      </c>
      <c r="C60" s="9" t="inlineStr">
        <is>
          <t>Kénitra</t>
        </is>
      </c>
      <c r="D60" s="10" t="inlineStr">
        <is>
          <t>Bni malek</t>
        </is>
      </c>
      <c r="E60" s="8" t="inlineStr">
        <is>
          <t>40-21</t>
        </is>
      </c>
      <c r="F60" s="10" t="inlineStr">
        <is>
          <t>Travaux de pistes</t>
        </is>
      </c>
      <c r="G60" s="10" t="inlineStr">
        <is>
          <t>Travaux de réhabilitation des pistes agricoles</t>
        </is>
      </c>
      <c r="H60" s="10" t="inlineStr">
        <is>
          <t>Entretien des pistes agricoles des secteurs MDA et N3</t>
        </is>
      </c>
      <c r="I60" s="11" t="n">
        <v>2000000</v>
      </c>
      <c r="J60" s="12" t="n"/>
      <c r="K60" s="12" t="n"/>
      <c r="L60" s="13">
        <f>IFERROR(K60-J60,"")</f>
        <v/>
      </c>
      <c r="M60" s="12" t="n"/>
      <c r="N60" s="12" t="n"/>
      <c r="O60" s="13">
        <f>IFERROR(N60-M60,"")</f>
        <v/>
      </c>
      <c r="P60" s="14" t="n"/>
      <c r="Q60" s="11">
        <f>IF(P60="","",I60-P60)</f>
        <v/>
      </c>
      <c r="R60" s="15">
        <f>IFERROR(P60/I60,"")</f>
        <v/>
      </c>
      <c r="S60" s="13">
        <f>IFERROR(K60-N60,"")</f>
        <v/>
      </c>
      <c r="T60" s="16" t="n"/>
      <c r="U60" s="17" t="n"/>
      <c r="V60" s="67" t="n"/>
      <c r="W60" s="67" t="n"/>
      <c r="X60" s="67" t="n"/>
      <c r="Y60" s="67" t="n"/>
      <c r="Z60" s="67" t="n"/>
      <c r="AA60" s="67" t="n"/>
      <c r="AB60" s="67" t="n"/>
    </row>
    <row r="61" ht="28" customHeight="1">
      <c r="B61" s="18" t="n">
        <v>56</v>
      </c>
      <c r="C61" s="19" t="inlineStr">
        <is>
          <t>Kénitra</t>
        </is>
      </c>
      <c r="D61" s="20" t="inlineStr">
        <is>
          <t>Bni malek</t>
        </is>
      </c>
      <c r="E61" s="18" t="inlineStr">
        <is>
          <t>50-21</t>
        </is>
      </c>
      <c r="F61" s="20" t="inlineStr">
        <is>
          <t>Entretien et réparation des stations de pompage</t>
        </is>
      </c>
      <c r="G61" s="20" t="inlineStr">
        <is>
          <t>Prestations de maintenance et de réparation mécanique des pompes et des groupes motopompes submersibles des stations de pompage.</t>
        </is>
      </c>
      <c r="H61" s="20" t="inlineStr">
        <is>
          <t>station de pompage MDA secteur MDA</t>
        </is>
      </c>
      <c r="I61" s="21" t="n">
        <v>300000</v>
      </c>
      <c r="J61" s="12" t="n"/>
      <c r="K61" s="12" t="n"/>
      <c r="L61" s="22">
        <f>IFERROR(K61-J61,"")</f>
        <v/>
      </c>
      <c r="M61" s="12" t="n"/>
      <c r="N61" s="12" t="n"/>
      <c r="O61" s="22">
        <f>IFERROR(N61-M61,"")</f>
        <v/>
      </c>
      <c r="P61" s="14" t="n"/>
      <c r="Q61" s="21">
        <f>IF(P61="","",I61-P61)</f>
        <v/>
      </c>
      <c r="R61" s="23">
        <f>IFERROR(P61/I61,"")</f>
        <v/>
      </c>
      <c r="S61" s="22">
        <f>IFERROR(K61-N61,"")</f>
        <v/>
      </c>
      <c r="T61" s="16" t="n"/>
      <c r="U61" s="17" t="n"/>
      <c r="V61" s="67" t="n"/>
      <c r="W61" s="67" t="n"/>
      <c r="X61" s="67" t="n"/>
      <c r="Y61" s="67" t="n"/>
      <c r="Z61" s="67" t="n"/>
      <c r="AA61" s="67" t="n"/>
      <c r="AB61" s="67" t="n"/>
    </row>
    <row r="62" ht="28" customHeight="1">
      <c r="B62" s="8" t="n">
        <v>57</v>
      </c>
      <c r="C62" s="9" t="inlineStr">
        <is>
          <t>Kénitra</t>
        </is>
      </c>
      <c r="D62" s="10" t="inlineStr">
        <is>
          <t>Bni malek</t>
        </is>
      </c>
      <c r="E62" s="8" t="inlineStr">
        <is>
          <t>20-11</t>
        </is>
      </c>
      <c r="F62" s="10" t="inlineStr">
        <is>
          <t>Travaux de réhabilitation des équipements</t>
        </is>
      </c>
      <c r="G62" s="10" t="inlineStr">
        <is>
          <t>Travaux de réhabilitation des ouvrages de génie civil</t>
        </is>
      </c>
      <c r="H62" s="10" t="inlineStr">
        <is>
          <t>Rétablissement des bornes affaissées des secteurs N2 et N3</t>
        </is>
      </c>
      <c r="I62" s="11" t="n">
        <v>100000</v>
      </c>
      <c r="J62" s="12" t="n"/>
      <c r="K62" s="12" t="n"/>
      <c r="L62" s="13">
        <f>IFERROR(K62-J62,"")</f>
        <v/>
      </c>
      <c r="M62" s="12" t="n"/>
      <c r="N62" s="12" t="n"/>
      <c r="O62" s="13">
        <f>IFERROR(N62-M62,"")</f>
        <v/>
      </c>
      <c r="P62" s="14" t="n"/>
      <c r="Q62" s="11">
        <f>IF(P62="","",I62-P62)</f>
        <v/>
      </c>
      <c r="R62" s="15">
        <f>IFERROR(P62/I62,"")</f>
        <v/>
      </c>
      <c r="S62" s="13">
        <f>IFERROR(K62-N62,"")</f>
        <v/>
      </c>
      <c r="T62" s="16" t="n"/>
      <c r="U62" s="17" t="n"/>
      <c r="V62" s="67" t="n"/>
      <c r="W62" s="67" t="n"/>
      <c r="X62" s="67" t="n"/>
      <c r="Y62" s="67" t="n"/>
      <c r="Z62" s="67" t="n"/>
      <c r="AA62" s="67" t="n"/>
      <c r="AB62" s="67" t="n"/>
    </row>
    <row r="63" ht="28" customHeight="1">
      <c r="B63" s="18" t="n">
        <v>58</v>
      </c>
      <c r="C63" s="19" t="inlineStr">
        <is>
          <t>Kénitra</t>
        </is>
      </c>
      <c r="D63" s="20" t="inlineStr">
        <is>
          <t>SOUK TLET</t>
        </is>
      </c>
      <c r="E63" s="18" t="inlineStr">
        <is>
          <t>50-23</t>
        </is>
      </c>
      <c r="F63" s="20" t="inlineStr">
        <is>
          <t>Entretien et réparation du réseau d'assainissement et de drainage</t>
        </is>
      </c>
      <c r="G63" s="20" t="inlineStr">
        <is>
          <t>Travaux de curage des canaux en terre</t>
        </is>
      </c>
      <c r="H63" s="20" t="inlineStr">
        <is>
          <t>curage des emissaires et colatures secondaire au niveau des secteurs N2,N3 ET N4,</t>
        </is>
      </c>
      <c r="I63" s="21" t="n">
        <v>3000000</v>
      </c>
      <c r="J63" s="12" t="n"/>
      <c r="K63" s="12" t="n"/>
      <c r="L63" s="22">
        <f>IFERROR(K63-J63,"")</f>
        <v/>
      </c>
      <c r="M63" s="12" t="n"/>
      <c r="N63" s="12" t="n"/>
      <c r="O63" s="22">
        <f>IFERROR(N63-M63,"")</f>
        <v/>
      </c>
      <c r="P63" s="14" t="n"/>
      <c r="Q63" s="21">
        <f>IF(P63="","",I63-P63)</f>
        <v/>
      </c>
      <c r="R63" s="23">
        <f>IFERROR(P63/I63,"")</f>
        <v/>
      </c>
      <c r="S63" s="22">
        <f>IFERROR(K63-N63,"")</f>
        <v/>
      </c>
      <c r="T63" s="16" t="n"/>
      <c r="U63" s="17" t="n"/>
      <c r="V63" s="67" t="n"/>
      <c r="W63" s="67" t="n"/>
      <c r="X63" s="67" t="n"/>
      <c r="Y63" s="67" t="n"/>
      <c r="Z63" s="67" t="n"/>
      <c r="AA63" s="67" t="n"/>
      <c r="AB63" s="67" t="n"/>
    </row>
    <row r="64" ht="28" customHeight="1">
      <c r="B64" s="8" t="n">
        <v>59</v>
      </c>
      <c r="C64" s="9" t="inlineStr">
        <is>
          <t>Kénitra</t>
        </is>
      </c>
      <c r="D64" s="10" t="inlineStr">
        <is>
          <t>SOUK TLET</t>
        </is>
      </c>
      <c r="E64" s="8" t="inlineStr">
        <is>
          <t>40-21</t>
        </is>
      </c>
      <c r="F64" s="10" t="inlineStr">
        <is>
          <t>Travaux de pistes</t>
        </is>
      </c>
      <c r="G64" s="10" t="inlineStr">
        <is>
          <t>Travaux de réhabilitation des pistes agricoles</t>
        </is>
      </c>
      <c r="H64" s="10" t="inlineStr">
        <is>
          <t>Entretien des pistes des secteurs N2,N3,N4 et C4R,</t>
        </is>
      </c>
      <c r="I64" s="11" t="n">
        <v>5000000</v>
      </c>
      <c r="J64" s="12" t="n"/>
      <c r="K64" s="12" t="n"/>
      <c r="L64" s="13">
        <f>IFERROR(K64-J64,"")</f>
        <v/>
      </c>
      <c r="M64" s="12" t="n"/>
      <c r="N64" s="12" t="n"/>
      <c r="O64" s="13">
        <f>IFERROR(N64-M64,"")</f>
        <v/>
      </c>
      <c r="P64" s="14" t="n"/>
      <c r="Q64" s="11">
        <f>IF(P64="","",I64-P64)</f>
        <v/>
      </c>
      <c r="R64" s="15">
        <f>IFERROR(P64/I64,"")</f>
        <v/>
      </c>
      <c r="S64" s="13">
        <f>IFERROR(K64-N64,"")</f>
        <v/>
      </c>
      <c r="T64" s="16" t="n"/>
      <c r="U64" s="17" t="n"/>
      <c r="V64" s="67" t="n"/>
      <c r="W64" s="67" t="n"/>
      <c r="X64" s="67" t="n"/>
      <c r="Y64" s="67" t="n"/>
      <c r="Z64" s="67" t="n"/>
      <c r="AA64" s="67" t="n"/>
      <c r="AB64" s="67" t="n"/>
    </row>
    <row r="65" ht="28" customHeight="1">
      <c r="B65" s="18" t="n">
        <v>60</v>
      </c>
      <c r="C65" s="19" t="inlineStr">
        <is>
          <t>Kénitra</t>
        </is>
      </c>
      <c r="D65" s="20" t="inlineStr">
        <is>
          <t>Sidi Med Lahmar</t>
        </is>
      </c>
      <c r="E65" s="18" t="inlineStr">
        <is>
          <t>50-23</t>
        </is>
      </c>
      <c r="F65" s="20" t="inlineStr">
        <is>
          <t>Entretien et réparation du réseau d'assainissement et de drainage</t>
        </is>
      </c>
      <c r="G65" s="20" t="inlineStr">
        <is>
          <t>Travaux de curage des canaux en terre</t>
        </is>
      </c>
      <c r="H65" s="20" t="inlineStr">
        <is>
          <t>Curage des emissaires et colatures secondaires secteurs N1</t>
        </is>
      </c>
      <c r="I65" s="21" t="n">
        <v>3000000</v>
      </c>
      <c r="J65" s="12" t="n"/>
      <c r="K65" s="12" t="n"/>
      <c r="L65" s="22">
        <f>IFERROR(K65-J65,"")</f>
        <v/>
      </c>
      <c r="M65" s="12" t="n"/>
      <c r="N65" s="12" t="n"/>
      <c r="O65" s="22">
        <f>IFERROR(N65-M65,"")</f>
        <v/>
      </c>
      <c r="P65" s="14" t="n"/>
      <c r="Q65" s="21">
        <f>IF(P65="","",I65-P65)</f>
        <v/>
      </c>
      <c r="R65" s="23">
        <f>IFERROR(P65/I65,"")</f>
        <v/>
      </c>
      <c r="S65" s="22">
        <f>IFERROR(K65-N65,"")</f>
        <v/>
      </c>
      <c r="T65" s="16" t="n"/>
      <c r="U65" s="17" t="n"/>
      <c r="V65" s="67" t="n"/>
      <c r="W65" s="67" t="n"/>
      <c r="X65" s="67" t="n"/>
      <c r="Y65" s="67" t="n"/>
      <c r="Z65" s="67" t="n"/>
      <c r="AA65" s="67" t="n"/>
      <c r="AB65" s="67" t="n"/>
    </row>
    <row r="66" ht="28" customHeight="1">
      <c r="B66" s="8" t="n">
        <v>61</v>
      </c>
      <c r="C66" s="9" t="inlineStr">
        <is>
          <t>Kénitra</t>
        </is>
      </c>
      <c r="D66" s="10" t="inlineStr">
        <is>
          <t>Sidi Med Lahmar</t>
        </is>
      </c>
      <c r="E66" s="8" t="inlineStr">
        <is>
          <t>40-21</t>
        </is>
      </c>
      <c r="F66" s="10" t="inlineStr">
        <is>
          <t>Travaux de pistes</t>
        </is>
      </c>
      <c r="G66" s="10" t="inlineStr">
        <is>
          <t>Travaux de réhabilitation des pistes agricoles</t>
        </is>
      </c>
      <c r="H66" s="10" t="inlineStr">
        <is>
          <t>Entretien des pistes agricoles des secteurs N9 et N1</t>
        </is>
      </c>
      <c r="I66" s="11" t="n">
        <v>3000000</v>
      </c>
      <c r="J66" s="12" t="n"/>
      <c r="K66" s="12" t="n"/>
      <c r="L66" s="13">
        <f>IFERROR(K66-J66,"")</f>
        <v/>
      </c>
      <c r="M66" s="12" t="n"/>
      <c r="N66" s="12" t="n"/>
      <c r="O66" s="13">
        <f>IFERROR(N66-M66,"")</f>
        <v/>
      </c>
      <c r="P66" s="14" t="n"/>
      <c r="Q66" s="11">
        <f>IF(P66="","",I66-P66)</f>
        <v/>
      </c>
      <c r="R66" s="15">
        <f>IFERROR(P66/I66,"")</f>
        <v/>
      </c>
      <c r="S66" s="13">
        <f>IFERROR(K66-N66,"")</f>
        <v/>
      </c>
      <c r="T66" s="16" t="n"/>
      <c r="U66" s="17" t="n"/>
      <c r="V66" s="67" t="n"/>
      <c r="W66" s="67" t="n"/>
      <c r="X66" s="67" t="n"/>
      <c r="Y66" s="67" t="n"/>
      <c r="Z66" s="67" t="n"/>
      <c r="AA66" s="67" t="n"/>
      <c r="AB66" s="67" t="n"/>
    </row>
    <row r="67" ht="28" customHeight="1">
      <c r="B67" s="18" t="n">
        <v>62</v>
      </c>
      <c r="C67" s="19" t="inlineStr">
        <is>
          <t>Kénitra</t>
        </is>
      </c>
      <c r="D67" s="20" t="inlineStr">
        <is>
          <t>Mograne</t>
        </is>
      </c>
      <c r="E67" s="18" t="inlineStr">
        <is>
          <t>50-23</t>
        </is>
      </c>
      <c r="F67" s="20" t="inlineStr">
        <is>
          <t>Entretien et réparation du réseau d'assainissement et de drainage</t>
        </is>
      </c>
      <c r="G67" s="20" t="inlineStr">
        <is>
          <t>Travaux de curage des canaux en terre</t>
        </is>
      </c>
      <c r="H67" s="20" t="inlineStr">
        <is>
          <t>Curage des canaux d'assainissement Hors secteur équipé ghoufera et laison beht sebou ,</t>
        </is>
      </c>
      <c r="I67" s="21" t="n">
        <v>6000000</v>
      </c>
      <c r="J67" s="12" t="n"/>
      <c r="K67" s="12" t="n"/>
      <c r="L67" s="22">
        <f>IFERROR(K67-J67,"")</f>
        <v/>
      </c>
      <c r="M67" s="12" t="n"/>
      <c r="N67" s="12" t="n"/>
      <c r="O67" s="22">
        <f>IFERROR(N67-M67,"")</f>
        <v/>
      </c>
      <c r="P67" s="14" t="n"/>
      <c r="Q67" s="21">
        <f>IF(P67="","",I67-P67)</f>
        <v/>
      </c>
      <c r="R67" s="23">
        <f>IFERROR(P67/I67,"")</f>
        <v/>
      </c>
      <c r="S67" s="22">
        <f>IFERROR(K67-N67,"")</f>
        <v/>
      </c>
      <c r="T67" s="16" t="n"/>
      <c r="U67" s="17" t="n"/>
      <c r="V67" s="67" t="n"/>
      <c r="W67" s="67" t="n"/>
      <c r="X67" s="67" t="n"/>
      <c r="Y67" s="67" t="n"/>
      <c r="Z67" s="67" t="n"/>
      <c r="AA67" s="67" t="n"/>
      <c r="AB67" s="67" t="n"/>
    </row>
    <row r="68" ht="28" customHeight="1">
      <c r="B68" s="8" t="n">
        <v>63</v>
      </c>
      <c r="C68" s="9" t="inlineStr">
        <is>
          <t>Kénitra</t>
        </is>
      </c>
      <c r="D68" s="10" t="inlineStr">
        <is>
          <t>Mograne</t>
        </is>
      </c>
      <c r="E68" s="8" t="inlineStr">
        <is>
          <t>40-21</t>
        </is>
      </c>
      <c r="F68" s="10" t="inlineStr">
        <is>
          <t>Travaux de pistes</t>
        </is>
      </c>
      <c r="G68" s="10" t="inlineStr">
        <is>
          <t>Travaux de réhabilitation des pistes agricoles</t>
        </is>
      </c>
      <c r="H68" s="10" t="inlineStr">
        <is>
          <t>Entretien des pistes agricoles des secteurs SEBOU1,SEBOU2? BEHT3 et BEHT4</t>
        </is>
      </c>
      <c r="I68" s="11" t="n">
        <v>6000000</v>
      </c>
      <c r="J68" s="12" t="n"/>
      <c r="K68" s="12" t="n"/>
      <c r="L68" s="13">
        <f>IFERROR(K68-J68,"")</f>
        <v/>
      </c>
      <c r="M68" s="12" t="n"/>
      <c r="N68" s="12" t="n"/>
      <c r="O68" s="13">
        <f>IFERROR(N68-M68,"")</f>
        <v/>
      </c>
      <c r="P68" s="14" t="n"/>
      <c r="Q68" s="11">
        <f>IF(P68="","",I68-P68)</f>
        <v/>
      </c>
      <c r="R68" s="15">
        <f>IFERROR(P68/I68,"")</f>
        <v/>
      </c>
      <c r="S68" s="13">
        <f>IFERROR(K68-N68,"")</f>
        <v/>
      </c>
      <c r="T68" s="16" t="n"/>
      <c r="U68" s="17" t="n"/>
      <c r="V68" s="67" t="n"/>
      <c r="W68" s="67" t="n"/>
      <c r="X68" s="67" t="n"/>
      <c r="Y68" s="67" t="n"/>
      <c r="Z68" s="67" t="n"/>
      <c r="AA68" s="67" t="n"/>
      <c r="AB68" s="67" t="n"/>
    </row>
    <row r="69" ht="28" customHeight="1">
      <c r="B69" s="18" t="n">
        <v>64</v>
      </c>
      <c r="C69" s="19" t="inlineStr">
        <is>
          <t>Kénitra</t>
        </is>
      </c>
      <c r="D69" s="20" t="inlineStr">
        <is>
          <t>Sidi allal tazi</t>
        </is>
      </c>
      <c r="E69" s="18" t="inlineStr">
        <is>
          <t>50-23</t>
        </is>
      </c>
      <c r="F69" s="20" t="inlineStr">
        <is>
          <t>Entretien et réparation du réseau d'assainissement et de drainage</t>
        </is>
      </c>
      <c r="G69" s="20" t="inlineStr">
        <is>
          <t>Travaux de curage des canaux en terre</t>
        </is>
      </c>
      <c r="H69" s="20" t="inlineStr">
        <is>
          <t>Curage du canaL d'assainissement CK,</t>
        </is>
      </c>
      <c r="I69" s="21" t="n">
        <v>3000000</v>
      </c>
      <c r="J69" s="12" t="n"/>
      <c r="K69" s="12" t="n"/>
      <c r="L69" s="22">
        <f>IFERROR(K69-J69,"")</f>
        <v/>
      </c>
      <c r="M69" s="12" t="n"/>
      <c r="N69" s="12" t="n"/>
      <c r="O69" s="22">
        <f>IFERROR(N69-M69,"")</f>
        <v/>
      </c>
      <c r="P69" s="14" t="n"/>
      <c r="Q69" s="21">
        <f>IF(P69="","",I69-P69)</f>
        <v/>
      </c>
      <c r="R69" s="23">
        <f>IFERROR(P69/I69,"")</f>
        <v/>
      </c>
      <c r="S69" s="22">
        <f>IFERROR(K69-N69,"")</f>
        <v/>
      </c>
      <c r="T69" s="16" t="n"/>
      <c r="U69" s="17" t="n"/>
      <c r="V69" s="67" t="n"/>
      <c r="W69" s="67" t="n"/>
      <c r="X69" s="67" t="n"/>
      <c r="Y69" s="67" t="n"/>
      <c r="Z69" s="67" t="n"/>
      <c r="AA69" s="67" t="n"/>
      <c r="AB69" s="67" t="n"/>
    </row>
    <row r="70" ht="28" customHeight="1">
      <c r="B70" s="8" t="n">
        <v>65</v>
      </c>
      <c r="C70" s="9" t="inlineStr">
        <is>
          <t>Kénitra</t>
        </is>
      </c>
      <c r="D70" s="10" t="inlineStr">
        <is>
          <t>AMEUR SAFLIA</t>
        </is>
      </c>
      <c r="E70" s="8" t="inlineStr">
        <is>
          <t>50-23</t>
        </is>
      </c>
      <c r="F70" s="10" t="inlineStr">
        <is>
          <t>Entretien et réparation du réseau d'assainissement et de drainage</t>
        </is>
      </c>
      <c r="G70" s="10" t="inlineStr">
        <is>
          <t>Travaux de curage des canaux en terre</t>
        </is>
      </c>
      <c r="H70" s="10" t="inlineStr">
        <is>
          <t>Curage des canaux d'assainissement amontTtiflt Sebou,</t>
        </is>
      </c>
      <c r="I70" s="11" t="n">
        <v>1000000</v>
      </c>
      <c r="J70" s="12" t="n"/>
      <c r="K70" s="12" t="n"/>
      <c r="L70" s="13">
        <f>IFERROR(K70-J70,"")</f>
        <v/>
      </c>
      <c r="M70" s="12" t="n"/>
      <c r="N70" s="12" t="n"/>
      <c r="O70" s="13">
        <f>IFERROR(N70-M70,"")</f>
        <v/>
      </c>
      <c r="P70" s="14" t="n"/>
      <c r="Q70" s="11">
        <f>IF(P70="","",I70-P70)</f>
        <v/>
      </c>
      <c r="R70" s="15">
        <f>IFERROR(P70/I70,"")</f>
        <v/>
      </c>
      <c r="S70" s="13">
        <f>IFERROR(K70-N70,"")</f>
        <v/>
      </c>
      <c r="T70" s="16" t="n"/>
      <c r="U70" s="17" t="n"/>
      <c r="V70" s="67" t="n"/>
      <c r="W70" s="67" t="n"/>
      <c r="X70" s="67" t="n"/>
      <c r="Y70" s="67" t="n"/>
      <c r="Z70" s="67" t="n"/>
      <c r="AA70" s="67" t="n"/>
      <c r="AB70" s="67" t="n"/>
    </row>
    <row r="71" ht="28" customHeight="1">
      <c r="B71" s="18" t="n">
        <v>66</v>
      </c>
      <c r="C71" s="19" t="inlineStr">
        <is>
          <t>Kénitra</t>
        </is>
      </c>
      <c r="D71" s="20" t="inlineStr">
        <is>
          <t>Oulad SLAMA</t>
        </is>
      </c>
      <c r="E71" s="18" t="inlineStr">
        <is>
          <t>50-23</t>
        </is>
      </c>
      <c r="F71" s="20" t="inlineStr">
        <is>
          <t>Entretien et réparation du réseau d'assainissement et de drainage</t>
        </is>
      </c>
      <c r="G71" s="20" t="inlineStr">
        <is>
          <t>Travaux de curage des canaux en terre</t>
        </is>
      </c>
      <c r="H71" s="20" t="inlineStr">
        <is>
          <t>Curage des canaux d'assainissement debouche Tiflt aval,</t>
        </is>
      </c>
      <c r="I71" s="21" t="n">
        <v>1000000</v>
      </c>
      <c r="J71" s="12" t="n"/>
      <c r="K71" s="12" t="n"/>
      <c r="L71" s="22">
        <f>IFERROR(K71-J71,"")</f>
        <v/>
      </c>
      <c r="M71" s="12" t="n"/>
      <c r="N71" s="12" t="n"/>
      <c r="O71" s="22">
        <f>IFERROR(N71-M71,"")</f>
        <v/>
      </c>
      <c r="P71" s="14" t="n"/>
      <c r="Q71" s="21">
        <f>IF(P71="","",I71-P71)</f>
        <v/>
      </c>
      <c r="R71" s="23">
        <f>IFERROR(P71/I71,"")</f>
        <v/>
      </c>
      <c r="S71" s="22">
        <f>IFERROR(K71-N71,"")</f>
        <v/>
      </c>
      <c r="T71" s="16" t="n"/>
      <c r="U71" s="17" t="n"/>
      <c r="V71" s="67" t="n"/>
      <c r="W71" s="67" t="n"/>
      <c r="X71" s="67" t="n"/>
      <c r="Y71" s="67" t="n"/>
      <c r="Z71" s="67" t="n"/>
      <c r="AA71" s="67" t="n"/>
      <c r="AB71" s="67" t="n"/>
    </row>
    <row r="72" ht="28" customHeight="1">
      <c r="B72" s="8" t="n">
        <v>67</v>
      </c>
      <c r="C72" s="9" t="inlineStr">
        <is>
          <t>Kénitra</t>
        </is>
      </c>
      <c r="D72" s="10" t="inlineStr">
        <is>
          <t>BHARA Oulad AYAD</t>
        </is>
      </c>
      <c r="E72" s="8" t="inlineStr">
        <is>
          <t>50-23</t>
        </is>
      </c>
      <c r="F72" s="10" t="inlineStr">
        <is>
          <t>Entretien et réparation du réseau d'assainissement et de drainage</t>
        </is>
      </c>
      <c r="G72" s="10" t="inlineStr">
        <is>
          <t>Travaux de curage des canaux en terre</t>
        </is>
      </c>
      <c r="H72" s="10" t="inlineStr">
        <is>
          <t>Curage des canaux d'assainissement canal nador bas et haut segmet,</t>
        </is>
      </c>
      <c r="I72" s="11" t="n">
        <v>6600000</v>
      </c>
      <c r="J72" s="12" t="n"/>
      <c r="K72" s="12" t="n"/>
      <c r="L72" s="13">
        <f>IFERROR(K72-J72,"")</f>
        <v/>
      </c>
      <c r="M72" s="12" t="n"/>
      <c r="N72" s="12" t="n"/>
      <c r="O72" s="13">
        <f>IFERROR(N72-M72,"")</f>
        <v/>
      </c>
      <c r="P72" s="14" t="n"/>
      <c r="Q72" s="11">
        <f>IF(P72="","",I72-P72)</f>
        <v/>
      </c>
      <c r="R72" s="15">
        <f>IFERROR(P72/I72,"")</f>
        <v/>
      </c>
      <c r="S72" s="13">
        <f>IFERROR(K72-N72,"")</f>
        <v/>
      </c>
      <c r="T72" s="16" t="n"/>
      <c r="U72" s="17" t="n"/>
      <c r="V72" s="67" t="n"/>
      <c r="W72" s="67" t="n"/>
      <c r="X72" s="67" t="n"/>
      <c r="Y72" s="67" t="n"/>
      <c r="Z72" s="67" t="n"/>
      <c r="AA72" s="67" t="n"/>
      <c r="AB72" s="67" t="n"/>
    </row>
    <row r="73" ht="28" customHeight="1">
      <c r="B73" s="18" t="n">
        <v>68</v>
      </c>
      <c r="C73" s="19" t="inlineStr">
        <is>
          <t>Sidi Slimane</t>
        </is>
      </c>
      <c r="D73" s="20" t="inlineStr">
        <is>
          <t>OULED HCEINE</t>
        </is>
      </c>
      <c r="E73" s="18" t="inlineStr">
        <is>
          <t>50-23</t>
        </is>
      </c>
      <c r="F73" s="20" t="inlineStr">
        <is>
          <t>Entretien et réparation du réseau d'assainissement et de drainage</t>
        </is>
      </c>
      <c r="G73" s="20" t="inlineStr">
        <is>
          <t>Travaux de curage des canaux en terre</t>
        </is>
      </c>
      <c r="H73" s="20" t="inlineStr">
        <is>
          <t>Curage des collecteurs d'assainissement du secteur EST4.</t>
        </is>
      </c>
      <c r="I73" s="21" t="n">
        <v>1805475</v>
      </c>
      <c r="J73" s="12" t="n"/>
      <c r="K73" s="12" t="n"/>
      <c r="L73" s="22">
        <f>IFERROR(K73-J73,"")</f>
        <v/>
      </c>
      <c r="M73" s="12" t="n"/>
      <c r="N73" s="12" t="n"/>
      <c r="O73" s="22">
        <f>IFERROR(N73-M73,"")</f>
        <v/>
      </c>
      <c r="P73" s="14" t="n"/>
      <c r="Q73" s="21">
        <f>IF(P73="","",I73-P73)</f>
        <v/>
      </c>
      <c r="R73" s="23">
        <f>IFERROR(P73/I73,"")</f>
        <v/>
      </c>
      <c r="S73" s="22">
        <f>IFERROR(K73-N73,"")</f>
        <v/>
      </c>
      <c r="T73" s="16" t="n"/>
      <c r="U73" s="17" t="n"/>
      <c r="V73" s="67" t="n"/>
      <c r="W73" s="67" t="n"/>
      <c r="X73" s="67" t="n"/>
      <c r="Y73" s="67" t="n"/>
      <c r="Z73" s="67" t="n"/>
      <c r="AA73" s="67" t="n"/>
      <c r="AB73" s="67" t="n"/>
    </row>
    <row r="74" ht="28" customHeight="1">
      <c r="B74" s="8" t="n">
        <v>69</v>
      </c>
      <c r="C74" s="9" t="inlineStr">
        <is>
          <t>Sidi Slimane</t>
        </is>
      </c>
      <c r="D74" s="10" t="inlineStr">
        <is>
          <t>OULED HCEINE</t>
        </is>
      </c>
      <c r="E74" s="8" t="inlineStr">
        <is>
          <t>50-23</t>
        </is>
      </c>
      <c r="F74" s="10" t="inlineStr">
        <is>
          <t>Entretien et réparation du réseau d'assainissement et de drainage</t>
        </is>
      </c>
      <c r="G74" s="10" t="inlineStr">
        <is>
          <t>Travaux de curage des canaux en terre</t>
        </is>
      </c>
      <c r="H74" s="10" t="inlineStr">
        <is>
          <t>Curage du canal d'assainissement Tihli central.</t>
        </is>
      </c>
      <c r="I74" s="11" t="n">
        <v>2587200</v>
      </c>
      <c r="J74" s="12" t="n"/>
      <c r="K74" s="12" t="n"/>
      <c r="L74" s="13">
        <f>IFERROR(K74-J74,"")</f>
        <v/>
      </c>
      <c r="M74" s="12" t="n"/>
      <c r="N74" s="12" t="n"/>
      <c r="O74" s="13">
        <f>IFERROR(N74-M74,"")</f>
        <v/>
      </c>
      <c r="P74" s="14" t="n"/>
      <c r="Q74" s="11">
        <f>IF(P74="","",I74-P74)</f>
        <v/>
      </c>
      <c r="R74" s="15">
        <f>IFERROR(P74/I74,"")</f>
        <v/>
      </c>
      <c r="S74" s="13">
        <f>IFERROR(K74-N74,"")</f>
        <v/>
      </c>
      <c r="T74" s="16" t="n"/>
      <c r="U74" s="17" t="n"/>
      <c r="V74" s="67" t="n"/>
      <c r="W74" s="67" t="n"/>
      <c r="X74" s="67" t="n"/>
      <c r="Y74" s="67" t="n"/>
      <c r="Z74" s="67" t="n"/>
      <c r="AA74" s="67" t="n"/>
      <c r="AB74" s="67" t="n"/>
    </row>
    <row r="75" ht="28" customHeight="1">
      <c r="B75" s="18" t="n">
        <v>70</v>
      </c>
      <c r="C75" s="19" t="inlineStr">
        <is>
          <t>Sidi Slimane</t>
        </is>
      </c>
      <c r="D75" s="20" t="inlineStr">
        <is>
          <t>OULED HCEINE</t>
        </is>
      </c>
      <c r="E75" s="18" t="inlineStr">
        <is>
          <t>40-21</t>
        </is>
      </c>
      <c r="F75" s="20" t="inlineStr">
        <is>
          <t>Travaux de pistes</t>
        </is>
      </c>
      <c r="G75" s="20" t="inlineStr">
        <is>
          <t>Travaux de réhabilitation des pistes agricoles</t>
        </is>
      </c>
      <c r="H75" s="20" t="inlineStr">
        <is>
          <t>Entretien des pistes agricoles</t>
        </is>
      </c>
      <c r="I75" s="21" t="n">
        <v>3500000</v>
      </c>
      <c r="J75" s="12" t="n"/>
      <c r="K75" s="12" t="n"/>
      <c r="L75" s="22">
        <f>IFERROR(K75-J75,"")</f>
        <v/>
      </c>
      <c r="M75" s="12" t="n"/>
      <c r="N75" s="12" t="n"/>
      <c r="O75" s="22">
        <f>IFERROR(N75-M75,"")</f>
        <v/>
      </c>
      <c r="P75" s="14" t="n"/>
      <c r="Q75" s="21">
        <f>IF(P75="","",I75-P75)</f>
        <v/>
      </c>
      <c r="R75" s="23">
        <f>IFERROR(P75/I75,"")</f>
        <v/>
      </c>
      <c r="S75" s="22">
        <f>IFERROR(K75-N75,"")</f>
        <v/>
      </c>
      <c r="T75" s="16" t="n"/>
      <c r="U75" s="17" t="n"/>
      <c r="V75" s="67" t="n"/>
      <c r="W75" s="67" t="n"/>
      <c r="X75" s="67" t="n"/>
      <c r="Y75" s="67" t="n"/>
      <c r="Z75" s="67" t="n"/>
      <c r="AA75" s="67" t="n"/>
      <c r="AB75" s="67" t="n"/>
    </row>
    <row r="76" ht="28" customHeight="1">
      <c r="B76" s="8" t="n">
        <v>71</v>
      </c>
      <c r="C76" s="9" t="inlineStr">
        <is>
          <t>Sidi Slimane</t>
        </is>
      </c>
      <c r="D76" s="10" t="inlineStr">
        <is>
          <t>OULED HCEINE</t>
        </is>
      </c>
      <c r="E76" s="8" t="inlineStr">
        <is>
          <t>50-21</t>
        </is>
      </c>
      <c r="F76" s="10" t="inlineStr">
        <is>
          <t>Entretien et réparation des stations de pompage</t>
        </is>
      </c>
      <c r="G76" s="10" t="inlineStr">
        <is>
          <t>Travaux de réparation des équipements hydromécaniques et éléctriques et entretien de la partie génie civil des stations de pompage.</t>
        </is>
      </c>
      <c r="H76" s="10"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6" s="11" t="n">
        <v>870000</v>
      </c>
      <c r="J76" s="12" t="n"/>
      <c r="K76" s="12" t="n"/>
      <c r="L76" s="13">
        <f>IFERROR(K76-J76,"")</f>
        <v/>
      </c>
      <c r="M76" s="12" t="n"/>
      <c r="N76" s="12" t="n"/>
      <c r="O76" s="13">
        <f>IFERROR(N76-M76,"")</f>
        <v/>
      </c>
      <c r="P76" s="14" t="n"/>
      <c r="Q76" s="11">
        <f>IF(P76="","",I76-P76)</f>
        <v/>
      </c>
      <c r="R76" s="15">
        <f>IFERROR(P76/I76,"")</f>
        <v/>
      </c>
      <c r="S76" s="13">
        <f>IFERROR(K76-N76,"")</f>
        <v/>
      </c>
      <c r="T76" s="16" t="n"/>
      <c r="U76" s="17" t="n"/>
      <c r="V76" s="67" t="n"/>
      <c r="W76" s="67" t="n"/>
      <c r="X76" s="67" t="n"/>
      <c r="Y76" s="67" t="n"/>
      <c r="Z76" s="67" t="n"/>
      <c r="AA76" s="67" t="n"/>
      <c r="AB76" s="67" t="n"/>
    </row>
    <row r="77" ht="28" customHeight="1">
      <c r="B77" s="18" t="n">
        <v>72</v>
      </c>
      <c r="C77" s="19" t="inlineStr">
        <is>
          <t>Sidi Slimane</t>
        </is>
      </c>
      <c r="D77" s="20" t="inlineStr">
        <is>
          <t>OULED HCEINE</t>
        </is>
      </c>
      <c r="E77" s="18" t="inlineStr">
        <is>
          <t>50-23</t>
        </is>
      </c>
      <c r="F77" s="20" t="inlineStr">
        <is>
          <t>Entretien et réparation du réseau d'assainissement et de drainage</t>
        </is>
      </c>
      <c r="G77" s="20" t="inlineStr">
        <is>
          <t>Travaux de curage des prises des stations de pompage.</t>
        </is>
      </c>
      <c r="H77" s="20" t="inlineStr">
        <is>
          <t>Curage des siphones des station de pompage EST2 et P11/2.</t>
        </is>
      </c>
      <c r="I77" s="21" t="n">
        <v>500000</v>
      </c>
      <c r="J77" s="12" t="n"/>
      <c r="K77" s="12" t="n"/>
      <c r="L77" s="22">
        <f>IFERROR(K77-J77,"")</f>
        <v/>
      </c>
      <c r="M77" s="12" t="n"/>
      <c r="N77" s="12" t="n"/>
      <c r="O77" s="22">
        <f>IFERROR(N77-M77,"")</f>
        <v/>
      </c>
      <c r="P77" s="14" t="n"/>
      <c r="Q77" s="21">
        <f>IF(P77="","",I77-P77)</f>
        <v/>
      </c>
      <c r="R77" s="23">
        <f>IFERROR(P77/I77,"")</f>
        <v/>
      </c>
      <c r="S77" s="22">
        <f>IFERROR(K77-N77,"")</f>
        <v/>
      </c>
      <c r="T77" s="16" t="n"/>
      <c r="U77" s="17" t="n"/>
      <c r="V77" s="67" t="n"/>
      <c r="W77" s="67" t="n"/>
      <c r="X77" s="67" t="n"/>
      <c r="Y77" s="67" t="n"/>
      <c r="Z77" s="67" t="n"/>
      <c r="AA77" s="67" t="n"/>
      <c r="AB77" s="67" t="n"/>
    </row>
    <row r="78">
      <c r="B78" s="24" t="inlineStr">
        <is>
          <t>TOTAL</t>
        </is>
      </c>
      <c r="C78" s="25" t="n"/>
      <c r="D78" s="25" t="n"/>
      <c r="E78" s="25" t="n"/>
      <c r="F78" s="25" t="n"/>
      <c r="G78" s="25" t="n"/>
      <c r="H78" s="25" t="n"/>
      <c r="I78" s="26">
        <f>SUM(I6:I77)</f>
        <v/>
      </c>
      <c r="J78" s="27">
        <f>IFERROR(AVERAGE(J6:J77),"")</f>
        <v/>
      </c>
      <c r="K78" s="27">
        <f>IFERROR(AVERAGE(K6:K77),"")</f>
        <v/>
      </c>
      <c r="L78" s="28">
        <f>IFERROR(AVERAGE(L6:L77),"")</f>
        <v/>
      </c>
      <c r="M78" s="27">
        <f>IFERROR(AVERAGE(M6:M77),"")</f>
        <v/>
      </c>
      <c r="N78" s="27">
        <f>IFERROR(AVERAGE(N6:N77),"")</f>
        <v/>
      </c>
      <c r="O78" s="28">
        <f>IFERROR(AVERAGE(O6:O77),"")</f>
        <v/>
      </c>
      <c r="P78" s="26">
        <f>SUM(P6:P77)</f>
        <v/>
      </c>
      <c r="Q78" s="26">
        <f>SUM(Q6:Q77)</f>
        <v/>
      </c>
      <c r="R78" s="29">
        <f>IFERROR(P78/I78,"")</f>
        <v/>
      </c>
      <c r="S78" s="28">
        <f>IFERROR(AVERAGE(S6:S77),"")</f>
        <v/>
      </c>
      <c r="T78" s="25" t="n"/>
      <c r="U78" s="25" t="n"/>
    </row>
  </sheetData>
  <autoFilter ref="B5:U77"/>
  <mergeCells count="5">
    <mergeCell ref="B3:G3"/>
    <mergeCell ref="P3:Q3"/>
    <mergeCell ref="H3:J3"/>
    <mergeCell ref="L3:N3"/>
    <mergeCell ref="B2:Q2"/>
  </mergeCells>
  <conditionalFormatting sqref="K6:K77">
    <cfRule type="cellIs" priority="1" operator="greaterThanOrEqual" dxfId="0">
      <formula>67</formula>
    </cfRule>
    <cfRule type="cellIs" priority="2" operator="between" dxfId="1">
      <formula>34</formula>
      <formula>66</formula>
    </cfRule>
    <cfRule type="cellIs" priority="3" operator="lessThanOrEqual" dxfId="2">
      <formula>33</formula>
    </cfRule>
  </conditionalFormatting>
  <conditionalFormatting sqref="N6:N77">
    <cfRule type="cellIs" priority="4" operator="greaterThanOrEqual" dxfId="0">
      <formula>67</formula>
    </cfRule>
    <cfRule type="cellIs" priority="5" operator="between" dxfId="1">
      <formula>34</formula>
      <formula>66</formula>
    </cfRule>
    <cfRule type="cellIs" priority="6" operator="lessThanOrEqual" dxfId="2">
      <formula>33</formula>
    </cfRule>
  </conditionalFormatting>
  <conditionalFormatting sqref="S6:S77">
    <cfRule type="cellIs" priority="7" operator="lessThan" dxfId="2">
      <formula>-15</formula>
    </cfRule>
  </conditionalFormatting>
  <conditionalFormatting sqref="L6:L77">
    <cfRule type="cellIs" priority="8" operator="lessThan" dxfId="2">
      <formula>0</formula>
    </cfRule>
  </conditionalFormatting>
  <conditionalFormatting sqref="O6:O77">
    <cfRule type="cellIs" priority="9" operator="lessThan" dxfId="2">
      <formula>0</formula>
    </cfRule>
  </conditionalFormatting>
  <conditionalFormatting sqref="T6:T77">
    <cfRule type="cellIs" priority="10" operator="equal" dxfId="0">
      <formula>"Terminé"</formula>
    </cfRule>
    <cfRule type="cellIs" priority="11" operator="equal" dxfId="1">
      <formula>"En cours"</formula>
    </cfRule>
    <cfRule type="cellIs" priority="12" operator="equal" dxfId="2">
      <formula>"Non démarré"</formula>
    </cfRule>
  </conditionalFormatting>
  <dataValidations count="3">
    <dataValidation sqref="C6:C77" showDropDown="0" showInputMessage="0" showErrorMessage="0" allowBlank="1" errorTitle="Province invalide" error="Choisir: Kénitra, Sidi Kacem ou Sidi Slimane" type="list">
      <formula1>"Kénitra,Sidi Kacem,Sidi Slimane"</formula1>
    </dataValidation>
    <dataValidation sqref="T6:T77" showDropDown="0" showInputMessage="0" showErrorMessage="0" allowBlank="1" errorTitle="Statut invalide" error="Choisir: Terminé, En cours ou Non démarré" type="list">
      <formula1>"Terminé,En cours,Non démarré"</formula1>
    </dataValidation>
    <dataValidation sqref="J6:J77 K6:K77 M6:M77 N6:N77" showDropDown="0" showInputMessage="0" showErrorMessage="0" allowBlank="0" errorTitle="Pourcentage invalide" error="Valeur entre 0 et 100%"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B2:L57"/>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 customWidth="1" min="2" max="2"/>
    <col width="18" customWidth="1" min="3" max="3"/>
    <col width="3"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2" ht="35" customHeight="1">
      <c r="B2" s="30" t="inlineStr">
        <is>
          <t>HISTORIQUE D'AVANCEMENT PAR SEMAINE — VUE D'ENSEMBLE (Juin–Décembre 2026)</t>
        </is>
      </c>
    </row>
    <row r="3">
      <c r="B3" s="31" t="inlineStr">
        <is>
          <t>Ce tableau permet de suivre l'évolution semaine par semaine de l'avancement global par province (Juin à Décembre 2026)</t>
        </is>
      </c>
    </row>
    <row r="5" ht="40" customHeight="1">
      <c r="B5" s="32" t="inlineStr">
        <is>
          <t>Semaine</t>
        </is>
      </c>
      <c r="C5" s="32" t="inlineStr">
        <is>
          <t>Période</t>
        </is>
      </c>
      <c r="D5" s="32" t="inlineStr"/>
      <c r="E5" s="32" t="inlineStr">
        <is>
          <t>Av. Phys. Kénitra (%)</t>
        </is>
      </c>
      <c r="F5" s="32" t="inlineStr">
        <is>
          <t>Av. Fin. Kénitra (%)</t>
        </is>
      </c>
      <c r="G5" s="32" t="inlineStr">
        <is>
          <t>Av. Phys. Sidi Kacem (%)</t>
        </is>
      </c>
      <c r="H5" s="32" t="inlineStr">
        <is>
          <t>Av. Fin. Sidi Kacem (%)</t>
        </is>
      </c>
      <c r="I5" s="32" t="inlineStr">
        <is>
          <t>Av. Phys. Sidi Slimane (%)</t>
        </is>
      </c>
      <c r="J5" s="32" t="inlineStr">
        <is>
          <t>Av. Fin. Sidi Slimane (%)</t>
        </is>
      </c>
      <c r="K5" s="32" t="inlineStr">
        <is>
          <t>Av. Phys. Global (%)</t>
        </is>
      </c>
      <c r="L5" s="32" t="inlineStr">
        <is>
          <t>Av. Fin. Global (%)</t>
        </is>
      </c>
    </row>
    <row r="6">
      <c r="B6" s="33" t="n">
        <v>23</v>
      </c>
      <c r="C6" s="34" t="inlineStr">
        <is>
          <t>01/06/2026 - 07/06/2026</t>
        </is>
      </c>
      <c r="D6" s="35" t="n"/>
      <c r="E6" s="12" t="n"/>
      <c r="F6" s="12" t="n"/>
      <c r="G6" s="12" t="n"/>
      <c r="H6" s="12" t="n"/>
      <c r="I6" s="12" t="n"/>
      <c r="J6" s="12" t="n"/>
      <c r="K6" s="12" t="n"/>
      <c r="L6" s="12" t="n"/>
    </row>
    <row r="7">
      <c r="B7" s="36" t="n">
        <v>24</v>
      </c>
      <c r="C7" s="34" t="inlineStr">
        <is>
          <t>08/06/2026 - 14/06/2026</t>
        </is>
      </c>
      <c r="D7" s="37" t="n"/>
      <c r="E7" s="12" t="n"/>
      <c r="F7" s="12" t="n"/>
      <c r="G7" s="12" t="n"/>
      <c r="H7" s="12" t="n"/>
      <c r="I7" s="12" t="n"/>
      <c r="J7" s="12" t="n"/>
      <c r="K7" s="12" t="n"/>
      <c r="L7" s="12" t="n"/>
    </row>
    <row r="8">
      <c r="B8" s="33" t="n">
        <v>25</v>
      </c>
      <c r="C8" s="34" t="inlineStr">
        <is>
          <t>15/06/2026 - 21/06/2026</t>
        </is>
      </c>
      <c r="D8" s="35" t="n"/>
      <c r="E8" s="12" t="n"/>
      <c r="F8" s="12" t="n"/>
      <c r="G8" s="12" t="n"/>
      <c r="H8" s="12" t="n"/>
      <c r="I8" s="12" t="n"/>
      <c r="J8" s="12" t="n"/>
      <c r="K8" s="12" t="n"/>
      <c r="L8" s="12" t="n"/>
    </row>
    <row r="9">
      <c r="B9" s="36" t="n">
        <v>26</v>
      </c>
      <c r="C9" s="34" t="inlineStr">
        <is>
          <t>22/06/2026 - 28/06/2026</t>
        </is>
      </c>
      <c r="D9" s="37" t="n"/>
      <c r="E9" s="12" t="n"/>
      <c r="F9" s="12" t="n"/>
      <c r="G9" s="12" t="n"/>
      <c r="H9" s="12" t="n"/>
      <c r="I9" s="12" t="n"/>
      <c r="J9" s="12" t="n"/>
      <c r="K9" s="12" t="n"/>
      <c r="L9" s="12" t="n"/>
    </row>
    <row r="10">
      <c r="B10" s="33" t="n">
        <v>27</v>
      </c>
      <c r="C10" s="34" t="inlineStr">
        <is>
          <t>29/06/2026 - 05/07/2026</t>
        </is>
      </c>
      <c r="D10" s="35" t="n"/>
      <c r="E10" s="12" t="n"/>
      <c r="F10" s="12" t="n"/>
      <c r="G10" s="12" t="n"/>
      <c r="H10" s="12" t="n"/>
      <c r="I10" s="12" t="n"/>
      <c r="J10" s="12" t="n"/>
      <c r="K10" s="12" t="n"/>
      <c r="L10" s="12" t="n"/>
    </row>
    <row r="11">
      <c r="B11" s="36" t="n">
        <v>28</v>
      </c>
      <c r="C11" s="34" t="inlineStr">
        <is>
          <t>06/07/2026 - 12/07/2026</t>
        </is>
      </c>
      <c r="D11" s="37" t="n"/>
      <c r="E11" s="12" t="n"/>
      <c r="F11" s="12" t="n"/>
      <c r="G11" s="12" t="n"/>
      <c r="H11" s="12" t="n"/>
      <c r="I11" s="12" t="n"/>
      <c r="J11" s="12" t="n"/>
      <c r="K11" s="12" t="n"/>
      <c r="L11" s="12" t="n"/>
    </row>
    <row r="12">
      <c r="B12" s="33" t="n">
        <v>29</v>
      </c>
      <c r="C12" s="34" t="inlineStr">
        <is>
          <t>13/07/2026 - 19/07/2026</t>
        </is>
      </c>
      <c r="D12" s="35" t="n"/>
      <c r="E12" s="12" t="n"/>
      <c r="F12" s="12" t="n"/>
      <c r="G12" s="12" t="n"/>
      <c r="H12" s="12" t="n"/>
      <c r="I12" s="12" t="n"/>
      <c r="J12" s="12" t="n"/>
      <c r="K12" s="12" t="n"/>
      <c r="L12" s="12" t="n"/>
    </row>
    <row r="13">
      <c r="B13" s="36" t="n">
        <v>30</v>
      </c>
      <c r="C13" s="34" t="inlineStr">
        <is>
          <t>20/07/2026 - 26/07/2026</t>
        </is>
      </c>
      <c r="D13" s="37" t="n"/>
      <c r="E13" s="12" t="n"/>
      <c r="F13" s="12" t="n"/>
      <c r="G13" s="12" t="n"/>
      <c r="H13" s="12" t="n"/>
      <c r="I13" s="12" t="n"/>
      <c r="J13" s="12" t="n"/>
      <c r="K13" s="12" t="n"/>
      <c r="L13" s="12" t="n"/>
    </row>
    <row r="14">
      <c r="B14" s="33" t="n">
        <v>31</v>
      </c>
      <c r="C14" s="34" t="inlineStr">
        <is>
          <t>27/07/2026 - 02/08/2026</t>
        </is>
      </c>
      <c r="D14" s="35" t="n"/>
      <c r="E14" s="12" t="n"/>
      <c r="F14" s="12" t="n"/>
      <c r="G14" s="12" t="n"/>
      <c r="H14" s="12" t="n"/>
      <c r="I14" s="12" t="n"/>
      <c r="J14" s="12" t="n"/>
      <c r="K14" s="12" t="n"/>
      <c r="L14" s="12" t="n"/>
    </row>
    <row r="15">
      <c r="B15" s="36" t="n">
        <v>32</v>
      </c>
      <c r="C15" s="34" t="inlineStr">
        <is>
          <t>03/08/2026 - 09/08/2026</t>
        </is>
      </c>
      <c r="D15" s="37" t="n"/>
      <c r="E15" s="12" t="n"/>
      <c r="F15" s="12" t="n"/>
      <c r="G15" s="12" t="n"/>
      <c r="H15" s="12" t="n"/>
      <c r="I15" s="12" t="n"/>
      <c r="J15" s="12" t="n"/>
      <c r="K15" s="12" t="n"/>
      <c r="L15" s="12" t="n"/>
    </row>
    <row r="16">
      <c r="B16" s="33" t="n">
        <v>33</v>
      </c>
      <c r="C16" s="34" t="inlineStr">
        <is>
          <t>10/08/2026 - 16/08/2026</t>
        </is>
      </c>
      <c r="D16" s="35" t="n"/>
      <c r="E16" s="12" t="n"/>
      <c r="F16" s="12" t="n"/>
      <c r="G16" s="12" t="n"/>
      <c r="H16" s="12" t="n"/>
      <c r="I16" s="12" t="n"/>
      <c r="J16" s="12" t="n"/>
      <c r="K16" s="12" t="n"/>
      <c r="L16" s="12" t="n"/>
    </row>
    <row r="17">
      <c r="B17" s="36" t="n">
        <v>34</v>
      </c>
      <c r="C17" s="34" t="inlineStr">
        <is>
          <t>17/08/2026 - 23/08/2026</t>
        </is>
      </c>
      <c r="D17" s="37" t="n"/>
      <c r="E17" s="12" t="n"/>
      <c r="F17" s="12" t="n"/>
      <c r="G17" s="12" t="n"/>
      <c r="H17" s="12" t="n"/>
      <c r="I17" s="12" t="n"/>
      <c r="J17" s="12" t="n"/>
      <c r="K17" s="12" t="n"/>
      <c r="L17" s="12" t="n"/>
    </row>
    <row r="18">
      <c r="B18" s="33" t="n">
        <v>35</v>
      </c>
      <c r="C18" s="34" t="inlineStr">
        <is>
          <t>24/08/2026 - 30/08/2026</t>
        </is>
      </c>
      <c r="D18" s="35" t="n"/>
      <c r="E18" s="12" t="n"/>
      <c r="F18" s="12" t="n"/>
      <c r="G18" s="12" t="n"/>
      <c r="H18" s="12" t="n"/>
      <c r="I18" s="12" t="n"/>
      <c r="J18" s="12" t="n"/>
      <c r="K18" s="12" t="n"/>
      <c r="L18" s="12" t="n"/>
    </row>
    <row r="19">
      <c r="B19" s="36" t="n">
        <v>36</v>
      </c>
      <c r="C19" s="34" t="inlineStr">
        <is>
          <t>31/08/2026 - 06/09/2026</t>
        </is>
      </c>
      <c r="D19" s="37" t="n"/>
      <c r="E19" s="12" t="n"/>
      <c r="F19" s="12" t="n"/>
      <c r="G19" s="12" t="n"/>
      <c r="H19" s="12" t="n"/>
      <c r="I19" s="12" t="n"/>
      <c r="J19" s="12" t="n"/>
      <c r="K19" s="12" t="n"/>
      <c r="L19" s="12" t="n"/>
    </row>
    <row r="20">
      <c r="B20" s="33" t="n">
        <v>37</v>
      </c>
      <c r="C20" s="34" t="inlineStr">
        <is>
          <t>07/09/2026 - 13/09/2026</t>
        </is>
      </c>
      <c r="D20" s="35" t="n"/>
      <c r="E20" s="12" t="n"/>
      <c r="F20" s="12" t="n"/>
      <c r="G20" s="12" t="n"/>
      <c r="H20" s="12" t="n"/>
      <c r="I20" s="12" t="n"/>
      <c r="J20" s="12" t="n"/>
      <c r="K20" s="12" t="n"/>
      <c r="L20" s="12" t="n"/>
    </row>
    <row r="21">
      <c r="B21" s="36" t="n">
        <v>38</v>
      </c>
      <c r="C21" s="34" t="inlineStr">
        <is>
          <t>14/09/2026 - 20/09/2026</t>
        </is>
      </c>
      <c r="D21" s="37" t="n"/>
      <c r="E21" s="12" t="n"/>
      <c r="F21" s="12" t="n"/>
      <c r="G21" s="12" t="n"/>
      <c r="H21" s="12" t="n"/>
      <c r="I21" s="12" t="n"/>
      <c r="J21" s="12" t="n"/>
      <c r="K21" s="12" t="n"/>
      <c r="L21" s="12" t="n"/>
    </row>
    <row r="22">
      <c r="B22" s="33" t="n">
        <v>39</v>
      </c>
      <c r="C22" s="34" t="inlineStr">
        <is>
          <t>21/09/2026 - 27/09/2026</t>
        </is>
      </c>
      <c r="D22" s="35" t="n"/>
      <c r="E22" s="12" t="n"/>
      <c r="F22" s="12" t="n"/>
      <c r="G22" s="12" t="n"/>
      <c r="H22" s="12" t="n"/>
      <c r="I22" s="12" t="n"/>
      <c r="J22" s="12" t="n"/>
      <c r="K22" s="12" t="n"/>
      <c r="L22" s="12" t="n"/>
    </row>
    <row r="23">
      <c r="B23" s="36" t="n">
        <v>40</v>
      </c>
      <c r="C23" s="34" t="inlineStr">
        <is>
          <t>28/09/2026 - 04/10/2026</t>
        </is>
      </c>
      <c r="D23" s="37" t="n"/>
      <c r="E23" s="12" t="n"/>
      <c r="F23" s="12" t="n"/>
      <c r="G23" s="12" t="n"/>
      <c r="H23" s="12" t="n"/>
      <c r="I23" s="12" t="n"/>
      <c r="J23" s="12" t="n"/>
      <c r="K23" s="12" t="n"/>
      <c r="L23" s="12" t="n"/>
    </row>
    <row r="24">
      <c r="B24" s="33" t="n">
        <v>41</v>
      </c>
      <c r="C24" s="34" t="inlineStr">
        <is>
          <t>05/10/2026 - 11/10/2026</t>
        </is>
      </c>
      <c r="D24" s="35" t="n"/>
      <c r="E24" s="12" t="n"/>
      <c r="F24" s="12" t="n"/>
      <c r="G24" s="12" t="n"/>
      <c r="H24" s="12" t="n"/>
      <c r="I24" s="12" t="n"/>
      <c r="J24" s="12" t="n"/>
      <c r="K24" s="12" t="n"/>
      <c r="L24" s="12" t="n"/>
    </row>
    <row r="25">
      <c r="B25" s="36" t="n">
        <v>42</v>
      </c>
      <c r="C25" s="34" t="inlineStr">
        <is>
          <t>12/10/2026 - 18/10/2026</t>
        </is>
      </c>
      <c r="D25" s="37" t="n"/>
      <c r="E25" s="12" t="n"/>
      <c r="F25" s="12" t="n"/>
      <c r="G25" s="12" t="n"/>
      <c r="H25" s="12" t="n"/>
      <c r="I25" s="12" t="n"/>
      <c r="J25" s="12" t="n"/>
      <c r="K25" s="12" t="n"/>
      <c r="L25" s="12" t="n"/>
    </row>
    <row r="26">
      <c r="B26" s="33" t="n">
        <v>43</v>
      </c>
      <c r="C26" s="34" t="inlineStr">
        <is>
          <t>19/10/2026 - 25/10/2026</t>
        </is>
      </c>
      <c r="D26" s="35" t="n"/>
      <c r="E26" s="12" t="n"/>
      <c r="F26" s="12" t="n"/>
      <c r="G26" s="12" t="n"/>
      <c r="H26" s="12" t="n"/>
      <c r="I26" s="12" t="n"/>
      <c r="J26" s="12" t="n"/>
      <c r="K26" s="12" t="n"/>
      <c r="L26" s="12" t="n"/>
    </row>
    <row r="27">
      <c r="B27" s="36" t="n">
        <v>44</v>
      </c>
      <c r="C27" s="34" t="inlineStr">
        <is>
          <t>26/10/2026 - 01/11/2026</t>
        </is>
      </c>
      <c r="D27" s="37" t="n"/>
      <c r="E27" s="12" t="n"/>
      <c r="F27" s="12" t="n"/>
      <c r="G27" s="12" t="n"/>
      <c r="H27" s="12" t="n"/>
      <c r="I27" s="12" t="n"/>
      <c r="J27" s="12" t="n"/>
      <c r="K27" s="12" t="n"/>
      <c r="L27" s="12" t="n"/>
    </row>
    <row r="28">
      <c r="B28" s="33" t="n">
        <v>45</v>
      </c>
      <c r="C28" s="34" t="inlineStr">
        <is>
          <t>02/11/2026 - 08/11/2026</t>
        </is>
      </c>
      <c r="D28" s="35" t="n"/>
      <c r="E28" s="12" t="n"/>
      <c r="F28" s="12" t="n"/>
      <c r="G28" s="12" t="n"/>
      <c r="H28" s="12" t="n"/>
      <c r="I28" s="12" t="n"/>
      <c r="J28" s="12" t="n"/>
      <c r="K28" s="12" t="n"/>
      <c r="L28" s="12" t="n"/>
    </row>
    <row r="29">
      <c r="B29" s="36" t="n">
        <v>46</v>
      </c>
      <c r="C29" s="34" t="inlineStr">
        <is>
          <t>09/11/2026 - 15/11/2026</t>
        </is>
      </c>
      <c r="D29" s="37" t="n"/>
      <c r="E29" s="12" t="n"/>
      <c r="F29" s="12" t="n"/>
      <c r="G29" s="12" t="n"/>
      <c r="H29" s="12" t="n"/>
      <c r="I29" s="12" t="n"/>
      <c r="J29" s="12" t="n"/>
      <c r="K29" s="12" t="n"/>
      <c r="L29" s="12" t="n"/>
    </row>
    <row r="30">
      <c r="B30" s="33" t="n">
        <v>47</v>
      </c>
      <c r="C30" s="34" t="inlineStr">
        <is>
          <t>16/11/2026 - 22/11/2026</t>
        </is>
      </c>
      <c r="D30" s="35" t="n"/>
      <c r="E30" s="12" t="n"/>
      <c r="F30" s="12" t="n"/>
      <c r="G30" s="12" t="n"/>
      <c r="H30" s="12" t="n"/>
      <c r="I30" s="12" t="n"/>
      <c r="J30" s="12" t="n"/>
      <c r="K30" s="12" t="n"/>
      <c r="L30" s="12" t="n"/>
    </row>
    <row r="31">
      <c r="B31" s="36" t="n">
        <v>48</v>
      </c>
      <c r="C31" s="34" t="inlineStr">
        <is>
          <t>23/11/2026 - 29/11/2026</t>
        </is>
      </c>
      <c r="D31" s="37" t="n"/>
      <c r="E31" s="12" t="n"/>
      <c r="F31" s="12" t="n"/>
      <c r="G31" s="12" t="n"/>
      <c r="H31" s="12" t="n"/>
      <c r="I31" s="12" t="n"/>
      <c r="J31" s="12" t="n"/>
      <c r="K31" s="12" t="n"/>
      <c r="L31" s="12" t="n"/>
    </row>
    <row r="32">
      <c r="B32" s="33" t="n">
        <v>49</v>
      </c>
      <c r="C32" s="34" t="inlineStr">
        <is>
          <t>30/11/2026 - 06/12/2026</t>
        </is>
      </c>
      <c r="D32" s="35" t="n"/>
      <c r="E32" s="12" t="n"/>
      <c r="F32" s="12" t="n"/>
      <c r="G32" s="12" t="n"/>
      <c r="H32" s="12" t="n"/>
      <c r="I32" s="12" t="n"/>
      <c r="J32" s="12" t="n"/>
      <c r="K32" s="12" t="n"/>
      <c r="L32" s="12" t="n"/>
    </row>
    <row r="33">
      <c r="B33" s="36" t="n">
        <v>50</v>
      </c>
      <c r="C33" s="34" t="inlineStr">
        <is>
          <t>07/12/2026 - 13/12/2026</t>
        </is>
      </c>
      <c r="D33" s="37" t="n"/>
      <c r="E33" s="12" t="n"/>
      <c r="F33" s="12" t="n"/>
      <c r="G33" s="12" t="n"/>
      <c r="H33" s="12" t="n"/>
      <c r="I33" s="12" t="n"/>
      <c r="J33" s="12" t="n"/>
      <c r="K33" s="12" t="n"/>
      <c r="L33" s="12" t="n"/>
    </row>
    <row r="34">
      <c r="B34" s="33" t="n">
        <v>51</v>
      </c>
      <c r="C34" s="34" t="inlineStr">
        <is>
          <t>14/12/2026 - 20/12/2026</t>
        </is>
      </c>
      <c r="D34" s="35" t="n"/>
      <c r="E34" s="12" t="n"/>
      <c r="F34" s="12" t="n"/>
      <c r="G34" s="12" t="n"/>
      <c r="H34" s="12" t="n"/>
      <c r="I34" s="12" t="n"/>
      <c r="J34" s="12" t="n"/>
      <c r="K34" s="12" t="n"/>
      <c r="L34" s="12" t="n"/>
    </row>
    <row r="35">
      <c r="B35" s="36" t="n">
        <v>52</v>
      </c>
      <c r="C35" s="34" t="inlineStr">
        <is>
          <t>21/12/2026 - 27/12/2026</t>
        </is>
      </c>
      <c r="D35" s="37" t="n"/>
      <c r="E35" s="12" t="n"/>
      <c r="F35" s="12" t="n"/>
      <c r="G35" s="12" t="n"/>
      <c r="H35" s="12" t="n"/>
      <c r="I35" s="12" t="n"/>
      <c r="J35" s="12" t="n"/>
      <c r="K35" s="12" t="n"/>
      <c r="L35" s="12" t="n"/>
    </row>
    <row r="36">
      <c r="B36" s="33" t="n">
        <v>53</v>
      </c>
      <c r="C36" s="34" t="inlineStr">
        <is>
          <t>28/12/2026 - 03/01/2027</t>
        </is>
      </c>
      <c r="D36" s="35" t="n"/>
      <c r="E36" s="12" t="n"/>
      <c r="F36" s="12" t="n"/>
      <c r="G36" s="12" t="n"/>
      <c r="H36" s="12" t="n"/>
      <c r="I36" s="12" t="n"/>
      <c r="J36" s="12" t="n"/>
      <c r="K36" s="12" t="n"/>
      <c r="L36" s="12" t="n"/>
    </row>
    <row r="37">
      <c r="B37" s="36" t="n"/>
      <c r="C37" s="34" t="n"/>
      <c r="D37" s="37" t="n"/>
      <c r="E37" s="12" t="n"/>
      <c r="F37" s="12" t="n"/>
      <c r="G37" s="12" t="n"/>
      <c r="H37" s="12" t="n"/>
      <c r="I37" s="12" t="n"/>
      <c r="J37" s="12" t="n"/>
      <c r="K37" s="12" t="n"/>
      <c r="L37" s="12" t="n"/>
    </row>
    <row r="38">
      <c r="B38" s="33" t="n"/>
      <c r="C38" s="34" t="n"/>
      <c r="D38" s="35" t="n"/>
      <c r="E38" s="12" t="n"/>
      <c r="F38" s="12" t="n"/>
      <c r="G38" s="12" t="n"/>
      <c r="H38" s="12" t="n"/>
      <c r="I38" s="12" t="n"/>
      <c r="J38" s="12" t="n"/>
      <c r="K38" s="12" t="n"/>
      <c r="L38" s="12" t="n"/>
    </row>
    <row r="39">
      <c r="B39" s="36" t="n"/>
      <c r="C39" s="34" t="n"/>
      <c r="D39" s="37" t="n"/>
      <c r="E39" s="12" t="n"/>
      <c r="F39" s="12" t="n"/>
      <c r="G39" s="12" t="n"/>
      <c r="H39" s="12" t="n"/>
      <c r="I39" s="12" t="n"/>
      <c r="J39" s="12" t="n"/>
      <c r="K39" s="12" t="n"/>
      <c r="L39" s="12" t="n"/>
    </row>
    <row r="40">
      <c r="B40" s="33" t="n"/>
      <c r="C40" s="34" t="n"/>
      <c r="D40" s="35" t="n"/>
      <c r="E40" s="12" t="n"/>
      <c r="F40" s="12" t="n"/>
      <c r="G40" s="12" t="n"/>
      <c r="H40" s="12" t="n"/>
      <c r="I40" s="12" t="n"/>
      <c r="J40" s="12" t="n"/>
      <c r="K40" s="12" t="n"/>
      <c r="L40" s="12" t="n"/>
    </row>
    <row r="41">
      <c r="B41" s="36" t="n"/>
      <c r="C41" s="34" t="n"/>
      <c r="D41" s="37" t="n"/>
      <c r="E41" s="12" t="n"/>
      <c r="F41" s="12" t="n"/>
      <c r="G41" s="12" t="n"/>
      <c r="H41" s="12" t="n"/>
      <c r="I41" s="12" t="n"/>
      <c r="J41" s="12" t="n"/>
      <c r="K41" s="12" t="n"/>
      <c r="L41" s="12" t="n"/>
    </row>
    <row r="42">
      <c r="B42" s="33" t="n"/>
      <c r="C42" s="34" t="n"/>
      <c r="D42" s="35" t="n"/>
      <c r="E42" s="12" t="n"/>
      <c r="F42" s="12" t="n"/>
      <c r="G42" s="12" t="n"/>
      <c r="H42" s="12" t="n"/>
      <c r="I42" s="12" t="n"/>
      <c r="J42" s="12" t="n"/>
      <c r="K42" s="12" t="n"/>
      <c r="L42" s="12" t="n"/>
    </row>
    <row r="43">
      <c r="B43" s="36" t="n"/>
      <c r="C43" s="34" t="n"/>
      <c r="D43" s="37" t="n"/>
      <c r="E43" s="12" t="n"/>
      <c r="F43" s="12" t="n"/>
      <c r="G43" s="12" t="n"/>
      <c r="H43" s="12" t="n"/>
      <c r="I43" s="12" t="n"/>
      <c r="J43" s="12" t="n"/>
      <c r="K43" s="12" t="n"/>
      <c r="L43" s="12" t="n"/>
    </row>
    <row r="44">
      <c r="B44" s="33" t="n"/>
      <c r="C44" s="34" t="n"/>
      <c r="D44" s="35" t="n"/>
      <c r="E44" s="12" t="n"/>
      <c r="F44" s="12" t="n"/>
      <c r="G44" s="12" t="n"/>
      <c r="H44" s="12" t="n"/>
      <c r="I44" s="12" t="n"/>
      <c r="J44" s="12" t="n"/>
      <c r="K44" s="12" t="n"/>
      <c r="L44" s="12" t="n"/>
    </row>
    <row r="45">
      <c r="B45" s="36" t="n"/>
      <c r="C45" s="34" t="n"/>
      <c r="D45" s="37" t="n"/>
      <c r="E45" s="12" t="n"/>
      <c r="F45" s="12" t="n"/>
      <c r="G45" s="12" t="n"/>
      <c r="H45" s="12" t="n"/>
      <c r="I45" s="12" t="n"/>
      <c r="J45" s="12" t="n"/>
      <c r="K45" s="12" t="n"/>
      <c r="L45" s="12" t="n"/>
    </row>
    <row r="46">
      <c r="B46" s="33" t="n"/>
      <c r="C46" s="34" t="n"/>
      <c r="D46" s="35" t="n"/>
      <c r="E46" s="12" t="n"/>
      <c r="F46" s="12" t="n"/>
      <c r="G46" s="12" t="n"/>
      <c r="H46" s="12" t="n"/>
      <c r="I46" s="12" t="n"/>
      <c r="J46" s="12" t="n"/>
      <c r="K46" s="12" t="n"/>
      <c r="L46" s="12" t="n"/>
    </row>
    <row r="47">
      <c r="B47" s="36" t="n"/>
      <c r="C47" s="34" t="n"/>
      <c r="D47" s="37" t="n"/>
      <c r="E47" s="12" t="n"/>
      <c r="F47" s="12" t="n"/>
      <c r="G47" s="12" t="n"/>
      <c r="H47" s="12" t="n"/>
      <c r="I47" s="12" t="n"/>
      <c r="J47" s="12" t="n"/>
      <c r="K47" s="12" t="n"/>
      <c r="L47" s="12" t="n"/>
    </row>
    <row r="48">
      <c r="B48" s="33" t="n"/>
      <c r="C48" s="34" t="n"/>
      <c r="D48" s="35" t="n"/>
      <c r="E48" s="12" t="n"/>
      <c r="F48" s="12" t="n"/>
      <c r="G48" s="12" t="n"/>
      <c r="H48" s="12" t="n"/>
      <c r="I48" s="12" t="n"/>
      <c r="J48" s="12" t="n"/>
      <c r="K48" s="12" t="n"/>
      <c r="L48" s="12" t="n"/>
    </row>
    <row r="49">
      <c r="B49" s="36" t="n"/>
      <c r="C49" s="34" t="n"/>
      <c r="D49" s="37" t="n"/>
      <c r="E49" s="12" t="n"/>
      <c r="F49" s="12" t="n"/>
      <c r="G49" s="12" t="n"/>
      <c r="H49" s="12" t="n"/>
      <c r="I49" s="12" t="n"/>
      <c r="J49" s="12" t="n"/>
      <c r="K49" s="12" t="n"/>
      <c r="L49" s="12" t="n"/>
    </row>
    <row r="50">
      <c r="B50" s="33" t="n"/>
      <c r="C50" s="34" t="n"/>
      <c r="D50" s="35" t="n"/>
      <c r="E50" s="12" t="n"/>
      <c r="F50" s="12" t="n"/>
      <c r="G50" s="12" t="n"/>
      <c r="H50" s="12" t="n"/>
      <c r="I50" s="12" t="n"/>
      <c r="J50" s="12" t="n"/>
      <c r="K50" s="12" t="n"/>
      <c r="L50" s="12" t="n"/>
    </row>
    <row r="51">
      <c r="B51" s="36" t="n"/>
      <c r="C51" s="34" t="n"/>
      <c r="D51" s="37" t="n"/>
      <c r="E51" s="12" t="n"/>
      <c r="F51" s="12" t="n"/>
      <c r="G51" s="12" t="n"/>
      <c r="H51" s="12" t="n"/>
      <c r="I51" s="12" t="n"/>
      <c r="J51" s="12" t="n"/>
      <c r="K51" s="12" t="n"/>
      <c r="L51" s="12" t="n"/>
    </row>
    <row r="52">
      <c r="B52" s="33" t="n"/>
      <c r="C52" s="34" t="n"/>
      <c r="D52" s="35" t="n"/>
      <c r="E52" s="12" t="n"/>
      <c r="F52" s="12" t="n"/>
      <c r="G52" s="12" t="n"/>
      <c r="H52" s="12" t="n"/>
      <c r="I52" s="12" t="n"/>
      <c r="J52" s="12" t="n"/>
      <c r="K52" s="12" t="n"/>
      <c r="L52" s="12" t="n"/>
    </row>
    <row r="53">
      <c r="B53" s="36" t="n"/>
      <c r="C53" s="34" t="n"/>
      <c r="D53" s="37" t="n"/>
      <c r="E53" s="12" t="n"/>
      <c r="F53" s="12" t="n"/>
      <c r="G53" s="12" t="n"/>
      <c r="H53" s="12" t="n"/>
      <c r="I53" s="12" t="n"/>
      <c r="J53" s="12" t="n"/>
      <c r="K53" s="12" t="n"/>
      <c r="L53" s="12" t="n"/>
    </row>
    <row r="54">
      <c r="B54" s="33" t="n"/>
      <c r="C54" s="34" t="n"/>
      <c r="D54" s="35" t="n"/>
      <c r="E54" s="12" t="n"/>
      <c r="F54" s="12" t="n"/>
      <c r="G54" s="12" t="n"/>
      <c r="H54" s="12" t="n"/>
      <c r="I54" s="12" t="n"/>
      <c r="J54" s="12" t="n"/>
      <c r="K54" s="12" t="n"/>
      <c r="L54" s="12" t="n"/>
    </row>
    <row r="55">
      <c r="B55" s="36" t="n"/>
      <c r="C55" s="34" t="n"/>
      <c r="D55" s="37" t="n"/>
      <c r="E55" s="12" t="n"/>
      <c r="F55" s="12" t="n"/>
      <c r="G55" s="12" t="n"/>
      <c r="H55" s="12" t="n"/>
      <c r="I55" s="12" t="n"/>
      <c r="J55" s="12" t="n"/>
      <c r="K55" s="12" t="n"/>
      <c r="L55" s="12" t="n"/>
    </row>
    <row r="56">
      <c r="B56" s="33" t="n"/>
      <c r="C56" s="34" t="n"/>
      <c r="D56" s="35" t="n"/>
      <c r="E56" s="12" t="n"/>
      <c r="F56" s="12" t="n"/>
      <c r="G56" s="12" t="n"/>
      <c r="H56" s="12" t="n"/>
      <c r="I56" s="12" t="n"/>
      <c r="J56" s="12" t="n"/>
      <c r="K56" s="12" t="n"/>
      <c r="L56" s="12" t="n"/>
    </row>
    <row r="57">
      <c r="B57" s="36" t="n"/>
      <c r="C57" s="34" t="n"/>
      <c r="D57" s="37" t="n"/>
      <c r="E57" s="12" t="n"/>
      <c r="F57" s="12" t="n"/>
      <c r="G57" s="12" t="n"/>
      <c r="H57" s="12" t="n"/>
      <c r="I57" s="12" t="n"/>
      <c r="J57" s="12" t="n"/>
      <c r="K57" s="12" t="n"/>
      <c r="L57" s="12" t="n"/>
    </row>
  </sheetData>
  <mergeCells count="2">
    <mergeCell ref="B2:L2"/>
    <mergeCell ref="B3:L3"/>
  </mergeCells>
  <pageMargins left="0.75" right="0.75" top="1" bottom="1" header="0.5" footer="0.5"/>
</worksheet>
</file>

<file path=xl/worksheets/sheet3.xml><?xml version="1.0" encoding="utf-8"?>
<worksheet xmlns="http://schemas.openxmlformats.org/spreadsheetml/2006/main">
  <sheetPr>
    <tabColor rgb="00F57F17"/>
    <outlinePr summaryBelow="1" summaryRight="1"/>
    <pageSetUpPr/>
  </sheetPr>
  <dimension ref="B2:K8"/>
  <sheetViews>
    <sheetView workbookViewId="0">
      <selection activeCell="A1" sqref="A1"/>
    </sheetView>
  </sheetViews>
  <sheetFormatPr baseColWidth="8" defaultRowHeight="15"/>
  <cols>
    <col width="18" customWidth="1" min="2" max="2"/>
    <col width="12" customWidth="1" min="3" max="3"/>
    <col width="14" customWidth="1" min="4" max="4"/>
    <col width="18" customWidth="1" min="5" max="5"/>
    <col width="18" customWidth="1" min="6" max="6"/>
    <col width="18" customWidth="1" min="7" max="7"/>
    <col width="16" customWidth="1" min="8" max="8"/>
    <col width="16" customWidth="1" min="9" max="9"/>
    <col width="16" customWidth="1" min="10" max="10"/>
    <col width="14" customWidth="1" min="11" max="11"/>
  </cols>
  <sheetData>
    <row r="2" ht="35" customHeight="1">
      <c r="B2" s="38" t="inlineStr">
        <is>
          <t>RÉCAPITULATIF PAR PROVINCE — SEMAINE EN COURS (Juin–Décembre 2026)</t>
        </is>
      </c>
    </row>
    <row r="4" ht="35" customHeight="1">
      <c r="B4" s="39" t="inlineStr">
        <is>
          <t>Province</t>
        </is>
      </c>
      <c r="C4" s="39" t="inlineStr">
        <is>
          <t>Nb Projets</t>
        </is>
      </c>
      <c r="D4" s="39" t="inlineStr">
        <is>
          <t>Nb Communes</t>
        </is>
      </c>
      <c r="E4" s="39" t="inlineStr">
        <is>
          <t>Budget Total (DH)</t>
        </is>
      </c>
      <c r="F4" s="39" t="inlineStr">
        <is>
          <t>Montant Décaissé (DH)</t>
        </is>
      </c>
      <c r="G4" s="39" t="inlineStr">
        <is>
          <t>Reste à Décaisser (DH)</t>
        </is>
      </c>
      <c r="H4" s="39" t="inlineStr">
        <is>
          <t>Taux Décaissement (%)</t>
        </is>
      </c>
      <c r="I4" s="39" t="inlineStr">
        <is>
          <t>Av. Physique (%)</t>
        </is>
      </c>
      <c r="J4" s="39" t="inlineStr">
        <is>
          <t>Av. Financier (%)</t>
        </is>
      </c>
      <c r="K4" s="39" t="inlineStr">
        <is>
          <t>Écart Phys.-Fin. (pts)</t>
        </is>
      </c>
    </row>
    <row r="5">
      <c r="B5" s="40" t="inlineStr">
        <is>
          <t>Kénitra</t>
        </is>
      </c>
      <c r="C5" s="41">
        <f>COUNTIF('Suivi Hebdomadaire'!C6:C77,B5)</f>
        <v/>
      </c>
      <c r="D5" s="41">
        <f>SUMPRODUCT(('Suivi Hebdomadaire'!C6:C77=B5)*1/COUNTIF('Suivi Hebdomadaire'!D6:D77,'Suivi Hebdomadaire'!D6:D77))</f>
        <v/>
      </c>
      <c r="E5" s="42">
        <f>SUMIF('Suivi Hebdomadaire'!C6:C77,B5,'Suivi Hebdomadaire'!I6:I77)</f>
        <v/>
      </c>
      <c r="F5" s="42">
        <f>SUMIF('Suivi Hebdomadaire'!C6:C77,B5,'Suivi Hebdomadaire'!P6:P77)</f>
        <v/>
      </c>
      <c r="G5" s="42">
        <f>E5-F5</f>
        <v/>
      </c>
      <c r="H5" s="43">
        <f>IFERROR(F5/E5,0)</f>
        <v/>
      </c>
      <c r="I5" s="44">
        <f>IFERROR(AVERAGEIF('Suivi Hebdomadaire'!C6:C77,B5,'Suivi Hebdomadaire'!K6:K77),0)</f>
        <v/>
      </c>
      <c r="J5" s="44">
        <f>IFERROR(AVERAGEIF('Suivi Hebdomadaire'!C6:C77,B5,'Suivi Hebdomadaire'!N6:N77),0)</f>
        <v/>
      </c>
      <c r="K5" s="45">
        <f>IFERROR(I5-J5,0)</f>
        <v/>
      </c>
    </row>
    <row r="6">
      <c r="B6" s="46" t="inlineStr">
        <is>
          <t>Sidi Kacem</t>
        </is>
      </c>
      <c r="C6" s="47">
        <f>COUNTIF('Suivi Hebdomadaire'!C6:C77,B6)</f>
        <v/>
      </c>
      <c r="D6" s="47">
        <f>SUMPRODUCT(('Suivi Hebdomadaire'!C6:C77=B6)*1/COUNTIF('Suivi Hebdomadaire'!D6:D77,'Suivi Hebdomadaire'!D6:D77))</f>
        <v/>
      </c>
      <c r="E6" s="48">
        <f>SUMIF('Suivi Hebdomadaire'!C6:C77,B6,'Suivi Hebdomadaire'!I6:I77)</f>
        <v/>
      </c>
      <c r="F6" s="48">
        <f>SUMIF('Suivi Hebdomadaire'!C6:C77,B6,'Suivi Hebdomadaire'!P6:P77)</f>
        <v/>
      </c>
      <c r="G6" s="48">
        <f>E6-F6</f>
        <v/>
      </c>
      <c r="H6" s="49">
        <f>IFERROR(F6/E6,0)</f>
        <v/>
      </c>
      <c r="I6" s="50">
        <f>IFERROR(AVERAGEIF('Suivi Hebdomadaire'!C6:C77,B6,'Suivi Hebdomadaire'!K6:K77),0)</f>
        <v/>
      </c>
      <c r="J6" s="50">
        <f>IFERROR(AVERAGEIF('Suivi Hebdomadaire'!C6:C77,B6,'Suivi Hebdomadaire'!N6:N77),0)</f>
        <v/>
      </c>
      <c r="K6" s="51">
        <f>IFERROR(I6-J6,0)</f>
        <v/>
      </c>
    </row>
    <row r="7">
      <c r="B7" s="52" t="inlineStr">
        <is>
          <t>Sidi Slimane</t>
        </is>
      </c>
      <c r="C7" s="8">
        <f>COUNTIF('Suivi Hebdomadaire'!C6:C77,B7)</f>
        <v/>
      </c>
      <c r="D7" s="8">
        <f>SUMPRODUCT(('Suivi Hebdomadaire'!C6:C77=B7)*1/COUNTIF('Suivi Hebdomadaire'!D6:D77,'Suivi Hebdomadaire'!D6:D77))</f>
        <v/>
      </c>
      <c r="E7" s="11">
        <f>SUMIF('Suivi Hebdomadaire'!C6:C77,B7,'Suivi Hebdomadaire'!I6:I77)</f>
        <v/>
      </c>
      <c r="F7" s="11">
        <f>SUMIF('Suivi Hebdomadaire'!C6:C77,B7,'Suivi Hebdomadaire'!P6:P77)</f>
        <v/>
      </c>
      <c r="G7" s="11">
        <f>E7-F7</f>
        <v/>
      </c>
      <c r="H7" s="15">
        <f>IFERROR(F7/E7,0)</f>
        <v/>
      </c>
      <c r="I7" s="53">
        <f>IFERROR(AVERAGEIF('Suivi Hebdomadaire'!C6:C77,B7,'Suivi Hebdomadaire'!K6:K77),0)</f>
        <v/>
      </c>
      <c r="J7" s="53">
        <f>IFERROR(AVERAGEIF('Suivi Hebdomadaire'!C6:C77,B7,'Suivi Hebdomadaire'!N6:N77),0)</f>
        <v/>
      </c>
      <c r="K7" s="13">
        <f>IFERROR(I7-J7,0)</f>
        <v/>
      </c>
    </row>
    <row r="8">
      <c r="B8" s="54" t="inlineStr">
        <is>
          <t>TOTAL</t>
        </is>
      </c>
      <c r="C8" s="55">
        <f>SUM(C5:C7)</f>
        <v/>
      </c>
      <c r="D8" s="55">
        <f>SUM(D5:D7)</f>
        <v/>
      </c>
      <c r="E8" s="56">
        <f>SUM(E5:E7)</f>
        <v/>
      </c>
      <c r="F8" s="56">
        <f>SUM(F5:F7)</f>
        <v/>
      </c>
      <c r="G8" s="56">
        <f>SUM(G5:G7)</f>
        <v/>
      </c>
      <c r="H8" s="57">
        <f>IFERROR(F8/E8,0)</f>
        <v/>
      </c>
      <c r="I8" s="58">
        <f>IFERROR(AVERAGE(I5:I7),0)</f>
        <v/>
      </c>
      <c r="J8" s="58">
        <f>IFERROR(AVERAGE(J5:J7),0)</f>
        <v/>
      </c>
      <c r="K8" s="59">
        <f>IFERROR(I8-J8,0)</f>
        <v/>
      </c>
    </row>
  </sheetData>
  <mergeCells count="1">
    <mergeCell ref="B2:K2"/>
  </mergeCells>
  <pageMargins left="0.75" right="0.75" top="1" bottom="1" header="0.5" footer="0.5"/>
</worksheet>
</file>

<file path=xl/worksheets/sheet4.xml><?xml version="1.0" encoding="utf-8"?>
<worksheet xmlns="http://schemas.openxmlformats.org/spreadsheetml/2006/main">
  <sheetPr>
    <tabColor rgb="00757575"/>
    <outlinePr summaryBelow="1" summaryRight="1"/>
    <pageSetUpPr/>
  </sheetPr>
  <dimension ref="A1:H28"/>
  <sheetViews>
    <sheetView workbookViewId="0">
      <selection activeCell="A1" sqref="A1"/>
    </sheetView>
  </sheetViews>
  <sheetFormatPr baseColWidth="8" defaultRowHeight="15"/>
  <cols>
    <col width="30" customWidth="1" min="2" max="2"/>
    <col width="80" customWidth="1" min="3" max="3"/>
  </cols>
  <sheetData>
    <row r="1"/>
    <row r="2" ht="35" customHeight="1">
      <c r="B2" s="60" t="inlineStr">
        <is>
          <t>MODE D'EMPLOI — SUIVI HEBDOMADAIRE</t>
        </is>
      </c>
    </row>
    <row r="3"/>
    <row r="4">
      <c r="B4" s="61" t="inlineStr">
        <is>
          <t>OBJECTIF</t>
        </is>
      </c>
      <c r="C4" s="62" t="inlineStr">
        <is>
          <t>Ce fichier permet d'assurer un suivi hebdomadaire (Juin à Décembre 2026) de l'exécution physique et financière des 72 projets de lutte contre les inondations dans la région du Gharb.</t>
        </is>
      </c>
    </row>
    <row r="5"/>
    <row r="6">
      <c r="B6" s="63" t="inlineStr">
        <is>
          <t>FEUILLE 1 : SUIVI HEBDOMADAIRE</t>
        </is>
      </c>
    </row>
    <row r="7">
      <c r="B7" s="61" t="inlineStr">
        <is>
          <t>Colonnes à remplir (jaune)</t>
        </is>
      </c>
      <c r="C7" s="62" t="inlineStr">
        <is>
          <t>• Semaine N° (cellule K3), Date début (O3), Date fin (Q3)
• Avancement Physique Sem. Préc. (col J) : valeur de la semaine précédente
• Avancement Physique Sem. Act. (col K) : valeur actuelle
• Avancement Financier Sem. Préc. (col M) : valeur de la semaine précédente
• Avancement Financier Sem. Act. (col N) : valeur actuelle
• Montant Décaissé Cumulé (col P) : montant total décaissé à ce jour
• Statut (col T) : Terminé / En cours / Non démarré
• Observations (col U) : remarques éventuelles</t>
        </is>
      </c>
    </row>
    <row r="8">
      <c r="B8" s="61" t="inlineStr">
        <is>
          <t>Colonnes calculées (auto)</t>
        </is>
      </c>
      <c r="C8" s="62" t="inlineStr">
        <is>
          <t>• Δ Phys (col L) = Sem. Act. - Sem. Préc. → progression hebdomadaire
• Δ Fin (col O) = Sem. Act. - Sem. Préc. → progression hebdomadaire
• Reste à Décaisser (col Q) = Budget - Décaissé
• Taux Décaissement (col R) = Décaissé / Budget
• Écart Phys.-Fin. (col S) = Av. Physique - Av. Financier</t>
        </is>
      </c>
    </row>
    <row r="9">
      <c r="B9" s="61" t="inlineStr">
        <is>
          <t>Code couleur conditionnel</t>
        </is>
      </c>
      <c r="C9" s="62" t="inlineStr">
        <is>
          <t>• Vert : Avancement ≥ 67%
• Orange/Jaune : Avancement entre 34% et 66%
• Rouge : Avancement ≤ 33%
• Écart &lt; -15 pts : alerte rouge (retard physique important)
• Δ négatif : régression (en rouge)</t>
        </is>
      </c>
    </row>
    <row r="10"/>
    <row r="11">
      <c r="B11" s="63" t="inlineStr">
        <is>
          <t>FEUILLE 2 : HISTORIQUE HEBDOMADAIRE</t>
        </is>
      </c>
    </row>
    <row r="12">
      <c r="B12" s="61" t="inlineStr">
        <is>
          <t>Utilisation</t>
        </is>
      </c>
      <c r="C12" s="62" t="inlineStr">
        <is>
          <t>Saisir chaque semaine les avancements moyens par province dans cette feuille. Cela permet de :
• Visualiser la courbe d'avancement sur l'année
• Détecter les ralentissements
• Comparer les provinces entre elles
• Préparer les rapports mensuels et trimestriels</t>
        </is>
      </c>
    </row>
    <row r="13">
      <c r="B13" s="61" t="inlineStr">
        <is>
          <t>Colonnes</t>
        </is>
      </c>
      <c r="C13" s="62" t="inlineStr">
        <is>
          <t>• Semaine (numéro 1-52)
• Période (date de début de semaine)
• Av. Physique et Financier par province et global</t>
        </is>
      </c>
    </row>
    <row r="14"/>
    <row r="15">
      <c r="B15" s="63" t="inlineStr">
        <is>
          <t>FEUILLE 3 : RÉCAPITULATIF PAR PROVINCE</t>
        </is>
      </c>
    </row>
    <row r="16">
      <c r="B16" s="61" t="inlineStr">
        <is>
          <t>Utilisation</t>
        </is>
      </c>
      <c r="C16" s="62" t="inlineStr">
        <is>
          <t>Se met à jour automatiquement à partir de la Feuille 1. Affiche :
• Nombre de projets et communes par province
• Budget total, décaissé et reste à décaisser
• Taux de décaissement
• Avancement physique et financier moyen
• Écart physique-financier</t>
        </is>
      </c>
    </row>
    <row r="17"/>
    <row r="18">
      <c r="B18" s="63" t="inlineStr">
        <is>
          <t>WORKFLOW HEBDOMADAIRE RECOMMANDÉ</t>
        </is>
      </c>
    </row>
    <row r="19">
      <c r="B19" s="61" t="inlineStr">
        <is>
          <t>Étape 1</t>
        </is>
      </c>
      <c r="C19" s="62" t="inlineStr">
        <is>
          <t>Ouvrir le fichier et saisir le numéro de semaine et les dates en haut de la Feuille 1</t>
        </is>
      </c>
    </row>
    <row r="20">
      <c r="B20" s="61" t="inlineStr">
        <is>
          <t>Étape 2</t>
        </is>
      </c>
      <c r="C20" s="62" t="inlineStr">
        <is>
          <t>Recopier les valeurs de 'Sem. Act.' de la semaine précédente dans les colonnes + 7 colonnes consultation 'Sem. Préc.' (J et M)</t>
        </is>
      </c>
    </row>
    <row r="21">
      <c r="B21" s="61" t="inlineStr">
        <is>
          <t>Étape 3</t>
        </is>
      </c>
      <c r="C21" s="62" t="inlineStr">
        <is>
          <t>Saisir les nouvelles valeurs d'avancement physique et financier dans les colonnes + 7 colonnes consultation 'Sem. Act.' (K et N)</t>
        </is>
      </c>
    </row>
    <row r="22">
      <c r="B22" s="61" t="inlineStr">
        <is>
          <t>Étape 4</t>
        </is>
      </c>
      <c r="C22" s="62" t="inlineStr">
        <is>
          <t>Mettre à jour les montants décaissés cumulés (col P), les statuts (col T) et observations (col U)</t>
        </is>
      </c>
    </row>
    <row r="23">
      <c r="B23" s="61" t="inlineStr">
        <is>
          <t>Étape 5</t>
        </is>
      </c>
      <c r="C23" s="62" t="inlineStr">
        <is>
          <t>Reporter les avancements moyens par province dans la Feuille 2 (Historique)</t>
        </is>
      </c>
    </row>
    <row r="24">
      <c r="B24" s="61" t="inlineStr">
        <is>
          <t>Étape 6</t>
        </is>
      </c>
      <c r="C24" s="62" t="inlineStr">
        <is>
          <t>Vérifier le récapitulatif automatique dans la Feuille 3</t>
        </is>
      </c>
    </row>
    <row r="25">
      <c r="B25" s="61" t="inlineStr">
        <is>
          <t>Étape 7</t>
        </is>
      </c>
      <c r="C25" s="62" t="inlineStr">
        <is>
          <t>Sauvegarder une copie : 'Suivi_Gharb_S##_2026.xlsx' (## = numéro semaine)</t>
        </is>
      </c>
    </row>
    <row r="26"/>
    <row r="27">
      <c r="B27" s="63" t="inlineStr">
        <is>
          <t>CONSEILS IMPORTANTS</t>
        </is>
      </c>
    </row>
    <row r="28">
      <c r="C28" s="62" t="inlineStr">
        <is>
          <t>• Ne jamais modifier les colonnes + 7 colonnes consultation calculées (formules) — elles se mettent à jour automatiquement
• Toujours sauvegarder une copie hebdomadaire avant de saisir les nouvelles données
• Les cases jaunes sont les champs à remplir manuellement
• Le filtre automatique permet de filtrer par province, commune ou statut</t>
        </is>
      </c>
    </row>
  </sheetData>
  <mergeCells count="1">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2026-06-11T12:09:45Z</dcterms:created>
  <dcterms:modified xmlns:dcterms="http://purl.org/dc/terms/" xmlns:xsi="http://www.w3.org/2001/XMLSchema-instance" xsi:type="dcterms:W3CDTF">2026-06-11T23:26:17Z</dcterms:modified>
</cp:coreProperties>
</file>